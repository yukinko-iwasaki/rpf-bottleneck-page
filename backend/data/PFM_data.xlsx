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ysuzuki2/Downloads/"/>
    </mc:Choice>
  </mc:AlternateContent>
  <xr:revisionPtr revIDLastSave="0" documentId="13_ncr:1_{EA92922A-95B7-B34F-AAFA-ABCE14DA646B}" xr6:coauthVersionLast="47" xr6:coauthVersionMax="47" xr10:uidLastSave="{00000000-0000-0000-0000-000000000000}"/>
  <bookViews>
    <workbookView xWindow="0" yWindow="740" windowWidth="34560" windowHeight="21600" activeTab="13" xr2:uid="{00000000-000D-0000-FFFF-FFFF00000000}"/>
  </bookViews>
  <sheets>
    <sheet name="Challenges-List" sheetId="10" state="hidden" r:id="rId1"/>
    <sheet name="Roles-List" sheetId="18" state="hidden" r:id="rId2"/>
    <sheet name="Bottlenecks - List" sheetId="9" state="hidden" r:id="rId3"/>
    <sheet name="Taxonomy (2)" sheetId="24" state="hidden" r:id="rId4"/>
    <sheet name="Taxonomy" sheetId="14" r:id="rId5"/>
    <sheet name="Taxonomy-bottlenecks" sheetId="29" r:id="rId6"/>
    <sheet name="Taxonomy-roles" sheetId="28" r:id="rId7"/>
    <sheet name="Taxonomy-overview" sheetId="27" r:id="rId8"/>
    <sheet name="Outcomes &amp; Results" sheetId="22" r:id="rId9"/>
    <sheet name="Public Sector Challenges" sheetId="23" r:id="rId10"/>
    <sheet name="Roles - Outcome" sheetId="20" r:id="rId11"/>
    <sheet name="Bottlenecks - Outcome" sheetId="19" r:id="rId12"/>
    <sheet name="Roles - Examples" sheetId="25" r:id="rId13"/>
    <sheet name="Bottlenecks - Examples" sheetId="26" r:id="rId14"/>
  </sheets>
  <externalReferences>
    <externalReference r:id="rId15"/>
  </externalReferences>
  <definedNames>
    <definedName name="_xlnm._FilterDatabase" localSheetId="13" hidden="1">'Bottlenecks - Examples'!$A$1:$DM$5629</definedName>
    <definedName name="_xlnm._FilterDatabase" localSheetId="2" hidden="1">'Bottlenecks - List'!$A$1:$K$31</definedName>
    <definedName name="_xlnm._FilterDatabase" localSheetId="11" hidden="1">'Bottlenecks - Outcome'!$A$1:$DH$140</definedName>
    <definedName name="_xlnm._FilterDatabase" localSheetId="8" hidden="1">'Outcomes &amp; Results'!$A$1:$A$6</definedName>
    <definedName name="_xlnm._FilterDatabase" localSheetId="9" hidden="1">'Public Sector Challenges'!$A$1:$D$17</definedName>
    <definedName name="_xlnm._FilterDatabase" localSheetId="12" hidden="1">'Roles - Examples'!$A$1:$G$63</definedName>
    <definedName name="_xlnm._FilterDatabase" localSheetId="10" hidden="1">'Roles - Outcome'!$A$1:$D$56</definedName>
    <definedName name="Bottlenecks">'Bottlenecks - List'!$J$2:$J$31</definedName>
    <definedName name="PFChallenges">'Challenges-List'!$D$4:$D$12</definedName>
    <definedName name="Roles">'Roles-List'!$A$2:$A$5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4" i="26" l="1"/>
  <c r="C65" i="26"/>
  <c r="C29" i="26"/>
  <c r="C116" i="26" l="1"/>
  <c r="B116" i="26"/>
  <c r="D113" i="26" l="1"/>
  <c r="D114" i="26"/>
  <c r="C113" i="26"/>
  <c r="C114" i="26"/>
  <c r="B113" i="26"/>
  <c r="B114" i="26"/>
  <c r="A113" i="26"/>
  <c r="A114" i="26"/>
  <c r="C109" i="26"/>
  <c r="C107" i="26"/>
  <c r="B109" i="26"/>
  <c r="B107" i="26"/>
  <c r="A109" i="26"/>
  <c r="A107" i="26"/>
  <c r="D109" i="26"/>
  <c r="D107" i="26"/>
  <c r="D106" i="26"/>
  <c r="C106" i="26"/>
  <c r="C105" i="26"/>
  <c r="B106" i="26"/>
  <c r="B105" i="26"/>
  <c r="A105" i="26"/>
  <c r="A106" i="26"/>
  <c r="D103" i="26"/>
  <c r="D104" i="26"/>
  <c r="C104" i="26"/>
  <c r="C103" i="26"/>
  <c r="C102" i="26"/>
  <c r="B104" i="26"/>
  <c r="B103" i="26"/>
  <c r="B102" i="26"/>
  <c r="A104" i="26"/>
  <c r="A103" i="26"/>
  <c r="A102" i="26"/>
  <c r="D22" i="26"/>
  <c r="D101" i="26"/>
  <c r="C101" i="26"/>
  <c r="C22" i="26"/>
  <c r="B101" i="26"/>
  <c r="B22" i="26"/>
  <c r="A101" i="26"/>
  <c r="A22" i="26"/>
  <c r="D99" i="26"/>
  <c r="D96" i="26"/>
  <c r="C99" i="26"/>
  <c r="C96" i="26"/>
  <c r="A93" i="26"/>
  <c r="A92" i="26"/>
  <c r="D93" i="26"/>
  <c r="D94" i="26"/>
  <c r="C93" i="26"/>
  <c r="C94" i="26"/>
  <c r="B93" i="26"/>
  <c r="B94" i="26"/>
  <c r="B92" i="26"/>
  <c r="C92" i="26"/>
  <c r="D92" i="26"/>
  <c r="D91" i="26"/>
  <c r="D60" i="26"/>
  <c r="C91" i="26"/>
  <c r="C60" i="26"/>
  <c r="A91" i="26"/>
  <c r="A60" i="26"/>
  <c r="D59" i="26"/>
  <c r="D47" i="26"/>
  <c r="C59" i="26"/>
  <c r="C47" i="26"/>
  <c r="A59" i="26"/>
  <c r="A47" i="26"/>
  <c r="A17" i="26"/>
  <c r="B17" i="26"/>
  <c r="C17" i="26"/>
  <c r="D17" i="26"/>
  <c r="D28" i="26"/>
  <c r="D26" i="26"/>
  <c r="C28" i="26"/>
  <c r="C26" i="26"/>
  <c r="B28" i="26"/>
  <c r="B26" i="26"/>
  <c r="A28" i="26"/>
  <c r="A26" i="26"/>
  <c r="D25" i="26"/>
  <c r="D24" i="26"/>
  <c r="C25" i="26"/>
  <c r="C24" i="26"/>
  <c r="B25" i="26"/>
  <c r="B24" i="26"/>
  <c r="A25" i="26"/>
  <c r="A24" i="26"/>
  <c r="D20" i="26"/>
  <c r="D19" i="26"/>
  <c r="C20" i="26"/>
  <c r="C19" i="26"/>
  <c r="B20" i="26"/>
  <c r="B19" i="26"/>
  <c r="A20" i="26"/>
  <c r="A19" i="26"/>
  <c r="D16" i="26"/>
  <c r="C16" i="26"/>
  <c r="B16" i="26"/>
  <c r="A16" i="26"/>
  <c r="D14" i="26"/>
  <c r="D10" i="26"/>
  <c r="C14" i="26"/>
  <c r="C10" i="26"/>
  <c r="B14" i="26"/>
  <c r="B10" i="26"/>
  <c r="A14" i="26"/>
  <c r="A10" i="26"/>
  <c r="D9" i="26"/>
  <c r="D8" i="26"/>
  <c r="C9" i="26"/>
  <c r="C8" i="26"/>
  <c r="B9" i="26"/>
  <c r="B8" i="26"/>
  <c r="A9" i="26"/>
  <c r="A8" i="26"/>
  <c r="D7" i="26"/>
  <c r="C7" i="26"/>
  <c r="B7" i="26"/>
  <c r="A7" i="26"/>
  <c r="D110" i="26"/>
  <c r="D105" i="26"/>
  <c r="D102" i="26"/>
  <c r="D46" i="26"/>
  <c r="D29" i="26"/>
  <c r="D15" i="26"/>
  <c r="D4" i="26"/>
  <c r="D3" i="26"/>
  <c r="C3" i="26"/>
  <c r="B3" i="26"/>
  <c r="A3" i="26"/>
  <c r="C88" i="26"/>
  <c r="A88" i="26"/>
  <c r="C86" i="26"/>
  <c r="C85" i="26"/>
  <c r="A86" i="26"/>
  <c r="A85" i="26"/>
  <c r="C82" i="26"/>
  <c r="C81" i="26"/>
  <c r="A82" i="26"/>
  <c r="C80" i="26"/>
  <c r="A80" i="26"/>
  <c r="A78" i="26"/>
  <c r="B70" i="26"/>
  <c r="A70" i="26"/>
  <c r="B50" i="25"/>
  <c r="A10" i="25"/>
  <c r="A8" i="25"/>
  <c r="A5" i="25"/>
  <c r="A4" i="25"/>
  <c r="B40" i="25"/>
  <c r="A9" i="25"/>
  <c r="A7" i="25"/>
  <c r="A6" i="25"/>
  <c r="B9" i="25"/>
  <c r="B63" i="25"/>
  <c r="B61" i="25"/>
  <c r="B60" i="25"/>
  <c r="B59" i="25"/>
  <c r="B58" i="25"/>
  <c r="B55" i="25"/>
  <c r="B54" i="25"/>
  <c r="B53" i="25"/>
  <c r="B51" i="25"/>
  <c r="B49" i="25"/>
  <c r="B43" i="25"/>
  <c r="B36" i="25"/>
  <c r="B35" i="25"/>
  <c r="B34" i="25"/>
  <c r="B33" i="25"/>
  <c r="B32" i="25"/>
  <c r="B31" i="25"/>
  <c r="B30" i="25"/>
  <c r="B29" i="25"/>
  <c r="B28" i="25"/>
  <c r="B27" i="25"/>
  <c r="B26" i="25"/>
  <c r="B25" i="25"/>
  <c r="B24" i="25"/>
  <c r="B23" i="25"/>
  <c r="B22" i="25"/>
  <c r="B21" i="25"/>
  <c r="B20" i="25"/>
  <c r="B19" i="25"/>
  <c r="B18" i="25"/>
  <c r="B17" i="25"/>
  <c r="B15" i="25"/>
  <c r="B13" i="25"/>
  <c r="B11" i="25"/>
  <c r="B10" i="25"/>
  <c r="B3" i="25"/>
  <c r="A3" i="25"/>
  <c r="B2" i="25"/>
  <c r="A2" i="25"/>
  <c r="A26" i="25"/>
  <c r="C115" i="26"/>
  <c r="B115" i="26"/>
  <c r="A115" i="26"/>
  <c r="C112" i="26"/>
  <c r="B112" i="26"/>
  <c r="A112" i="26"/>
  <c r="C111" i="26"/>
  <c r="B111" i="26"/>
  <c r="A111" i="26"/>
  <c r="C110" i="26"/>
  <c r="B110" i="26"/>
  <c r="A110" i="26"/>
  <c r="C108" i="26"/>
  <c r="B108" i="26"/>
  <c r="A108" i="26"/>
  <c r="C100" i="26"/>
  <c r="B100" i="26"/>
  <c r="A100" i="26"/>
  <c r="C98" i="26"/>
  <c r="B98" i="26"/>
  <c r="A98" i="26"/>
  <c r="C97" i="26"/>
  <c r="B97" i="26"/>
  <c r="A97" i="26"/>
  <c r="B96" i="26"/>
  <c r="A96" i="26"/>
  <c r="C95" i="26"/>
  <c r="B95" i="26"/>
  <c r="A95" i="26"/>
  <c r="C90" i="26"/>
  <c r="A90" i="26"/>
  <c r="C89" i="26"/>
  <c r="A89" i="26"/>
  <c r="C87" i="26"/>
  <c r="A87" i="26"/>
  <c r="C84" i="26"/>
  <c r="A84" i="26"/>
  <c r="C83" i="26"/>
  <c r="A83" i="26"/>
  <c r="A81" i="26"/>
  <c r="C79" i="26"/>
  <c r="A79" i="26"/>
  <c r="C77" i="26"/>
  <c r="A77" i="26"/>
  <c r="C76" i="26"/>
  <c r="A76" i="26"/>
  <c r="C75" i="26"/>
  <c r="A75" i="26"/>
  <c r="A74" i="26"/>
  <c r="C73" i="26"/>
  <c r="A73" i="26"/>
  <c r="C72" i="26"/>
  <c r="A72" i="26"/>
  <c r="C71" i="26"/>
  <c r="A71" i="26"/>
  <c r="C69" i="26"/>
  <c r="A69" i="26"/>
  <c r="C68" i="26"/>
  <c r="A68" i="26"/>
  <c r="C67" i="26"/>
  <c r="A67" i="26"/>
  <c r="C66" i="26"/>
  <c r="A66" i="26"/>
  <c r="A65" i="26"/>
  <c r="C64" i="26"/>
  <c r="A64" i="26"/>
  <c r="C63" i="26"/>
  <c r="A63" i="26"/>
  <c r="C62" i="26"/>
  <c r="A62" i="26"/>
  <c r="C61" i="26"/>
  <c r="A61" i="26"/>
  <c r="C58" i="26"/>
  <c r="A58" i="26"/>
  <c r="C57" i="26"/>
  <c r="A57" i="26"/>
  <c r="C56" i="26"/>
  <c r="A56" i="26"/>
  <c r="C55" i="26"/>
  <c r="A55" i="26"/>
  <c r="C54" i="26"/>
  <c r="A54" i="26"/>
  <c r="C53" i="26"/>
  <c r="A53" i="26"/>
  <c r="C52" i="26"/>
  <c r="A52" i="26"/>
  <c r="C51" i="26"/>
  <c r="A51" i="26"/>
  <c r="C50" i="26"/>
  <c r="A50" i="26"/>
  <c r="C49" i="26"/>
  <c r="A49" i="26"/>
  <c r="C48" i="26"/>
  <c r="A48" i="26"/>
  <c r="C46" i="26"/>
  <c r="A46" i="26"/>
  <c r="C45" i="26"/>
  <c r="A45" i="26"/>
  <c r="A44" i="26"/>
  <c r="C43" i="26"/>
  <c r="A43" i="26"/>
  <c r="C42" i="26"/>
  <c r="A42" i="26"/>
  <c r="C41" i="26"/>
  <c r="A41" i="26"/>
  <c r="C40" i="26"/>
  <c r="A40" i="26"/>
  <c r="C39" i="26"/>
  <c r="A39" i="26"/>
  <c r="C38" i="26"/>
  <c r="A38" i="26"/>
  <c r="C37" i="26"/>
  <c r="A37" i="26"/>
  <c r="C36" i="26"/>
  <c r="A36" i="26"/>
  <c r="C35" i="26"/>
  <c r="A35" i="26"/>
  <c r="C34" i="26"/>
  <c r="A34" i="26"/>
  <c r="C33" i="26"/>
  <c r="A33" i="26"/>
  <c r="C32" i="26"/>
  <c r="A32" i="26"/>
  <c r="C31" i="26"/>
  <c r="A31" i="26"/>
  <c r="C30" i="26"/>
  <c r="B30" i="26"/>
  <c r="A30" i="26"/>
  <c r="B29" i="26"/>
  <c r="A29" i="26"/>
  <c r="C27" i="26"/>
  <c r="B27" i="26"/>
  <c r="A27" i="26"/>
  <c r="C23" i="26"/>
  <c r="B23" i="26"/>
  <c r="A23" i="26"/>
  <c r="C21" i="26"/>
  <c r="B21" i="26"/>
  <c r="A21" i="26"/>
  <c r="C18" i="26"/>
  <c r="B18" i="26"/>
  <c r="A18" i="26"/>
  <c r="C15" i="26"/>
  <c r="B15" i="26"/>
  <c r="A15" i="26"/>
  <c r="C13" i="26"/>
  <c r="B13" i="26"/>
  <c r="A13" i="26"/>
  <c r="C12" i="26"/>
  <c r="B12" i="26"/>
  <c r="A12" i="26"/>
  <c r="C11" i="26"/>
  <c r="B11" i="26"/>
  <c r="A11" i="26"/>
  <c r="C6" i="26"/>
  <c r="B6" i="26"/>
  <c r="A6" i="26"/>
  <c r="C5" i="26"/>
  <c r="B5" i="26"/>
  <c r="A5" i="26"/>
  <c r="C4" i="26"/>
  <c r="B4" i="26"/>
  <c r="A4" i="26"/>
  <c r="C2" i="26"/>
  <c r="B2" i="26"/>
  <c r="A2" i="26"/>
  <c r="B99" i="19"/>
  <c r="B90" i="26" s="1"/>
  <c r="B98" i="19"/>
  <c r="B89" i="26" s="1"/>
  <c r="B97" i="19"/>
  <c r="B96" i="19"/>
  <c r="B87" i="26" s="1"/>
  <c r="B95" i="19"/>
  <c r="B86" i="26" s="1"/>
  <c r="B94" i="19"/>
  <c r="B93" i="19"/>
  <c r="B84" i="26" s="1"/>
  <c r="B92" i="19"/>
  <c r="B83" i="26" s="1"/>
  <c r="B91" i="19"/>
  <c r="B90" i="19"/>
  <c r="B82" i="26" s="1"/>
  <c r="B89" i="19"/>
  <c r="B81" i="26" s="1"/>
  <c r="B88" i="19"/>
  <c r="B79" i="26" s="1"/>
  <c r="B87" i="19"/>
  <c r="B77" i="26" s="1"/>
  <c r="B86" i="19"/>
  <c r="B85" i="19"/>
  <c r="B76" i="26" s="1"/>
  <c r="B84" i="19"/>
  <c r="B75" i="26" s="1"/>
  <c r="B83" i="19"/>
  <c r="B82" i="19"/>
  <c r="B74" i="26" s="1"/>
  <c r="B81" i="19"/>
  <c r="B73" i="26" s="1"/>
  <c r="B80" i="19"/>
  <c r="B72" i="26" s="1"/>
  <c r="B79" i="19"/>
  <c r="B71" i="26" s="1"/>
  <c r="B77" i="19"/>
  <c r="B69" i="26" s="1"/>
  <c r="B76" i="19"/>
  <c r="B68" i="26" s="1"/>
  <c r="B75" i="19"/>
  <c r="B74" i="19"/>
  <c r="B67" i="26" s="1"/>
  <c r="B73" i="19"/>
  <c r="B72" i="19"/>
  <c r="B66" i="26" s="1"/>
  <c r="B71" i="19"/>
  <c r="B65" i="26" s="1"/>
  <c r="B70" i="19"/>
  <c r="B64" i="26" s="1"/>
  <c r="B69" i="19"/>
  <c r="B63" i="26" s="1"/>
  <c r="B68" i="19"/>
  <c r="B62" i="26" s="1"/>
  <c r="B67" i="19"/>
  <c r="B61" i="26" s="1"/>
  <c r="B66" i="19"/>
  <c r="B91" i="26" s="1"/>
  <c r="B65" i="19"/>
  <c r="B58" i="26" s="1"/>
  <c r="B64" i="19"/>
  <c r="B57" i="26" s="1"/>
  <c r="B63" i="19"/>
  <c r="B62" i="19"/>
  <c r="B56" i="26" s="1"/>
  <c r="B61" i="19"/>
  <c r="B55" i="26" s="1"/>
  <c r="B60" i="19"/>
  <c r="B54" i="26" s="1"/>
  <c r="B59" i="19"/>
  <c r="B53" i="26" s="1"/>
  <c r="B58" i="19"/>
  <c r="B52" i="26" s="1"/>
  <c r="B57" i="19"/>
  <c r="B51" i="26" s="1"/>
  <c r="B56" i="19"/>
  <c r="B50" i="26" s="1"/>
  <c r="B55" i="19"/>
  <c r="B49" i="26" s="1"/>
  <c r="B54" i="19"/>
  <c r="B48" i="26" s="1"/>
  <c r="B53" i="19"/>
  <c r="B47" i="26" s="1"/>
  <c r="B52" i="19"/>
  <c r="B46" i="26" s="1"/>
  <c r="B51" i="19"/>
  <c r="B45" i="26" s="1"/>
  <c r="B50" i="19"/>
  <c r="B49" i="19"/>
  <c r="B44" i="26" s="1"/>
  <c r="B48" i="19"/>
  <c r="B43" i="26" s="1"/>
  <c r="B47" i="19"/>
  <c r="B46" i="19"/>
  <c r="B45" i="19"/>
  <c r="B42" i="26" s="1"/>
  <c r="B44" i="19"/>
  <c r="B41" i="26" s="1"/>
  <c r="B43" i="19"/>
  <c r="B40" i="26" s="1"/>
  <c r="B42" i="19"/>
  <c r="B41" i="19"/>
  <c r="B39" i="26" s="1"/>
  <c r="B40" i="19"/>
  <c r="B38" i="26" s="1"/>
  <c r="B39" i="19"/>
  <c r="B37" i="26" s="1"/>
  <c r="B38" i="19"/>
  <c r="B36" i="26" s="1"/>
  <c r="B37" i="19"/>
  <c r="B35" i="26" s="1"/>
  <c r="B35" i="19"/>
  <c r="B34" i="26" s="1"/>
  <c r="B34" i="19"/>
  <c r="B33" i="26" s="1"/>
  <c r="B33" i="19"/>
  <c r="B32" i="19"/>
  <c r="B32" i="26" s="1"/>
  <c r="B31" i="19"/>
  <c r="B31" i="26" s="1"/>
  <c r="B59" i="26" l="1"/>
  <c r="B60" i="26"/>
  <c r="B80" i="26"/>
  <c r="B78" i="26"/>
  <c r="B85" i="26"/>
  <c r="B88" i="26"/>
  <c r="D12" i="10"/>
  <c r="E12" i="10" s="1"/>
  <c r="D11" i="10"/>
  <c r="E11" i="10" s="1"/>
  <c r="D10" i="10"/>
  <c r="E10" i="10" s="1"/>
  <c r="D9" i="10"/>
  <c r="E9" i="10" s="1"/>
  <c r="D8" i="10"/>
  <c r="E8" i="10" s="1"/>
  <c r="D7" i="10"/>
  <c r="E7" i="10" s="1"/>
  <c r="D6" i="10"/>
  <c r="E6" i="10" s="1"/>
  <c r="D5" i="10"/>
  <c r="E5" i="10" s="1"/>
  <c r="D4" i="10"/>
  <c r="E4" i="10" s="1"/>
  <c r="J31" i="9"/>
  <c r="J30" i="9"/>
  <c r="J29" i="9"/>
  <c r="J28" i="9"/>
  <c r="J27" i="9"/>
  <c r="J26" i="9"/>
  <c r="J25" i="9"/>
  <c r="J24" i="9"/>
  <c r="J23" i="9"/>
  <c r="J22" i="9"/>
  <c r="J21" i="9"/>
  <c r="J20" i="9"/>
  <c r="J19" i="9"/>
  <c r="J18" i="9"/>
  <c r="J17" i="9"/>
  <c r="J16" i="9"/>
  <c r="J15" i="9"/>
  <c r="J14" i="9"/>
  <c r="J13" i="9"/>
  <c r="J12" i="9"/>
  <c r="J11" i="9"/>
  <c r="J10" i="9"/>
  <c r="J9" i="9"/>
  <c r="J8" i="9"/>
  <c r="J7" i="9"/>
  <c r="J6" i="9"/>
  <c r="J5" i="9"/>
  <c r="J4" i="9"/>
  <c r="J3" i="9"/>
  <c r="J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tc={0304DBF6-3498-4961-B070-CD179FE8EF23}</author>
  </authors>
  <commentList>
    <comment ref="C15" authorId="0" shapeId="0" xr:uid="{0304DBF6-3498-4961-B070-CD179FE8EF23}">
      <text>
        <t>[Threaded comment]
Your version of Excel allows you to read this threaded comment; however, any edits to it will get removed if the file is opened in a newer version of Excel. Learn more: https://go.microsoft.com/fwlink/?linkid=870924
Comment:
    We could add a DRM bottleneck here about ineffective revenue admin, etc.?</t>
      </text>
    </comment>
  </commentList>
</comments>
</file>

<file path=xl/sharedStrings.xml><?xml version="1.0" encoding="utf-8"?>
<sst xmlns="http://schemas.openxmlformats.org/spreadsheetml/2006/main" count="2439" uniqueCount="1084">
  <si>
    <t xml:space="preserve">Part of Framework </t>
  </si>
  <si>
    <t>Roles of Public Finance</t>
  </si>
  <si>
    <t>PF Challenges</t>
  </si>
  <si>
    <t xml:space="preserve">Public Policy </t>
  </si>
  <si>
    <t>Commitment to Feasible Policy</t>
  </si>
  <si>
    <t>Fiscal Policy and PFM</t>
  </si>
  <si>
    <t>Fiscal  sustainability</t>
  </si>
  <si>
    <t>Effective Resource Mobilisation and Distribution</t>
  </si>
  <si>
    <t>Public Sector Institutions</t>
  </si>
  <si>
    <t>Efficient and Accountable Delivery</t>
  </si>
  <si>
    <t>A. Commitment to Feasible Policy</t>
  </si>
  <si>
    <t>B. Fiscal Sustainability</t>
  </si>
  <si>
    <t>C. Effective Resource Mobilisation and Distribution</t>
  </si>
  <si>
    <t>D. Efficient and Accountable Delivery</t>
  </si>
  <si>
    <t>Outcome</t>
  </si>
  <si>
    <t>Original Name</t>
  </si>
  <si>
    <t>PF Bottlenecks</t>
  </si>
  <si>
    <t>Issues</t>
  </si>
  <si>
    <t>Examples</t>
  </si>
  <si>
    <t>Policy or Systems (Level of Framework)</t>
  </si>
  <si>
    <t>Role of Public Finance</t>
  </si>
  <si>
    <t>PF Challenge</t>
  </si>
  <si>
    <t>Bottleneck</t>
  </si>
  <si>
    <t xml:space="preserve">Description </t>
  </si>
  <si>
    <t>Assessment</t>
  </si>
  <si>
    <t>Ec Resilience</t>
  </si>
  <si>
    <t>1. Sustaining Commitment to Fiscal Space</t>
  </si>
  <si>
    <t>Short-term pressures and biases / Difficulty in reallocating windfall revenues or prioritizing spending reductions/ Political constituencies influencing borrowing and spending decisions.</t>
  </si>
  <si>
    <t>Short-term pressures and biases make it difficult for governments to maintain fiscal discipline, especially when revenue windfalls encourage new spending rather than saving. Borrowing is often used for recurrent spending rather than strategic investments, which can result in long-term fiscal strain</t>
  </si>
  <si>
    <t>Countries like Angola, Vietnam, and Chile face challenges when revenues rise, making it tempting to fund new priorities instead of preserving fiscal space.  Italy has faced policy paralysis due to high pre-existing debt burdens.</t>
  </si>
  <si>
    <t>Public Policy</t>
  </si>
  <si>
    <t>Feasible &amp; Affordable Policy</t>
  </si>
  <si>
    <t>1. Insufficient Stakeholder Commitment to Policy Action</t>
  </si>
  <si>
    <t>3. Lack of Broad-based Support</t>
  </si>
  <si>
    <t>Insufficient communication of the policy's costs and benefits to stakeholders.</t>
  </si>
  <si>
    <t>Policies often struggle to gain support from various stakeholders due to poor communication or a lack of credible justification. This can lead to challenges in enacting policies that might include unpopular fiscal consolidation measures.</t>
  </si>
  <si>
    <t>Energy Transition</t>
  </si>
  <si>
    <t>1. Uncoordinated Policy Development</t>
  </si>
  <si>
    <t>1. Energy policy un-coordinated under-resourced as it is not reconciled with available resources and competing development goals</t>
  </si>
  <si>
    <t>Transition policies often remain unfeasible and not reconciled with resource availability / Renewable energy policies are developed independently or without integration with broader development goals.</t>
  </si>
  <si>
    <t>Renewable energy policies are often designed without integration with development policies or realistic resource assessments. For example, Nationally Determined Contributions (NDCs) might outline ambitious goals but lack credible costing and funding strategies.</t>
  </si>
  <si>
    <t xml:space="preserve"> In Uruguay, NDCs represented a national climate position but were not costed comprehensively. In Pakistan, renewable energy transition policies were developed in isolation from broader development goals, leading to incoherent strategies.</t>
  </si>
  <si>
    <t>2. Incoherence and fragmentation of policy</t>
  </si>
  <si>
    <t>3. Mismatch between policy goals, capability and resources</t>
  </si>
  <si>
    <t>Education</t>
  </si>
  <si>
    <t>6. Disconnect Between Policy Goals and Fiscal Reality</t>
  </si>
  <si>
    <t>6. Unaffordable Policy Goals given Fiscal Reality</t>
  </si>
  <si>
    <t xml:space="preserve">Policies announced without corresponding funding lead to resource gaps, service rationing, or overburdened infrastructure. / </t>
  </si>
  <si>
    <t>Tanzania: Universal secondary education initiatives rapidly increased enrollment without adequate planning for teacher hiring or infrastructure, leading to overcrowded classrooms and higher student-teacher ratios.</t>
  </si>
  <si>
    <t>2. Managing Competing Priorities</t>
  </si>
  <si>
    <t>2. Spending is procyclical</t>
  </si>
  <si>
    <t>Spending is often procyclical, leading to cuts during revenue shocks / Borrowing for recurrent spending rather than productive investments / Pre-existing debt burdens causing policy paralysis.</t>
  </si>
  <si>
    <t>Spending becomes procyclical, rising when revenues grow and leading to cuts during downturns. This reactive approach can worsen fiscal positions during revenue shocks.</t>
  </si>
  <si>
    <t>The finance ministry must balance immediate political and economic pressures with long-term sustainability, which becomes difficult without robust coordination and buy-in from key stakeholders like the cabinet and central bank.</t>
  </si>
  <si>
    <t>4. Unsustainable fiscal situation of governments and organizations</t>
  </si>
  <si>
    <t>6. Debt Strategy and Management</t>
  </si>
  <si>
    <t>Lack of strategic use of debt, leading to supply-driven borrowing / Fragmentation and overlapping responsibilities in debt management / Incomplete or flawed debt reporting and sustainability analysis.</t>
  </si>
  <si>
    <t>Debt is often borrowed without strategic planning, leading to issues like over-borrowing during economic upturns and fiscal stress during downturns. / Coordination Gaps: Effective debt and cash management require coordination between finance and central banks.</t>
  </si>
  <si>
    <t>Liberia and Angola face these challenges./ Chile, Liberia, and Italy have shown gaps in this area, with Liberia experiencing fragmented debt management responsibilities.</t>
  </si>
  <si>
    <t>3. Weak Energy Utilities and Institutions</t>
  </si>
  <si>
    <t>Energy utilities often lack financial viability due to weak governance and inadequate incentives for performance / The failure to enforce hard budget constraints and cost recovery policies undermines utility reforms.</t>
  </si>
  <si>
    <t>Energy utilities are financially unsustainable, undermined by ineffective reforms and a lack of cost recovery mechanisms.</t>
  </si>
  <si>
    <t>In Pakistan, failure to enforce cost recovery or improve governance of utilities led to financial instability and limited renewable investments. In Kenya, regulatory and financial challenges led to inefficiencies, while delays in liberalization in Morocco meant state dominance persisted despite private sector engagement.</t>
  </si>
  <si>
    <t>4. Smoothing Revenue Volatility</t>
  </si>
  <si>
    <t>Biased or inaccurate revenue forecasts due to technical limitations or political interference / Weak commitment to stabilization mechanisms or poorly designed fiscal rules.</t>
  </si>
  <si>
    <t>Reliable revenue forecasts are hindered by technical expertise gaps and political interference, leading to biased and inaccurate predictions. / Commitment to saving during revenue surges is not always credible, particularly if stabilization mechanisms are not enshrined in law or if fiscal rules are poorly designed.</t>
  </si>
  <si>
    <t>Countries such as Liberia and Angola have faced issues due to these challenges.</t>
  </si>
  <si>
    <t>4. Challenges in Financing Transition</t>
  </si>
  <si>
    <t>Limitied and unsustainable financing options for the transition</t>
  </si>
  <si>
    <t>Fiscal constraints limit the scope for direct public investment, leaving dependence on tax incentives and concessional finance / High domestic costs of capital hinder private sector participation, especially in low-income countries.</t>
  </si>
  <si>
    <t>Fiscal constraints prevent direct public investment, leading to an over-reliance on tax incentives, which may be suboptimal or counterproductive.</t>
  </si>
  <si>
    <t>In LDCs, public investments are hindered by limited fiscal space. In Vietnam, reliance on generous feed-in tariffs (FiTs) attracted private investments but created financial challenges for utilities.</t>
  </si>
  <si>
    <t>Resource Mobilisation and Distribution</t>
  </si>
  <si>
    <t>5. Inadequate and inequitable resources mobilized and deployed for policy &amp; delivery</t>
  </si>
  <si>
    <t>6. Capacity Gaps in Public Sector Systems</t>
  </si>
  <si>
    <t>Inadquate modelling sector supply demand and costs of sector delivery</t>
  </si>
  <si>
    <t>Public financial management (PFM) systems and macroeconomic planning are insufficient to handle the long-term fiscal implications of renewable energy policies / Limited capacity for project appraisal, design, and financing creates delays and inefficiencies.</t>
  </si>
  <si>
    <t>Public financial management systems lack the capacity to model supply, demand, and costs, undermining effective decision-making.</t>
  </si>
  <si>
    <t>In Pakistan, fragmented public investment management and weak project appraisal processes led to inefficiencies in renewable energy project pipelines.</t>
  </si>
  <si>
    <t>5. Unequal Resource Distribution: The Impact of Outdated Allocation Methods</t>
  </si>
  <si>
    <t>Allocation formulas do not account for specific needs, such as differences in geographic location, socioeconomic status, or disability status. This results in marginalized schools and students receiving fewer resources.</t>
  </si>
  <si>
    <t>Myanmar: Urban schools received twice as much funding per pupil as remote schools due to outdated grant formulas that used enrollment banding, penalizing smaller rural schools.</t>
  </si>
  <si>
    <t>Effective Resource Mobilization &amp; Distribution</t>
  </si>
  <si>
    <t>6. Unreliable, delayed and fragmented funding for delivery</t>
  </si>
  <si>
    <t>2. Unpredictable Funding Flows: Impact on School Operations</t>
  </si>
  <si>
    <t>Delays in transferring funds to schools and local governments / Cash rationing disrupting service delivery. Unrealistic fiscal forecasts create within-year budget cuts, disrupting service delivery.</t>
  </si>
  <si>
    <t>In Mali, despite 95% budget execution, only 44% of schools received funding for meals due to local administrative bottlenecks.</t>
  </si>
  <si>
    <t>Public Sector Systems</t>
  </si>
  <si>
    <t>7. Inefficient deployment and management of resources and inputs for delivery</t>
  </si>
  <si>
    <t>7. Public Investment Decisions</t>
  </si>
  <si>
    <t>Ad hoc project selection without formal prioritization processes / Overestimation of returns from investments, leading to unsustainable borrowing.</t>
  </si>
  <si>
    <t>Investments often proceed based on incomplete analyses, leading to poor project selection. Liberia and Angola have overestimated the returns from certain investments, leading to unsustainable borrowing. / Biases in Project Selection: Available funding often dictates which projects are chosen, rather than rational, needs-based selection processes.</t>
  </si>
  <si>
    <t>3. Procurement Hurdles: Delays in Delivering Critical Education Resources</t>
  </si>
  <si>
    <t>Prolonged procurement cycles delay textbook and infrastructure delivery / Lack of appropriate monitoring and evaluation systems.</t>
  </si>
  <si>
    <t>Myanmar experienced delays in school construction due to prolonged tendering processes.</t>
  </si>
  <si>
    <t>Performance &amp; Accountability in Delivery</t>
  </si>
  <si>
    <t>4. Teacher Management Challenges: Addressing Deployment and Motivation Gaps</t>
  </si>
  <si>
    <t>Imbalances in teacher deployment, with shortages in underserved areas and surpluses elsewhere. / Rigid HR policies that hinder flexibility and performance-based promotions.</t>
  </si>
  <si>
    <t>Laos: Teacher deployment was mismatched, with urban schools overstaffed and rural schools facing acute shortages. The government lacked planning tools for forecasting future teacher demand. / Mali: Performance-based incentives for teachers were undermined by a lack of alignment with budgetary and HRM policies.</t>
  </si>
  <si>
    <t>7. Capacity Shortfalls in Decentralized Education Systems</t>
  </si>
  <si>
    <t>7. Weak management of resrouces in Subnational Education Systems</t>
  </si>
  <si>
    <t>Decentralized education systems often lack the local capacity to manage budgets, procurement, and performance monitoring effectively. / Poor data collection and analysis hinder evidence-based budgeting and resource allocation.</t>
  </si>
  <si>
    <t>Morocco: The school transport program suffered from poor needs-based planning, leading to vehicle shortages and high turnover of drivers due to a lack of employment contracts. / Laos: Limited data on textbook stock levels and fragmented distribution channels led to shortages and inefficiencies.</t>
  </si>
  <si>
    <t>2. Inadequate Private Sector Engagement</t>
  </si>
  <si>
    <t xml:space="preserve">a. Fiscal policy </t>
  </si>
  <si>
    <t xml:space="preserve">Limited experience in leveraging large-scale private sector investment leads to gaps in funding and policy credibility / </t>
  </si>
  <si>
    <t xml:space="preserve">Ministries of Energy and Finance often lack the capability to design policies that attract large-scale private sector investments. </t>
  </si>
  <si>
    <t>In Pakistan, despite significant solar potential, weak governance and poor utility reforms dissuaded private sector participation.</t>
  </si>
  <si>
    <t>8. Management, oversight and accountability systems and institutions fail to encourage and enable performance as intended</t>
  </si>
  <si>
    <t xml:space="preserve">b. Fiscal Governance undermines </t>
  </si>
  <si>
    <t>External finance is deterred by governance issues and incoherent strategies.</t>
  </si>
  <si>
    <t>Governance issues in public finance and  energy sector deter private participation.</t>
  </si>
  <si>
    <t xml:space="preserve"> In Kenya, political interference in contracting private producers led to supply growth misaligned with demand, increasing costs unnecessarily.</t>
  </si>
  <si>
    <t>8. Accountability Failures: Ensuring Transparency in Education Spending</t>
  </si>
  <si>
    <t>Weak monitoring and accountability systems allow for leakage and mismanagement of funds. / Audits are either absent, ignored, or ineffective in driving corrective actions.</t>
  </si>
  <si>
    <t>Mali: Local discretion over school canteen funds led to misuse, as officers retained funds instead of disbursing them to schools. Inadequate oversight mechanisms exacerbated the problem.</t>
  </si>
  <si>
    <t>7. Inadequate Information Sharing and Transparency</t>
  </si>
  <si>
    <t>Poor information sharing between regulators, utilities, and the Ministry of Finance affects policy and incentive design / Weak accountability frameworks and reporting systems lead to inefficiencies and governance issues.</t>
  </si>
  <si>
    <t>Weak frameworks for accountability, tariff setting, and transparency impede regulatory governance.</t>
  </si>
  <si>
    <t>In Morocco, the absence of an independent regulator caused tariff regulation and transparency issues, while cross-subsidization between sectors distorted pricing. In Kenya, unclear asset ownership and financial reporting processes hindered planning and regulation.</t>
  </si>
  <si>
    <t>9. Inadequate use of fragmented sector and financial data in decision making</t>
  </si>
  <si>
    <t>11. Transparency and Accountability</t>
  </si>
  <si>
    <t>Short-term fiscal measures may align with voter preferences, undermining long-term fiscal discipline. / Independent Oversight: Limited capabilities of fiscal councils, parliament committees, and fiscal think tanks can impede effective accountability and public discussion about fiscal policies.</t>
  </si>
  <si>
    <t>Taxonomy of Roles and Bottlenecks</t>
  </si>
  <si>
    <t>— This table draws on the overall RPF framework and on preliminary findings from the five sector outcome papers (health, education, economic resilience, gender and climate). 
— The different roles of public finance identifed correspond to a revised and updated version of the three "budgetary outcomes" presented in Campos and Pradhan (1996) and in the WB PEM Handbook (1998), which in turn overlap with some of the main elements or realms of the RPF framework (public policy, fiscal policy and PFM, and public sector systems and institutions).
— It identifies 9 broad challenges that relate to the various roles that public finance plays in the pursuit of development outcomes. 
— For each PF challenge, the table identifies one or more specific public finance bottleneck that governments face in the pursuit of the various development outcomes that the sector papers look at. 
— While the structure of the table suggests that each bottleneck belongs to a specific challenge and each challenge to a specific role of public finance, in reality there are a number of overlaps and complementarities which are not recognized in this table, but which need to be kept in mind.
— The outcome roles and bottlenecks tables elaborate how these bottlenecks manifest in different sectors and provides sectoral examples.</t>
  </si>
  <si>
    <t>Level of Framework</t>
  </si>
  <si>
    <t>Public Finance Bottleneck Group</t>
  </si>
  <si>
    <t>Public Finance Bottleneck</t>
  </si>
  <si>
    <t xml:space="preserve">PF Bottleneck Description </t>
  </si>
  <si>
    <t>Comment on ease of measurement</t>
  </si>
  <si>
    <t>Potential Measures</t>
  </si>
  <si>
    <t>New Source</t>
  </si>
  <si>
    <t>Outcome Specific / X Cutting</t>
  </si>
  <si>
    <t>BOOST</t>
  </si>
  <si>
    <r>
      <rPr>
        <b/>
        <sz val="12"/>
        <color rgb="FF000000"/>
        <rFont val="Calibri"/>
        <family val="2"/>
      </rPr>
      <t xml:space="preserve">Commitment to Feasible Policy
</t>
    </r>
    <r>
      <rPr>
        <sz val="12"/>
        <color rgb="FF000000"/>
        <rFont val="Calibri"/>
        <family val="2"/>
      </rPr>
      <t xml:space="preserve">
Finance ministries and other central agencies play a fundamental coordinating role when it comes to policy decisions, functioning as a clearing house for various policy proposals across sector institutions, promoting dialogue and consultation around policy trade-offs, and ultimately linking policy objectives with resorce availablility, mobilization and use.  This helps build commitment to policy decisions that are made and improves their feasibiltiy and the likelihood that they will be implemented.</t>
    </r>
  </si>
  <si>
    <t>1.1 Inadequate commitment of political and technical leadership to policy action and associated resource mobilization and use within or across sectors</t>
  </si>
  <si>
    <t>Whist approved policies may state desired policy actions to achieve outcomes, neither politicians nor technocrats may be committed to driving the required action when this may require disrupting the status quo an/or changes in resource deployment and actions which adversely affect some stakeholders.</t>
  </si>
  <si>
    <t>Generally difficult to measure quantitatively - perception based surveys.</t>
  </si>
  <si>
    <t xml:space="preserve">-Mention of policy by different stakeholder groups:  Budget  proposals/documents; 
-Size/change in relevant budget allocations to policy; mention of sectoral policy by a) line leadersihp b) finance ministry leadership.  
- Degree of priority given to policy action across stakeholder groups 
</t>
  </si>
  <si>
    <t>Perception Surveys:  of different stakeholder groups (line ministries, finance ministries, implementors).
Search:  Budget Proposals (AI?)
BOOST: Analysis of budgetary changes over time</t>
  </si>
  <si>
    <t>xo</t>
  </si>
  <si>
    <t>Partial</t>
  </si>
  <si>
    <t>1.2 Inadequately broad-based stakeholder involvement, understanding and support for policy action and associated resource mobilization and use</t>
  </si>
  <si>
    <t xml:space="preserve">Policy discussions and decisions happen within a narrow group of actors, with no significant involvement of relevant stakeholders inside or outside the public sector, including service providers and beneficiaries. This limits the political acceptability of government policies, and the overall commitment to their implementation. It can also result in a disconnect between policies and actual demand for them.
</t>
  </si>
  <si>
    <t>Not easy to measure except for perceptions-based surveys? 
Some x-country data exist (i.e. Open Budget Survey on public participation in budget processes), but it is probably not adequate for more specific uses.</t>
  </si>
  <si>
    <t>- Degree of involvement in formulation and acceptance of proposed policy actions relevant to outcome (policies, budget proposals). 
- Degree of acceptance of cross-sectoral policy documents (national plans, budget policy documents across stakeholder groups)</t>
  </si>
  <si>
    <t>- Perception Surveys:  of different stakeholder groups (line ministries, finance ministries, implementors, parliament, civil sociaty)</t>
  </si>
  <si>
    <t>o</t>
  </si>
  <si>
    <t>No</t>
  </si>
  <si>
    <t>2. Incoherent, fragmented and poorly prioritized policy</t>
  </si>
  <si>
    <t>2.1 Fragmented, inconsistent, uncoordinated and poorly prioritized policies across or within sectors</t>
  </si>
  <si>
    <t>Different government policies, both sectoral and cross-sectoral, are designed without taking into account the constraints and/or complementarities that exist due to other government policies and commitments. This can be due to bureaucratic silos, management incentives or external donor support, and results in policies that are inconsistent and difficult to implement, or in unnecessary duplications and overlaps.</t>
  </si>
  <si>
    <t xml:space="preserve">- No. of  of different policies relevant to outcomes (sectoral, cros sectoral)
- Degree of consistency between different policies and actions </t>
  </si>
  <si>
    <t>- Review of policy documents
- Perception survey</t>
  </si>
  <si>
    <t>3. Mismatch between policy goals, priorities, capability and resources</t>
  </si>
  <si>
    <t>3.1 Domestic revenue policies generate insufficient resources to achieve policy goals given fiscal reality</t>
  </si>
  <si>
    <t xml:space="preserve">In many countries, per capita GDP is low and, due to economic structure (large informal sectors, etc.) and to weak capacities, governments only collect a limited share of GDP (10-15%) in revenues.  This limits their fiscal capacity and fiscal space, constraining spending on priority policies aimed at achieving development outcomes. Studies on the financing gap for SDG achievement have shown this clearly.
</t>
  </si>
  <si>
    <t>Relatively straightforward to measure - but challenging when comparing to cost - perhaps use benchmark/peer financing levels.  More difficult when bringing in private finance.</t>
  </si>
  <si>
    <t>- Revenues/GDP ratios
- Measures of countries domestic revenue potential
- Gap between sector Revenues (private and public) and benhmark costing estimates (or other costing of government policy objectives?)</t>
  </si>
  <si>
    <t>- PFR Tools
- BOOST
- National health accounts and equivalent (if they exist)</t>
  </si>
  <si>
    <t>Yes</t>
  </si>
  <si>
    <t>3.2 Public policy goals and delivery models are unaffordable given current and future costs and fiscal reality.</t>
  </si>
  <si>
    <t>Policy objectives are defined aspirationally, without taking into account financial affordability or without being based on accurate and reliable costing. Delivery models, which often involve direct public delivery, crowd out potentially more cost effective alternative models.  Policies and strategies do not take into acount medium and long term resource availablility.  This disconnect with fiscal reality undermines governments' capacity to deliver on policy objectives individually and collectively.</t>
  </si>
  <si>
    <t xml:space="preserve">Does costing exist?  Costs relative to funding allocations? Difficult to assess the quality and affordability of policy objectivea defined by governments...
</t>
  </si>
  <si>
    <t>- Gap between sector Revenues (private and public) and costing estimates (or other costing of government policy objectives?)</t>
  </si>
  <si>
    <t>PEFA (PI-15.1, PI-16.1, PI-16.2, PI-16.3) (weak link)</t>
  </si>
  <si>
    <t>3.3 Policies do not take into account context, including the available organizational capability to achieve goals</t>
  </si>
  <si>
    <t>Policies not designed taking existing availanle capabilities  (including skills, systems and institutions  etc.), interests (of politicians, the private sector, and citizes)  and behavioural norms (culture, society), into account  which means that they cannot be implemented as intended and objectives cannot be achieved.</t>
  </si>
  <si>
    <t xml:space="preserve">Difficult to measure - can one assess the degree of best practice vs customization of policy to context.
</t>
  </si>
  <si>
    <t>- Degree of customization of policies</t>
  </si>
  <si>
    <r>
      <rPr>
        <b/>
        <sz val="12"/>
        <color rgb="FF000000"/>
        <rFont val="Calibri"/>
        <family val="2"/>
      </rPr>
      <t xml:space="preserve">Fiscal sustainability
</t>
    </r>
    <r>
      <rPr>
        <sz val="12"/>
        <color rgb="FF000000"/>
        <rFont val="Calibri"/>
        <family val="2"/>
      </rPr>
      <t>Governments need to ensure the long-term equilbrium of public finances, and balance it off with the resource needs of the multiple policy objectives that they pursue. This task is based on a delicate balance of revenue, spending and financing decisions, on important costing and forecasting skills and capacities, and on careful management of various types of government entities (e.g. including subnational governments and state-owned enterprises)</t>
    </r>
  </si>
  <si>
    <t>4.1 Short term incentives and perspectives leads to a failure to manage trade offs and pro-cyclical spending which forces deep cuts during downturns</t>
  </si>
  <si>
    <t>The lack of a medium- to long-term focus in fiscal policy formulation means governments fail to prioritize and manage trade-offs over time, and subsequently react to shocks in pro-cyclical ways, raising spending during good times and having to reduce spending drastically during economic downturns. This in turn undermines governments' capacity to deliver on policy objectives.</t>
  </si>
  <si>
    <t>Measures of pro-cyclicality of fiscal policy (from PFR approach and methodology)
Structural budget balance (Cyclically Adjusted Primary Balance (IMF FISCAL MONITOR DATABASE))
PEFA (PI-15.1, PI-16.1, PI-16.2, PI-16.3)</t>
  </si>
  <si>
    <r>
      <t>4.2 Biased or inaccurate fiscal forecasting and unpredictable, volatile resource flows result in budgets being</t>
    </r>
    <r>
      <rPr>
        <u/>
        <sz val="12"/>
        <color theme="1"/>
        <rFont val="Calibri"/>
        <family val="2"/>
      </rPr>
      <t xml:space="preserve"> </t>
    </r>
    <r>
      <rPr>
        <sz val="12"/>
        <color theme="1"/>
        <rFont val="Calibri"/>
        <family val="2"/>
      </rPr>
      <t>under-funded</t>
    </r>
  </si>
  <si>
    <t>Fiscal projections tend to be overly optimistic as they are based on weak models, unrealistic assumptions, insufficient data and/or are influenced by political interests, resulting in overestimating growth rates and revenues.  Revenues also tend to be volatile, which coupled with weaknesses in within-year cash planning leads to a chronic shortage of financial resources to adequately fund expenditure</t>
  </si>
  <si>
    <t>Credibility of fiscal projections
Measures of the reliability of revenues and spending forecasts (PEFA indicators on budget reliability?) (PI-3.1)
Any possible BOOST indicators?
MAPE indicators (actual vs budget)</t>
  </si>
  <si>
    <t>4.3 Un-strategic, ad hoc and supply driven debt management undermines fiscal consolidation and reduces fiscal space</t>
  </si>
  <si>
    <t>Debt management is not approached strategically, with limited efforts to link borrowing to funding government priorities and actively seeking out the best financing opportunities. Borrowing is often driven by short-term and political considerations, locking governments into higher-cost financing that puts fiscal sustainability at risk.</t>
  </si>
  <si>
    <t>CPIA score on debt management?
DeMPA assessments (though these are not really about debt strategies)</t>
  </si>
  <si>
    <t>4.4 Pre-existing spending commitments and debt burdens create budget rigidity and limit options for fiscal consolidation and/or increasing fiscal space</t>
  </si>
  <si>
    <t>Spending related to various types of entitlements and mandatory servicing of debt obligations limit governments' options in terms of both reducing spending when needed, of creating space for new spending to fund policy priorities, and of reallocating resources to enhance development impact.</t>
  </si>
  <si>
    <t xml:space="preserve">Debt servicing costs as % of total public expenditure (BOOST)
Any indicators of budget rigidity? (e.g. Personnel expenditures + debt service / current revenues)
If related to insufficient commitment controls: PEFA (PI-25.2) </t>
  </si>
  <si>
    <t>4.5 Financial unviability of providers and utilities</t>
  </si>
  <si>
    <t>Utilities and frontline providers are financially unviable as a result of weak regulatory oversight, inadequate  fiscal incentives and cost recovery and unreliable public revenues.</t>
  </si>
  <si>
    <r>
      <t xml:space="preserve">Effective Resource Mobilization &amp; Distribution
</t>
    </r>
    <r>
      <rPr>
        <sz val="12"/>
        <color rgb="FF000000"/>
        <rFont val="Calibri"/>
        <family val="2"/>
      </rPr>
      <t xml:space="preserve">Governments need to raise and allocate and influence private financial resources in support of the pursuit of their policy objectives, ensuring both that sufficient resources are available when needed, and that these are allocated according to needs and cost-effectiveness criteria. How governments do this has important distributional impacts and can influence public and private behaviour towards achievement of objectives. </t>
    </r>
    <r>
      <rPr>
        <b/>
        <sz val="12"/>
        <color rgb="FF000000"/>
        <rFont val="Calibri"/>
        <family val="2"/>
      </rPr>
      <t xml:space="preserve"> </t>
    </r>
  </si>
  <si>
    <t xml:space="preserve">5. Inadequate and inequitable resources mobilized and deployed for policy implementation  </t>
  </si>
  <si>
    <t>5.1 Limited or costly financing mobilized for investment and service delivery</t>
  </si>
  <si>
    <t>Financing options for funding investment, regulation and service delivery are limited, costly and potentially distortionary, limiting the cost-effectiveness of government interventions and reducing the development impact of public spending.</t>
  </si>
  <si>
    <t>Average cost of government borrowing?
(e.g., debt service/current revenues; interest spending/ current revenues)</t>
  </si>
  <si>
    <t xml:space="preserve">5.2 Resource deployment is often incremental and disconnected from public policy priorities </t>
  </si>
  <si>
    <t xml:space="preserve">Budgets are formulated in an incremental manner and not through a process of strategic prioritization, due to the lack of clear linkages between planning and budgeting, a lack of crediblly costed sector policies and strategies, and reluctance to move from the status quo. 
</t>
  </si>
  <si>
    <t>Budget increment analysis (BOOST)
Existence amd quality of medium-term expenditure frameworks (PEFA indicator) (PI-16.2, PI-16.3, PI-17.1, PI-17.2)</t>
  </si>
  <si>
    <t>5.3 Resource deployment is not informed by demand for, the costs of or effectiveness in achieving public policy objectives</t>
  </si>
  <si>
    <t>The allocation of financial resources in the budget process is not based on a clear assessment of the actual needs, costs of and effectiveness in achieving policy objectives, leading to misallocations and  inefficiencies.</t>
  </si>
  <si>
    <t>PEFA (PI-16.3) (weak proxy)</t>
  </si>
  <si>
    <r>
      <rPr>
        <sz val="12"/>
        <color rgb="FF000000"/>
        <rFont val="Calibri"/>
        <family val="2"/>
      </rPr>
      <t>5.4 Unequal and inequitable resource mobilization and distribution</t>
    </r>
    <r>
      <rPr>
        <u/>
        <sz val="12"/>
        <color rgb="FF000000"/>
        <rFont val="Calibri"/>
        <family val="2"/>
      </rPr>
      <t>,</t>
    </r>
    <r>
      <rPr>
        <sz val="12"/>
        <color rgb="FF000000"/>
        <rFont val="Calibri"/>
        <family val="2"/>
      </rPr>
      <t xml:space="preserve"> misaligned with policy and effective delivery</t>
    </r>
  </si>
  <si>
    <t>Resource mobilization may be regressive and inequitably administered.  Resource allocation does not take existing inequities in socioeconomic indicators into account (e.g. geographic, income, gender, etc.) or in access to benefits and services, limiting the effectiveness of public spending in addressing such inequities and broader policy objectives.</t>
  </si>
  <si>
    <t>Resource allocation patterns (e.g. by region or sector) crossed with other disaggregated data on poverty, inequality, sector outcomes by region, etc.) (BOOST?)</t>
  </si>
  <si>
    <t>6.1 Ad hoc, political and fragmented funding channels contribute to ineffective and inefficient delivery</t>
  </si>
  <si>
    <t>Governments and public sector entities often rely on multiple and disconnected funding mechanisms to deploy financial resources and reach intended beneficiaries (these can be related to political interference, donor procedures, etc.), generating uncertainty and inefficiency.</t>
  </si>
  <si>
    <t>Public Expenditure Tracking Surceys (PETS)
Existence of parallel funding mechanisms in specific sectors</t>
  </si>
  <si>
    <t xml:space="preserve">6.2 Intergovernmental financing systems for delivery are often incoherent, bypassed and uncoordinated between levels of government. </t>
  </si>
  <si>
    <t xml:space="preserve">Intrgovernmental revenue assignments and intergovernmental transfer system are often ad hoc,  have conflicting policy objectives, not based on clear functional assigments and associated expenditure and infrastructure needs, undermining the effective mobilization, deployment and use of public resources across levels of government and sectors. </t>
  </si>
  <si>
    <t>6.3 Shortfalls, delays and diversion of funding for delivery</t>
  </si>
  <si>
    <t>Weak, ad hoc systems, bureaucratic procedures and political interference cause shortfalls in financial resources, their diversion from their intended purpose and delays in them getting to delivery units when needed .</t>
  </si>
  <si>
    <t>PETS 
Measurements of delays in funds transfers, etc.
Any relevant PEFA indicators? (PI-21.3)
Any relevant BOOST indicators?</t>
  </si>
  <si>
    <r>
      <t xml:space="preserve">Performance &amp; Accountability in Delivery
</t>
    </r>
    <r>
      <rPr>
        <sz val="12"/>
        <color rgb="FF000000"/>
        <rFont val="Calibri"/>
        <family val="2"/>
      </rPr>
      <t>The good functioning of PFM systems, in tandem with other public sector systems and institutions, helps determine how effectively public resources will be used in achieving public sector results. A focus on performance and quality delivery is based on adequate accountability mechanisms and integrated information systems that support decision-making</t>
    </r>
  </si>
  <si>
    <t xml:space="preserve">7. Inefficient deployment and management of resources and inputs for delivery </t>
  </si>
  <si>
    <t>7.1 Resource deployment is inefficient overall due to high overheads and unbalanced allocations to delivery inputs and sectoral programs.</t>
  </si>
  <si>
    <t xml:space="preserve">Limited understanding of where major inefficiencies lie in different sectors and/or the causes of those inefficiencies.  There may be high administrative overheads.  There may be investment in high cost interventions relative to cost effective ones.  Wages make up a large and increasing share of sector expenditure, squeezing out non-wage spending critial for regulation and delviery.  Large subsides for SOEs absorb increasing shares of spending.  </t>
  </si>
  <si>
    <t>PEFA (indicators 11 (Public investment) and/or 12 (Asset management))</t>
  </si>
  <si>
    <t>7.2 Inefficient public investment decisions and management of assets</t>
  </si>
  <si>
    <t>There may a lack of complete, consistent, and up to date information on the status of ongoing, proposed, and stalled/delayed public investment projects.  New projects may be included in the budget before existing projects are completed as political incentives push towards announcements of new projects.  There may be a proliferation of small and non-strategic projects means that the overall capital portfolio is not aligned with national development priorities. Multi-year commitments to capital spending are not factored into the medium-term budget plan, leading to under-budgeting for capital.  Public sector assets may not be properly maintained with new investment prioritized over maintaining existing ones.</t>
  </si>
  <si>
    <t>7.3 High cost, inefficient deployment, poor motivation and inadequate skills of frontline and other staff</t>
  </si>
  <si>
    <t>Human resources may be of relatively high cost, as their may be a public sector wage premium.  Human resources may not be deployed according to need and skills, and are often not qualified enough and not provided with adequate incentives (pay, working conditions, support, training, etc.) and motivated to do their job effectively.</t>
  </si>
  <si>
    <t>Crossing of sectoral HRM data, financial information and other management information systems (e.g. in education, % of teachers with necessary qualifications, average class size vs learning outcomes by region, etc.)
Payroll info on timely payment of salaries to frontline service delivery staff</t>
  </si>
  <si>
    <t>7.4 Limited availability of operational funding to regulate and run services and maintain infrastructure and other assets.</t>
  </si>
  <si>
    <t>Payment of wages and salaries eats up a large share of public resources, constraining spending on goods &amp; services and other important operational expenses, and on capital expenditure, rendering government interventions less effective.</t>
  </si>
  <si>
    <t>Spending on wages and salaries as % of total spending, by sector (BOOST)
Recurrent spending vs capital spending, by sector (BOOST)
Current budget balance or primary current budget balance (BOOST)
Any other PFR-related indicators?</t>
  </si>
  <si>
    <t>7.5 Delays in and inflated cost of procurement for infrastructure and operational inputs</t>
  </si>
  <si>
    <t>Procurement systems are weak, generating unnecessary delays and inflated costs in the acquisition of important operational inputs and infrastructure projects. This results in low quality and costly infrastructure, lack of inputs necessary for service delivery, etc.</t>
  </si>
  <si>
    <t>Assessments of procurement systems (PEFA and PIMA?)
MAPS assessments (III.9, and less important but relevant II.5, II.6, II.7, II.8)</t>
  </si>
  <si>
    <t>7.6 The arrangements for managing funds at different levels up to the point of delivery are poorly designed and incoherent, especially in in multi-level government contexts.</t>
  </si>
  <si>
    <t>The processes for managing and monitoring resources at central, subnational and frontline providers is often misaligned with multi level governance arrangements and available capacity. There is often a lack of coordination between sub-national and national budgeting processes results in incoherence in the deployment and use of resources as a whole. They may be similarly weak management and poor coordination across different types of organization - public sector, SOEs and the private sector.  These challenges may be different for different types of input - human resources, operational inputs and infrastructure.</t>
  </si>
  <si>
    <t>PEFA (PI-7.1, PI-7.2)</t>
  </si>
  <si>
    <t>Public Sector Systems and Institutions</t>
  </si>
  <si>
    <t>8. Management, oversight, transparency and accountability systems and institutions fail to encourage and enable performance as intended</t>
  </si>
  <si>
    <t>8.1 The design of regulatory, incentive, control and management systems limits autonomy and discourages performance</t>
  </si>
  <si>
    <t xml:space="preserve">Strict  controls may limit flexibility to manage resources in line with needs, leading to ineffective spending and undermining performance. Taxation, tax expenditure, financing, regulation and  incentive schemes are not focused on, inadequate and inconsistent with influencing  behaviour, investement  and action.  </t>
  </si>
  <si>
    <t>WGI- Regulatory Quality</t>
  </si>
  <si>
    <t>8.2 Non-compliance and weak enforcement of regulatory, PFM and public sector management systems undermines performance and accountability</t>
  </si>
  <si>
    <t>Public sector systems, processes and procedures are not consistently utilized and followed by civil servants due to a lack of adequate training, and weak incentives and enforcement, opening the way for inefficiencies, resource misuse and corrupt behavior.</t>
  </si>
  <si>
    <t xml:space="preserve">CPIA scores?
</t>
  </si>
  <si>
    <t>8.3 Weaknesses in fiscal governance undermine public and private investment and action</t>
  </si>
  <si>
    <t>Weaknesses in macro-fiscal discipline, procuremnent, financial reporting and/or audit undermines government's ability to implement public sector programs and mobilise private finance for public and private investment and action action.</t>
  </si>
  <si>
    <t>Deviations (actual vs budget) in budget balance? (BOOST)</t>
  </si>
  <si>
    <t>8.4 Inadequate transparency, oversight, monitoring, evaluation and accountability for resources and performance</t>
  </si>
  <si>
    <t xml:space="preserve">Monitoring and evaluation systems are not well developed or functioning effectively. The internal audit, external audit and parliamentary oversight functions do not provide adequate accountability for both resource use and performance.  There maybe inadequate transparency and/or  involvement of beneficiaries in the monitoring and use of funds and service delivery
</t>
  </si>
  <si>
    <t xml:space="preserve">PEFA indicators on quality and impact of internal audit, external audit, parliamentary oversight 
OBS indicators on fiscal oversight </t>
  </si>
  <si>
    <t>9. Inadequate availability and use of fragmented sector and financial data in decision making for policy, delivery and accountability.</t>
  </si>
  <si>
    <t>9.1 Available financial and non-financial information not used for decision making, management and accountability</t>
  </si>
  <si>
    <t>Governments collect lots of information, both financial and non-financial, across many sectors and policy areas. Such information, however, is not effectively used and analyzed to support decisionmaking processes, limiting the evidence on which policy formulation and implementation are based.</t>
  </si>
  <si>
    <t>PEFA (PI-8.2, PI-8.3, PI-8.4, for investment PI-11.1, PI-11.2)</t>
  </si>
  <si>
    <t>9.2 Data systems have gaps and poor quality information, are fragmented and do not interoperate</t>
  </si>
  <si>
    <t>Different types of data systems for managing different kinds of government information (central, local, sectoral, financial, performance, etc.) have gaps and poor quality information, are set up and managed in an uncoordinated way, and are not integrated in ways that could support better informed decision making.</t>
  </si>
  <si>
    <t>Any existing GovTech indicators? GTMI?</t>
  </si>
  <si>
    <t>Other Definitions</t>
  </si>
  <si>
    <t>Term</t>
  </si>
  <si>
    <t>Description</t>
  </si>
  <si>
    <t>Development Outcomes</t>
  </si>
  <si>
    <t>Public Sector Results</t>
  </si>
  <si>
    <t>Feasible Policy</t>
  </si>
  <si>
    <t>Delivery Capability</t>
  </si>
  <si>
    <t>Public Sector Challenges</t>
  </si>
  <si>
    <t>— The third table table draws on the overall RPF framework and on preliminary findings from the five sector outcome papers (health, education, economic resilience, gender and climate). 
— The first table sets out the definitions of terms in the outcome led framework relating to outcomes and the public sector.
— The second table sets out different roles of public finance identifed and correspond to a revised and updated version of the three "budgetary outcomes" presented in Campos and Pradhan (1996) and in the WB PEM Handbook (1998), which in turn overlap with some of the main elements or realms of the RPF framework (public policy, fiscal policy and PFM, and public sector systems and institutions).
— It identifies 9 broad groups of bottlenecks  that relate to the various roles that public finance plays in the pursuit of development outcomes. 
— For each PF challenge, the table identifies one or more specific public finance bottleneck that governments face in the pursuit of the various development outcomes that the sector papers look at. 
— The outcomes,  roles, challenges and bottlenecks tabs elaborate how these manifest in different sectors and provides sectoral and country examples.</t>
  </si>
  <si>
    <t>Outcomes, Results, Policy, Delivery and Challenges</t>
  </si>
  <si>
    <t xml:space="preserve">Development outcomes are measures of how well countries are progressing against their own (and global) development goals. </t>
  </si>
  <si>
    <t>Pubilc Finance Bottleneck</t>
  </si>
  <si>
    <t>Finance ministries and other central agencies play a fundamental coordinating role when it comes to policy decisions, functioning as a clearing house for various policy proposals across sector institutions, promoting dialogue and consultation around policy trade-offs, and ultimately linking policy objectives with resorce availablility, mobilization and use.  This helps build commitment to policy decisions that are made and improves their feasibiltiy and the likelihood that they will be implemented.</t>
  </si>
  <si>
    <t xml:space="preserve">Governments need to raise and allocate and influence private financial resources in support of the pursuit of their policy objectives, ensuring both that sufficient resources are available when needed, and that these are allocated according to needs and cost-effectiveness criteria. How governments do this has important distributional impacts and can influence public and private behaviour towards achievement of objectives.  </t>
  </si>
  <si>
    <t>Public Finance Bottlenecks</t>
  </si>
  <si>
    <t>2.1 Fragmented, over-ambitious, inconsistent, uncoordinated and poorly prioritized policies across or within sectors</t>
  </si>
  <si>
    <t>Different government policies, both sectoral and cross-sectoral, tend to be over-ambitious, proliferate and are designed without taking into account the constraints and/or complementarities that exist due to other government policies and commitments. This can be due to bureaucratic silos, management incentives or external donor support, and results in policies that are inconsistent and difficult to implement, or in unnecessary duplications and overlaps.</t>
  </si>
  <si>
    <t>Source</t>
  </si>
  <si>
    <t>A resilient economy (in terms of growth in economic output per capita) over the course of the business cycle, which sustains growth whilst reducing vulnerability to shocks.</t>
  </si>
  <si>
    <t>RPF Outcome Study</t>
  </si>
  <si>
    <t>Universal quality basic education for all, which provides functional numeracy and literacy of all learners as measured by learning assessments.</t>
  </si>
  <si>
    <t xml:space="preserve">To be able to deliver quality education, the teaching workforce needs to be adequate in number and skills, equitably deployed in line with established norms and motivated.  This involves deploying the existing workforce efficiently, growing it over time and concurrently investing in training focused on appropriate pedagogical practices and subject expertise based on curricula consistent with their ability to impart knowledge.  Investing in training related to professionalism and tackling the beliefs of teachers and other actors is also critical. Timely provision of adequate teaching materials based on needs is fundamental.  Creating safe, well-equipped classrooms with appropriate technology enhances the learning environment.  Promoting equity in education involves consistent targeted investment in addressing disparities in access and quality in line with policy objectives over the medium and long term.  Different measures may respond to different conceptions of equity.  </t>
  </si>
  <si>
    <t>Public Sector Challenge</t>
  </si>
  <si>
    <t>Incentives for fiscal policy action are usually pro-cyclical.</t>
  </si>
  <si>
    <t>Poor quality teaching means students fail to learn.</t>
  </si>
  <si>
    <t>Uncoordinated policies do not resolve trade-offs, including between de-carbonization and affordability.</t>
  </si>
  <si>
    <t>Outcome Role</t>
  </si>
  <si>
    <t>Facilitating interagency collaboration, coordination and commitment for GBV policies</t>
  </si>
  <si>
    <t>Supporting providing and disseminating a comprehensive understanding of the current situation regarding GBV</t>
  </si>
  <si>
    <t>Matching the costs and required capacity of GBV with existing constraints</t>
  </si>
  <si>
    <t>Factoring in the costs of GBV policies into sustainable macro-fiscal policies and securing fiscal space</t>
  </si>
  <si>
    <t>Mobilizing funding for allocation to GBV policies</t>
  </si>
  <si>
    <t>A budgeting framework that facilitates allocating resources for specific gender policies</t>
  </si>
  <si>
    <t>Reliable distribution and execution of the allocated resources for GBV policies</t>
  </si>
  <si>
    <t>Clarifying and strengthening resource management and accountability for performance in implementing GBV policies across organizations</t>
  </si>
  <si>
    <t>Facilitating a flow of combined financial and non-financial information across government levels and agencies which informs effective  decision making and accountability</t>
  </si>
  <si>
    <t>Renewable Energy Transition</t>
  </si>
  <si>
    <t xml:space="preserve">Reconciling the cost of the energy transition with competing sectoral, climate and other policy priorities. </t>
  </si>
  <si>
    <t>Brokering collective agreement and building commitment to implementation.</t>
  </si>
  <si>
    <t>Factoring the costs of the energy transition into sustainable macroeconomic and fiscal policies alongside competing priorities</t>
  </si>
  <si>
    <t>Using a combination of regulatory, tax, subsidy, expenditure policies that ensure financial viability in the achievement of the energy sector objectives.</t>
  </si>
  <si>
    <t>Mobilising adequate resources and encouraging sound investment choices;</t>
  </si>
  <si>
    <t>Translating feasible strategies and plans for the transition into financing measures and expenditure allocations'</t>
  </si>
  <si>
    <t>Making resources available on time to finance regulators and utilities through subsidies, budget-financed investments and public sector power bills.</t>
  </si>
  <si>
    <t>Providing incentives and accountability in delivering the transition though coordinated financial monitoring, audit and energy regulatory oversight of utilities.</t>
  </si>
  <si>
    <t>Coordinating action by fiscal and monetary authorities, actively facilitated by the finance ministry,</t>
  </si>
  <si>
    <t>Understanding and communicating the fiscal position</t>
  </si>
  <si>
    <t>Adopting a medium-term perspective in revenue, borrowing and expenditure decision-making to effectively put in place fiscal policy that builds and preserves fiscal space over the business cycle.</t>
  </si>
  <si>
    <t xml:space="preserve">Basing policies on credible projections for both revenue and borrowing that are accurate, unbiased and based on sound assumptions, factor in fiscal risks and are consistent with the available capability for implementation.  </t>
  </si>
  <si>
    <t xml:space="preserve">Smoothing resource, investment and spending volatility over the course of the business cycle. </t>
  </si>
  <si>
    <t xml:space="preserve">Allocating resources effectively to support creation of fiscal space for priority spending and investment. </t>
  </si>
  <si>
    <t xml:space="preserve">Bringing evidence into both fiscal policy and operational decisions, promoting well-informed fiscal policy and resource allocation and management demands. </t>
  </si>
  <si>
    <t xml:space="preserve">Fostering the necessary commitment to UHC through leveraging the convening power of the health and finance ministries via the policy, planning and budgeting cycle.  </t>
  </si>
  <si>
    <t>Mobilizing adequate resources for progress towards UHC, whether these resources come from increasing tax revenues, reallocations from other sectors, borrowing, health insurance schemes or other types of cost sharing for health users.</t>
  </si>
  <si>
    <t>Allocation and distribution of health sector resources towards the equitable achievement of UHC, informed by accurate costing of a defined, affordable and cost-effective package of health services in a way that can be easily translated into the budgetary framework.</t>
  </si>
  <si>
    <t>Budget formulation, execution, accounting and audit systems enable performance and strengthen accountability in UHC delivery.</t>
  </si>
  <si>
    <t>Health sector systems, when they interact with PFM systems, inform and provide incentives for effective resource allocation and use towards UHC.</t>
  </si>
  <si>
    <t>The public policy, planning and budget cycle helps reconcile education goals with fiscal reality through prioritization of affordable, costed education policies and associated choices of modalities for service delivery</t>
  </si>
  <si>
    <t>Build consensus on access and quality objectives, service delivery norms, and delivery modalities amongst different education sectors stakeholders via the policy, planning and budgeting cycle.</t>
  </si>
  <si>
    <t>Factoring in the costs of basic education delivery, into sustainable macroeconomic and fiscal policies and plans alongside other competing policy priorities over the short, medium and long term.</t>
  </si>
  <si>
    <t xml:space="preserve">Distributes resources across the education system, supported by costing over time in a way that can be easily translated into the budgetary framework.  This ensures that there are adequate inputs – teachers, learning materials and school infrastructure that these resources are distributed equitably across regions and groups </t>
  </si>
  <si>
    <t>Public Finance ensures that investments are made in the key drivers of quality from teacher training and oversight and curriculum development.</t>
  </si>
  <si>
    <t>Education information systems inform effective resource allocation and use, for example deployment of teachers and operational resources to schools and facilities. School level structures such as school management committees help ensure local level accountability for resource allocation and use.</t>
  </si>
  <si>
    <t>Primary PFM Challenge</t>
  </si>
  <si>
    <t>Outcome Bottleneck</t>
  </si>
  <si>
    <t>There may be a lack of alignment and commitment among key stakeholders, including government bodies, educational institutions, teacher organizations and funders, toward implementing and adhering to education policies.</t>
  </si>
  <si>
    <t xml:space="preserve">Education policies may be fragmented and lack coherence or clear prioritization within and across levels of education, government and departments, leading to inefficient and inconsistent implementation. </t>
  </si>
  <si>
    <t xml:space="preserve">Education policies announced relating to access and quality (e.g. staffing, pedagogical and infrastructure norms) are often  unaffordable given costs and fiscal reality, leading to resource gaps, service rationing, and/or overburdened infrastructure.   </t>
  </si>
  <si>
    <t xml:space="preserve">Public policy goals are unaffordable given the preference for direct delivery of education which maybe unaffordable given the fiscal reality and crowds out alternative delivery models and investment in quality.  </t>
  </si>
  <si>
    <t>Policies relating to expanding access or modernizing pedagological practicies do not take into account the availability and skills of teachers and school inrastructure which adversely affects quality.</t>
  </si>
  <si>
    <t>4.2 Biased or inaccurate fiscal forecasting and unpredictable, volatile resource flows result in budgets being under-funded</t>
  </si>
  <si>
    <t>Biased or inaccurate fiscal forecasting and unpredictable, volatile resource flows result in education budgets being under-funded.</t>
  </si>
  <si>
    <t xml:space="preserve">The fiscal viability of the public education system and institutions is undermined by chosen delivery models, increasing demand for education, the increasing costs of the teacher workforces, and the lack of operational funding to run schools and maintain infrastructure. </t>
  </si>
  <si>
    <t>5. Inadequate and inequitable resources mobilized and deployed for policy implementation</t>
  </si>
  <si>
    <t xml:space="preserve">Budget misallocation across education levels, with excessive focus on higher education at the expense of primary levels </t>
  </si>
  <si>
    <t>5.4 Unequal and inequitable resource mobilization and distribution, misaligned with policy and effective delivery</t>
  </si>
  <si>
    <t>6.1 Ad hoc, political and fragmented funding channels contributes to ineffective and inefficient delivery</t>
  </si>
  <si>
    <t xml:space="preserve">Resources for teachers schools, subnational governments and other education organizations are unpredictable, delayed or diverted from agreed priorities, disrupting service delivery.  </t>
  </si>
  <si>
    <t>Investment in school infrastructure is often fragmented, not based on needs and may reinforce existing inequities in education access.</t>
  </si>
  <si>
    <t xml:space="preserve">Prolonged procurement cycles delay and inflate costs in  instructural materials, other operational inputs and infrastructure, which may not be based on school needs. </t>
  </si>
  <si>
    <t xml:space="preserve">Limited reporting, monitoring and accountability systems at the school level, and oversight of schools by communities and higher levels of government reduces scope for corrective action and increases likelihood for mismanagement of resources. </t>
  </si>
  <si>
    <t>Decision-making processes are often hampered by the lack of accurate, timely, and comprehensive data. Incomplete data collection, fragmented data systems which do not interoperate, and inadequate data utilization can lead to poorly informed policies, strategies and resource allocation and use.</t>
  </si>
  <si>
    <t>The commitment to implement a fiscal policy that builds and preserves fiscal space over the business cycle is not credible given short term political incentives and voter preferences and a lack of a robust regulatory and institutional framework.</t>
  </si>
  <si>
    <t>The needed fiscal policy to build and preserve fiscal spaced lacks a broad-based support, where costs and benefits of the policy are not well communicated, understood and accepted by stakeholders, eroding its effective implementation and results.</t>
  </si>
  <si>
    <t xml:space="preserve">Overall revenue policies cannot sustainably generate sufficient resources to achieve public sector policy goals over the business cycle, given a lack of prioritization, the reliance on public sector provision to achieve them and the small size of and informality in the economy. </t>
  </si>
  <si>
    <t>Aggregate macro-fiscal and budgetary policy decisions are made with a short-term perspective, lacking a medium-term perspective on resource availability and policy implications, and deployment is not effectively embedded in decision-making processes</t>
  </si>
  <si>
    <t>Strong political short-term incentives contributing to pro-cyclical spending, using windfall revenues to fund current spending and recurrent commitments (or tax cuts), instead of buffering future fiscal space, which may force deeper cuts during downturns.</t>
  </si>
  <si>
    <t>Revenue forecasts and targets are often biased and/or inaccurate due to a combination of weak technical capacity, data gaps, short-term incentives and a lack of independence.</t>
  </si>
  <si>
    <t>Governments borrowing more during economic expansions and suffering from debt distress during downturns amplifies the business cycle (pro-cyclical policy), as a result of a non-strategic, ad hoc and supply driven debt management, and a flawed design of fiscal rules, not accompanied by robust analytics (e.g., debt sustainability analysis).</t>
  </si>
  <si>
    <t xml:space="preserve">High and pre-existing debt burdens contribute to paralysis of policy action, as budget rigidity limits options for consolidation and discouraging the development and implementation of measures for fiscal adjustment.  </t>
  </si>
  <si>
    <t>Available access to debt markets is not strategically used to finance investment in economically productive infrastructure or service delivery, whilst other available sources of financing are limited and costly.</t>
  </si>
  <si>
    <t xml:space="preserve">Resource deployment may not be consistent with economic resilience, with low levels of public investment, particularly during times of economic contraction, and expenditure patterns prioritizing and responding to short term pressures (e.g. wages and consumption).  </t>
  </si>
  <si>
    <t>High debt servicing costs, combined with increasing wage bills caused by pro-cyclical fiscal management decisions, undermines the overall efficiency of public expenditure.</t>
  </si>
  <si>
    <t>Inefficiencies in resource allocation persist, even with efforts to curb inefficient expenditures, due to weak incentives for spending agencies to cooperate, and the existence of information asymmetries and capacity constraints.</t>
  </si>
  <si>
    <t xml:space="preserve">There is weak monitoring of major sources of fiscal risks and contingent liabilities (e.g., subnational governments, state owned enterprises and other) and enforcement of regulation is weak. </t>
  </si>
  <si>
    <t>There is a lack of transparency on fiscal policy and performance, and independent fiscal oversight institutions, legislature and civil society (e.g. fiscal think tanks) are unable to hold the executive to account for, influence or encourage policy and action that is consistent with economic resilience, and public discourse is limited.</t>
  </si>
  <si>
    <t>Economic, monetary, fiscal and sector information is fragmented, is irregular, limited, inaccurate or missing and data sharing and coordination across the monetary and fiscal organizations is weak, with high time and administrative burdens for its collection and sharing.</t>
  </si>
  <si>
    <t>Community based organizations, which are often best place to provided services and other frontline organizations are not involved in policy and strategy development.</t>
  </si>
  <si>
    <t>Policies aimed at addressing GBV often suffer from a lack of coherence and are fragmented across different sectors, organizations and levels of government. This results in disjointed efforts that fail to provide a unified, prioritized and costed approach to preventing and addressing GBV, making it difficult to achieve comprehensive and effective results.</t>
  </si>
  <si>
    <t>Combined GBV policy goals are unaffordable - multiple ambitious policies, plans and associated delivery models are often not prioritized or properly costed and consequently not reconciled with the limited available fiscal space.</t>
  </si>
  <si>
    <t xml:space="preserve">Policies and plans typically do not take into account the limited public sector capacity to plan and deliver interventions (in line ministries, subnational government and/or frontline providers)  or take advantage of the available capacity of community based organizations at local levels both in the central agencies.  </t>
  </si>
  <si>
    <t>Pre-existing spending commitments on areas such as personnel, combined with unsustainable debt burdens contribute to  limited fiscal space available for GBV interventions  which means that GBV interventions are delayed or cannot be sustained over time.</t>
  </si>
  <si>
    <t xml:space="preserve">Budget allocations to GBV are incoherent and not linked to policy priorities, as budgets requests are prepared and negotiated agency-by- agency, rather across GBV services as a whole, and are often underfunded as a result.  </t>
  </si>
  <si>
    <t xml:space="preserve">Resource deployment is not informed by evidence generated on program effectiveness or economic returns and is not linked to costing, which is often partial or poor quality. </t>
  </si>
  <si>
    <t xml:space="preserve">Financing of GBV interventions is often fragmented because it is budgeted for across multiple agencies, exacerbated by initiatives financed external actors. </t>
  </si>
  <si>
    <t xml:space="preserve">There are shortfalls, delays and diversion of government funding for GBV interventions, including for facilities and contractors providing GBV services. </t>
  </si>
  <si>
    <t xml:space="preserve">Resource allocation is inefficient due unbalanced allocations and gaps in financing key programs (e.g. prevention and norms change) and inputs (e.g, specialized GBV resources for police, justice, healthcare, labor) which undermines the completeness and quality of the package of GBV interventions. </t>
  </si>
  <si>
    <t xml:space="preserve">There are often obstacles and delays in the procurement and engagement of subcontractors to provided GBV services - in particular NGOs and community base organizations and immediate response services  - due to procedures which are not fit for purpose and inadequate capacity, especially at lower levels of government. </t>
  </si>
  <si>
    <t>The arrangements for financing and the overseeing the use of funds by governmental and non-governmental organizations in the delivery of GBV preventative and response interventions incoherent and inadequate especially in multi-level governance contexts.</t>
  </si>
  <si>
    <t>Budget formulation and decisions making processes and systems do not support the prioritization off multi-sector and agency interventions related to Gender policy objectives, including GBV.   Budget  proposals are prepare and decisions are typically made on an agency by agency basis which fragments decisions related to GBV.</t>
  </si>
  <si>
    <t>The best placed local entities to deliver GBV interventions  (e.g. NGOs and community based organizations) are often discouraged from participating in and performing in the delivery of GBV interventions as a result of procurement procedures, unreliable funding and contracting and oversight arrangements.</t>
  </si>
  <si>
    <t xml:space="preserve">Poor monitoring and evaluation systems, including inaccurate GBV spending reporting and ex-post reviews, exacerbated by a weak linkage with the budget decision-making and reporting procedures, hinders the accountability of the resource used for GBV, with risks of discouraging higher performance, and limiting making the case for a broader support and prioritization in decision-making processes. </t>
  </si>
  <si>
    <t xml:space="preserve">Available information on financing, performance and the effectiveness and impact of GBV  interventions is not used for decision making and accountability.  </t>
  </si>
  <si>
    <t xml:space="preserve">Given the decentralized and atomized nature of GBV policies, data sharing between institutions may be weak and information flows may be subject to delays, especially in contexts with low digitalization of and low standardization and connectivity between multiple flows of information, compromising an appropriate and predictable allocation and deployment of resources, and so and effective GBV service delivery. </t>
  </si>
  <si>
    <t>Despite committing to UHC as a development priority, governments in practice may be an unwilling or unable to make necessary shifts in resources towards primary care from higher levels of care and/or mobilize resources from elsewhere.</t>
  </si>
  <si>
    <t>Commitment is undermined by limited stakeholder involvement in the health policy prioritization process -  communities and ministries of finance are often not involved.  This is exacerbated by weak demand from communities and trust in governments abitliy to deliver.</t>
  </si>
  <si>
    <t>The health priorities, plans and benefit packages associated with the policy goal of UHC are often unaffordable given their costs and are developed in the absence of a realistic projection of medium or long term resource availability.</t>
  </si>
  <si>
    <t>Public policy goals are unaffordable given the preference for direct delivery of health service provision, whilst the viability of alternative delivery models such as health insurance schemes is undermined by large informal sectors.</t>
  </si>
  <si>
    <t>Biased or inaccurate fiscal forecasting and unpredictable, volatile resource flows result in budgets being under-funded for health service provision.</t>
  </si>
  <si>
    <t>Health insurance funds also often operate running deficits that can undermine the long-term sustainability of health policies.</t>
  </si>
  <si>
    <t xml:space="preserve">Contribution based health insurance schemes and earmarked health taxes are often ineffective raising revenues for health service delivery  in countries with large informal sectors.  Earmarked taxes may also be resisted by finance ministries. </t>
  </si>
  <si>
    <t>Resource deployment is often incremental, with health sector priority-setting processes disconnected from budgetary processes.</t>
  </si>
  <si>
    <t>Resource deployment is based on historic norms, rather than responding to the utilization of services, the health needs of the population and the costs of delivering health policies.  Costing of policy may be absent, unrealistic or of poorly quality.</t>
  </si>
  <si>
    <t xml:space="preserve">Resources allocated for health are not equitably distributed and consequently failing to address disparities in health quality and access across socioeconomic and other groups and geographic jurisdictions. </t>
  </si>
  <si>
    <t>A multiplicity of fragmented and often ad hoc funding channels for service provision which may be political and/or externally financed impose administrative burdens and reduce efficiency.</t>
  </si>
  <si>
    <t xml:space="preserve">Intergovernmental financing systems are often fragmented, uncoordinated between levels of government and the design  intergovernmental fiscal transfer design is weak and  lack objective allocation principles.  Providers face uncertainty, administrative burdens and reduced efficiency due to these fragmented and poorly coordinated funding mechanisms. </t>
  </si>
  <si>
    <t xml:space="preserve">An absence of timely information, shortfalls, diversion and delays in release of funds compromises providers ability to deliver mandated services.
</t>
  </si>
  <si>
    <t>Limited use of evidence of cost-effectiveness in health packages and associated allocation decisions, with skewed allocations favoring secondary or tertiary care and limited allocations to preventative care within PHC.</t>
  </si>
  <si>
    <t>Investments in health infrastructure may be driven by existing facilities and political factors and not based on service norms, with little interest in maintaining existing assets.</t>
  </si>
  <si>
    <t>Inefficient deployment of staff  as a result of absent or insufficient data and politicisation of deployment, exacerbated human resource and financial management practices reinforce rigidities in staff management</t>
  </si>
  <si>
    <t>Insufficient resources for operational expenditures like medical supplies and maintenance of health infrastructure, as well as oversight of health service delivery.</t>
  </si>
  <si>
    <t>Procurement procedures for pharmaceuticals and medical supplies lead to higher costs and delays as multi-year contracts, and/or pooled procurement mechanisms may not be allowed, and facilities may not have the financial autonomies to procure supplies.</t>
  </si>
  <si>
    <t>The arrangements for managing resources by frontline healthcare providers are often weak and the lack of coordination between sub-national and national budgeting processes results in incoherence in the deployment and use of resources as a whole.</t>
  </si>
  <si>
    <t>Strict expenditure controls may limit flexibility to reallocate funds within the year, and health providers often have limited autonomy to raise and manage funds, leading to ineffective, or under spending.   PFM systems may impede output-based payment mechanisms to incentivise improvements in performance.</t>
  </si>
  <si>
    <t>There is weak compliance and enforcement of budgeting spending and reporting requirements which is exacerbated by the multiplicity of  rules and multiple, conflicting lines of accountability associated with fragmented funding sources.</t>
  </si>
  <si>
    <t>Health actors have struggled to use available financial and health information in decision making, management and accountability.</t>
  </si>
  <si>
    <t>Financial and health management information systems often do not interoperate and there are gaps in data, meaning decision makers lack useful, integrated and timely data on health spending and service delivery performance.</t>
  </si>
  <si>
    <t>1. Insufficient Stakeholder Commitment to drive Policy Action</t>
  </si>
  <si>
    <t>Renewable energy policies are fragmented, inconsistent and uncoordinated, being developed independently or without integration with broader development goals.</t>
  </si>
  <si>
    <t>3.1 Public policy goals and delivery models are unaffordable given current and future costs and fiscal reality.</t>
  </si>
  <si>
    <t xml:space="preserve">Transition policy goals often remain unaffordable and costs are not reconciled with resource availability </t>
  </si>
  <si>
    <t xml:space="preserve">The organizational capability of government, regulators and energy utilities to finance, select and manage renewable investments and to leverage increased role of the private sector is lacking. </t>
  </si>
  <si>
    <t>Short term biases in macroeconomic planning means they cannot handle the long-term fiscal implications of renewable energy policies</t>
  </si>
  <si>
    <t>5.2 Limited or costly financing mobilized for investment and service delivery</t>
  </si>
  <si>
    <t>Fiscal constraints limit the scope for direct public investment, leaving dependence on tax incentives and concessional finance.</t>
  </si>
  <si>
    <t>Utility resources are unreliable due to delays in tax incentives, tariff measures or subsidies, or by a failure of  government organizations to pay their power bills on time or in full.</t>
  </si>
  <si>
    <t xml:space="preserve">7. Inefficient deployment and management of resources and inputs </t>
  </si>
  <si>
    <t>Resource mobilization and deploment is not informed by systems which model supply, demand, and costs, undermining effective decision-making.</t>
  </si>
  <si>
    <t>8.1 Non-compliance and weak enforcement of regulatory, PFM and public sector management systems undermines performance and accountability</t>
  </si>
  <si>
    <t>Inefficient or delayed regulatory processes, including tariff setting and oversight lead to inefficient resource use.</t>
  </si>
  <si>
    <t>Weak reporting and accountability frameworks for use of resources and performance in generation and the transition.</t>
  </si>
  <si>
    <t>Weaknesses in fiscal governance overall and by utilities undermines performance and deters the mobilization of external finance.</t>
  </si>
  <si>
    <t xml:space="preserve">Poor information sharing between regulators, utilities, and the finance ministry undermines  incentives, performance and policy design  </t>
  </si>
  <si>
    <t>Description of  Examples where Roles have been played</t>
  </si>
  <si>
    <t>Country</t>
  </si>
  <si>
    <t>Year</t>
  </si>
  <si>
    <t>References</t>
  </si>
  <si>
    <t xml:space="preserve">in 2019 the Peruvian Ministry of Finance led the establishment of a multi-sector working group working on the reduction of violence against women, a group chaired by the Vice Minister of Finance, with the Budget Directorate serving as technical secretary. This was in response to previous challenges faced around coordinating action led by the Ministry of Women and Vulnerable Populations. </t>
  </si>
  <si>
    <t>Peru</t>
  </si>
  <si>
    <t>Government of Peru, 2019. Results-oriented Budget Program for the Reduction of Violence against Women Multisector Working Group. RM N° 162-2019-EF/10. Lima: Government of Peru. https://www.mef.gob.pe/contenidos/presu_publ/anexos/anexo_RS024_2019EF.pdf</t>
  </si>
  <si>
    <t xml:space="preserve">For example, Canada’s  Gender Results Framework (GRF) is a data-driven framework used by the Government of Canada to track progress on gender equality across multiple dimensions (including GBV). Introduced with the 2018 budget, it is used to ensure federal budget is advancing gender equality, and as a basis to track departmental progress and to publish information on gender equality performance. </t>
  </si>
  <si>
    <t>Canada</t>
  </si>
  <si>
    <t xml:space="preserve">Government of Canada, 2021. Gender Results Framework. https://www.canada.ca/en/women-gender-equality/gender-equality/gender-results-framework.html?utm_campaign=not-applicable&amp;utm_medium=vanity-url&amp;utm_source=canada-ca_gender-results-framework </t>
  </si>
  <si>
    <t xml:space="preserve">In Australia, GBV funding is allocated on a per capita basis resulting in higher levels of services in urban areas vs rural areas (despite some evidence on higher prevalence rates) 
</t>
  </si>
  <si>
    <t>Australia</t>
  </si>
  <si>
    <t xml:space="preserve">Australian Broadcasting Corporation, 2024.	Domestic violence services plead for more help to save rural women from being killed, abused. Published Friday 28 June 2024. https://www.abc.net.au/news/2024-06-29/domestic-violence-services-plea-for-funding-for-rural-areas/103991146 
Campo, M. and Tayton, S. 2015. Domestic and family violence in regional, rural and remote communities An overview of key issues. Australian Institute of Family Studies. https://aifs.gov.au/sites/default/files/publication-documents/cfca-resource-dv-regional_0.pdf
</t>
  </si>
  <si>
    <t>In Peru 20% of GBV-related spending is for prevention, compared to 68% for response (the balance going to management, coordination, and institutional strengthening).</t>
  </si>
  <si>
    <t>World Bank, 2019. 10 Mensajes sobre la violencia contra las mujeres en el Perú : Un análisis de las inversiones públicas en esta agenda : Resumen (Spanish). Washington, DC: World Bank. https://documents.worldbank.org/en/publication/documents-reports/documentdetail/584501561492496523/resumen?deliveryName=DM15184</t>
  </si>
  <si>
    <t xml:space="preserve">Spain has made a serious budget commitment to combatting gender-based violence. In 2023, programs to prevent address gender-based violence were set to up 56% (320 million euros) of the entire budget of the Ministry of Equality (573 million euros).  </t>
  </si>
  <si>
    <t>Spain</t>
  </si>
  <si>
    <t>Ministerio de Igualdad de España, 2022. El presupuesto de Igualdad para 2023 aumenta un 9%, alcanzado la cifra histórica de 573 millones, Ministerio de Igualdad de España, https://www.igualdad.gob.es/comunicacion/notasprensa/Paginas/presupuesto-igualdad-2023- aumenta-9-573- millones.aspx#:~:text=El%20presupuesto%20de%20Ministerio%20de,que%20los%20aproba dos%20en%202022.</t>
  </si>
  <si>
    <t xml:space="preserve">Australia has committed to long-term spending plans: the 2022–23 Budget provides 1.7 billion Australian dollars over six years for measures to address family, domestic and sexual violence under the first phase of the new National Plan to End Violence Against Women and Children 2022–2032.  
</t>
  </si>
  <si>
    <t>2022-23</t>
  </si>
  <si>
    <t>Parliament of Australia, 2022. Women’s safety and gender equality, Budget Review October 2022–23 Index, https://www.aph.gov.au/About_Parliament/Parliamentary_departments/Parliamentary_Library/Research/Budget_Review_Articles/October_2022-23/WomensSafetyGenderEquality</t>
  </si>
  <si>
    <t>Albania</t>
  </si>
  <si>
    <t>In Peru, GBV spending increased by 85% between 2018 and 2019, following the launch of a Joint Plan of Action on GBV (and the fact that the total budget fell by 11% between those years suggests that at least some of the funds for GBV were not additional but reallocated from elsewhere in the budget).</t>
  </si>
  <si>
    <t>2018-19</t>
  </si>
  <si>
    <r>
      <rPr>
        <sz val="11"/>
        <color rgb="FF000000"/>
        <rFont val="Calibri"/>
        <family val="2"/>
      </rPr>
      <t xml:space="preserve">
</t>
    </r>
    <r>
      <rPr>
        <sz val="11"/>
        <color rgb="FF000000"/>
        <rFont val="Calibri"/>
        <family val="2"/>
      </rPr>
      <t xml:space="preserve">
In Albania, spending on GBV has increased by 26% between 2018 and 2022, accordingly to our analysis of reporting submitted in relation to the Istanbul convention. </t>
    </r>
  </si>
  <si>
    <t>2018-22</t>
  </si>
  <si>
    <t xml:space="preserve">Austria is recognized as a pioneer in implementing Gender responsive budgeting, focusing on integrating gender as a mandatory dimension of performance budgeting.  Some commentators have attributed to these reforms to subsequent prioritization of the prevention of violence against women through the creation of helplines and shelters.  
</t>
  </si>
  <si>
    <t>Austria</t>
  </si>
  <si>
    <t xml:space="preserve">EU Parliament 2023. Gender budgeting in the Member States. Briefing for the BUDG, CONT and FEMM Committees. https://www.europarl.europa.eu/RegData/etudes/BRIE/2023/754386/IPOL_BRI(2023)754386_EN.pdf
Westminster Foundation for Democracy, 2024. The case for gender responsive budgeting. Commentary, posted 07 March 2024. https://www.wfd.org/commentary/case-gender-responsive-budgeting 
</t>
  </si>
  <si>
    <t>Half of G20 governments were recently found to have guidelines in budget circulars to help ensure a comprehensive and coordinated approach to gender budgeting during budget preparation. The instructions usually dealt with the identification of gender-sensitive programs or policies (by means of classifiers), requirements for gender impact assessment (as in Canada and South Korea), or the inclusion of gender objectives in existing programs.</t>
  </si>
  <si>
    <t>G20 countries</t>
  </si>
  <si>
    <t>International Monetary Fund, 2021. Gender Budgeting in G20 Countries. IMF Working Paper 21/269, Fiscal Affairs Department. Washington, DC: IMF.  https://www.imf.org/en/Publications/WP/Issues/2021/11/12/Gender-Budgeting-in-G20-Countries-506816</t>
  </si>
  <si>
    <t xml:space="preserve">In Albania, NGOs are contracted by the Government to provide legal aid, counselling, shelters and other GBV related services, and rely on government procurement processes to select these partners. </t>
  </si>
  <si>
    <t>Ministry of Health and Social Protection (MOHSP), 2023. Report of the Republic of Albania on the Implementation of the Council of Europe Convention on Preventing and Combating Violence Against Women and Domestic Violence (Istanbul Convention). First Thematic Evaluation Round: Building Trust By Delivering Support, Protection And Justice. Tirana: Government of Albania. https://rm.coe.int/state-report-addressed-to-grevio-/1680ac0c69</t>
  </si>
  <si>
    <t xml:space="preserve">Ex-post spending reviews provide a more targeted snapshot of spending, as was captured in Peru’s Violence Against Women budget analysis , or Albania’s reporting to the European Council regarding implementation of the Istanbul Convention. </t>
  </si>
  <si>
    <t xml:space="preserve">In Rwanda the GRB budget tagging has the potential to enable demarcation of spending to GBV, with the 2021 gender budget statement including RF 5.7bn worth of programs explicitly related to GBV. 
</t>
  </si>
  <si>
    <t>Rwanda</t>
  </si>
  <si>
    <t xml:space="preserve">
Ministry of Finance and Economic Planning (MINCOFIN), 2021. Gender Budget Statement FY 2022-2023. Kigali: Government of Rwanda. 
</t>
  </si>
  <si>
    <t xml:space="preserve">Rwanda’s Gender Monitoring office developed an extensive (170+) set of GBV related indicators in 2011, pertaining to GBV prevention, GBV reporting situation, GBV response, GBV interventions’ coordination and GBV monitoring and evaluation.  </t>
  </si>
  <si>
    <t>Gender Monitoring Office, 2011.  Gender-Based Violence (GBV) Indicators developed by GMO  Kigali: Government of Rwanda.</t>
  </si>
  <si>
    <t>The Government of Iceland, for example, maps the status of gender equality across policy domains and identifies targeted objectives and actions to address challenges. Government departments are then required to set gender priorities through medium term planning and provide evidence on how these objectives will be addressed through the budget. Gender impact assessments of new budget measures have been conducted since 2020, with the results included in information provided to the cabinet and Parliament and published in the Budget Bill</t>
  </si>
  <si>
    <t>Iceland</t>
  </si>
  <si>
    <t>OECD 2023c Gender Budgeting in OECD Countries 2023, Paris, France: OECD. https://doi.org/10.1787/647d546b-en.</t>
  </si>
  <si>
    <r>
      <rPr>
        <u/>
        <sz val="11"/>
        <color theme="1"/>
        <rFont val="Calibri"/>
        <family val="2"/>
        <scheme val="minor"/>
      </rPr>
      <t>Indonesia</t>
    </r>
    <r>
      <rPr>
        <sz val="11"/>
        <color theme="1"/>
        <rFont val="Calibri"/>
        <family val="2"/>
        <scheme val="minor"/>
      </rPr>
      <t xml:space="preserve">:  Anchored in the country’s broader development strategy, Indonesia's Just Energy Transition Partnership (JETP) reconciles ambitious climate targets with pressing development needs. The $20 billion initiative—half public, half private—was designed not only to accelerate coal phase-out and scale renewables, but also to safeguard energy security, affordability, and economic growth. The JETP’s Comprehensive Investment and Policy Plan (CIPP) reflects a negotiated compromise: while it commits to capping power sector emissions at 290 MtCO₂e by 2030 and reaching 34% renewable electricity, it also allows for a gradual transition that accommodates Indonesia’s industrialization and rural electrification goals and includes worker reskilling and community development. Development priorities of job creation, grid reliability, and equitable access are embedded in the plan, with targeted investments in transmission infrastructure and worker reskilling. This balance was achieved through a multi-stakeholder secretariat and four working groups, with ministries, donors, and civil society co-designing the roadmap and governance structures to maintain alignment between technical, financial, and social and justice dimensions. 
</t>
    </r>
  </si>
  <si>
    <t>Indonesia</t>
  </si>
  <si>
    <t>International Energy Agency. (2021). Financing clean energy transitions in emerging and developing economies. IEA. https://www.iea.org/reports/financing-clean-energy-transitions-in-emerging-and-developing-economies
JETP (2025) JETP Comprehensive Investment and Policy Plan. Website. Internet. Available: https://jetp-id.org/cipp
Climate Transparency (2024) PUBLIC FINANCE ON INDONESIA’S ENERGY TRANSITION: IMPLEMENTATION ASSESSMENT Internet. Available: https://www.climate-transparency.org/wp-content/uploads/2024/11/Public-Finance-on-Indonesia-Energy-Transition-Implementation-Assessment.pdf
IESR (2025) Indonesia Energy Transition Outlook 2025. Internet. Available. https://iesr.or.id/wp-content/uploads/2024/12/Indonesia-Energy-Transition-Outlook-2025-Digital-Version.pdf
Suharsono, A., (2024) How Indonesia's Incoming President Can Advance the Transition to Clean Energy. IISD. Internet. Available: https://www.iisd.org/indonesia-president-subianto-transition-clean-energy</t>
  </si>
  <si>
    <r>
      <rPr>
        <u/>
        <sz val="11"/>
        <color theme="1"/>
        <rFont val="Calibri"/>
        <family val="2"/>
        <scheme val="minor"/>
      </rPr>
      <t>Uruguay</t>
    </r>
    <r>
      <rPr>
        <sz val="11"/>
        <color theme="1"/>
        <rFont val="Calibri"/>
        <family val="2"/>
        <scheme val="minor"/>
      </rPr>
      <t xml:space="preserve"> used political and institutional norms for collective institutional commitment alongside new mechanisms to  implement a renewable energy transition strategy. In 2010, a broad political consensus was reached across all major parties to decarbonize the electricity sector, laying the groundwork for a rapid shift to wind, solar, and biomass energy sources. This transition was supported by a robust institutional framework, including the Ministry of Industry, Energy and Mining (MIEM), the state utility UTE, the Electricity Market Administrator (ADME), and the energy regulator URSEA, which clearly signalled a collective approach, and helped establish institutional guarantees of policy and regulatory stability and operational continuity. The Ministry of Economy and Finance (MEF) played a pivotal role in aligning fiscal policy with energy goals, participating in interinstitutional initiatives such as the Green Hydrogen Roadmap and helping to secure financial guarantees, mobilize investment, and integrate energy planning with broader economic development strategies. More recently the launch of the Renewable Energy Innovation Fund (REIF), backed by the UN Joint SDG Fund and supported by MEF and private banks, has helped embed Uruguay's multi-institutional commitment to a sustainable energy future through coordinated governance and innovative financing mechanisms.</t>
    </r>
  </si>
  <si>
    <t>Uruguay</t>
  </si>
  <si>
    <t xml:space="preserve">International Renewable Energy Agency. (2015). Renewable energy policy brief: Uruguay. https://www.irena.org/publications/2015/Jan/Renewable-Energy-Policy-Brief--Uruguay
Ministerio de Industria, Energía y Minería (MIEM). (2023). Segunda transición energética y movilidad eléctrica. Gobierno de Uruguay. https://www.gub.uy/ministerio-industria-energia-mineria/politicas-y-gestion/segunda-transicion-energetica-movilidad-electrica
Ministerio de Economía y Finanzas (MEF). (2023). Hoja de ruta del hidrógeno verde y coordinación interinstitucional. Gobierno de Uruguay. https://www.gub.uy/ministerio-economia-finanzas/
</t>
  </si>
  <si>
    <r>
      <rPr>
        <u/>
        <sz val="11"/>
        <color rgb="FF000000"/>
        <rFont val="Calibri"/>
        <family val="2"/>
        <scheme val="minor"/>
      </rPr>
      <t>Morocco</t>
    </r>
    <r>
      <rPr>
        <sz val="11"/>
        <color rgb="FF000000"/>
        <rFont val="Calibri"/>
        <family val="2"/>
        <scheme val="minor"/>
      </rPr>
      <t xml:space="preserve"> has embedded its energy transition within a broader macroeconomic strategy aimed at reducing energy import dependence, enhancing fiscal resilience, and promoting regional development. Through its National Energy Strategy 2030, Morocco targets 52% renewable electricity capacity by 2030 (1). Rather than direct budget cuts, Morocco has pursued a strategy of gradual fiscal consolidation while supporting investment in a variety of infrasctructure, including renewable energy (2). The government has used green bonds, sovereign guarantees, and public-private partnerships (PPPs) to finance large-scale projects like the Noor Ouarzazate Solar Complex, while maintaining fiscal discipline. Morocco has also gradually reduced fossil fuel subsidies over the past decade to free up space for renewable investments(3). The Ministry of Economy and Finance has integrated climate risk assessments and green budgeting tools into national planning, ensuring that energy investments align with debt sustainability and social spending goals. This approach has allowed Morocco to pursue decarbonization without compromising its development agenda or macroeconomic stability</t>
    </r>
  </si>
  <si>
    <t>Morocco</t>
  </si>
  <si>
    <t>(1) International Energy Agency. (2021). Financing clean energy transitions in emerging and developing economies. IEA. https://www.iea.org/reports/financing-clean-energy-transitions-in-emerging-and-developing-economies
(2) International Monetary Fund. (2025). Morocco: 2025 Article IV Consultation and Third Review Under the Arrangement Under the Resilience and Sustainability Facility—Press Release; Staff Report; and Statement by the Executive Director for Morocco (IMF Country Report No. 2025/087). https://doi.org/10.5089/9798229005166.002
(3) World Bank. (2018). Morocco - Energy Policy MRV: Emission Reductions from Energy Subsidies Reform and Renewable Energy Policy. https://documents1.worldbank.org/curated/en/964331541085444404/pdf/Morocco-Energy-Policy-MRV.pdf</t>
  </si>
  <si>
    <r>
      <rPr>
        <u/>
        <sz val="11"/>
        <color theme="1"/>
        <rFont val="Calibri"/>
        <family val="2"/>
        <scheme val="minor"/>
      </rPr>
      <t>Uruguay</t>
    </r>
    <r>
      <rPr>
        <sz val="11"/>
        <color theme="1"/>
        <rFont val="Calibri"/>
        <family val="2"/>
        <scheme val="minor"/>
      </rPr>
      <t>’s energy transition, launched in 2008, was triggered as a response to macro-economic risks the country faced, caused partially by volatile and high fossil-fuel based energy import costs and an overdependence on hydro power which is vulnerable to drought. Facing limited fiscal space and no concessional finance support, Uruguay used feed-in tariffs and long-term power purchase agreements to introduce revenue certainty to investors. Multi-party support for the initiative created institutional guarantees, signalling long term policy and regulatory support and strengthening incentives for investors. The approach was able to attract over $900 million in private investment—equivalent to 10% of GDP at the time. Tax exemptions and accellerated depreciation for renewable investments provided additional incentives.  This approach minimized public debt while enabling a shift to over 94% renewable electricity by 2024. Despite locking in above-market prices, electricity costs fell due to declining wind costs and improved energy security. The transition was embedded in a multi-party national energy strategy, ensuring political continuity and integration with rural electrification, industrial policy, and export diversification. Uruguay’s macro-fiscal prudence and institutional coherence made it a model for small economies managing large-scale transitions</t>
    </r>
  </si>
  <si>
    <t>2008-24</t>
  </si>
  <si>
    <t>Coalition of Finance Ministers for Climate Action. (2023). Strengthening the role of ministries of finance in driving climate action: A framework and guide for ministers and ministries of finance. https://www.financeministersforclimate.org
Leitzell, J. (2025, April 21). Learning from Uruguay’s energy transition. Kleinman Center for Energy Policy, University of Pennsylvania. https://kleinmanenergy.upenn.edu/commentary/blog/learning-from-uruguays-energy-transition/
Uruguay XXI. (2024). Renewable Energies in Uruguay. https://www.uruguayxxi.gub.uy/uploads/informacion/e11678ed62bb2056db00da20e3318c87b2ceca35.pdf</t>
  </si>
  <si>
    <r>
      <rPr>
        <u/>
        <sz val="11"/>
        <color theme="1"/>
        <rFont val="Calibri"/>
        <family val="2"/>
        <scheme val="minor"/>
      </rPr>
      <t>Kenya</t>
    </r>
    <r>
      <rPr>
        <sz val="11"/>
        <color theme="1"/>
        <rFont val="Calibri"/>
        <family val="2"/>
        <scheme val="minor"/>
      </rPr>
      <t xml:space="preserve"> has developed a well-diversified generation mix, with more than 90 percent of energy being generated from clean sources (geothermal, 47%; hydro, 21%; wind, 16%; and solar, 4%) and the potential to achieve a fully green grid in the near future. To meet its target of 100% clean energy by 2030 and 100 GW of renewable capacity by 2040, Kenya estimates it will need over $60 billion in cumulative investment, including $18 billion by 2030 for generation, transmission, and grid upgrades. As of 2023, the country had already attracted over $4 billion in realized investments, including landmark projects like the €625 million Lake Turkana Wind Power Project and the $117 million Menengai Geothermal Project (1). The Energy Act of 2019 underpins Kenya’s regulatory framework, enabling private sector participation through licensing, grid access, and tariff regulation. The Feed-in Tariff (FiT) Policy supports small-scale renewables with guaranteed tariffs and long-term PPAs, while larger projects are procured via competitive auctions under the Renewable Energy Auction Policy. Additional incentives include VAT exemptions, import duty waivers, and early-stage risk mitigation by the state-owned Geothermal Development Company (1). These coordinated policies and financial mechanisms have created a stable, investor-friendly environment that continues to attract both domestic and international capital for Kenya’s green energy transition, a transformation strongly supported by the World Bank through its Maximizing Finance for Development (MFD) approach, which has helped reform sector policies, mobilize private capital, and deploy risk mitigation tools (2,3).</t>
    </r>
  </si>
  <si>
    <t>Kenya</t>
  </si>
  <si>
    <t>2019-30</t>
  </si>
  <si>
    <t xml:space="preserve"> (1) International Energy Agency. (2025). Kenya 2024: Energy policy review. https://www.iea.org/reports/kenya-2024
(2) World Bank. (2019d). Maximizing finance for development in action: The Kenya energy sector experience. https://www.worldbank.org/en/results/2019/04/18/maximizing-financing-for-development-in-action-the-kenya-energy-sector-experience
(3) World Bank. (2023c). Kenya Country Climate and Development Report (CCDR). https://documents1.worldbank.org/curated/en/099050223043013814/pdf/P17669807b1ddb0f087340493a15586a3e.pdf
Kenya Law. (2019). The Energy Act, 2019 (Cap. 314). National Council for Law Reporting. https://new.kenyalaw.org/akn/ke/act/2019/1/eng@2019-03-29
Ministry of Energy, Kenya. (2021). Feed-in Tariffs Policy on Renewable Energy Resource Generated Electricity. https://communications.bowmanslaw.com/REACTION/emsdocuments/fitPolicy.pdf
World Bank. (2023, April 20). Scaling up to phase down: Financing energy transitions in developing countries. https://www.worldbank.org/en/news/press-release/2023/04/20/scaling-up-to-phase-down-financing-energy-transition-in-developing-countries
</t>
  </si>
  <si>
    <r>
      <rPr>
        <u/>
        <sz val="11"/>
        <color theme="1"/>
        <rFont val="Calibri"/>
        <family val="2"/>
        <scheme val="minor"/>
      </rPr>
      <t>Rwanda</t>
    </r>
    <r>
      <rPr>
        <sz val="11"/>
        <color theme="1"/>
        <rFont val="Calibri"/>
        <family val="2"/>
        <scheme val="minor"/>
      </rPr>
      <t>'s Green Growth and Climate Resilience Strategy (2023) was developed by the Ministry of Environment over 12 years and 3 editions. At each iteration the integration with the NDC, national planning and financing frameworks were strengthened and it now serves as the national development strategy. It includes hydro, solar and methane fired energy plants which are now operational as well as exploratory investment in geothermal which is ongoing. The pipeline of (costed and appraised) projects associated with the strategy is embedded in the budget. Financing for the investment pipeline is part administered by FONERWA, the Rwanda Green Fund. FONERWA is designed to access external climate finance which is the major source of funding for renewable energy investments. It has been successful in coordinating multi-lateral and bilateral donors around a single blened financing framework for the government-led project pipeline. The framework of costed, feasible projects aligned to national strategy has proved compelling for both multi-lateral donors and for private investment via a green bond facility administered by the Rwanda Development Bank. FONERWA manages funds for both public (Intego) and private (Ireme) executed projects and has raised well over $200million to date. The success of FONERWA has relied on a several factors: political commitment to an explicitly climate-linked development strategy; FONERWAs position between Ministry of Environment (to which it accounts) and the finance ministry (which sits on its board) was carefully designed with clear institutional mandates and responsibilities; as semi-independent body it is able to develop the core skills and capacities required for complex climate finance negotiation and compliance; project identification is driven through the existing government-led sector working group structure allowing the government to maintain a single strategy-aligned process for project development.</t>
    </r>
  </si>
  <si>
    <t>Mokoro (2025). Evidence Review dfor Better Public Spending on Cross-Cutting Issues. Internet. Available: https://mokoro.co.uk/project/evidence-review-for-better-spending/
FONERWA (2025) Rwanda Green Fund. Website. Internet. Available: greenfund.rw
Ministry of Environment (2023) Green Growth and Climate Resilience Strategy. Kigali: Ministry of Environment. Internet. Available: https://www.rema.gov.rw/fileadmin/user_upload/Rwanda_GGCRS__November_2023.pdf</t>
  </si>
  <si>
    <r>
      <rPr>
        <u/>
        <sz val="11"/>
        <color rgb="FF000000"/>
        <rFont val="Calibri"/>
        <family val="2"/>
        <scheme val="minor"/>
      </rPr>
      <t>Chile</t>
    </r>
    <r>
      <rPr>
        <sz val="11"/>
        <color rgb="FF000000"/>
        <rFont val="Calibri"/>
        <family val="2"/>
        <scheme val="minor"/>
      </rPr>
      <t>. Through its National Public Investment System (SNIP), the Ministry of Finance—via the Budget Directorate (DIPRES)—coordinates with the Ministry of Energy, Minsitry of Economy and the National Energy Commission (CNE), Chile’s energy regulator and sectoral ministries, to allocate public funds for infrastructure and regulatory functions in the energy sector. The financing covers investments in transmission networks and renewable energy integration, as well as the CNE and utilities. A dedicated financing platform providing credit and subsidies for energy utilities and renewable projects (CORFO) is administered under the Ministry of Economy with financing proposals reviewed within the SNIP system. Chile also uses public sector electricity bills and targeted consumer subsidies to stabilize utility revenues and support vulnerable populations, ensuring equitable access to energy and predictable revenues to utilities. These mechanisms are part of  coordinated approach between fiscal authorities and energy institutions within a broader fiscal strategy that aligns with the country’s long-term energy policy goals outlined in the Energy Policy 2050.</t>
    </r>
  </si>
  <si>
    <t>Chile</t>
  </si>
  <si>
    <t>Comisión Económica para América Latina y el Caribe (CEPAL). (n.d.). National Public Investment System of Chile. Regional Observatory on Planning for Development. Retrieved May 19, 2025, from https://observatorioplanificacion.cepal.org/en/planning-systems/national-public-investment-system-chile
https://mercadoernc.minenergia.cl/wp-content/uploads/2019/05/Mapeo_Normativa_energetica-Chile-2019-ingl.pdf</t>
  </si>
  <si>
    <r>
      <rPr>
        <u/>
        <sz val="11"/>
        <color rgb="FF000000"/>
        <rFont val="Calibri"/>
        <family val="2"/>
        <scheme val="minor"/>
      </rPr>
      <t>Kenya.</t>
    </r>
    <r>
      <rPr>
        <sz val="11"/>
        <color rgb="FF000000"/>
        <rFont val="Calibri"/>
        <family val="2"/>
        <scheme val="minor"/>
      </rPr>
      <t xml:space="preserve"> The Kenya Power and Lighting Company (KPLC) a partly privatised (51% GoK) transmission and distribution utility, acts as a single buyer with power-purchase agreements with all public and independent power providers (IPPs). Strong technical capacity. particularly in planning and procurement of power generation was built in KPLC through managagement pressure to first participate in complex consultant led IPP negotiations, then lead the negotiations internally by the late 2000s. Governance of KPLC is high (90% score in the ESMAP index) and well above the comparator average (63%). While it operates with guidance from the National Treasury and Ministry of Energy, with which it signs performance contracts, it is largely independent, is listed on the Nairobi Stock Exchange and compares favourably with the gloabl benchmark on financial management. Financial reporting complies with IFRS and external audit is performed by the auditor general, contracted out to a reputable independent audit firm.  The Energy Regulatory Commission was considered to be subject to significant political influence with poor performance scores, particularly in perceived performance (vs de jure). KPLCs relatively strong performance in the 2010s was despite ERC rather than influenced by it. In 2019, the new Energy Act formed the Energy and Petroleum Regulatory Authority with much greater independence and transparency. Its expanded mandate and explicit coverage of the renewables sector has strengthened the  oversight and performance-based regulation of KPLC. KPLC currently has experienced significant financial pressure due to delayed payments and forex losses, but has nevertheless returned to an operating profit and provides transparent reporting.</t>
    </r>
  </si>
  <si>
    <t>World Bank (2019) Lessons from Power Sector Reform: The Case of Kenya. Washington DC: World Bank. Internet. Available: https://documents1.worldbank.org/curated/en/451561555435655366/pdf/Learning-from-Power-Sector-Reform-The-Case-of-Kenya.pdf
Kenya Power and Lighting Company PLC. (2024). Integrated annual report and financial statements for the year ended 30th June 2024. Kenya Power. https://www.kplc.co.ke/annual-reports</t>
  </si>
  <si>
    <t xml:space="preserve">Developing counter-cyclical economic and fiscal policies and plans which are consistent with the fiscal and economic reality and capability to implement them.  </t>
  </si>
  <si>
    <t>Chile: The Ministry of Finance (Ministerio de Hacienda) and its Budget Office (Dipres) implement a rule-based counter-cyclical fiscal policy. Since the early 2000s Chile has used a structural budget balance rule to save excess revenue in boom years and permit deficits in recessions. Under this framework (adopted in 2001 and strengthened by the Fiscal Responsibility Law of 2006), the government plans budgets based on long-term copper prices and trend GDP, ensuring fiscal policy leans against the business cycle. For example, President Bachelet’s administration saved windfall copper revenues in sovereign funds during the 2005–2008 boom, despite political pressure to spend, then used those savings for a stimulus when the 2009 recession hit. This institutional design (including independent expert panels for projections) has allowed Chile to implement counter-cyclical policy within its means.</t>
  </si>
  <si>
    <t>* https://foreignpolicy.com/2012/06/27/chiles-countercyclical-triumph/#:~:text=Chile’s%20rule%20beats%20the%20one,the%20revenues%20must%20be%20saved
* https://www.dipres.gob.cl/598/articles-22592_doc_pdf.pdf</t>
  </si>
  <si>
    <t>Rwanda: MINECOFIN and National Bank of Rwanda (BNR) work closely to align fiscal and monetary policies. A formal mechanism is the Treasury Management Committee (TMC) (and a Debt Management Committee) that links BNR and MINECOFIN. The TMC serves as a platform to analyze cash flow, debt, and policy impacts, refining implementation in a coordinated way. Through a technical working group known as “Macroframe,” officials from MINECOFIN and BNR set medium-term targets for growth and inflation together. This coordination ensures the budget stance and monetary stance are consistent (e.g. avoiding excessive government borrowing that would force money expansion). The legal independence of BNR (enshrined in law no. 55 in 2007 and updated 2017) is respected, but both authorities recognize that sound fiscal discipline is needed for effective monetary policy. Regular high-level consultations (often with the Prime Minister’s office) and IMF support under programs further facilitate synchronized fiscal-monetary actions.</t>
  </si>
  <si>
    <t>2007-2017</t>
  </si>
  <si>
    <t>*https://www.researchgate.net/publication/343382684_Fiscal_and_Monetary_Policies_Coordination_Rwanda_Experience#:~:text=manifested%20%20in%20%20constant,Rwanda%20and%20%20th%20e</t>
  </si>
  <si>
    <t>Sustaining broad commitment to policy action to create sustainable fiscal space, managing political pressures. </t>
  </si>
  <si>
    <t>Vietnam: The Ministry of Finance (MOF) leads on fiscal transparency in Vietnam. In recent years, MOF has begun publishing comprehensive fiscal data: for example, it issues a Statistical Public Debt Bulletin every six months covering debt stock, debt service, and even projections, as required by the 2017 Public Debt Management Law. These debt bulletins (available on MOF’s website) greatly improve understanding of Vietnam’s debt position. The State Budget Law (2015) also mandates that the government present medium-term budget plans to the National Assembly and report on execution, enhancing clarity on fiscal policy. Vietnam’s transparency has room to grow, but it has come far – the World Bank’s 2013 Fiscal Transparency Review noted significant progress, like MOF’s publication of more budget reports and simpler presentation of budget data. Additionally, Vietnam participates in the IMF’s Government Finance Statistics, and General Statistics Office (GSO) releases fiscal indicators in its statistical yearbooks. Communication is also done via National Assembly sessions (televised) where the Finance Minister explains budget outcomes and plans to legislators and the public. While some areas (e.g. off-budget SOE debt) remain opaque (2023 Fiscal Transparency Report: Vietnam - Department of State), the sustained efforts in publishing budgets, debt data, and audit results are helping foster a shared understanding of Vietnam’s fiscal position.</t>
  </si>
  <si>
    <t>2013-23</t>
  </si>
  <si>
    <t>* https://documents1.worldbank.org/curated/en/608481468125956507/pdf/882730WP0P12870iew0Final0May0210ENG.pdf#:~:text=the%20Statistical%20Public%20Debt%20Bulletin%2C,as%20annual%20projections%20of%20borrowing
* https://www.state.gov/reports/2023-fiscal-transparency-report/vietnam#:~:text=State%20www,budget%20accounts</t>
  </si>
  <si>
    <t xml:space="preserve">Developing and managing the implementation of fiscal policy that stabilizes the business cycle, whilst maintaining and growing fiscal space.  </t>
  </si>
  <si>
    <t>Vietnam: Ministry of Finance (MOF) and line ministries in Vietnam work to implement fiscal policy that stabilizes growth yet preserves fiscal space. Vietnam’s budgets are executed with built-in flexibility: for example, if there’s an economic downturn, MOF can advance the disbursement of capital expenditure (particularly on infrastructure) to stimulate the economy, as seen in 2009 and 2020. Conversely, when the economy overheats (e.g. 2007), MOF can delay or trim certain expenditures to cool demand. The implementation is guided by quarterly budget release plans and the Treasury’s monitoring of cash flows. The State Treasury (under MOF) controls disbursements through a Treasury Single Account system, ensuring aggregate spending stays on track with approved limits (this daily control helps prevent overshooting deficits). In recent years, Vietnam kept government spending in check while revenue grew, leading to a decline in public debt from ~63% of GDP in 2016 to about 38% in 2022. This indicates fiscal space was rebuilt through disciplined execution. The government also uses fiscal tools like price-stabilization funds (for fuel prices) and contingencies in the state budget to manage volatility without derailing medium-term consolidation. Vietnam’s fiscal operations since the 2000s show a pattern of countering the business cycle – stimulus via tax cuts and spending when needed, consolidation when growth is robust – while gradually expanding priority expenditures. This balance is managed by MOF’s Budget Department in concert with the SBV, under the oversight of the Prime Minister and National Assembly.</t>
  </si>
  <si>
    <t>2007-22</t>
  </si>
  <si>
    <t>*https://www.pefa.org/node/5376#:~:text=Vietnam%202024%20,percent%20of%20GDP%20in%202022</t>
  </si>
  <si>
    <t>Rwanda: Rwanda has been consistent in the use of a MTFF, integrated within the Budget Framework Paper to guide annual budgets and the Medium-Term Expenditure Framework. The Ministry of Finance and Economic Planning (MINECOFIN), particularly its Macroeconomic Policy Unit (MU), plays a central role in collecting fiscal data, modelling scenarios, and advising on revenue and expenditure policies. Over the past three fiscal years, the Government of Rwanda has set clear medium-term fiscal objectives and submitted detailed reports to Parliament explaining performance against targets and any deviations. While comprehensive fiscal impact assessments of policy proposals remain limited, the MU provides strategic analysis to support budget allocations.</t>
  </si>
  <si>
    <t>PEFA Rwanda - 2008, 2010, 2016, 2022 [https://www.pefa.org/country/rwanda?page=0]</t>
  </si>
  <si>
    <t>Vietnam: Ministry of Finance (MOF) in Vietnam has improved the credibility of fiscal forecasts over time by adopting more neutral assumptions and building analytical capacity. In the past, Vietnam’s growth and revenue forecasts tended to be optimistic, but reforms addressed this. The National Assembly now reviews macro assumptions; if they seem overly rosy, they demand adjustments. MOF also established units like the National Center for Socio-Economic Information and Forecast (NCEIF) under MPI to provide independent macro forecasts for use in budgeting. Revenue projections now factor in realistic scenarios of economic growth and import trends, and include estimated losses from policy changes (e.g. tax cuts). The World Bank’s 2017 Public Expenditure Review observed that Vietnam’s budget projections had become more prudent, contributing to better control of deficits.
According to PEFA 2024, "fiscal forecasts are made for three years, including revenues (by type), aggregate expenditure and the budget balance, which are reflected in three-year MTEFs. As stipulated in Article 17 of SBL 2015, MTEFs are referencing documents, which are
sent, together with annual budget plans, to the Finance and Budgetary Committee for review prior to submission to the NA. Major changes in assumptions and corresponding adjustments in fiscal forecasts are stated and included in annual budget documentation submitted to the National Assembly, but the explanation of the main differences of the forecasts between MTEF 2019-2021 and MTEF 2018-2020 was lacking." (PEFA 2024, P. 78)</t>
  </si>
  <si>
    <t>2015-24</t>
  </si>
  <si>
    <t>*https://vntr.moit.gov.vn/news/new-points-in-the-public-debt-strategy#:~:text=New%20points%20in%20the%20Public,The%20Government%27s%20direct
* https://www.pefa.org/sites/default/files/2025-01/VN-Jun2024-PFMPR-Final_Public-Full%20version%20EN.pdf</t>
  </si>
  <si>
    <t xml:space="preserve">Fostering market confidence, through clearly communicating and reinforcing the government's revenue, borrowing and expenditure plans (fiscal, debt and expenditure strategy). </t>
  </si>
  <si>
    <t>Chile: The Ministry of Finance plays a central role, supported by the Budget Directorate (DIPRES) and the Investor Relations Office (IRO). DIPRES oversees fiscal reporting, contingent liability management, and medium-term budget frameworks, aligning expenditures with strategic priorities. The IRO enhances transparency by providing timely macro-fiscal information to investors, credit rating agencies, and the public, including updates on debt issuance and ESG efforts. These institutions collectively ensure that fiscal plans are communicated effectively, fostering credibility and stability in financial markets.</t>
  </si>
  <si>
    <t>Chile: Chile’s Ministry of Finance and the Central Bank of Chile jointly manage volatility through a structural fiscal rule and inflation-targeting regime. The Ministry enforces a cyclically adjusted budget balance (CAB) rule, delinking expenditure from copper revenue volatility and building fiscal buffers via sovereign wealth funds. The Central Bank uses monetary policy to smooth exchange rate fluctuations and maintain price stability, complemented by macro-prudential regulations to curb credit-driven asset bubbles. This dual framework has reduced GDP volatility and enhanced resilience to terms-of-trade shocks</t>
  </si>
  <si>
    <t xml:space="preserve">In Rwanda, the MINECOFIN and the Cabinet make allocation decisions that emphasize priority sectors (like education, health, infrastructure) while trimming lower-priority spending. One example is the reallocation Rwanda undertook post-2000: it curtailed military expenditures by about 1.2% of GDP and redirected those funds to social sectors and peacekeeping operations.
Each annual budget process in Rwanda is guided by sector strategic plans; MINECOFIN allocates more to sectors that can demonstrate effective use of funds aligned with EDPRS/NST goals. The introduction of performance-based budgeting means that sectors must show results to justify more resources. Internal audits and the Auditor General’s reports identify waste or inefficiency (for instance, ghost workers or redundant programs), and MINECOFIN can then reallocate those funds to priority programs (such as vaccination campaigns or basic education) in the next budget. Rwanda has also benefited from donor-financed Global Funds (e.g. health fund) which, by covering specific priority investments, free up government resources to use elsewhere. The World Bank noted that Rwanda “reduced non-essential spending and prioritised investments in human capital” even during fiscal consolidation. </t>
  </si>
  <si>
    <t>Controlling fiscal aggregates in line with approved polices and plans through routine daily operations.</t>
  </si>
  <si>
    <t>In Chile, Dipres (Budget Office) exercises rigorous control of fiscal aggregates through daily and monthly management. By constitutional design, the executive (Dipres and the Finance Ministry) has strong powers over budget execution – once the budget is passed, ministries cannot increase spending beyond their allocation and unspent funds generally revert to the treasury at year-end. Dipres monitors spending through an online system (SIGFE) and requires each ministry to submit monthly financial plans. Any deviation from the plan or risk of overspending triggers an immediate response – often Dipres will cut a subsequent transfer or ask the ministry to reallocate funds internally. This ensures total spending stays within the envelope set by the fiscal rule. Moreover, Chile has a law that forbids the executive from issuing additional debt beyond what’s authorized by the annual budget law (unless special approval is obtained), effectively capping borrowing. The Finance Minister and Dipres also have authority to block expenditures if revenues fall short – for example, in 2009 when revenues plummeted, Chile was able to tap the ESSF rather than let the deficit slip beyond structural targets, thus respecting the aggregate control while still financing priority spending.
Chile’s Treasury (Tesorería General) manages cash tightly; if needed, it can delay some payments toward year-end to meet the annual balance target (though such measures are rarely needed due to accurate forecasting). In addition, Chile’s Financial Administration Law requires the government to report quarterly to Congress on budget execution and the fiscal position, providing transparency that aggregates are on track. An independent Comptroller General further audits expenditures to ensure legality and consistency with appropriations.</t>
  </si>
  <si>
    <t>*https://www.elibrary.imf.org/display/book/9781616353797/ch007.xml
*https://www.dipres.gob.cl/598/articles-266583_doc_pdf.pdf
* https://foreignpolicy.com/2012/06/27/chiles-countercyclical-triumph/#:~:text=Chile’s%20rule%20beats%20the%20one,the%20revenues%20must%20be%20saved</t>
  </si>
  <si>
    <t xml:space="preserve">Chile: Chile’s fiscal policy is highly evidence-driven. The Budget Office (Dipres) pioneered the use of systematic program evaluation and performance indicators in budgeting starting in the late 1990s. By 2014, Chile had several lines of evaluation (government program evaluations, impact evaluations, institutional evaluations) examining dozens of programs each year. The results of these evaluations directly inform resource allocation – programs that show positive results may get budget increases, while those that underperform can be restructured or cut. This creates a loop where evidence leads to decisions on where to spend or cut. Chile also created autonomous expert bodies – the structural balance Expert Committees and the Fiscal Council – which provide non-partisan analysis (forecasting trends, assessing fiscal policy) that underpin government decisions. </t>
  </si>
  <si>
    <t>late 1990s - 2014</t>
  </si>
  <si>
    <t>*https://www.elibrary.imf.org/display/book/9781616353797/ch007.xml
*https://www.dipres.gob.cl/598/articles-266583_doc_pdf.pdf
* https://ieg.worldbankgroup.org/sites/default/files/Data/reports/ecd_wp_29_Chile.pdf#:~:text=,DIPRES%20or%20other%20evaluation</t>
  </si>
  <si>
    <t>Thailand</t>
  </si>
  <si>
    <t xml:space="preserve">Ethiopia’s successful expansion of primary healthcare has been attributed to the then ruling party’s focus on prioritising rural interests, and its focus on extending state and party structures into rural areas (Croke, 2021). </t>
  </si>
  <si>
    <t>Ethiopia</t>
  </si>
  <si>
    <t>China</t>
  </si>
  <si>
    <t>early 2000s</t>
  </si>
  <si>
    <t>late 1940s</t>
  </si>
  <si>
    <t>Mexico</t>
  </si>
  <si>
    <t>In Israel, the total budget for the health insurance system is adjusted each year for demographic growth, technological developments, and a price index. The result is that “The process of having a set formula increase for the health budget has simplified the annual budget process, by reducing the scope of annual negotiations between health and finance ministries." (Vammalle, Penn and James, 2023, p. 20).</t>
  </si>
  <si>
    <t>Israel</t>
  </si>
  <si>
    <t>The Philippines Sin Tax Law enacted in 2012 raised and simplified tobacco and alcohol excises, which resulted in increased government revenues. After only one year of implementation, excise tax collections from tobacco and alcohol products was around $2.44 billion, an increase of more than 86% from the previous year’s collections of $1.25 billion. In 2015, total sin tax collections reached over 1% of the Philippines' GDP.
This reform further scaled up health care financing and nearly doubled the Department of Health’s budget in its first year of implementation. It financed the extension of fully subsidized health insurance to the poorest 40% of the population. 
From 2013 to 2014, the number of poor and near-poor families enrolled in the National Health Insurance Program increased from 5.2 million to 14.7 million. This grew to 15.3 million by end-2015, almost tripling the coverage of the poor and near-poor. Sin tax revenues were also subsequently used to subsidize the insurance coverage of senior citizens.</t>
  </si>
  <si>
    <t>Philippines</t>
  </si>
  <si>
    <t>2012-2015</t>
  </si>
  <si>
    <t xml:space="preserve">In South Africa, health taxes raised the equivalent of nearly 18% of the health budget in FY 2019/20, and have become a significant source of tax revenue for the government (National Treasury of South Africa, 2020). </t>
  </si>
  <si>
    <t>South Africa</t>
  </si>
  <si>
    <t>2019-20</t>
  </si>
  <si>
    <t>In Malawi, the health resource allocation formula is based on the estimated cost of implementing the essential health package for each district and allocates available resources according to need. The cost of service delivery is based on the unit cost of the intervention and the expected number of cases based on incidence, prevalence and utilisation rates (Twea et al., 2024).</t>
  </si>
  <si>
    <t>Malawi</t>
  </si>
  <si>
    <t>Uganda</t>
  </si>
  <si>
    <t>In Tanzania, interoperability between HMIS and FMIS across and between levels of government supports health facilities to manage their finances and supply chains, and increases visibility for local governments and the ministry of health, making it easier to provide oversight (Mtei, 2020).</t>
  </si>
  <si>
    <t>Tanzania</t>
  </si>
  <si>
    <t>Sequencing education investment in East Asia: Education is typically a very costly sector, often accounting for the largest share of the budget in countries with large populations. Sequencing investment over time is therefore very important in fiscally-contrained lower-income economies. In post-war Korea, the government prioritised universal access to quality schooling at the primary level first, adopting a low-cost model of large class sizes and double shifts in the first few decades. Vocational, secondary, and tertiary education were not ignored, but employers and the private sector played a greater role while the public budget was focused on primary schooling. It was not until the 1960s that the government began to invest heavily in secondary education, and not until the 1980s that higher education became a focus. This "progressive universalism" was aimed at a achieving a sequential expansion of access to education at primary,  secondary and higher levels that corresponded to workforce needs for economic development.</t>
  </si>
  <si>
    <t>Korea</t>
  </si>
  <si>
    <t>1960s-80s</t>
  </si>
  <si>
    <t>Dittrich and Neuhaus. 2023. Korea’s ‘education fever’ from the late nineteenth to the early twenty-first century https://www.tandfonline.com/doi/full/10.1080/0046760X.2022.2098391#d1e219
Ministry of Education, Culture, Sports, Science and Technology 
Education Commission. 2016. The Learning Generation
https://report.educationcommission.org/wp-content/uploads/2016/09/Learning_Generation_Full_Report.pdf</t>
  </si>
  <si>
    <t>Sequencing education investment in East Asia: Education is typically a very costly sector, often accounting for the largest share of the budget in countries with large populations. Sequencing investment over time is therefore very important in fiscally-contrained lower-income economies. In Japan, up until 1900 over 70% of spending was on primary schools. Japan also controlled costs carefully, achieving universal primary education while spending below 3% of GDP on public education. Japan's GDP per capita in 1935 (using 1990 PPP dollars) was approximately $2,150 which is not dissimilar to that of Afghanistan in 2016.</t>
  </si>
  <si>
    <t>Japan</t>
  </si>
  <si>
    <t>Building consensus on efficiency reforms in Liberia: Education is often delivered with a huge amount of slack in developing countries. E.g. teachers off task and teachers who are not prepared to teach. In Liberia for example, many teachers were in fact not turning up to work. A 2016 exercise to remove "ghost" teachers was packaged as part of a larger bid to the Ministry of Finance for increased sector resources, to allow the sector to retain the savings generated for ambitious reforms including the Partnerships Schools plan (documented in Romero et al. 2020). The budget bid documents specifically addressed the lack of sector delivery efficiency and were discussed at a Cabinet Retreat at the beginning of the budget process.</t>
  </si>
  <si>
    <t>Liberia</t>
  </si>
  <si>
    <t xml:space="preserve">Big Win. N.d. Strengthening the Liberian Education System Amidst Fiscal Constraints. https://www.bigwin.org/articles/liberias-ministry-of-education-announces-its-getting-to-best-plan/
Government of Liberia. 2017. Getting to Best Plan. https://www.globalpartnership.org/node/document/download?file=document/file/getting_to_best_education_sector_plan_2017-2021._liberia.pdf
Romero Sandefur Sandholtz. 2020. Outsourcing Education: Experimental Evidence from Liberia. AER. https://mauricio-romero.com/pdfs/papers/PSL_Final.pdf
Ministry of Education. Budget documents, unpublished. </t>
  </si>
  <si>
    <t>Achieving spending targets in China: China's government (which is highly fiscally decentralised) set a target in a 1986 to spend 4% of GDP on public education subsidies by 2000, following a domestic review of international experiences regarding adequate spending levels. This target was adopted into five-year plans which are important and credible documents in China (in contrast to many other countries). In a 1995 law, this was actualized as "three increases": not only increasing appropriations for education, but also for teachers’ salaries and average per-pupil spending to steadily increase over time. In other words, education spending that expanded merely in proportion with student enrollment was deemed insufficient - meaningful increases in spending directed toward students and teachers were a priority. After the goal was met in 2012, a formal structure was established to maintain it across Plans and levels of government.</t>
  </si>
  <si>
    <t>1986-2012</t>
  </si>
  <si>
    <t>Hansen, Michael, and Ariel Chung. 2024. “As China’s Economy Advances, Investments into Public Education Expand.” Brookings Institution, December 17, 2024. https://www.brookings.edu/articles/as-chinas-economy-advances-investments-into-public-education-expand/</t>
  </si>
  <si>
    <t xml:space="preserve">Supporting and influencing the behaviour of public and private sector ensure the financial viability of the education system and schools, whilst enabling the achievement of affordability, access and quality objectives in basic education.  </t>
  </si>
  <si>
    <t>Leveraging the private sector for education results: A World Bank paper in 2014 points out that the private sector often plays an important role in schooling neglected groups, including ethnic minorities and girls. The document sets out principles for conducive private sector regulation which is implemented via the Bank's SABER: Enabling the Private Sector instrument - although most of examples of conducive regulation are from richer countries (the state often plays a predatory role in poorer countries). Countries have different traditions of leveraging the private sector, including substantial private sector access to state financing. 
In the Netherlands, as a condition of achieving religious equity, there was equal claim of private and public schools for public funding established in 1917. The World Bank (2014) documents that over 70 percent of students are privately educated in the Netherlands (albeit 100% financed by the public sector - in contrast to for instance, the UK, where fee-paying private schools are the norm).</t>
  </si>
  <si>
    <t>Netherlands</t>
  </si>
  <si>
    <t>1917-2014</t>
  </si>
  <si>
    <t xml:space="preserve">Baum, Donald; Lewis, Laura; Lusk-Stover, Oni; Patrinos, Harry. 2014. What Matters Most for Engaging the Private Sector in Education: A Framework Paper. Systems Approach for Better Education Results (SABER) working paper;no. 8. World Bank. http://hdl.handle.net/10986/21756
EU. 2023. Eurydice. Historical development. https://eurydice.eacea.ec.europa.eu/eurypedia/netherlands/historical-development
</t>
  </si>
  <si>
    <t xml:space="preserve">Leveraging the private sector for education results: A World Bank paper in 2014 points out that the private sector often plays an important role in schooling neglected groups, including ethnic minorities and girls. The document sets out principles for conducive private sector regulation which is implemented via the Bank's SABER: Enabling the Private Sector instrument - although most of examples of conducive regulation are from richer countries (the state often plays a predatory role in poorer countries). Countries have different traditions of leveraging the private sector, including substantial private sector access to state financing.
Direct funding to private schools has also been successful in expanding education in Pakistan (OPML, 2022). Pakistan has linked financing to results in these schools (World Bank, 2014). </t>
  </si>
  <si>
    <t>Pakistan</t>
  </si>
  <si>
    <t>OPML 2022. PESPII review of Education Sector Performance: Final Report. https://www.opml.co.uk/projects/evaluating-punjab-education-sector-programme</t>
  </si>
  <si>
    <t xml:space="preserve">Revenue and expenditure policies, including decisions related to tax policies and budget allocations, are instrumental in determining the resources mobilized for and allocated to education – both public and private.  </t>
  </si>
  <si>
    <t>Channeling revenue for education in Ghana: As part of an IMF programme Ghana undertook to shift revenues from 12 to 16 percent of GDP in line with norms for its GDP per capita. To promote resources for education, Ghana has adopted aggressive education revenue earmarking: the Ghana Education Trust Fund Levy is a 2.5% sales tax. There is also earmarking for district assembly constituency funds, much of which are spent on education. The president  discussed increasing this levy to provide more finance for senior high school rollout in July 2022 and the budget increased the size of the fund into which sales tax was collected for high school expansion in 2025. Overall access to education including secondary education is good compared to countries with similar GDP per capita, and historically the government has allocated a substantial share of the national budget to education, and controlled teacher wages to ensure affordable inputs.</t>
  </si>
  <si>
    <t>Ghana</t>
  </si>
  <si>
    <t>2022-2025</t>
  </si>
  <si>
    <t>Addulai et al 2024. A Survey of the Ghanian Tax System
https://ifs.org.uk/sites/default/files/2024-11/A-survey-of-the-Ghanaian-tax-system-Nov-2024-1_0.pdf. IFS and ODI. TaxDev. Survey
Evans et al. Teacher Pay in 15 countries. https://pmc.ncbi.nlm.nih.gov/articles/PMC9051527/</t>
  </si>
  <si>
    <r>
      <rPr>
        <sz val="11"/>
        <color rgb="FF000000"/>
        <rFont val="Calibri"/>
        <family val="2"/>
        <scheme val="minor"/>
      </rPr>
      <t xml:space="preserve">Reforming education finance in Lithuania: Since the early 1990s, decreasing fertility rates and a population exodus in the ex-Soviet countries of Eastern Europe have caused a decline in the population growth rate. Consequently, schools in this period became increasingly ineﬃcient and unequal in their relative spending as the population of school-age children diminished while the number of schools, classes, teachers and other school inputs stayed the same. This was reflected in a large school network of increasingly smaller schools, smaller class sizes and low student-teacher ratios, with no incentives for school managers to save or reallocate resources. In Lithuania, to counter this the government introduced a </t>
    </r>
    <r>
      <rPr>
        <i/>
        <sz val="11"/>
        <color rgb="FF000000"/>
        <rFont val="Calibri"/>
        <family val="2"/>
        <scheme val="minor"/>
      </rPr>
      <t>per capita financing</t>
    </r>
    <r>
      <rPr>
        <sz val="11"/>
        <color rgb="FF000000"/>
        <rFont val="Calibri"/>
        <family val="2"/>
        <scheme val="minor"/>
      </rPr>
      <t xml:space="preserve"> reform. By allocating funds based on actual student numbers rather than historical budgets, the reform successfully incentivised the consolidation of the school network and stabilised overall student-teacher ratios. In addition, the inclusion of adjustment factors in the formula helped address equity concerns by providing additional resources to schools with specific needs - such as those serving minority students. Furthermore, by gradually adjusting the weightings within the formula the reform promoted  increasing levels of expenditure on quality-related elements (e.g. teacher CPD, teaching aids, pedagogical services) which has been linked to improved student attainment. The case of Lithuania demonstrates the important role that budget allocation processes play in promoting the efficient and equitible distribution of funding across the country.</t>
    </r>
  </si>
  <si>
    <t>Lithuania</t>
  </si>
  <si>
    <t>early 1990s</t>
  </si>
  <si>
    <t>Alonso,Juan Diego; Sanchez,Alonso.
Reforming education finance in transition countries : six case studies in per capita financing systems (English). A World Bank study Washington, DC: World Bank. http://documents.worldbank.org/curated/en/455851468321559913</t>
  </si>
  <si>
    <t>Improving education quality in Brazil: The state of Ceara in Brazil was able to make sophisticated streams of finance available and credible on a sustained basis to support an education system which came to outperform many richer states in Brazil despite Ceara's lower GDP per capita. Three of the five dimensions of the reform had financial reform implications including workable, aligned intergovernmental transfers between the state and its municipalities: (i) technical assistance provided to municipalities to improve learning; (ii) financial incentives for municipalities that achieve educational outcome goals; and (iii) transferring primary and lower secondary schools management to municipal governments, thereby enabling them to plan and implement local educational policy with a high degree of autonomy. The first pillar involved extra money for teachers in left-behind municipalities. Municipal education secretariats receive structured learning materials outlining a clear routine for classes and prioritizing basic skills, especially literacy, in the early grades. Teachers began to receive regular training on the use of such materials, and on classroom observation and feedback. Low-performing municipalities received additional support. The state also provided budget and curriculum support for early childhood education (ECE) to ensure that children start right. Incentives were collaboratively designed and provided at the municipal and school levels.</t>
  </si>
  <si>
    <t>Brazil</t>
  </si>
  <si>
    <t>Cruz, Louisee, Matheus Assunção, and André Loureiro. 2022. Implementing an Incentive Mechanism for Municipal Governments to Improve Education Outcomes: A Guide to Implementation Inspired by the Case of Ceará, Brazil. Washington, DC: World Bank Group. https://documents1.worldbank.org/curated/en/099302206022255265/pdf/IDU0119feb0a0e35a043f708e320e61364cb41a6.pdf</t>
  </si>
  <si>
    <r>
      <rPr>
        <sz val="11"/>
        <color rgb="FF000000"/>
        <rFont val="Calibri"/>
        <family val="2"/>
        <scheme val="minor"/>
      </rPr>
      <t xml:space="preserve">Cambodia's digital book tracking system: School textbooks often get "lost" in the process of being delivered to schools due to "poor supply chain management" (i.e. a lack of information on the whereabouts of books during the various stages of the book distribution process reduces authorities' ability to hold stakeholders to account for any that go missing). For example, in Ghana, it has been estimated that 29% of books are lost due to education managers selling textbooks to private schools. In Cambodia (and elsewhere) the government has strengthened accountability in the book distribution process by adopting new technology (known as </t>
    </r>
    <r>
      <rPr>
        <i/>
        <sz val="11"/>
        <color rgb="FF000000"/>
        <rFont val="Calibri"/>
        <family val="2"/>
        <scheme val="minor"/>
      </rPr>
      <t>Track and Trace</t>
    </r>
    <r>
      <rPr>
        <sz val="11"/>
        <color rgb="FF000000"/>
        <rFont val="Calibri"/>
        <family val="2"/>
        <scheme val="minor"/>
      </rPr>
      <t>) that provides real time tracking information across the various stages of book delivery. For instance, the system traces when books are dispatched from the distribution centre and in what quantities, when the district education department receives them, and when the school directors pick up the book allocations for their schools. Having this kind of information enables decision-makers to accurately pinpoint problems and measure the performance of different stakeholders along the supply chain. The information is also provided to school committee members who can conduct spot checks in their schools to ensure that the right books have been received on time and in the correct quantities. Results from the initiative demonstrate a significant improvement in accountability, with 94% of schools receiving the correct orders and a five-fold decrease in the time taken to deliver books from the warehouse to schools. This example illustrates the important role of education management systems in promoting effective resource use and accountability - as well as potential transformative impact of new technology.</t>
    </r>
  </si>
  <si>
    <t>Cambodia</t>
  </si>
  <si>
    <t>Khan, Hadi. 2020. Can a Digital Book Tracking System Help to Get Books into the Hands of Children? Results in Education for All Children (REACH) Evidence Series # 34214. Washington, DC: World Bank Group. Accessed July 30, 2025. https://documents1.worldbank.org/curated/en/800501595218727297/pdf/Track-and-Trace-Can-a-Digital-Book-Tracking-System-Help-to-Get-Books-into-the-Hands-of-Children.pdf</t>
  </si>
  <si>
    <t xml:space="preserve">Budget preparation and execution systems deliver reliable and adequate resources for and strengthen accountability of spending agencies for frontline service delivery enable delivery. These, when combined with financial reporting, audit and oversight can help ensure efficiency, transparency and accountability and performance in delivery. </t>
  </si>
  <si>
    <t xml:space="preserve">Informal audits of school meals in Colombia: Even with large, politically powerful contractors, informal audits – to verify whether the meals comply with contractor obligations – and the regular sharing of information to parents – informing them about the program, the results of the audits, and the options they have to register any concerns – have been effective in reducing contractor malfeasance. Evidence suggests that the threat of top-down enforcement magnified the effect of the bottom-up initiative. 
</t>
  </si>
  <si>
    <t>Colombia</t>
  </si>
  <si>
    <t>Keefer, Philip, and Benjamin Roseth. 2024. “Transparency and Grand Corruption: Lessons from the Colombia School Meals Program.” Journal of Comparative Economics 52, no. 2 (June): 445–62. https://doi.org/10.1016/j.jce.2024.02.003.</t>
  </si>
  <si>
    <t>Description of  Examples of Bottlenecks</t>
  </si>
  <si>
    <t>Timeframe</t>
  </si>
  <si>
    <t>Dom et al 2021, WBG Results Based Financing Evaluation: Tanzania Country Report. Mokoro for World Bank.  https://documents.worldbank.org/en/publication/documents-reports/documentdetail/672351646056866028/672351646056866028</t>
  </si>
  <si>
    <t>Rossiter, J. in Sandefur J (ed). Schooling for All (2022). 
https://www.right-to-education.org/ar/node/1090#:~:text='We%20now%20expect%20that%20the,to%20support%20commercial%20private%20schools.
Choi,  J.H. 2020. SABER Rubrics dataset. World Bank. https://thedocs.worldbank.org/en/doc/49ff5fd6d9c3bc72ac08bfa5e8eb80f0-0200022021/original/SABER-RUBRICS-Jung-Hwan-Choi.xlsx</t>
  </si>
  <si>
    <t>Lewin 2022. ODI. Escaping the low financing trap.  https://odi.org/en/publications/escaping-the-low-financing-trap-strategies-for-sustainable-educational-development-in-low-income-countries/
Analysis of UNESCO UIS dataset bulk download September 2024</t>
  </si>
  <si>
    <t>Education sector resource mobilization and deployment is not informed by demand or costs of delivering education (including inflation) and achieving public policy objectives over time. Costing may not regularly be done or done in a way that is not salient for government policymakers.</t>
  </si>
  <si>
    <t>Mokoro. 2019. GPE 2020 Country-level
Prospective Evaluations. FIRST ANNUAL REPORT: DEMOCRATIC REPUBLIC OF CONGO (DECEMBER 2018). https://mokoro.co.uk/wp-content/uploads/2019-03-gpe-drc-cle-report.pdf</t>
  </si>
  <si>
    <t>Reinekka and Svensson (2001)</t>
  </si>
  <si>
    <t>Datta and Kingdo. 2021. The Myth and Reality of Teacher Shortage in India: An Investigation Using 2019-20 Data. RISE Programme Working Paper. https://riseprogramme.org/sites/default/files/2021-05/Myth_of_Teacher_Shortage_in_India.pdf
Blum and Diwan. 2007. Small schools in India. IoE and NUEPA. https://assets.publishing.service.gov.uk/media/57a08bf6ed915d3cfd001094/PTA17.pdf</t>
  </si>
  <si>
    <t xml:space="preserve">OPM. 2019. Financial Debottlenecking Analysis 
</t>
  </si>
  <si>
    <t>CABRI (unpublished) Building PFM Capabilities: Mali presentation</t>
  </si>
  <si>
    <t>OAG Kenya. n.d. https://www.oagkenya.go.ke/2020-2021-schools/</t>
  </si>
  <si>
    <t>Antoine Lacroix, Ivan Kasozi, Cathal Long. 2024. Towards interoperability: Uganda’s digital tool for managing intergovernmental fiscal transfers. ODI. 
Long Mbate Lacroix Fraser 2021. 
Intergovernmental fiscal transfers, equity and service delivery. ODI.  https://docs.edtechhub.org/lib/BGCRN4D3</t>
  </si>
  <si>
    <t>Liberia: Budget credibility remains weak. Liberia has struggled to implement budgets as planned – aggregate expenditure outturns have significantly deviated from approved budgets, indicating limited credibility. Public spending has been highly volatile (rising sharply during aid-fueled booms and then contracting), undermining a stable counter-cyclical policy.</t>
  </si>
  <si>
    <t>*Liberia PEFA - 2012</t>
  </si>
  <si>
    <t>Italy: As a Eurozone member, Italy’s monetary policy is set by the ECB, which at times has diverging priorities from Italy’s fiscal needs. During the 2011–2012 debt crisis, Italy’s fiscal credibility issues led to surging bond spreads that impeded monetary transmission and forced ECB intervention. Since then, Italy has worked within EU rules (e.g. fiscal compacts) to ensure its budget plans don’t jar with ECB policy. However, episodes like the post-COVID large deficits have raised concerns that high financing needs could put pressure on interest rates, underscoring the importance of policy coordination to avoid fragmentation.</t>
  </si>
  <si>
    <t>*https://www.imf.org/en/News/Articles/2024/07/23/pr24286-italy-imf-exec-board-concludes-2024-art-iv-consult#:~:text=adversely%20affected%20by%20an%20intensification,confidence%2C%20further%20weakening%20public%20finances
*https://economy-finance.ec.europa.eu/document/download/6d5fda5b-9aec-446e-b7eb-24b58225cd4d_en?filename=ip214_en.pdf</t>
  </si>
  <si>
    <t>Angola: Angola’s fiscal revenues have been dominated by oil, which is subject to price swings. When oil prices fell, revenues plunged, exposing the unsustainability of its revenue model. Non-oil taxation is underdeveloped. The IMF has urged Angola to mobilize more non-oil domestic revenue via tax policy measures to create a sustainable fiscal base. Progress is being made (VAT introduction, improved compliance), but public sector plans (diversification, social spending) still largely hinge on oil receipts and one-off windfalls, which is precarious.</t>
  </si>
  <si>
    <t>* https://www.imf.org/en/News/Articles/2024/07/03/pr-24260-angola-post-financing-assessment-pfa-consultation#:~:text=rationalize%20spending%20in%20the%20near,and%20public%20investment%20management%20reforms
* PEFA Angola - 2012, 2020</t>
  </si>
  <si>
    <t>* PEFA Liberia - 2009, 2020</t>
  </si>
  <si>
    <r>
      <rPr>
        <b/>
        <sz val="11"/>
        <color rgb="FF000000"/>
        <rFont val="Calibri"/>
        <family val="2"/>
      </rPr>
      <t>Angola</t>
    </r>
    <r>
      <rPr>
        <sz val="11"/>
        <color rgb="FF000000"/>
        <rFont val="Calibri"/>
        <family val="2"/>
      </rPr>
      <t>: Highly pro-cyclical fiscal behavior during oil booms/busts. In boom years, flush with oil revenues, spending (especially on large infrastructure projects and subsidies) exploded, only to be slashed in lean years. Public investment was “highly pro-cyclical” before reforms. Politically, there was pressure to spend oil windfalls on visible projects and patronage, reinforcing short-termism. This exacerbated busts – when oil prices crashed, the sudden fiscal tightening deepened recessions. Only recently has Angola started instituting saving mechanisms (sovereign fund, etc.) to temper this pattern, but enforcement of counter-cyclical rules remains challenging.</t>
    </r>
  </si>
  <si>
    <t>*https://www.chathamhouse.org/2018/09/angolas-infrastructure-ambitions-through-booms-and-busts/3-importance-infrastructure</t>
  </si>
  <si>
    <r>
      <rPr>
        <b/>
        <sz val="11"/>
        <color rgb="FF000000"/>
        <rFont val="Calibri"/>
        <family val="2"/>
      </rPr>
      <t xml:space="preserve">Italy: </t>
    </r>
    <r>
      <rPr>
        <sz val="11"/>
        <color rgb="FF000000"/>
        <rFont val="Calibri"/>
        <family val="2"/>
      </rPr>
      <t>Frequent optimism in official projections, checked by independent oversight. Italy’s government forecasts for growth and revenues have tended to be optimistic, which can inflate expected revenues and allow larger planned expenditures. The independent Parliamentary Budget Office (UPB) often flags these biases – for instance, it has expressed skepticism when official GDP growth targets exceed its own or the central bank’s estimates. Over the last decade, several budget plans had to be revised when growth underperformed rosy predictions. The introduction of Italy’s fiscal council in 2014 has improved the situation by providing an impartial view on forecasts, yet political incentives still lead to optimistic revenue targets (e.g., projecting high tax compliance improvements) that are not always realized.</t>
    </r>
  </si>
  <si>
    <t>*https://www.imf.org/en/News/Articles/2024/07/23/pr24286-italy-imf-exec-board-concludes-2024-art-iv-consult#:~:text=adversely%20affected%20by%20an%20intensification,confidence%2C%20further%20weakening%20public%20finances
*https://economy-finance.ec.europa.eu/document/download/6d5fda5b-9aec-446e-b7eb-24b58225cd4d_en?filename=ip214_en.pdf
*https://www.euractiv.com/section/politics/news/italys-seven-year-budget-plan-approved-amid-criticism/#:~:text=Italy%27s%20seven,target</t>
  </si>
  <si>
    <r>
      <rPr>
        <b/>
        <sz val="11"/>
        <color rgb="FF000000"/>
        <rFont val="Calibri"/>
        <family val="2"/>
      </rPr>
      <t>Liberia</t>
    </r>
    <r>
      <rPr>
        <sz val="11"/>
        <color rgb="FF000000"/>
        <rFont val="Calibri"/>
        <family val="2"/>
      </rPr>
      <t>: After Liberia’s massive debt relief in 2010s, debt levels went up again, especially when growth faltered (e.g. after the Ebola crisis). Liberia tends to borrow more in bad times (from multilaterals or by accumulating domestic arrears) since it cannot easily tap markets in a crisis – a pro-cyclical pattern that adds to stress. Debt management capacity is still developing, though PEFA noted some strengths (e.g. basic debt procedures exist). Still, the latest Debt Sustainability Analysis shows Liberia at high risk of overall debt distress, meaning its borrowing has outpaced prudent levels and fiscal buffers are thin. Flaws like short maturity domestic debt and reliance on central bank advances (in the past) have further hampered strategic debt management.</t>
    </r>
  </si>
  <si>
    <t>* PEFA Liberia - 2009, 2020
* Liberia Article IV, 2022</t>
  </si>
  <si>
    <r>
      <rPr>
        <b/>
        <sz val="11"/>
        <color rgb="FF000000"/>
        <rFont val="Calibri"/>
        <family val="2"/>
      </rPr>
      <t>Angola</t>
    </r>
    <r>
      <rPr>
        <sz val="11"/>
        <color rgb="FF000000"/>
        <rFont val="Calibri"/>
        <family val="2"/>
      </rPr>
      <t xml:space="preserve">: Angola’s public debt increased dramatically after the oil price collapse; despite recent improvements, it was about 84% of GDP in 2023. This high debt burden, much of it external, limits the government’s fiscal flexibility. A large portion of revenue goes to servicing debt (interest and amortization), and Angola had to dedicate oil windfall savings entirely to debt reduction. High debt also means new borrowing options are limited or expensive, constraining Angola’s capacity to finance counter-cyclical measures or invest in infrastructure without jeopardizing sustainability. </t>
    </r>
  </si>
  <si>
    <t>* PEFA Angola - 2012, 2020
* Angola Article IV, 2023
*https://www.imf.org/en/News/Articles/2021/06/09/pr21168-angola-imf-exec-board-completes-5th-review-of-the-eff-arrangement-and-approves-disbursement#:~:text=They%20achieved%20a%20strong%20fiscal,decision%20to%20request%20an%20extension</t>
  </si>
  <si>
    <t xml:space="preserve">Italy relies heavily on the bond market – it has one of the largest government bond markets globally. While generally it can access financing, this access is not always on Italy’s own terms: the country must cater to market expectations to avoid surges in yields. During periods of political instability or policy uncertainty, Italy has seen investors demand higher yields or shorten maturities, reflecting a lack of fully strategic control. Italy’s market access has been buffered by the ECB (through programs like OMT and asset purchases), which is a backstop many other countries don’t have. Nonetheless, the need to constantly refinance large debts means Italy’s fiscal policy is often constrained by market reactions; it cannot, for instance, dramatically increase borrowing without facing an “interest rate penalty.” </t>
  </si>
  <si>
    <t>*Italy Article IV, 2024</t>
  </si>
  <si>
    <t>Liberia: Spending skewed toward consumption over investment. Liberia’s use of public resources has not been well-aligned with building long-term resilience. Recurrent expenditures (especially wages and subsidies) crowd out capital investment. The government consistently overspends on current expenditure and underspends on capital projects. This pattern leaves the economy with weak infrastructure and low resilience to shocks. For instance, road and electricity networks remain underdeveloped while payrolls and administrative costs eat up the budget. Such allocation is inconsistent with the goal of fostering a more resilient, diversified economy. Efforts like the Public Sector Investment Plan exist but are not fully funded or followed, resulting in ad-hoc investment and maintenance gaps.</t>
  </si>
  <si>
    <t>* PEFA Liberia - 2009, 2020
* Liberia Article IV, 2022
*https://documents1.worldbank.org/curated/en/099310006242269769/pdf/P175336029888704088f708208603f86e8.pdf#:~:text=The%20GoL’s%20public%20spending%20in,Public%20spending%20was%20rising%20from</t>
  </si>
  <si>
    <t>Liberia: With Liberia’s debt on the rise, interest payments are taking a bigger bite of government revenues (though much of debt is concessional, the burden is growing as grants decline). More striking is the public wage bill: by 2021, wages accounted for slightly over half of government expenditures (BTI 2024 Liberia Country Report). This leaves very little fiscal space for operations and investment. A rising wage bill (due to hiring and pay hikes) alongside high debt service means essential services can be underfunded. The combination of these rigid expenses can lead to accumulation of arrears or reliance on cash rationing. Liberia has recognized this challenge – a hiring freeze and wage bill audits are among measures to control it – but progress is slow, and interest costs will climb if borrowing continues.</t>
  </si>
  <si>
    <t>* PEFA Liberia - 2009, 2020
* Liberia Article IV, 2022
*https://bti-project.org/en/reports/country-report/LBR#:~:text=experienced%20a%20significant%20increase%20since,of%20government%20expenditures%20by%202021</t>
  </si>
  <si>
    <t>Angola: Angola’s public expenditure has not always translated into commensurate outcomes. A Chatham House study noted that despite significant investments, the limited consideration of feasibility, absorption capacity, and corruption risks led to “limited value for money” from 15 years of infrastructure spending. Inefficiencies also stem from a dual budgeting system in the past – with Sonangol and other SOEs executing quasi-fiscal activities outside normal scrutiny, leading to overlaps and waste. Procurement processes have been reformed only recently to curb inefficiency and favoritism. Additionally, routine expenditures (like fuel subsidies in the past) soaked up huge sums with relatively poor targeting, indicating inefficient allocation. While reforms under the IMF program (expenditure prioritization, public investment management improvements) are addressing some issues, inefficiency in spending remains a drag on Angola’s fiscal effectiveness.</t>
  </si>
  <si>
    <t>Liberia: Liberia’s capability to monitor fiscal risks  is very limited. There is no regular reporting on contingent liabilities and the government doesn’t quantify potential calls on guarantees. This means risks can build unnoticed. For example, if a state enterprise incurs losses or arrears, there’s no systematic tracking in budget documents. Fiscal risk statements are not part of the budget. The PEFA 2020 scored Liberia low on fiscal risk reporting. Regulation of these risks is equally weak: SOE oversight is minimal (many don’t produce timely financials) and there is no sovereign insurance mechanism for disasters, etc. The result is vulnerability to surprises that can destabilize the budget.</t>
  </si>
  <si>
    <t>Angola: Angola was known for poor fiscal transparency – budgets were not comprehensive and data on oil revenues and expenditures were often opaque. For instance, until recently, a significant portion of oil revenue was retained by Sonangol for quasi-fiscal operations with minimal disclosure.  There is also no independent fiscal council to provide oversight. However, since the IMF program, Angola has taken steps: it now publishes more detailed budget execution reports, has undergone an IMF fiscal transparency evaluation, and improved transparency in the oil sector (publishing oil price assumptions and fuel subsidy costs). The Parliament’s role in budget oversight has grown, but independent scrutiny is still relatively weak. Overall, while Angola remains below international transparency standards, the trajectory is toward greater openness (e.g., publishing audits of COVID-19 funds, more data on sovereign wealth fund) due to reform pressures.</t>
  </si>
  <si>
    <t>* PEFA Angola - 2012, 2020
* Angola Article IV, 2023
*https://www.chathamhouse.org/2018/09/angolas-infrastructure-ambitions-through-booms-and-busts/3-importance-infrastructure</t>
  </si>
  <si>
    <t>Liberia: Liberia’s public finance data suffers from inconsistencies and gaps. Different ministries and donors maintain separate records, and there isn’t a unified, timely fiscal database. Basic fiscal reports (like end-year financial statements) have faced delays, and the government only recently began publishing monthly fiscal outturns. Data is often irregular and incomplete and until recently did not compile comprehensive debt data in one place. Accuracy is also an issue: cash-based accounting is used, and expenditure arrears sometimes go unrecorded until audited. These deficiencies mean policymakers and the public don’t always have a clear picture of fiscal reality in real time. Donor-funded projects and off-budget activities further fragment the data.</t>
  </si>
  <si>
    <t xml:space="preserve">Mozambique’s domestic violence legislation is considered to be a result of the lobbying from CSOs over a period at least 15 years that including public awareness campaigns and drafting inputs. However, following amendments made in Parliament, seeking to accommodate complaints of certain groups that the bill had discriminated against men, the final law was considered by some to lack harmonization, and was seen as a dilution of the civil society proposals. </t>
  </si>
  <si>
    <t>Sida, 2013. Support to Civil Society Engagement in Policy Dialogue Synthesis report. Ministry of Foreign Affairs of Denmark. https://cdn.sida.se/publications/files/sida61576en-support-to-civil-society-engagement-in-policy-dialogue---synthesis-report.pdf</t>
  </si>
  <si>
    <t>An analysis of GBV services in three Canadian cities identified challenges faced by women experiencing GBV as they navigate fragmented health and social services across multiple siloed systems</t>
  </si>
  <si>
    <t>Rudzinski, K., Hudspith, L.F., Guta, A. et al. Navigating fragmented services: a gender-based violence (GBV) critical feminist analysis of women’s experiences engaging with health and social supports in three Canadian cities. BMC Public Health 25, 1213 (2025). https://doi.org/10.1186/s12889-025-21919-w</t>
  </si>
  <si>
    <t>A review of gender budgeting practices in G20 countries found that in eight G20 countries plus Austria, gender goals existed but were not linked to programs, or costed. The review concludes that without adequate costings of proposals, prioritization within allocated expenditure ceilings can be compromised, even if gender goals are linked to programs</t>
  </si>
  <si>
    <t>A report from the United Kingdom points to a lack of specialist training amongst police officers on matters of GBV,  acting as an obstacle to effective police intervention in GBV cases, impeding an individual’s access to justice and contributing to an overall reluctance to report such incidences.</t>
  </si>
  <si>
    <t>Stanko, B. 2022. Independent report: Operation Soteria Year One Report. UK: Home Office. https://www.gov.uk/government/publications/operation-soteria-year-one-report.</t>
  </si>
  <si>
    <t>Biased or inaccurate fiscal forecasting and unpredictable, volatile resource flows result in GBV related budgets being under-funded.</t>
  </si>
  <si>
    <r>
      <rPr>
        <b/>
        <sz val="11"/>
        <color rgb="FF000000"/>
        <rFont val="Calibri"/>
        <family val="2"/>
      </rPr>
      <t>South Africa:</t>
    </r>
    <r>
      <rPr>
        <sz val="11"/>
        <color rgb="FF000000"/>
        <rFont val="Calibri"/>
        <family val="2"/>
      </rPr>
      <t xml:space="preserve"> Despite South African Government passing a National Strategic plan to address gender-based violence and femicide, funding for shelters is widely considered to be chronically underfunded, and during the macrofiscal shock caused by the pandemic, was subject to delays, causing some shelters to reduce or halt operations in a period when prevalence rates were spiking.</t>
    </r>
  </si>
  <si>
    <t>Human Rights Watch, 2021. South Africa: Broken Promises to Aid Gender-Based Violence Survivors. Published November 24 2021. https://www.hrw.org/news/2021/11/24/south-africa-broken-promises-aid-gender-based-violence-survivors</t>
  </si>
  <si>
    <r>
      <t xml:space="preserve">Research has found that debt repayment crowds out spending to services which disproportionately affect women, including social protection, health, care, and gender-based violence prevention and response services, linking the debt crises in countries such as </t>
    </r>
    <r>
      <rPr>
        <b/>
        <sz val="11"/>
        <color rgb="FF000000"/>
        <rFont val="Calibri"/>
        <family val="2"/>
      </rPr>
      <t>Mozambique</t>
    </r>
    <r>
      <rPr>
        <sz val="11"/>
        <color rgb="FF000000"/>
        <rFont val="Calibri"/>
        <family val="2"/>
      </rPr>
      <t xml:space="preserve"> to cuts in essential services for women.</t>
    </r>
  </si>
  <si>
    <t>Musindarwezo, D. and Jones, T. 2019. Debt and gender equality: How debt servicing conditions harm women in Africa. Bretton Woods Project. https://www.brettonwoodsproject.org/wp-content/uploads/2019/03/Debt_and_gender_equality.pdf</t>
  </si>
  <si>
    <t xml:space="preserve"> In Albania, for example, the Ministry of Health and Social Protection has overall responsibility for coordinating GBV services, and yet, has no direct influence over budgets in the education, justice, interior and gender ministries, which are negotiated bilaterally between the finance ministry and respective sector ministries.  </t>
  </si>
  <si>
    <t>Ministry of Health and Social Protection (MOHSP), 2021. National Strategy for Gender Equality 2021-2030. Tirana: Government of Albania.
Also interview with MOHSP, May 2024</t>
  </si>
  <si>
    <t xml:space="preserve">An analysis of GBV expenditure listed in Rwanda’s 2022/23 Gender Budget Statement identified relevant expenditure under four ministries (health, defense, justice, and gender) and various district governments; while at the same time, the country has long been reliant on donors to finance a large portion of their GBV services, including the first Isange One Stop Centers. Outside the public sector, communities, religious institutions and NGOs also have a key role in GBV prevention and response but do not receive government financing for this.  </t>
  </si>
  <si>
    <t xml:space="preserve">Ministry of Finance and Economic Planning (MINCOFIN), 2021. Gender Budget Statement FY 2022-2023. Kigali: Government of Rwanda. (Analysis by authors)
USAID, 2018. United Towards a Rwanda free from Gender Based Violence: Analysis of GBV Policy Implementation Gaps. USAID: Washington DC https://pdf.usaid.gov/pdf_docs/PA00WRBN.pdf
United Nations Multipartner Trust Fund, 2018. Strengthening the Isange One Stop Centers to prevent and respond to Sexual and Gender Based Violence in Rwanda. New York: United Nations https://mptf.undp.org/sites/default/files/documents/35000/20200130_jp_on_gender_isoc-netherlands.pdf </t>
  </si>
  <si>
    <t>In Rwanda, the issues around short-term volatility of donor funding for NGOs is reported to affect GBV service delivery, particularly for norms change work, which really benefits sustained engagement.</t>
  </si>
  <si>
    <t>USAID, 2018. United Towards a Rwanda free from Gender Based Violence: Analysis of GBV Policy Implementation Gaps. USAID: Washington DC https://pdf.usaid.gov/pdf_docs/PA00WRBN.pdf</t>
  </si>
  <si>
    <t xml:space="preserve">For example, in Peru, only 20% of GBV-related spending is for prevention, compared to 68% for response.  This pattern, which is common across governments and mirrored in aid spending on GBV, is associated with increased reliance on overstretched response services.  </t>
  </si>
  <si>
    <t>The Equality Institute &amp; The Accelerator for GBV Prevention (2023) What Counts? The State of Funding for the Prevention of Gender-based Violence Against Women and Girls. https://preventgbv.org/wp-content/uploads/2023/11/EQI_The-Accelerator_What-Counts_Report_Nov-2023-1.pdf</t>
  </si>
  <si>
    <t>An audit of GBV policy implementation in the UK concluded that the Home office, as assigned coordinating entity, was not leading an effective cross-government response, due to a limited understanding of the extent of resources devoted to addressing GBV across government and its partners, and the impact this is having.</t>
  </si>
  <si>
    <t>National Audit Office, 2025. Tackling violence against women and girls – Home Office. National Audit Office: London, UK. https://www.nao.org.uk/wp-content/uploads/2025/01/tackling-violence-against-women-and-girls.pdf</t>
  </si>
  <si>
    <t xml:space="preserve">For example, in Rwanda, different bureaus within the Ministry of Finance and Economic Planning deal with different agency budgets, with the implication that different officers were scrutinizing different part of GBV spending in isolation.    </t>
  </si>
  <si>
    <t>Interview with MINECOFIN, May 2024</t>
  </si>
  <si>
    <t>An audit of GBV policy implementation in the UK found bidding processes for government contracts excluded smaller “by and for”  organizations, who could not compete with larger organizations in bidding consortia, or dedicate the necessary resources to intensive bidding processes. Moreover they lacked long-term funding options, with most contracts awarded on a short-term basis.</t>
  </si>
  <si>
    <t>World Bank, 2019. 10 Mensajes sobre la violencia contra las mujeres en el Perú : Un análisis de las inversiones públicas en esta agenda : Resumen (Spanish). Washington, DC: World Bank. https://documents.worldbank.org/en/publication/documents-reports/documentdetail/584501561492496523/resumen?deliveryName=DM15184
Interviews with World Bank Poverty and Equity staff, May 2024
Vara, A., 2013. Violence against women and its financial consequences for businesses in Peru https://www.researchgate.net/publication/283327430_Los_costos_empresariales_de_la_violencia_contra_las_mujeres_en_el_Peru_Resumen_en_Espanol
National Audit Office, 2025. Tackling violence against women and girls – Home Office. National Audit Office: London, UK. https://www.nao.org.uk/wp-content/uploads/2025/01/tackling-violence-against-women-and-girls.pdf</t>
  </si>
  <si>
    <t>Data sharing and transparency was noted to be an issue in Peru, where respondents pointed to the need to link administrative data from the various ministries related to GBV services, to improvement the management of services and complement statistical data on outcomes.</t>
  </si>
  <si>
    <t xml:space="preserve">Interview with World Bank Poverty and Equity Practice staff, May 2024
</t>
  </si>
  <si>
    <t>Connolly, E. et al. (2024) ‘Revision of Malawi’s Health Benefits Package: A Critical Analysis of Policy Formulation and Implementation’, Value in Health Regional Issues, 39, pp. 84–94. Available at: https://doi.org/10.1016/j.vhri.2023.10.007.</t>
  </si>
  <si>
    <t>Chaitkin, M. (2022) ‘Intergovernmental Rivalry and Fragmentation: How Federalism Shapes Public Financial Management and Health Financing in Nigeria. Case Study Series on Devolution, Health Financing, and Public Financial Management’. ThinkWell.</t>
  </si>
  <si>
    <t>Hafez, R. (2018) Nigeria Health Financing System Assessment. World Bank, Washington, DC. Available at: https://doi.org/10.1596/30174.</t>
  </si>
  <si>
    <t>In Pakistan, renewable energy transition policies were developed in isolation from broader development goals, leading to incoherent strategies. The Alternative and Renewable Energy (ARE) Policy (2006, Updated 2011 and 2019) is separate from the National Power Policy (Updated 2002 and 2013). An updated Generation and Transmission Plan 2013-16 was prepared, but not adopted by the Ministry of Water and Power. More recently, an integrated approach to energy policy has been emerging: The 2023 National Electricity Policy (2021) and Plan (2023) provide a more coordinated approach that draws on the ARE 2019 and the Indicative Generation Capacity Expansion Plan (IGCEP) a rolling ten year plan that is approved by the regulator, NEPRA.</t>
  </si>
  <si>
    <t>World Bank 2019c Lessons from Power Sector Reform: The Case of Pakistan. Washington DC: World Bank. Internet. Available: https://documents1.worldbank.org/curated/en/403611557151850485/pdf/Learning-from-Power-Sector-Reform-The-Case-of-Pakistan.pdf
Government of Pakistan 2023. National Electricity Plan 2023-27. Internet. Available. https://power.gov.pk/SiteImage/Policy/National%20Electricity%20Plan%202023-27.pdf
NEPRA 2022 Indicative Generation Capacity Expansion Plan. Internet. Available: https://www.nepra.org.pk/licensing/Licences/IGCEP/LAT-01%20NTDC%20IGCEP-2022-31%2001-02-2023%201550-90.PDF</t>
  </si>
  <si>
    <t xml:space="preserve"> In Uruguay, NDCs represented a national climate position but were not costed comprehensively. Most less developed countries with NDCs tht are costed include objectives that are contingent on the emergence of external finance.</t>
  </si>
  <si>
    <t>https://unfccc.int/NDCREG</t>
  </si>
  <si>
    <t>In Kenya, none of an initial wave of projects awarded under a first renewable energy feed-in-tariff were commissioned due to a range of unpredicted challenges including access to land and management of host communities, lack of project development experience and financial capacity of contractors. However, as time progressed and the renewable energy sector grew deeper and more sophisticated, the FiT tariff, at US$0.12/kWh, no longer looked attractive from the government perspective and needed to be revised downwards.</t>
  </si>
  <si>
    <t>World Bank 2019b Lessons from Power Sector Reform: The Case of Kenya. Washington DC: World Bank. Internet. Available: https://documents1.worldbank.org/curated/en/451561555435655366/pdf/Learning-from-Power-Sector-Reform-The-Case-of-Kenya.pdf</t>
  </si>
  <si>
    <t>In Pakistan, frequent changes of government and a general lack of political consensus around the reform agenda caused limited coherence or commitment to long-term planning commitment. Short term political economy pressures led to an unwillingness to raise tariffs or take serious steps to reduce losses despite rising fuel costs resulting in crippling circular debt . Additionally, institutional capabilities and incentives for information sharing and driving collective agreement were inadequate to identify or reach consensus on trade-offs between long term affordability, accessibility and transition objectives. With very poor and opaque financial performance and no coherent long term strategy for introducing renewable generation, the prospects for attracting necessary private investment, or even concessional finance were very poor.</t>
  </si>
  <si>
    <t>World Bank 2019c Lessons from Power Sector Reform: The Case of Pakistan. Washington DC: World Bank. Internet. Available: https://documents1.worldbank.org/curated/en/403611557151850485/pdf/Learning-from-Power-Sector-Reform-The-Case-of-Pakistan.pdf</t>
  </si>
  <si>
    <t>Power distribution companies (DISCOs) in Pakistan have struggled with poor bill collection, but regulators have kept tariffs far below operations costs and the structural imbalance of funding has led to repeated failure to pay power generation companies, huge fiscal deficits and regular large bailouts (circular debt) all undermining the performance of the sector (see 8.3 for more detailed sumamry of circular debt).</t>
  </si>
  <si>
    <t>Asian Development Bank 2021 Proposed Programmatic Approach and Policy- Based Loan for Subprogram 2 Islamic Republic of Pakistan: Energy Sector Reforms and Financial Sustainability: Circular Debt Impact on Power Sector Investment Supplementary Linked Document. Manilla: Asian Development Bank. Internet: https://www.adb.org/sites/default/files/linked-documents/53165-002-ld-03.pdf</t>
  </si>
  <si>
    <t>Coalition of Finance Ministries for Climate Action 2023. Strengthening the Role of Ministries of Finance in Driving Climate Action A Framework and Guide for Ministers and Ministries of Finance. Washington, DC: World Bank (CFMCA secretariat). Internet. Available: https://www.financeministersforclimate.org/sites/cape/files/inline-files/Strengthening%20the%20role%20of%20Ministries%20of%20Finance%20in%20driving%20action%20FULL%20REPORT.pdf
Isaad, H. 2023. Pakistan's Power Predicament. London: TransitionZero. Internet. Available: https://www.transitionzero.org/insights/pakistans-power-predicament</t>
  </si>
  <si>
    <t>World Bank 2022a Sahel CCDR. Washington: World Bank. Internet. Available: https://openknowledge.worldbank.org/server/api/core/bitstreams/197f07e0-d3ec-48bc-9d52-38d551d5d312/content</t>
  </si>
  <si>
    <t xml:space="preserve">Weak regulation in the Sahel has meant unsolicited and inefficient emergence of private power producers (see 5.2)
Disincentives to provide financial monitoring information due to rent seeking behaviour (Pakistan) within the utilities can reinforce existing reporting weaknesses caused by reporting capabilities in the or legal constraints (See 8.3 below for more detail on governance and accountability challenges). </t>
  </si>
  <si>
    <t xml:space="preserve">In Morocco, the absence of an independent regulator caused tariff regulation and transparency issues, while cross-subsidization between sectors distorted pricing. This meant that key components of regulatory governance were not articulated, and effectively unenforceable, even if certain aspects were implemented in practice. The complexity of Morocco’s tariff regime and cost-reflective pricing is underlined by the common thread of inconsistent financial accounting and data reporting practices. These are directly linked to the absence of an independent regulator as the substance of regulation was carried out by the government prior to 2016 when ANRE (Autorité Nationale de Régulation de l’Energie) was established.  Even then, it has taken 7 years for key legislation governing liberalization of the electricity sector to be enacted, and regulatory text to implement these laws remains incomplete. The prolonged absence of an independent regulator has three implications. First, important aspects of regulatory governance are not formally articulated even if certain aspects of regulation are implemented in practice. Best practice rules around accountability and autonomy of decision-making do not exist, affecting the quality of tariff regulation and quality of service, and suppressing any culture of reporting and publishing data. Second, it compounds the problem of lack of public data reporting which exists due to the utility, ONEE’s, horizontal integration with a water services division even though the financial accounts for these two services are separated. Third, a rigid tariff regime results from the ingrained practice of cross-subsidization – of low-income households, various consumer categories, and of water and sanitation activities by both ONEE and distribution companies .
</t>
  </si>
  <si>
    <t xml:space="preserve">World Bank 2019a Lessons from Power Sector Reforms, the Case of Morocco. Washington, DC: World Bank. Internet. Available: https://documents.worldbank.org/en/publication/documents-reports/documentdetail/471511565200281012/lessons-from-power-sector-reforms-the-case-of-morocco
</t>
  </si>
  <si>
    <t>Increased access and completion rates to education, and enhanced education quality, which is equitably delivered across genders, locations, and socio-economic groups.</t>
  </si>
  <si>
    <t xml:space="preserve">Despite attending school, students often fail to learn due because they do not have access to quality teaching.  There may be gaps in teacher deployment to schools and teachers that are deployed may lack motivation and skills due to a combination of inadequate, unreliable and/or inappropriate teacher training, civil servants’ beliefs, oversight, learning materials, curricula and school infrastructure. </t>
  </si>
  <si>
    <t>There are disparities in equity and access to education.</t>
  </si>
  <si>
    <t>Marginalized groups, including low-income households, rural communities, and girls, face significant barriers to quality education. Infrastructure deficits, long travel distances, socio-cultural norms, and inadequate learning materials limit equitable access and contribute to high dropout rates.</t>
  </si>
  <si>
    <t>Education policies are not aligned to delivery capability and are poorly coordinated.</t>
  </si>
  <si>
    <t>D. Performance &amp; Accountability in Delivery</t>
  </si>
  <si>
    <t>Public Sector Institutions (People, Systems &amp; Organizations)</t>
  </si>
  <si>
    <t>Outcome-Specific Public Finance Bottleneck</t>
  </si>
  <si>
    <t>Building and preserving fiscal space—through sound management of the fiscal balance, revenues, expenditures, and debt—allows governments to respond to short-term economic shocks with timely and appropriate counter-cyclical fiscal policies, while also supporting investments that reduce vulnerability to shocks and promote sustained growth in the long-term.</t>
  </si>
  <si>
    <t>Sound fiscal policies, such as those that aim to reduce revenue volatility and constrain unsustainable spending, deficits, and debt (e.g. fiscal rules), can help build and preserve fiscal space. This, in turn, enables governments to respond to short-term shocks with counter-cyclical measures, without jeopardizing fiscal sustainability, while also enabling longer-term investments that reduce vulnerability to shocks and support higher productivity and growth. Key components of such policy frameworks include: (i) Feasible tax policies that support revenue mobilization, diversification, and smoothing; (ii) Prudent, well-informed medium-term fiscal and debt strategies that prioritize and efficiently allocate available resources, and; (iii) Effective in-year expenditure controls.</t>
  </si>
  <si>
    <t>During periods of high revenue growth or better access to borrowing, governments tend to be under pressure to spend more to satisfy short-term demands. This can result in the need for deep fiscal consolidation in times of economic contraction, amplifying economic fluctuations and undermining economic resilience.</t>
  </si>
  <si>
    <t>Many countries already face unsustainable fiscal situations, leading to policy paralysis.</t>
  </si>
  <si>
    <t>It is easier to maintain fiscal space than it is to rebuild fiscal space. Many countries today are already saddled with high debt and interest payment burdens following multiple crises and borrowing that has not (or not yet) stimulated growth. Coupled with sluggish growth and persistently low revenues, some countries require significant fiscal consolidation including cutting expenditure and restructuring debt. From this situation it is challenging to initiate a counter-cyclical fiscal policy that stimulates the economy and creates fiscal space.</t>
  </si>
  <si>
    <t>Although fiscal policies may be counter-cyclical on paper, in practice policy implementation is often the reverse.</t>
  </si>
  <si>
    <t>Often action is inconsistent with policy. For example, whilst issuance of short-term debt may be to smooth expenditure, in practice it is used to finance short term expenditure pressures. Such inconsistencies, in turn contribute to incoherence in policy action. Monetary and fiscal policy or tax and expenditure policy may work against each other as a result. During periods of expansion governments may continue to spend whist monetary policy is tightened, for example.</t>
  </si>
  <si>
    <t>Poor quality, often over-optimistic, economic and fiscal policy, forecasting and management can undermine efforts to build economic resilience</t>
  </si>
  <si>
    <t>Macro-fiscal forecasts may be consistently biased – and typically towards being overly optimistic – which increases the likelihood of pro-cyclical policy action. This is often the result of weak technical capacity to produce quality data, and to make projections, to manage critical fiscal policy decision-making processes (hindering aggregate fiscal policy and strategic resource allocation decisions), to monitor and enforce defined rules and restrictions and associated processes, and to ensure timely data sharing among relevant units and stakeholders. This weak capacity combines with pro-cyclical incentives to exacerbate the optimistic bias.</t>
  </si>
  <si>
    <t>Development Outcome</t>
  </si>
  <si>
    <t>Specific Public Finance Bottleneck</t>
  </si>
  <si>
    <t>A lack of alignment and commitment among key stakeholders, including government bodies, educational institutions, teacher organizations and funders, toward implementing and adhering to education policies.</t>
  </si>
  <si>
    <t>Insufficient stakeholder involvement in policy development, within and across levels of government, educational institutions, teacher organizations and funders, toward implementing and adhering to education policies.</t>
  </si>
  <si>
    <t>Repeated unrealistic budgeting can lead to within-year cuts to non-wage expenditure in education, with capital budgets often executed at very low levels in aggregate percentage terms.</t>
  </si>
  <si>
    <t xml:space="preserve">Education policies announced relating to access and quality (e.g. staffing, pedagogical and infrastructure norms) are often  unaffordable given costs and fiscal reality, leading to resource gaps, service rationing, and overburdened infrastructure.   </t>
  </si>
  <si>
    <t xml:space="preserve">Economic downturns can lead to cuts in education spending, affecting the quality and reach of education services. </t>
  </si>
  <si>
    <t>Resources allocated for education are often inadequate and not equitably distributed, contributing to disparities in education quality and access.</t>
  </si>
  <si>
    <t xml:space="preserve">There is a budgetary misallocation across education levels relative to stated policy priorities, with excessive budget allocations to higher (secondary and especially tertiary) education at the expense of primary levels. </t>
  </si>
  <si>
    <t>Education sector resource mobilization and deployment is neither informed by demand nor by the costs of delivering education (including inflation) and achieving public policy objectives over time. Costing is not undertaken regularly nor is it done in a way that is salient for government policymakers.</t>
  </si>
  <si>
    <t>Educational resources are not equitably distributed, failing to address disparities in the quality of and access to education across socioeconomic groups, other demographic categories, and geographic regions.</t>
  </si>
  <si>
    <t>There is often incoherence in the design and weakness in coordination of inter-governmental financing systems for service delivery, which may be by-passed entirely, in multi-level governance contexts.</t>
  </si>
  <si>
    <t xml:space="preserve">Resources for teachers, schools, sub-national governments, and other education organizations are unpredictable, delayed, or diverted from agreed priorities, disrupting service delivery.  </t>
  </si>
  <si>
    <t>The pattern of resource deployment is inefficient due to high overhead costs and unbalanced allocations to delivery inputs (e.g. insufficient non-wage spending) and to higher-cost sectoral programs (e.g. a bias toward tertiary education).</t>
  </si>
  <si>
    <t>Investment in school infrastructure is often fragmented, not based on needs, and may reinforce existing inequities in education access.</t>
  </si>
  <si>
    <t>Teachers may be relatively high cost (there is often a public sector wage premium) and there may be imbalances in teacher deployment, with shortages in under-served areas and surpluses elsewhere, which often persist over time despite efforts to redress them. There may also be overly rigid HR policies that hinder flexibility and performance-based promotions.</t>
  </si>
  <si>
    <t>There are insufficient resources for non-wage recurrent expenditures, such as instructional materials, textbooks, school infrastructure maintenance, and oversight of service delivery.</t>
  </si>
  <si>
    <t>Prolonged procurement cycles delay and inflate costs in instructional materials, other operational inputs and infrastructure, which may not be based on school needs.</t>
  </si>
  <si>
    <t>Resources up to and at the point of delivery are often poorly managed. The systems and processes for managing and monitoring resources at the school and subnational levels are frequently inadequate, unused, not followed, or misaligned with existing capacity.</t>
  </si>
  <si>
    <t>Systems for sub-national and school-level management and use of resources may prevent access to resources, and limit autonomy of providers to adjust to local needs and context. In particular, rigid controls and conditions for use of funds may present obstacles to accessing resources and limit autonomy of schools and subnational entities to adjust to local needs and context.</t>
  </si>
  <si>
    <t xml:space="preserve">Compliance with PFM rules is often low, as they are typically designed centrally and are overly complex, especially for very small amounts of money managed at the local or school level and the multiple responsibilities of frontline staff like education managers and teachers. </t>
  </si>
  <si>
    <t>Limited reporting, monitoring, and accountability systems at the school level, along with weak oversight of schools by communities and higher levels of government, reduce the scope for corrective action and increase the likelihood of resource mismanagement.</t>
  </si>
  <si>
    <t>Regular monitoring and audit of schools and system-critical capability assessments, such as those evaluating teacher subject knowledge and attitudes, are often absent, overlooked, or ineffective in driving corrective action and improved performance.</t>
  </si>
  <si>
    <t xml:space="preserve">In some education systems, data is routinely available but remains underused in decision-making, often due to political or capability factors in the system, thereby limiting its impact on learning outcomes.  </t>
  </si>
  <si>
    <t>Policies are often not designed with sufficient consideration of existing capabilities, including skills, systems, and institutions, as well as the interests of key stakeholders (such as politicians, the private sector, and citizens) and prevailing behavioral norms (cultural and societal). As a result, they are difficult to implement as intended, and their objectives are rarely achieved.</t>
  </si>
  <si>
    <t xml:space="preserve">Revenue forecasts and targets are often biased or inaccurate due to a combination of weak technical capabilities, data gaps, short-term incentives, and a lack of independence. </t>
  </si>
  <si>
    <r>
      <t xml:space="preserve">When governments increase borrowing during economic expansions and face debt distress during downturns, it amplifies the business cycle, resulting in pro-cyclical fiscal policy. This pattern often stems from non-strategic, </t>
    </r>
    <r>
      <rPr>
        <i/>
        <sz val="11"/>
        <color rgb="FFFF0000"/>
        <rFont val="Calibri"/>
        <family val="2"/>
      </rPr>
      <t>ad hoc</t>
    </r>
    <r>
      <rPr>
        <sz val="11"/>
        <color rgb="FFFF0000"/>
        <rFont val="Calibri"/>
        <family val="2"/>
      </rPr>
      <t>, and supply-driven debt management, as well as poorly designed fiscal rules that are not supported by robust analysis, such as debt sustainability assessments.</t>
    </r>
  </si>
  <si>
    <t xml:space="preserve">High and pre-existing debt burdens contribute to paralysis of policy action, as budget rigidity limits options for consolidation and discourages the development and implementation of measures for fiscal adjustment.  </t>
  </si>
  <si>
    <t>Stabilization mechanisms do not smooth resource availability over the business cycle as their contributions are insufficient or non-existent, as a result of flawed design, a failure to implement defined fiscal rules, or insufficient political commitment.</t>
  </si>
  <si>
    <t xml:space="preserve">Resource deployment may not be consistent with economic resilience, with low levels of public investment, particularly during times of economic contraction, and expenditure patterns prioritizing and responding to short term-pressures (e.g. wages and consumption).  </t>
  </si>
  <si>
    <t>High debt servicing costs, combined with rising wage bills driven by pro-cyclical fiscal decisions, undermine the overall efficiency of public expenditure.</t>
  </si>
  <si>
    <t>Fiscal and monetary policies are fragmented and/or inconsistent, where, for example, central banks can finance unauthorized deficit expenditure that can create macroeconomic imbalances, higher levels of inflation, and, consequently, undermine the fiscal position.</t>
  </si>
  <si>
    <r>
      <t xml:space="preserve">The value of existing public sector assets is not fully realized, while new public investments often fail to enhance economic resilience. Investment decisions frequently do not prioritize productivity, with projects financed on an </t>
    </r>
    <r>
      <rPr>
        <i/>
        <sz val="11"/>
        <color rgb="FFFF0000"/>
        <rFont val="Calibri"/>
        <family val="2"/>
      </rPr>
      <t>ad hoc</t>
    </r>
    <r>
      <rPr>
        <sz val="11"/>
        <color rgb="FFFF0000"/>
        <rFont val="Calibri"/>
        <family val="2"/>
      </rPr>
      <t xml:space="preserve"> basis, influenced by available funding rather than strategic needs, and without sufficient consideration of delivery capacity.</t>
    </r>
  </si>
  <si>
    <t>Spending constraints and controls are often ineffective. Annual and medium-term expenditure ceilings are weakly enforced, commitments are poorly managed, and debt and cash management is reactive. Together, these factors contribute to overspending, the accumulation of arrears, and rising debt servicing costs.</t>
  </si>
  <si>
    <t xml:space="preserve">There is weak monitoring of major sources of fiscal risk and contingent liabilities (e.g., sub-national governments and state-owned enterprises), and enforcement of regulation is weak. </t>
  </si>
  <si>
    <t>Fiscal policy and performance lack transparency, and independent oversight bodies, such as fiscal institutions, the legislature, and civil society organizations (e.g., fiscal think tanks), are unable to effectively hold the executive accountable, influence decision-making, or promote policies that support economic resilience. As a result, public discourse on fiscal matters remains limited.</t>
  </si>
  <si>
    <t>Available economic, monetary, fiscal, and sectoral information is either not integrated or, when available, is not effectively used to support evidence-based decision-making, for example, combining performance and budgetary data or utilizing accrual-based financial statements.</t>
  </si>
  <si>
    <t>Economic, monetary, fiscal, and sectoral information is often fragmented, irregular, limited, inaccurate, or missing. Data sharing and coordination between monetary and fiscal institutions are weak, resulting in significant time and administrative burdens for data collection and dissemination.</t>
  </si>
  <si>
    <t>Eliminating Gender-Based Violence</t>
  </si>
  <si>
    <t>Eliminate all forms of gender-based violence (GBV), particularly intimate partner violence (IPV).</t>
  </si>
  <si>
    <t>Preventative measures like norms and behavioral change at individual, societal, and institutional levels; integrated multi-sector victim and survivor-centered support services; accountability measures for perpetrators, and; financial and logistical support to organizations that play a critical role in addressing GBV.</t>
  </si>
  <si>
    <t xml:space="preserve">To be feasible, GBV policy demands political commitment, with explicit and effective prioritization and mainstreaming across the government’s development strategy and wider public policies, achieved through policy coordination mechanisms. Such mechanisms need to ensure a coherent approach across multiple ministries and levels of government responsible for policy design and implementation, including service providers. They also need to ensure the necessary specialized technical capacities and resources are in place, including suitable legal, institutional, financial, and data systems. </t>
  </si>
  <si>
    <t>Effectively delivering gender-focused services relies on strong coordination, data-sharing mechanisms, and adequate human and financial resources.  Integrating services and enabling data-sharing among health providers, law enforcement, and social support systems enhances support for survivors and improves accountability for perpetrators. Adequate funding, including for GBV prevention and behavioral interventions for perpetrators, is essential to sustain services, address the root causes of GBV, and implement evidence-based strategies for long-term change.</t>
  </si>
  <si>
    <t>GBV interventions are inadequate or not sustained.</t>
  </si>
  <si>
    <t>GBV prevention services, including behavior change interventions, are often underfunded. This in turn increases demand for response services, which are also subject to funding constraints. These constraints result in limited availability of shelters, legal aid, psychosocial support, and longer-term survivor assistance such as housing, income support, and childcare. Often, when gender programs are initiated, they are not sustained over the long-term, with critical programs undermined by resource cuts and policy shifts. This particularly impacts non-governmental organizations (NGOs), which are often best placed to provide community-based support but are reliant on state funding.</t>
  </si>
  <si>
    <t>GBV interventions are often fragmented and poorly coordinated.</t>
  </si>
  <si>
    <t>Effective gender-responsive programs require seamless coordination across multiple public sector systems, yet such collaboration is often weak or non-existent. The lack of clear mandates, overlapping responsibilities, and siloed approaches, both among levels of government and between ministries, departments, law enforcement, healthcare providers, and social services, create inefficiencies in service delivery. As a result, GBV survivors struggle to access comprehensive and timely support, and prevention initiatives fail to address systemic gender inequalities effectively.</t>
  </si>
  <si>
    <t xml:space="preserve">GBV Policies are not supported by the systems and capabilities required to implement them.  </t>
  </si>
  <si>
    <t>Gender policies are often developed without fully putting in place the necessary systems and institutional capacity required for effective implementation. This is especially evident in efforts to prevent and respond to GBV, where gaps between policy design and execution hinder progress. Fragmented legal frameworks, conflicting priorities across government agencies (within and between different levels of government), and a lack of enforcement mechanisms further exacerbate the issue, leading to inconsistent protection and support for affected individuals.</t>
  </si>
  <si>
    <t>Supporting, providing, and disseminating a comprehensive understanding of the current situation regarding GBV.</t>
  </si>
  <si>
    <t>Understanding and communicating the fiscal position.</t>
  </si>
  <si>
    <t>Coordinating action by fiscal and monetary authorities, actively facilitated by the finance ministry.</t>
  </si>
  <si>
    <t>The policy, planning, and budgeting cycle helps build consensus among education sector stakeholders on access and quality objectives, service delivery norms, and delivery modalities</t>
  </si>
  <si>
    <t xml:space="preserve">Supporting and influencing the behaviour of the public and private sectors ensure the financial viability of the education system and schools, whilst enabling the achievement of affordability, access, and quality objectives in basic education.  </t>
  </si>
  <si>
    <t>Allocates resources across the education system based on cost projections over time, allowing for easy integration into the budget framework. This ensures adequate inputs, such as teachers, learning materials, and school infrastructure, are distributed equitably across regions and groups.</t>
  </si>
  <si>
    <t>Through the public policy, planning, and budget cycle, public finance helps reconcile education goals with fiscal realities by prioritizing affordable, costed education policies and selecting appropriate service delivery modalities.</t>
  </si>
  <si>
    <t>Sound public finance ensures that the costs of basic education service delivery are factored into sustainable macroeconomic and fiscal policies and plans alongside other competing policy priorities over the short-, medium-, and long-term.</t>
  </si>
  <si>
    <t>Public finance policies on revenue and expenditure, such as tax decisions and budget allocations, play a key role in determining the resources raised and distributed for education service delivery.</t>
  </si>
  <si>
    <t>Public Finance ensures that investments are made in the key drivers of education quality, including teacher training, oversight, and curriculum development.</t>
  </si>
  <si>
    <t>Budget preparation and execution systems provide reliable and adequate resources while strengthening the accountability of spending agencies responsible for frontline service delivery. When combined with financial reporting, audits, and oversight, these systems help ensure efficiency, transparency, accountability, and improved performance in service delivery.</t>
  </si>
  <si>
    <t>Developing counter-cyclical economic and fiscal policies and plans that align with the country's fiscal realities and implementation capability.</t>
  </si>
  <si>
    <t xml:space="preserve">Level of Framework </t>
  </si>
  <si>
    <t>Adopting a medium-term approach to revenue, borrowing, and spending decisions to implement fiscal policies that create and maintain fiscal space throughout the business cycle.</t>
  </si>
  <si>
    <t>Basing policies on credible projections for both revenue and borrowing that are accurate, objective, and grounded in sound assumptions; account for fiscal risks; and align with the capacity for implementation.</t>
  </si>
  <si>
    <t xml:space="preserve">Fostering market confidence, through clearly communicating and reinforcing the government's revenue, borrowing, and expenditure plans (fiscal, debt, and expenditure strategy). </t>
  </si>
  <si>
    <t xml:space="preserve">Smoothing resource, investment, and spending volatility over the course of the business cycle. </t>
  </si>
  <si>
    <t xml:space="preserve">Allocating resources effectively to support the creation of fiscal space for priority spending and investment. </t>
  </si>
  <si>
    <t>Incorporating evidence into both fiscal policy and operational decisions to support well-informed fiscal planning, resource allocation, and management decision-making.</t>
  </si>
  <si>
    <t>Achieving Basic Education for All</t>
  </si>
  <si>
    <t>Improving Economic Resilience</t>
  </si>
  <si>
    <t>Facilitating inter-agency collaboration, coordination, and commitment for GBV policies.</t>
  </si>
  <si>
    <t>Matching the costs and capabilities required to address GBV with existing fiscal, budgetary, organizational and other constraints.</t>
  </si>
  <si>
    <t>Mobilizing funding for allocation to GBV policies.</t>
  </si>
  <si>
    <t>Factoring the costs of GBV policies into sustainable macro-fiscal policies and securing adequate fiscal space.</t>
  </si>
  <si>
    <t>A budgeting framework that facilitates resource allocation for specific GBV policies.</t>
  </si>
  <si>
    <t>Reliable distribution and execution of the allocated resources for GBV policy implementation.</t>
  </si>
  <si>
    <t>Facilitating the flow of integrated financial and non-financial information across all levels of government and agencies to support effective decision-making and accountability.</t>
  </si>
  <si>
    <t>Clarifying and strengthening resource management and performance accountability in the implementation of GBV policies across organizations.</t>
  </si>
  <si>
    <t>Political and technical commitment, particularly from central fiscal institutions, is often insufficient to drive action on gender policy commitments, such as those related to GBV, including the mobilization and allocation of necessary resources.</t>
  </si>
  <si>
    <t>There is insufficient broad-based stakeholder involvement, understanding, and support for GBV policy action across government. The ministry typically responsible for GBV policy (usually the gender ministry) lacks the authority and support, particularly from the center of government, to coordinate actions or influence resource allocation across agencies.</t>
  </si>
  <si>
    <t>Community-based organizations, often best placed to provide services, and other frontline organizations are not involved in policy and strategy development.</t>
  </si>
  <si>
    <t>Policies aimed at addressing GBV often suffer from a lack of coherence and are fragmented across different sectors, organizations, and levels of government. This results in disjointed efforts that fail to provide a unified, prioritized, and costed approach to preventing and addressing GBV, making it difficult to achieve comprehensive and effective results.</t>
  </si>
  <si>
    <t>Combined GBV policy goals are often unaffordable because multiple ambitious policies, plans, and delivery models are neither properly prioritized nor costed. As a result, they are not aligned with the limited available fiscal space.</t>
  </si>
  <si>
    <t>Policies and plans often overlook the limited capacity of the public sector, including line ministries, sub-national governments, and frontline providers, to plan and deliver interventions. They also fail to leverage the existing capacity of community-based organizations at the local level or within central agencies.</t>
  </si>
  <si>
    <t>Biased or inaccurate fiscal forecasting, along with unpredictable and volatile resource flows, leads to underfunding of GBV-related budgets.</t>
  </si>
  <si>
    <t>Pre-existing spending commitments, such as personnel costs, combined with unsustainable debt burdens, limit the fiscal space available for GBV interventions. As a result, these interventions are often delayed or cannot be sustained over time.</t>
  </si>
  <si>
    <t>Budget allocations for GBV are often incoherent and disconnected from policy priorities because funding requests are prepared and negotiated separately by individual agencies, rather than coordinated across GBV services as a whole. As a result, GBV services are frequently underfunded.</t>
  </si>
  <si>
    <t>Resource deployment is not guided by evidence on program effectiveness or economic returns, and is not linked to costing, which is often incomplete or of poor quality.</t>
  </si>
  <si>
    <t xml:space="preserve">Financing of GBV interventions is often fragmented because it is budgeted for across multiple agencies. This fragmentation is exacerbated by initiatives financed by external actors, often channeled off-budget. </t>
  </si>
  <si>
    <t xml:space="preserve">Multiple parallel, incoherent, uncoordinated intergovernmental systems for financing GBV interventions may further add to fragmentation and inefficiency. </t>
  </si>
  <si>
    <t xml:space="preserve">There are shortfalls, delays, and diversion of government funding for GBV interventions, including for facilities and contractors providing GBV services. </t>
  </si>
  <si>
    <t>Resource allocation is inefficient due to imbalances and funding gaps in key programs (e.g., prevention and norm change) and essential inputs (e.g., specialized GBV resources for police, justice, healthcare, and labor), which undermines the quality and comprehensiveness of GBV interventions.</t>
  </si>
  <si>
    <t>There is often a lack of adequately skilled and appropriately placed personnel to coordinate and implement GBV interventions at the front line (e.g., female police officers, mental health professionals, specialized GBV prosecutors, and community-level social workers), as well as insufficient technical capacity for gender mainstreaming, policy development, and analysis at higher levels of government.</t>
  </si>
  <si>
    <t>There are often obstacles and delays in the procurement and engagement of subcontractors to provided GBV services - in particular NGOs and community-based organizations and immediate response services - due to procedures which are not fit for purpose and inadequate public sector capabilities, especially at lower levels of government.</t>
  </si>
  <si>
    <t>The financing arrangements and oversight of fund use by governmental and non-governmental organizations for GBV prevention and response interventions are often incoherent and inadequate, particularly in multi-level governance contexts.</t>
  </si>
  <si>
    <t>Budget formulation and decision-making processes do not support the prioritization of multi-sectoral and multi-agency interventions aligned with gender policy objectives, including GBV. Budget proposals are typically prepared and approved on an agency-by-agency basis, leading to fragmented and uncoordinated GBV-related decisions.</t>
  </si>
  <si>
    <t>Local entities best positioned to deliver GBV interventions (e.g., NGOs and community-based organizations) are often discouraged from participating due to burdensome procurement procedures, unreliable funding, and weak contracting and oversight mechanisms.</t>
  </si>
  <si>
    <t>Weak monitoring and evaluation systems, including inaccurate reporting of GBV spending and limited ex-post reviews, undermine accountability for the use of GBV-related resources. These weaknesses, compounded by poor integration with budget decision-making and reporting processes, risk discouraging performance improvements and make it harder to build the case for broader support and prioritization of GBV in policy decisions.</t>
  </si>
  <si>
    <t xml:space="preserve">Available information on the financing, performance, effectiveness, and impact of GBV interventions is not consistently used for decision-making and accountability.  </t>
  </si>
  <si>
    <t>Budget classifications and financial management systems are not adapted to identify or track GBV-related expenditures across government agencies, and they are rarely integrated with performance data from sectoral systems.</t>
  </si>
  <si>
    <t>Due to the decentralized and fragmented nature of GBV policies, data sharing between institutions is often weak, with delayed information flows, especially in contexts with low digitalization, poor standardization, and limited system connectivity. This undermines the timely and effective allocation of resources and compromises the delivery of GBV services.</t>
  </si>
  <si>
    <t>Accelerating the Transition to Renewable Energy</t>
  </si>
  <si>
    <t>Ensure adequate, accessible, and affordable power supply generated primarily through renewable sources.</t>
  </si>
  <si>
    <t>Adequate investments made at the right time by the public or private sector to achieve renewable energy generation, transition, accessibility, and affordability that can be sustained.</t>
  </si>
  <si>
    <t>This comprises coordinated, consistent, and collectively agreed climate and energy policies that provide for a feasible transition to low carbon energy supply while increasing energy efficiency and winding down fossil fuel-based energy sources. Such policies include: (i) appropriate low carbon energy technologies; (ii) the leveraging of existing capabilities; (iii) institutional strengthening of energy utilities and regulatory bodies; (iv) mixing finance, subsidies, and other incentive instruments to resource and encourage a sustainable pathway to affordable and accessible renewable power supply, and; (v) establishing broad-based public and political approval for this transition and the associated costs.</t>
  </si>
  <si>
    <t>Coordinated action and capacity are required to mobilize investment financing for both the public and private sectors, including climate finance. It is essential to have the capability to model supply, demand, and costs over the medium-term to inform polices, plans, and investment decisions. Energy utilities and private actors must be able to deliver the necessary investments effectively in synchrony. Regulators and other oversight bodies need to be able to enforce the regulatory framework consistently to ensure financial sustainability and provide incentives to achieve accessibility and transition objectives.</t>
  </si>
  <si>
    <t xml:space="preserve">The up-front costs of financing the transition are high. </t>
  </si>
  <si>
    <t>Organizations are not sufficiently capable or committed to deliver the transition.</t>
  </si>
  <si>
    <t>The credibility, commitment, and capability of public and private institutions to provide, distribute, and oversee power are not in place to attract the necessary financing or to deliver a sustained transition.</t>
  </si>
  <si>
    <t>Financing the huge up-front costs of developing and deploying new technologies requires coordinating and incentivising public, private, and development finance resources into a coherent, viable financing package.</t>
  </si>
  <si>
    <t>Incoherent, uncoordinated, and poorly prioritised interventions that fail to resolve trade-offs internal to the sector or across sectors, for example between affordability and decarbonization, or between climate and industrial policy.</t>
  </si>
  <si>
    <t xml:space="preserve">Reconciling the cost of accelerating the energy transition with competing sectoral, climate, and other policy priorities. </t>
  </si>
  <si>
    <t>Lack of broad-based involvement, understanding, and support for policies and actions to accelerate the renewable energy transition from power generators, distributers and stakeholders engaged in supply and use of fossil fuels in energy generation.</t>
  </si>
  <si>
    <t>Uncoordinated power generation and transmission strategies result in mismatches and inefficiencies.</t>
  </si>
  <si>
    <t>Government, regulators, and energy utilities often lack the organizational capability to finance, select, and manage renewable energy investments, as well as to effectively leverage the growing role of the private sector.</t>
  </si>
  <si>
    <t>Transition policy goals often remain unaffordable and costs are not reconciled with resource availability.</t>
  </si>
  <si>
    <t>Factoring the costs of accelerating the energy transition into sustainable macroeconomic and fiscal policies alongside other competing priorities.</t>
  </si>
  <si>
    <t>Using a combination of regulatory, tax, subsidy, and expenditure policies that ensure financial viability in the achievement of renewable energy objectives.</t>
  </si>
  <si>
    <t xml:space="preserve">Short-term biases in macroeconomic planning mean government cannot manage the long-term fiscal implications of policies and actions required to accelerate the transition to renewable energy </t>
  </si>
  <si>
    <t xml:space="preserve">Energy utilities often lack financial viability due to the failure to enforce hard budget constraints and the design and implementation of cost recovery policies. </t>
  </si>
  <si>
    <r>
      <t>Utility resources are unreliable due to delays in tax incentives, tariff measures, investment financing or subsidies.</t>
    </r>
    <r>
      <rPr>
        <sz val="11"/>
        <color theme="1"/>
        <rFont val="Calibri"/>
        <family val="2"/>
        <scheme val="minor"/>
      </rPr>
      <t xml:space="preserve"> </t>
    </r>
  </si>
  <si>
    <t xml:space="preserve">The public sector is a major consumer of electricity, and despite their stake in power utilities, many government agencies fail to pay their utility bills on time or in full. </t>
  </si>
  <si>
    <t>The options for financing the transition to renewable energy are limited, with high domestic costs of capital further hindering private sector participation, especially in low-income countries.</t>
  </si>
  <si>
    <t>Costs of financing are often transferred onto energy consumers, undermining equity and access policy objectives.</t>
  </si>
  <si>
    <t>Mobilising adequate resources and encouraging sound investment choices to accelerate the transition.</t>
  </si>
  <si>
    <t>Translating feasible strategies and plans for the transition into financing measures and expenditure allocations.</t>
  </si>
  <si>
    <t>Making resources available on time to finance regulators and utilities through subsidies, budget-financed investments, and public sector power bills.</t>
  </si>
  <si>
    <t xml:space="preserve">Governance arrangements that both incentivise performance and ensure accountability. This includes using coordinated financial monitoring, audits, and regulatory oversight to support sustainable power generation and utility performance. </t>
  </si>
  <si>
    <t>The efficient implementation of renewable energy investments and utility operations requires effective deployment of resources and inputs. Achieving this depends on close coordination between budget formulation and execution processes and energy sector institutions.</t>
  </si>
  <si>
    <t xml:space="preserve">Poor information sharing between regulators, utilities, and the finance ministry undermines incentives, performance, and policy design  </t>
  </si>
  <si>
    <t>Achieving Universal Health Coverage</t>
  </si>
  <si>
    <t>Achieving universal health coverage through results including provision of financial risk protection, access to quality essential health-care services, and access to safe, effective, quality and affordable essential medicines and vaccines for all (SDG target 3.8).</t>
  </si>
  <si>
    <t>Achieving universal health coverage (Sustainable Development Goal [SDG] target 3.8).</t>
  </si>
  <si>
    <t>Universal Health Coverage is the result of a bundle of policy initiatives that ensure broad and equitable access to needed health services of sufficient quality without causing financial hardship. Achieving this fully is likely impossible for any country, but for low and middle-income countries with more binding resources constraints, the emphasis should be on moving towards UHC by expanding the coverage of services, improving their quality, and improving financial protection. A feasible policy involves clearly identifying a set of cost-effective interventions, services and delivery models that are affordable over the medium- to long-term given the fiscal context, and feasible to deliver given existing capabilities. This needs to be complemented by a commitment to provide sufficient resources to UHC-related programs and interventions, whilst respecting overall public and private sector resource constraints.</t>
  </si>
  <si>
    <t>The successful implementation of UHC policies and the delivery of defined benefit packages requires adequate inputs, including a skilled health workforce deployed to an adequate network of health facilities in line with staffing norms, medical supplies, equipment and infrastructure. Effective delivery requires a complex set of inter-related capabilities within the public and private sectors relating to: (i) the management of human resources in a way that ensures the knowledge, skills, motivation and deployment of the personnel responsible for organizing and delivering health services; (ii) an adequate degree of autonomy and accountability for health providers of different types and at different levels; (iii) systems and processes for managing healthcare provision and the associated inputs and resources for delivery, and; (iv) systems to monitor progress on delivery of outputs and achievement of outcomes.</t>
  </si>
  <si>
    <t>Inequitable access to key health services and inadequate preventative care.</t>
  </si>
  <si>
    <t>In many countries, the distribution of health facilities is inequitable, and health spending is regressive, in that it typically benefits richer, urban populations.</t>
  </si>
  <si>
    <t xml:space="preserve">Poor quality of healthcare provision, with frequent misdiagnosis of common diseases and treatment unavailable. </t>
  </si>
  <si>
    <t>Facilities often don’t have the staff required to diagnose and treat patients. This constraint is most acute in sub-Saharan Africa, which has fewer medical workers per capita than any other region. This shortage of human resources is made worse by high levels of absenteeism – in sub-Saharan Africa, the rate of health worker absence is estimated at, on average, 34.7 percent. There are often shortages in key medical supplies, equipment, and other operational inputs. Quality challenges are exacerbated by weaknesses in management, oversight, and governance within healthcare systems. </t>
  </si>
  <si>
    <t>In many countries, demand for publicly funded health services is limited due to the poor quality of care and weaknesses within the health system.</t>
  </si>
  <si>
    <t>Poor quality of care is widespread. This results in the public seeking costly private alternatives, which tend to be under-regulated and characterized by high out-of-pocket expenses, which can be catastrophic for families, or seeking to bypass primary facilities and seek care at hospitals. These both undermine the achievement of UHC as a policy goal.</t>
  </si>
  <si>
    <t>Encouraging the collective prioritization of affordable, costed UHC policies and associated delivery modalities within the context of competing priorities and available capability.</t>
  </si>
  <si>
    <t xml:space="preserve">Factoring in the costs of feasible UHC goals into sustainable and credible macroeconomic and fiscal policies and frameworks over the medium and long term, alongside other competing policy priorities over the short-, medium-, and long-term.  </t>
  </si>
  <si>
    <t>Ensuring that fiscal policy and management is consistent with sustainable progress towards UHC.</t>
  </si>
  <si>
    <t>A lack of institutional coordination within the sector and with central finance and planning agences contributes to inconsistencies between health policies, plans, and budgets</t>
  </si>
  <si>
    <t>There are mismatches between the policy goal of UHC and the financing sources available to fund it, whether general taxation, earmarked taxes or health insurance contributions.</t>
  </si>
  <si>
    <t xml:space="preserve">In Albania the costs of the 10 year gender strategy are assigned to the two 5 years MTEF periods which covered the 10 year plan implementation period. As well as detailing which costs the government commits to covering, known external financing has been taken into account (namely donor commitments) and a residual financing gap calculated. </t>
  </si>
  <si>
    <r>
      <t xml:space="preserve"> </t>
    </r>
    <r>
      <rPr>
        <sz val="11"/>
        <rFont val="Calibri"/>
        <family val="2"/>
        <scheme val="minor"/>
      </rPr>
      <t xml:space="preserve">Misalignment between education policies and practical delivery capabilities leads to fragmented service provision. Poor coordination among government agencies, local authorities, and stakeholders, combined with weak data systems and accountability mechanisms, makes it difficult to track progress, allocate resources effectively, and improve learning outcomes.  </t>
    </r>
  </si>
  <si>
    <r>
      <t xml:space="preserve">There are several facets to the capability to delivery fiscal policy for improved economic resilience: 
- </t>
    </r>
    <r>
      <rPr>
        <b/>
        <sz val="11"/>
        <rFont val="Calibri"/>
        <family val="2"/>
      </rPr>
      <t>Institutional and organizational capacity</t>
    </r>
    <r>
      <rPr>
        <sz val="11"/>
        <rFont val="Calibri"/>
        <family val="2"/>
      </rPr>
      <t xml:space="preserve">: This includes having the right institutional arrangements, skilled personnel, reliable data, and robust systems to support well-informed fiscal policy decisions. Strong coordination between fiscal and monetary authorities is also essential.
- </t>
    </r>
    <r>
      <rPr>
        <b/>
        <sz val="11"/>
        <rFont val="Calibri"/>
        <family val="2"/>
      </rPr>
      <t>Enforcement capacity</t>
    </r>
    <r>
      <rPr>
        <sz val="11"/>
        <rFont val="Calibri"/>
        <family val="2"/>
      </rPr>
      <t xml:space="preserve">: Governments need mechanisms to manage structured fiscal and budgetary decision-making processes and to enforce fiscal rules and constraints across organizations.
- </t>
    </r>
    <r>
      <rPr>
        <b/>
        <sz val="11"/>
        <rFont val="Calibri"/>
        <family val="2"/>
      </rPr>
      <t>Revenue administration</t>
    </r>
    <r>
      <rPr>
        <sz val="11"/>
        <rFont val="Calibri"/>
        <family val="2"/>
      </rPr>
      <t xml:space="preserve">: An efficient and well-resourced revenue administration is required to achieve sufficient and sustainable revenue collection. 
- </t>
    </r>
    <r>
      <rPr>
        <b/>
        <sz val="11"/>
        <rFont val="Calibri"/>
        <family val="2"/>
      </rPr>
      <t>Forecasting, control and oversight</t>
    </r>
    <r>
      <rPr>
        <sz val="11"/>
        <rFont val="Calibri"/>
        <family val="2"/>
      </rPr>
      <t xml:space="preserve">: Independent and effective forecasting, control, and oversight institutions help oversee an enforce a credible and transparent fiscal policy.
- </t>
    </r>
    <r>
      <rPr>
        <b/>
        <sz val="11"/>
        <rFont val="Calibri"/>
        <family val="2"/>
      </rPr>
      <t>Data and information systems</t>
    </r>
    <r>
      <rPr>
        <sz val="11"/>
        <rFont val="Calibri"/>
        <family val="2"/>
      </rPr>
      <t>: Functional systems are needed to capture and share timely, accurate data across organizations. This supports both technical analysis and sound fiscal decision-making processes.</t>
    </r>
  </si>
  <si>
    <r>
      <t xml:space="preserve">Basic education policy objectives and delivery modalities which can feasibly achieve universal, equitable access whilst increasing access to effective learning for attendees.  This involves a balance between investments in underserved areas, the quality of teaching, and addresses barriers to education.  Combined, they are affordable, involve modalities for which there is capacity to deliver, and are accepted by politicians and citizens. </t>
    </r>
    <r>
      <rPr>
        <sz val="10"/>
        <rFont val="Calibri"/>
        <family val="2"/>
        <scheme val="minor"/>
      </rPr>
      <t xml:space="preserve"> </t>
    </r>
  </si>
  <si>
    <t xml:space="preserve">Thailand’s successful introduction of a universal coverage scheme had its roots both in electoral reforms that gave parties greater incentives to develop programmatic policies (Selway, 2011), and in the longstanding activism of the Rural Doctor’s Movement, whose members included key bureaucrats inside the ministry of health state (Harris, 2015). </t>
  </si>
  <si>
    <t>late 1990s</t>
  </si>
  <si>
    <r>
      <t xml:space="preserve">There are, however, examples of stakeholders being successfully brought together to drive UHC reforms. In </t>
    </r>
    <r>
      <rPr>
        <sz val="11"/>
        <color theme="1"/>
        <rFont val="Calibri"/>
        <family val="2"/>
        <scheme val="minor"/>
      </rPr>
      <t>Indonesia, when a single national health insurance program—Jaminan Kesehatan Nasional</t>
    </r>
    <r>
      <rPr>
        <sz val="10.5"/>
        <color theme="1"/>
        <rFont val="Calibri"/>
        <family val="2"/>
        <scheme val="minor"/>
      </rPr>
      <t xml:space="preserve"> </t>
    </r>
    <r>
      <rPr>
        <sz val="11"/>
        <color theme="1"/>
        <rFont val="Calibri"/>
        <family val="2"/>
        <scheme val="minor"/>
      </rPr>
      <t xml:space="preserve">(JKN)—was proposed, the executive established six working groups involving the Indonesian Medical Association, Health Economists, Ministry of Finance representatives, the National Planning Board, and other organizations. Civil society and parliament were also crucial in speeding up the pace of the reform, which was introduced in 2014 (Witter et al., 2025). </t>
    </r>
  </si>
  <si>
    <t>2004-2020</t>
  </si>
  <si>
    <t>2020s</t>
  </si>
  <si>
    <t>In Thailand, the Health Promotion Foundation, which implements a wide variety of non-clinical health promotion activities, is funded through a mandatory 2% additional surcharge on excise tax on alcohol and tobacco introduced in 2001 (Blecher et al., 2016).</t>
  </si>
  <si>
    <t>2014-2019</t>
  </si>
  <si>
    <r>
      <t xml:space="preserve">In </t>
    </r>
    <r>
      <rPr>
        <sz val="11"/>
        <color theme="1"/>
        <rFont val="Calibri"/>
        <family val="2"/>
        <scheme val="minor"/>
      </rPr>
      <t>Brazil the Family Health Strategy is financed by a federal transfer to municipalities based on a formula with a fixed per capita amount based on municipal population and a variable component linked to federal priorities, including scale-up of the Family Health System model and the level of deprivation of municipalities (Hanson et al. 2022).</t>
    </r>
  </si>
  <si>
    <t>N/A</t>
  </si>
  <si>
    <t>In highly donor-dependent countries, health donors need to agree to redirect resources towards the HBP. This is frequently a stumbling block. In Malawi, despite widespread consensus on the HBP, donor funding has not been redirected towards it (Connolly et al., 2024).</t>
  </si>
  <si>
    <t>2014-2021</t>
  </si>
  <si>
    <t xml:space="preserve">Nannini, M., Biggeri, M., Putoto, G. 2022. Health Coverage and Financial Protection in Uganda: A Political Economy Perspective, International Journal of Health Policy and Management, 11(9), pp. 1894-1904. https://www.ijhpm.com/article_4108.html  </t>
  </si>
  <si>
    <t xml:space="preserve">Selway, Joel Sawat. 2011. “Electoral Reform and Public Policy Outcomes in Thailand: The Politics of the 30-Baht Health Scheme.” World Politics 63 (1): 165–202. https://doi.org/10.1017/S0043887110000316. 
</t>
  </si>
  <si>
    <t>Witter S, Bertone MP, Baral S, Gautam G, Pratap SKC, Pholpark A, Saputri NS, Darmawan AB, Toyamah N, Fillaili R, de Oliveira Cruz V, Sparkes S. 2025. Political economy analysis of health financing reforms in times of crisis: findings from three case studies in south-east Asia. Int J Equity Health. 2025 Feb 3;24(1):34. https://eresearch.qmu.ac.uk/handle/20.500.12289/14128</t>
  </si>
  <si>
    <t>Croke, K. 2021. The Origins of Ethiopia’s Primary Health Care Expansion: The Politics of State Building and Health System Strengthening. Health Policy and Planning 35 (10): 1318–27. https://doi.org/10.1093/heapol/czaa095.</t>
  </si>
  <si>
    <t xml:space="preserve">Yates, R., Witter, S., Chantzi, F., and Hunsaker, B. 2024. Driving Universal Health Reforms through Crises and Shocks: Final Report on the Work of the Chatham House Commission for Universal Health. Royal Institute of International Affairs. https://doi.org/10.55317/9781784136147. </t>
  </si>
  <si>
    <t xml:space="preserve">Frenk, J., Gómez-Dantés, O. and Knaul, F.M. (2019) ‘A dark day for universal health coverage’, The Lancet, 393(10169), pp. 301–303. https://doi.org/10.1016/S0140-6736(19)30118-7. 
</t>
  </si>
  <si>
    <t xml:space="preserve">Tangcharoensathien, V. et al. (2013) ‘Promoting universal financial protection: how the Thai universal coverage scheme was designed to ensure equity’, Health Research Policy and Systems, 11(1), p. 25. https://doi.org/10.1186/1478-4505-11-25. </t>
  </si>
  <si>
    <t xml:space="preserve">Vammalle, C., Penn, C. and James, C. (2023) ‘Applying good budgeting practices to health’, OECD Journal on Budgeting, 23(2). https://doi.org/10.1787/b280297f-en </t>
  </si>
  <si>
    <t>Kaiser, K., Bredenkamp, C. and Iglesias, R. 2016. Sin Tax Reform in the Philippines: Transforming Public Finance, Health, and Governance for More Inclusive Development. Washington, DC: World Bank. http://documents.worldbank.org/curated/en/638391468480878595</t>
  </si>
  <si>
    <t xml:space="preserve">Blecher, M., Pillay, A., Patcharanarumol, W., Panichkriangkrai, W., Tangcharoensathien, V., Teerawattananon, Y., Pannarunothai, S., and Davén, J. 2016. Health Financing Lessons from Thailand for South Africa on the Path towards Universal Health Coverage. South African Medical Journal 106 (6): 533. https://pubmed.ncbi.nlm.nih.gov/27245713/ </t>
  </si>
  <si>
    <t xml:space="preserve">Twea, P. D., Revill, P., Mohan, S., Manthalu, G., Nkhoma, D., Zamawe, C. O. F., and Chansa, C. 2025. Malawi’s Universal Health Coverage Country Translation Process. In Country-Led Priority Setting for Health. Disease Control Priorities, fourth edition, edited by Alwan, A., Mirutse, M. K., Twea, P. D. and Norheim, O. F. Vol. 1. World Bank. https://www.uib.no/sites/w3.uib.no/files/attachments/9781464821059_ch7.pdf </t>
  </si>
  <si>
    <t>Hanson, K., Brikci, N., Erlangga, D., Alebachew, A., De Allegri, M., Balabanova, D., Blecher, M., Cashin, C., Esperato, A., Hipgrave, D., Kalisa, I., Kurowski, C., Meng, Q., Morgan, D., Mtei, G., Nolte, E., Onoka, C., Powell-Jackson, T., Roland, M., Sadanandan, R., Stenberg, K., Vega Morales, J., Wang, H., and Wurie, H. 2022. The Lancet Global Health Commission on Financing Primary Health Care: Putting People at the Centre. The Lancet Global Health 10 (5): e715–72. https://doi.org/10.1016/s2214-109x(22)00005-5.</t>
  </si>
  <si>
    <t>Mtei, G. 2020. Direct Facility Financing: Tanzania Health Sector Experience. WHO. No link available.</t>
  </si>
  <si>
    <t>Nigeria</t>
  </si>
  <si>
    <t xml:space="preserve">Chaitkin, M. (2022) ‘Intergovernmental Rivalry and Fragmentation: How Federalism Shapes Public Financial Management and Health Financing in Nigeria. Case Study Series on Devolution, Health Financing, and Public Financial Management’. ThinkWell.
</t>
  </si>
  <si>
    <t xml:space="preserve">Chaitkin, M. (2022) ‘Intergovernmental Rivalry and Fragmentation: How Federalism Shapes Public Financial Management and Health Financing in Nigeria. Case Study Series on Devolution, Health Financing, and Public Financial Management’. ThinkWell. https://thinkwell.global/wp-content/uploads/2022/04/Nigeria-Case-Study-April-2022.pdf  
</t>
  </si>
  <si>
    <t>Ministry of Finance (2023) ‘Federal Government of Ethiopia PFM Reform Strategy’.  https://www.mofed.gov.et/media/filer_public/2d/27/2d27b5bd-0071-4c40-b674-7661d5375d11/new_ethiopia_pfm_reform_strategy_1.pdf.</t>
  </si>
  <si>
    <t>Laos</t>
  </si>
  <si>
    <t>TBC</t>
  </si>
  <si>
    <t>Laos FinHealth Report, reference TBC</t>
  </si>
  <si>
    <t xml:space="preserve">African countries’ health ministries frequently list priorities in HBPs that receive no actual funding, driven by unrealistic or politically motivated goals. In Nigeria, while efforts continue to connect health budgeting to fiscal constraints, with the federal government conveying fiscal priorities in its medium-term expenditure framework (MTEF) and through medium-term sector strategies (MTSS), these do not consistently translate into health budget allocations (Chaitkin, 2022).
</t>
  </si>
  <si>
    <t xml:space="preserve">In Ethiopia, medium-term expenditure estimates are typically incomplete, with annual budget documents containing only single year budget estimates (Ministry of Finance, 2023). </t>
  </si>
  <si>
    <t>In Nigeria, inaccurate revenue projections impede health budget formulation across all levels (Chaitkin, 2022)</t>
  </si>
  <si>
    <t>In Angola, unsustainable macro-fiscal conditions have directly undermined efforts to improve health outcomes and expand access to care. Public spending on health is both low and inefficient, particularly when compared to other countries in Sub-Saharan African (SSA). Since the early 2010s, Angola’s health expenditure as a share of GDP and total public spending has declined steadily, apart from a temporary increase during the COVID-19 pandemic. This budget pressure has been compounded by weak budget execution, meaning even the limited funds allocated are not fully utilized. As a result, Angola faces serious gaps in health service delivery and outcomes (IMF, 2023).</t>
  </si>
  <si>
    <t>Angola</t>
  </si>
  <si>
    <t>2010-2023</t>
  </si>
  <si>
    <t xml:space="preserve">IMF (International Monetary Fund). 2023. Republic of Angola: Selected Issues. IMF Country Report No. 23/101. https://www.elibrary.imf.org/view/journals/002/2023/101/article-A001-en.xml </t>
  </si>
  <si>
    <t xml:space="preserve">In Malawi,  challenges have been faced in translating an HBP based on vertical disease programmes into budget allocations. This has meant the HBP has not been used to inform total budget allocations to districts or facilities (Connolly et al., 2024). </t>
  </si>
  <si>
    <t>In Nigeria, resources largely follow health infrastructure, which skews spending toward hospital-based curative care and away from lower-cost, higher-impact PHC services (Hafez, 2018).</t>
  </si>
  <si>
    <t xml:space="preserve">Parallel systems for reporting conditional transfers and overlapping lines of accountability create complexity and inefficiency in sub-national health delivery. In Nigeria, health financing streams are highly fragmented across and within levels of government. Health facilities receive federal and state resource; government-run contributory health insurance schemes manage separate small pools; and the Basic Healthcare Provision Fund creates even more pools managed by state PHC Boards and insurance agencies (Chaitkin, 2022).
</t>
  </si>
  <si>
    <t xml:space="preserve">Parallel systems for reporting conditional transfers and overlapping lines of accountability create complexity and inefficiency in sub-national health delivery. Donor use of Ethiopia’s PFM and procurement systems has seen a decline in recent years, with more than 50% of donor funding routed through parallel systems (Alebachew et al., 2020). </t>
  </si>
  <si>
    <t>Alebachew, A. et al. (2020) ‘Public financial management perspectives on health sector financing and resource allocation in Ethiopia’.</t>
  </si>
  <si>
    <t>Kenya underwent a radical process of devolution in 2017, which allocated most health responsibilities to a new county level of government. Prior to devolution, health facilities received direct grants. At the time of devolution, the new PFM law may have unintentionally recentralised financial autonomy at the country level, removing the autonomy of health facilities had from the deconcentrated district health departments to receive and spend funds directly (Barasa et al. 2022).</t>
  </si>
  <si>
    <t xml:space="preserve">In the Philippines, most health facilities are the responsibility of sub-national government. Facilities receive payments direct from PhilHealth, but must remit this back to the local or provincial government, where it is treated as general revenue. Whilst facilities may be able to access these funds are part of the regular health budget, this potentially removes any incentives effects in the design of the provider payments from PhilHealth (Co et al., 2024). </t>
  </si>
  <si>
    <t xml:space="preserve">Barasa E, Nyawira L, Musiega A, Kairu A, Orangi S, Tsofa B. (2022) The autonomy of public health facilities in decentralised contexts: insights from applying a complexity lens in Kenya. BMJ Glob Health. 7(11):e010260. doi: 10.1136/bmjgh-2022-010260. PMID: 36375850; PMCID: PMC9664271.
</t>
  </si>
  <si>
    <t>Co, P.A. et al. (2024) ‘Staying the Course: Reflections on the Progress and Challenges of the UHC Law in the Philippines’, Health Systems &amp; Reform, 10(3), p. 2397829. Available at: https://doi.org/10.1080/23288604.2024.2397829.</t>
  </si>
  <si>
    <t>2014-17</t>
  </si>
  <si>
    <t>In Nigeria, funding from the National Primary Healthcare Development Agency is consistently delayed. This is related to late releases of funds, delays in facilities’ business plan development and approval, and limited financial management capacity to report fund use, which is required before they can receive future tranches (Chaitkin, 2022). Further, the predictability and timeliness of state funding is hindered by unrealistic budgets and political interference leading to prioritisation of unbudgeted, nonpriority expenses (World Bank, 2024). States often resort to cash rationing, due to unrealistic budgets, leading to the health ministry attempting to bargain for fund release via bureaucratic memos (Chaitkin, 2022).</t>
  </si>
  <si>
    <t>WHO (2022b) ‘Ethiopia Health Finance Progress Matrix 2022’. Available at: https://iris.who.int/bitstream/handle/10665/365812/9789240067554-eng.pdf?sequence=1.</t>
  </si>
  <si>
    <t xml:space="preserve">In Ethiopia, health budget execution challenges include procurement weaknesses, weak capital project management, limited use of commitment controls in the IFMIS, and inaccurate cash flow forecasts (WHO, 2022b). </t>
  </si>
  <si>
    <t xml:space="preserve">In Nigeria, decisions about facility employment and skills mix are typically made by state governments, limiting discretion and management effectiveness of PHC facilities (Chaitkin, 2022). These challenges are compounded by inadequate budget provision for salaries, the existence of “ghost workers” and delayed disbursement of payments. </t>
  </si>
  <si>
    <t xml:space="preserve">In Uganda, as budget priorities shifted away from social spending, it was non-wage recurrent funding for primary care that was particularly squeezed relative to salaries. </t>
  </si>
  <si>
    <t>Uganda MoFPED Budget Documents, 1999-2023.</t>
  </si>
  <si>
    <t>1999-2023</t>
  </si>
  <si>
    <t xml:space="preserve">In Nigeria, there is duplication in the roles across three tiers of government, no framework covering budgets across government, and no effective coordination mechanism (Chaitkin, 2022).
</t>
  </si>
  <si>
    <t xml:space="preserve">Facility management is  observed to be easily overburdened by financial accountability requirements – in Kenya an assessment revealed that staff spend 20 percent of their time doing reporting, distracting them from core responsibilities (WHO, 2023). </t>
  </si>
  <si>
    <t>WHO (2023) ‘Report on the WHO Global Learning Event Financing facilities directly: how can it transform public budgets into services?’ Available at: https://cdn.who.int/media/docs/default-source/health-financing/meeting-report---financing-facilities-directly.pdf?sfvrsn=7b5427c2_1.</t>
  </si>
  <si>
    <t xml:space="preserve">In Ethiopia, providers cannot retain unused funds from the MoH and must seek approval to use internally generated revenue (SPARC, 2022). 
</t>
  </si>
  <si>
    <t>SPARC (2022) ‘Advancing Strategic Health Purchasing in Ethiopia’. Available at: https://r4d.org/wp-content/uploads/SPARC_Ethiopia-Strategic-Health-Purchasing-Report_Brief_L3.pdf.</t>
  </si>
  <si>
    <t>World Bank (2021) ‘REVIEW OF PUBLIC HEALTH EXPENDITURE IN THE REPUBLIC OF TAJIKISTAN’. Available at: https://documents1.worldbank.org/curated/en/139391628147971743/pdf/Discussion-Paper.pdf.</t>
  </si>
  <si>
    <t xml:space="preserve">In Tajikistan, health facilities receive input-based prospective funding and there is no incentive for providers to request less funding, even if inputs are in oversupply (World Bank, 2021).
</t>
  </si>
  <si>
    <t>Tajikistan</t>
  </si>
  <si>
    <t>In the Ethiopian health sector, there is a mix of manual processes, multiple data entry, and fragmented reporting systems. Health sector decision makers have trouble linking financial information with health outcomes and so cannot effectively make routine planning and budgeting decisions. This is caused by data siloes, with data scattered across systems that are not interoperable; fragmented systems that lead to data duplication and manual outputs; data captured in different formats across organisations; and limited digitisation, particularly at lower levels (Chai, 2024).</t>
  </si>
  <si>
    <t>Chai (2024) ‘ENHANCING THE TRACKING OF FINANCIAL RESOURCES FOR HEALTH IN ETHIOPIA. Roadmap Report (unpublished)’.</t>
  </si>
  <si>
    <t xml:space="preserve">In Nigeria, other than for payroll, local budgeting and accounting are generally conducted manually with significant inaccuracies (Chaitkin, 2022). </t>
  </si>
  <si>
    <t xml:space="preserve">National Audit Office Tanzania. 2023. Performance Audit on the Management of Higher Education Student Loans. https://www.nao.go.tz/uploads/Performance_Audit_on_the_Management_of_Higher_Education_Students%E2%80%99_Loan_Repayment.pdf
</t>
  </si>
  <si>
    <t>2021-2025</t>
  </si>
  <si>
    <t>Mali</t>
  </si>
  <si>
    <t>DRC</t>
  </si>
  <si>
    <t>2023, 2015</t>
  </si>
  <si>
    <t>India</t>
  </si>
  <si>
    <t>Myanmar</t>
  </si>
  <si>
    <t>2020-21</t>
  </si>
  <si>
    <t>2014, 2022</t>
  </si>
  <si>
    <t>Adoption of ‘straight-through’ school grants in Uganda: Following a landmark study which found that local governments were diverting over 80 percent of non-wage grants for schools for other purposes, Uganda adopted a ‘straight-through’ transfer model (i.e. the funds are directly from central government to schools) which provides local governments with a monitoring role but removes their power to divert the transfer. This model has been adopted in multiple countries since then, including in Tanzania, where the government publishes the monthly amount for every school to facilitate verification</t>
  </si>
  <si>
    <t xml:space="preserve">UNESCO. 2014. The Use and Usefulness of School Grants: Lessons from Uganda.
https://www.iiep.unesco.org/en/publication/use-and-usefulness-school-grants-lessons-uganda </t>
  </si>
  <si>
    <t>2008-2022</t>
  </si>
  <si>
    <t>* OECD. 2016. Budgeting in Chile. https://www.dipres.gob.cl/598/articles-266583_doc_pdf.pdf
* https://www.hacienda.cl/english/investor-relations-office</t>
  </si>
  <si>
    <t xml:space="preserve">* OECD. 2016. Budgeting in Chile. https://www.dipres.gob.cl/598/articles-266583_doc_pdf.pdf
*https://www.elibrary.imf.org/display/book/9781616353797/ch007.xml
</t>
  </si>
  <si>
    <t>2000-06</t>
  </si>
  <si>
    <t>IMF. 2007. Regional Economic Outlook: Sub-Saharan Africa. *https://citeseerx.ist.psu.edu/document?repid=rep1&amp;type=pdf&amp;doi=218876bfe26368b2e7e3d80a6e0b444d0d9d5354#:~:text=policy%20and%20improving%20tax%20administration%2C,The%20latter%20includes
* https://documents1.worldbank.org/curated/en/099022724141034783/pdf/P5009161b7a1e10071b40f196ac43a331de.pdf#:~:text=%5BPDF%5D%20Rwanda%20Economic%20Update%20,The%20primary</t>
  </si>
  <si>
    <t>2009, 2020</t>
  </si>
  <si>
    <t>Italy</t>
  </si>
  <si>
    <t>2011-12</t>
  </si>
  <si>
    <t>2012-2020</t>
  </si>
  <si>
    <r>
      <rPr>
        <b/>
        <sz val="11"/>
        <color rgb="FF000000"/>
        <rFont val="Calibri"/>
        <family val="2"/>
      </rPr>
      <t>Liberia</t>
    </r>
    <r>
      <rPr>
        <sz val="11"/>
        <color rgb="FF000000"/>
        <rFont val="Calibri"/>
        <family val="2"/>
      </rPr>
      <t>: Weak medium-term budgeting framework. Liberia formally introduced a MTEF, but it is not effective in practice. Multi-year budgeting institutions are not generating comprehensive projections – there is no integrated public investment plan covering the next 3 years. Regulations require medium-term expenditure ceilings, but in reality the budget circular has no medium-term ceilings and multi-year appropriations are not yet permitted.</t>
    </r>
  </si>
  <si>
    <t>2014-2024</t>
  </si>
  <si>
    <t>2009-2022</t>
  </si>
  <si>
    <t>2012-2023</t>
  </si>
  <si>
    <t>2015, 2024</t>
  </si>
  <si>
    <t>Ministry of Health and Social Protection (MOHSP), 2021. National Strategy for Gender Equality 2021-2030. Tirana: Government of Albania.</t>
  </si>
  <si>
    <t>Ministry of Health and Social Protection (MOHSP), 2022. Raport monitorimi Zbatimi i Strategjisë Kombëtare për Barazinë Gjinore dhe Planit të saj të Veprimit 2021-2030 për vitin 2022. Tirana: Government of Albania.
Ministry of Health and Social Protection (MOHSP), 2023. Report of the Republic of Albania on the Implementation of the Council of Europe Convention on Preventing and Combating Violence Against Women and Domestic Violence (Istanbul Convention). First Thematic Evaluation Round: Building Trust By Delivering Support, Protection And Justice. Tirana: Government of Albania. https://rm.coe.int/state-report-addressed-to-grevio-/1680ac0c69</t>
  </si>
  <si>
    <t>2020, 2021</t>
  </si>
  <si>
    <t>Mozambique</t>
  </si>
  <si>
    <t>G20 Countries</t>
  </si>
  <si>
    <t>United Kingdom</t>
  </si>
  <si>
    <t>An audit of GBV policy implementation in the UK found the Home Office, as GBV coordination lead, failed to undertake a joint spending review with relevant departments during the process of implementing the Violence Against Girls strategy (despite a practice of doing so on other cross-government initiatives), and as such failed to garner a full understanding of the scale of resources committed to tackling GBV across government, limiting its ability to prioritize efforts</t>
  </si>
  <si>
    <t xml:space="preserve">In Peru it was noted that at the time that the Joint Action Plan on GBV was prepared, there was little evidence on what works, particularly for the domestic context. Moreover, limited monitoring and evaluation of initiatives hinders the development of evidence that can serve as support for the allocation of resources and prioritization of interventions.  </t>
  </si>
  <si>
    <t>Albania’s Ministry of Justice issued a tender to hire NGOs to provide legal aid 2021 but that failed to issue a single award, because of a lack of understanding of or ability to comply with the bidding procedures.</t>
  </si>
  <si>
    <t xml:space="preserve">Ministry of Health and Social Protection (MOHSP), 2023. Report of the Republic of Albania on the Implementation of the Council of Europe Convention on Preventing and Combating Violence Against Women and Domestic Violence (Istanbul Convention). First Thematic Evaluation Round: Building Trust By Delivering Support, Protection And Justice. Tirana: Government of Albania. https://rm.coe.int/state-report-addressed-to-grevio-/1680ac0c69.
</t>
  </si>
  <si>
    <t xml:space="preserve">In Peru it was noted that at the time that the Joint Action Plan on GBV was prepared, there was little evidence on what works, particularly for the domestic context. Moreover, limited monitoring and evaluation of initiatives hinders the development of evidence that can serve as support for the allocation of resources and prioritization of interventions.  Some, older country-level estimates of the economic impact/cost of GBV were identified, but these were reported not used in budgeting decisions.    </t>
  </si>
  <si>
    <t>World Bank, 2019. 10 Mensajes sobre la violencia contra las mujeres en el Perú : Un análisis de las inversiones públicas en esta agenda : Resumen (Spanish). Washington, DC: World Bank. https://documents.worldbank.org/en/publication/documents-reports/documentdetail/584501561492496523/resumen?deliveryName=DM15184
Interviews with World Bank Poverty and Equity Practice staff, May 2024
Vara, A., 2013. Violence against women and its financial consequences for businesses in Peru https://www.researchgate.net/publication/283327430_Los_costos_empresariales_de_la_violencia_contra_las_mujeres_en_el_Peru_Resumen_en_Espanol</t>
  </si>
  <si>
    <t>2018-2025</t>
  </si>
  <si>
    <t>2019-23</t>
  </si>
  <si>
    <t>In the Sahel, solar potential is huge and expected to be cost effective at scale, but requires regional scale infrastructure, intergovernmental cooperation and large amounts of finance to be viable. External finance has driven these investments and there has been limited private investment to date. Increased private sector investment is desirable and has strong commercial potential, however regulation governing independent power production and regional trade needs strengthening and the institutional capacity of utilities is relatively weak as is the broader private sector enabling environment.  Where private investment has occurred, enforcement of regulation governing independent power production has been weak leading to higher prices and inefficient choices. The combination of factors has led to ad-hoc and unsolicited private-financed solar projects in several Sahel countries. This investment, while encouraging, fails to take advantage of region-wide least cost options and can lead to higher prices and inefficient development of the energy sector regionally .</t>
  </si>
  <si>
    <t>Sahel</t>
  </si>
  <si>
    <r>
      <t xml:space="preserve">Student loans are a common mechanism in the higher education sector, and are often managed and funded by the public sector. Usually, there is an official policy that governs loan repayment, but in practice repayments are often not collected with sufficient effort or consistency, resulting in some portions of the loan portfolio never being recovered. In </t>
    </r>
    <r>
      <rPr>
        <b/>
        <sz val="11"/>
        <color theme="1"/>
        <rFont val="Calibri"/>
        <family val="2"/>
      </rPr>
      <t>Tanzania</t>
    </r>
    <r>
      <rPr>
        <sz val="11"/>
        <color theme="1"/>
        <rFont val="Calibri"/>
        <family val="2"/>
      </rPr>
      <t xml:space="preserve">, the proportion of outstanding loans as a share of matured loans increased from 35 percent in 2014/15 to 69 percent by 2022/23, indicating an increasing problem in cost recovery, associated with a relaxation of policy in 2019 (NAOT, 2023). Ultimately, this results in a larger share of public financing for education going towards the post-secondary level than sector policy requires. </t>
    </r>
  </si>
  <si>
    <r>
      <rPr>
        <b/>
        <sz val="11"/>
        <color theme="1"/>
        <rFont val="Calibri"/>
        <family val="2"/>
      </rPr>
      <t xml:space="preserve">Universalisation drives with financing in Tanzania: </t>
    </r>
    <r>
      <rPr>
        <sz val="11"/>
        <color theme="1"/>
        <rFont val="Calibri"/>
        <family val="2"/>
      </rPr>
      <t>Universal secondary education initiatives rapidly increased enrollment without adequate planning for teacher hiring or infrastructure, leading to overcrowded classrooms and higher student-teacher ratios.</t>
    </r>
  </si>
  <si>
    <r>
      <rPr>
        <b/>
        <sz val="11"/>
        <color theme="1"/>
        <rFont val="Calibri"/>
        <family val="2"/>
      </rPr>
      <t xml:space="preserve">The marginalisation of private schools: </t>
    </r>
    <r>
      <rPr>
        <sz val="11"/>
        <color theme="1"/>
        <rFont val="Calibri"/>
        <family val="2"/>
      </rPr>
      <t>"To achieve universal primary and secondary schooling, unit costs are going to have to come down dramatically." Most models for financing universal education require that the share of education public spending in GDP double (Rossiter in Sadefur 2022). Almost every country is committed to the SDGs, and prior to that to basic Education for All. Yet, a 2018 European Parliament decision, banned aid to private schools. GPE's stance is to fund private provision as an exception. Some countries make it extremely difficult to open private schools (Tanzania). Choi (2020) documents many of the hurdles to private school operation documented by the SABER Enabling Private Schools assessment. The unwillingness to subsidise students to attend private schools is despite the fact that (i) private schools often have lower unit costs; (ii) private schools are at least as cost-effective (if not more so) than public schools; and (iii) the majority of public officials in developing countries educate their children privately.</t>
    </r>
  </si>
  <si>
    <r>
      <rPr>
        <b/>
        <sz val="11"/>
        <color theme="1"/>
        <rFont val="Calibri"/>
        <family val="2"/>
      </rPr>
      <t xml:space="preserve">Mali: </t>
    </r>
    <r>
      <rPr>
        <sz val="11"/>
        <color theme="1"/>
        <rFont val="Calibri"/>
        <family val="2"/>
      </rPr>
      <t>ad hoc pay increases including a 33 percent pay bump for teachers coincided with a decline in the number of public sector employees per population. Mali's primary out of school population share is 47 percent, the fifth highest in the 2022 MICS-DHS UNICEF database.</t>
    </r>
  </si>
  <si>
    <t xml:space="preserve">Kiendrebeogo 2023. Public Sector Wage Bill in Mali. Selected Issues Paper. IMF. https://www.imf.org/-/media/Files/Publications/Selected-Issues-Papers/2023/English/SIPEA2023056.ashx
UNICEF. Out of school estimates. Dataset. June 2022. </t>
  </si>
  <si>
    <r>
      <rPr>
        <b/>
        <sz val="11"/>
        <color theme="1"/>
        <rFont val="Calibri"/>
        <family val="2"/>
      </rPr>
      <t>Malawi:</t>
    </r>
    <r>
      <rPr>
        <sz val="11"/>
        <color theme="1"/>
        <rFont val="Calibri"/>
        <family val="2"/>
      </rPr>
      <t xml:space="preserve"> public unit costs for higher education are over 100 times higher than for primary.</t>
    </r>
  </si>
  <si>
    <r>
      <rPr>
        <b/>
        <sz val="11"/>
        <color theme="1"/>
        <rFont val="Calibri"/>
        <family val="2"/>
      </rPr>
      <t>DRC:</t>
    </r>
    <r>
      <rPr>
        <sz val="11"/>
        <color theme="1"/>
        <rFont val="Calibri"/>
        <family val="2"/>
      </rPr>
      <t xml:space="preserve"> Sector planning was completed in DRC but no process was in place to develop operational plans or budgets (Mokoro 2019).</t>
    </r>
  </si>
  <si>
    <r>
      <rPr>
        <b/>
        <sz val="11"/>
        <color theme="1"/>
        <rFont val="Calibri"/>
        <family val="2"/>
      </rPr>
      <t xml:space="preserve">Diversion of funds for schools in Uganda. </t>
    </r>
    <r>
      <rPr>
        <sz val="11"/>
        <color theme="1"/>
        <rFont val="Calibri"/>
        <family val="2"/>
      </rPr>
      <t>Numerous World Bank studies have shown significant diversion of funds away from their original purpose in many countries. For instance, Reinekka and Svensson (2001) in their classic paper document that most of the value (87%) of a capitation grant for schools was diverted for other purposes by local governments in Uganda. Similar conclusions have been reached by multiple PETS studies. Such problems are associated with channels of funding that have long delivery chains and where adequate oversight and accountability for the management of funds are absent or insufficient.</t>
    </r>
  </si>
  <si>
    <r>
      <rPr>
        <b/>
        <sz val="11"/>
        <color theme="1"/>
        <rFont val="Calibri"/>
        <family val="2"/>
      </rPr>
      <t>India</t>
    </r>
    <r>
      <rPr>
        <sz val="11"/>
        <color theme="1"/>
        <rFont val="Calibri"/>
        <family val="2"/>
      </rPr>
      <t xml:space="preserve"> has long over-prioritized new school construction rather than focusing on teacher training or modern teaching methods.</t>
    </r>
  </si>
  <si>
    <r>
      <rPr>
        <b/>
        <sz val="11"/>
        <color theme="1"/>
        <rFont val="Calibri"/>
        <family val="2"/>
      </rPr>
      <t>Myanmar</t>
    </r>
    <r>
      <rPr>
        <sz val="11"/>
        <color theme="1"/>
        <rFont val="Calibri"/>
        <family val="2"/>
      </rPr>
      <t xml:space="preserve"> faces delays in school construction projects due to protracted tendering processes, which stall the timely development of educational infrastructure. These delays are symptomatic of broader systemic issues within public financial management that need addressing to ensure that educational facilities can be delivered efficiently and ready for use as planned.</t>
    </r>
  </si>
  <si>
    <r>
      <rPr>
        <b/>
        <sz val="11"/>
        <color theme="1"/>
        <rFont val="Calibri"/>
        <family val="2"/>
      </rPr>
      <t>School meals in Mali:</t>
    </r>
    <r>
      <rPr>
        <sz val="11"/>
        <color theme="1"/>
        <rFont val="Calibri"/>
        <family val="2"/>
      </rPr>
      <t xml:space="preserve"> Despite an overall sector budget execution rate of 95%, only 44% of schools received their allocated funding for meals, pointing to significant administrative bottlenecks at the local level. This shortfall in fund disbursement highlights inefficiencies that can derail well-intentioned policies aimed at improving student welfare and educational outcomes, underscoring the necessity for improved governance and accountability mechanisms.</t>
    </r>
  </si>
  <si>
    <r>
      <t xml:space="preserve">In </t>
    </r>
    <r>
      <rPr>
        <b/>
        <sz val="11"/>
        <color theme="1"/>
        <rFont val="Calibri"/>
        <family val="2"/>
      </rPr>
      <t>Uganda</t>
    </r>
    <r>
      <rPr>
        <sz val="11"/>
        <color theme="1"/>
        <rFont val="Calibri"/>
        <family val="2"/>
      </rPr>
      <t xml:space="preserve">, Lacroix and others (2024) document issues with data collection and analysis and consolidation of that data for fiscal grants. Grants are also not updated very regularly using fresh data, or formulas using data are not used to allocate certain appropriately selected streams of finance. This created inequitable levels of financing across locales (Long et al. 2021, Long et al 2024). Use of improved software tools depended on norms. </t>
    </r>
  </si>
  <si>
    <t>Despite abolishing user fees in 2001, Uganda continues to experience high levels of catastrophic health spending. The health budget has been stagnant, with general government health expenditures from domestic sources falling from 6.5 percent of total public spending in FY14/15 to 3.9 percent in FY20/21 (Sebudde et al., 2024). The absence of a national pooled financing mechanism, such as integrated health insurance, as well as the lack of a clear national strategy, reflects limited political commitment to universal health coverage. Conflicting stakeholder interests, weak government prioritization of healthcare, and fragmented donor and private sector efforts have stalled progress toward financial protection and coherent health financing reform (Nanini et al., 2021; Eusebio et al., 2022).</t>
  </si>
  <si>
    <t xml:space="preserve">In Laos, the Ministry of Finance Budget Department does not have dedicated sector specialists or desk officers responsible for analysis, monitoring, and evaluation of specific sectors. This limits the Ministry of Health’s ability to work cooperatively with the Finance Ministry and ensure they fully understand and are committed to jointly implementing the health sector strategy, including the necessary PFM and health financing reforms (REF Laos FinHealth report). </t>
  </si>
  <si>
    <t>The introduction of major UHC scheme are typically associated with an increase in health spending of around 1% of GDP, including the establishment of the United Kingdom’s National Health Service in the late 1940s (Yates et al., 2024).</t>
  </si>
  <si>
    <t>The introduction of major UHC scheme are typically associated with an increase in health spending of around 1% of GDP, including Thailand’s UHC reforms in the early 2000s (Yates et al., 2024).</t>
  </si>
  <si>
    <t>The introduction of major UHC scheme are typically associated with an increase in health spending of around 1% of GDP, including China's UHC reforms in the early 2000s (Yates et al., 2024).</t>
  </si>
  <si>
    <t xml:space="preserve">Major health reforms in Mexico (the introduction of Seguro Popular in 2003) were accompanied by changes in how the health budget was set. This involved a move away from the usual bilateral negotiation between the finance ministry and the health ministry to using a formula to estimate the financing needs of the UHC scheme, and then bargaining over the results of this (Frenk et al., 2019). 
</t>
  </si>
  <si>
    <t xml:space="preserve">Major health reforms in Thailand (the Universal Coverage Scheme, popularly known as the 30-baht scheme , in 2002) were accompanied by changes in how the health budget was set. This involved a move away from the usual bilateral negotiation between the finance ministry and the health ministry to using a formula to estimate the financing needs of the UHC scheme, and then bargaining over the results of this (Tangcharoensathien et al., 2019). </t>
  </si>
  <si>
    <t>Viet Nam</t>
  </si>
  <si>
    <r>
      <t xml:space="preserve">
Japan. 1963. </t>
    </r>
    <r>
      <rPr>
        <i/>
        <sz val="11"/>
        <rFont val="Calibri"/>
        <family val="2"/>
        <scheme val="minor"/>
      </rPr>
      <t>Japan's Growth and Education.</t>
    </r>
    <r>
      <rPr>
        <sz val="11"/>
        <rFont val="Calibri"/>
        <family val="2"/>
        <scheme val="minor"/>
      </rPr>
      <t xml:space="preserve"> Tokyo. https://www.mext.go.jp/b_menu/hakusho/html/hpae196301/index.html
Afghanistan GDP https://www.rug.nl/ggdc/historicaldevelopment/maddison/releases/maddison-project-database-2018?lang=en</t>
    </r>
  </si>
  <si>
    <r>
      <t xml:space="preserve">Funding channels for schools are often </t>
    </r>
    <r>
      <rPr>
        <i/>
        <sz val="11"/>
        <rFont val="Calibri"/>
        <family val="2"/>
      </rPr>
      <t>ad hoc</t>
    </r>
    <r>
      <rPr>
        <sz val="11"/>
        <rFont val="Calibri"/>
        <family val="2"/>
      </rPr>
      <t xml:space="preserve"> and fragmented, sometimes politically driven or externally financed, contributing to administrative burdens and inefficient service delivery.</t>
    </r>
  </si>
  <si>
    <r>
      <rPr>
        <b/>
        <sz val="11"/>
        <color theme="1"/>
        <rFont val="Calibri"/>
        <family val="2"/>
      </rPr>
      <t xml:space="preserve">The lack of involvement of schools in policy development: </t>
    </r>
    <r>
      <rPr>
        <sz val="11"/>
        <color theme="1"/>
        <rFont val="Calibri"/>
        <family val="2"/>
      </rPr>
      <t xml:space="preserve">For example, education Information systems are often oriented at central/provincial government users. This means that the information entered in EMIS systems is less likely to be accurate, as the key users only provide the information and are often prevented by access privileges from even accessing what they had entered. This is despite the fact that scorecards allowing easy comparison with similar schools have been shown to improve performance in Uganda for example (Kabay 2023). </t>
    </r>
  </si>
  <si>
    <t>Kabay 2023. School-based Management in Ugandan Primary Schools. RISE Programme Working Paper. 
https://riseprogramme.org/sites/default/files/inline-files/Kabay%20School-based%20Management%20in%20Ugandan%20Primary%20Schools%20Draft%20for%20RISE.pdf</t>
  </si>
  <si>
    <r>
      <rPr>
        <b/>
        <sz val="11"/>
        <color theme="1"/>
        <rFont val="Calibri"/>
        <family val="2"/>
      </rPr>
      <t xml:space="preserve">Unbalanced funding across  education levels: </t>
    </r>
    <r>
      <rPr>
        <sz val="11"/>
        <color theme="1"/>
        <rFont val="Calibri"/>
        <family val="2"/>
      </rPr>
      <t xml:space="preserve">Typically lower income governments announce universal education and divert 15-30% of the budget to higher education for a smaller number of students. Reinekka (2001) in their classic paper document that most of the value (87%) of a capitation grant for schools was diverted by local governments in Uganda. </t>
    </r>
  </si>
  <si>
    <t>Reinekka. 2001. Explaining Leakage of Public Funds. https://papers.ssrn.com/sol3/papers.cfm?abstract_id=632778</t>
  </si>
  <si>
    <t>World Bank. 2006. PETS/QSDS in SSA: Stocktaking study https://etico.iiep.unesco.org/en/pets-qsds-sub-saharan-africa-stocktaking-study</t>
  </si>
  <si>
    <r>
      <rPr>
        <b/>
        <sz val="11"/>
        <color theme="1"/>
        <rFont val="Calibri"/>
        <family val="2"/>
      </rPr>
      <t xml:space="preserve">Unbalanced funding across  education levels: </t>
    </r>
    <r>
      <rPr>
        <sz val="11"/>
        <color theme="1"/>
        <rFont val="Calibri"/>
        <family val="2"/>
      </rPr>
      <t>Typically lower income governments announce universal education and divert 15-30% of the budget to higher education for a smaller number of students. Public Expenditure Tracking Surveys (PETS) across a number of countries have documented this, including in Tanzania where leakage on non-wage education expenditures was 41% (World Bank, 2006).</t>
    </r>
  </si>
  <si>
    <r>
      <rPr>
        <b/>
        <sz val="11"/>
        <color theme="1"/>
        <rFont val="Calibri"/>
        <family val="2"/>
      </rPr>
      <t>Uganda:</t>
    </r>
    <r>
      <rPr>
        <sz val="11"/>
        <color theme="1"/>
        <rFont val="Calibri"/>
        <family val="2"/>
      </rPr>
      <t xml:space="preserve"> government attempted to copy a successful NGO-administered teacher training programme and in so doing made teacher effectiveness worse.</t>
    </r>
  </si>
  <si>
    <t>Kerwin J and Thornton R. 2021. Making the Grade: The Sensitivity of Education Program Effectiveness to Input Choices and Outcome Measures. Review of Economics and Statistics. https://direct.mit.edu/rest/article-abstract/103/2/251/97681/Making-the-Grade-The-Sensitivity-of-Education?redirectedFrom=fulltext</t>
  </si>
  <si>
    <t xml:space="preserve">OPML and UNICEF. 2025. Punjab child-centred public expenditure reivew. Unpublished. </t>
  </si>
  <si>
    <t>UNICEF. MICS 2017/18 for Punjab Province, Pakistan.</t>
  </si>
  <si>
    <r>
      <rPr>
        <b/>
        <sz val="11"/>
        <color theme="1"/>
        <rFont val="Calibri"/>
        <family val="2"/>
      </rPr>
      <t>Pakistan</t>
    </r>
    <r>
      <rPr>
        <sz val="11"/>
        <color theme="1"/>
        <rFont val="Calibri"/>
        <family val="2"/>
      </rPr>
      <t xml:space="preserve">: skills to be acquired by the age of 4 assume high-quality pre-primary (the same skills as in England, in a country where few speak the LoI at home), which MICS ECDI results show is not taking place. </t>
    </r>
  </si>
  <si>
    <r>
      <rPr>
        <b/>
        <sz val="11"/>
        <color theme="1"/>
        <rFont val="Calibri"/>
        <family val="2"/>
      </rPr>
      <t>KP, Pakistan:</t>
    </r>
    <r>
      <rPr>
        <sz val="11"/>
        <color theme="1"/>
        <rFont val="Calibri"/>
        <family val="2"/>
      </rPr>
      <t>In Khyber Pakhtunkhwa, Pakistan, a financing line (hydroelectric revenues transferred from the central government) is officially budgeted for, but in practice is rarely fully disbursed. For instance, in 2018-19 the province received just 15% of budgeted revenues. This means that within-year cuts to non-wage items are inevitable, with capital budgets often executed at below 50% in aggregate. This also impacts the education sector, where development spending has fallen as a share of total spending from 28% in 2013-14 to just 13% by 2019-20.</t>
    </r>
  </si>
  <si>
    <t xml:space="preserve">World Bank. 2023a. Lao PDR Public Expenditure Review. https://www.worldbank.org/en/country/lao/publication/lao-pdr-public-expenditure-and-institutional-review-financial-management-in-education-analysis-2023 </t>
  </si>
  <si>
    <t>Lao PDR</t>
  </si>
  <si>
    <t>2017-18</t>
  </si>
  <si>
    <r>
      <rPr>
        <b/>
        <sz val="11"/>
        <color theme="1"/>
        <rFont val="Calibri"/>
        <family val="2"/>
      </rPr>
      <t xml:space="preserve">Myanmar: </t>
    </r>
    <r>
      <rPr>
        <sz val="11"/>
        <color theme="1"/>
        <rFont val="Calibri"/>
        <family val="2"/>
      </rPr>
      <t>Urban schools received twice as much funding per pupil as remote schools due to outdated grant formulas that used enrollment banding, penalizing smaller rural schools.</t>
    </r>
  </si>
  <si>
    <r>
      <rPr>
        <b/>
        <sz val="11"/>
        <color theme="1"/>
        <rFont val="Calibri"/>
        <family val="2"/>
      </rPr>
      <t>Malawi</t>
    </r>
    <r>
      <rPr>
        <sz val="11"/>
        <color theme="1"/>
        <rFont val="Calibri"/>
        <family val="2"/>
      </rPr>
      <t>: "The distribution of the district education “Other Recurrent Transactions” budget does not consider district population profiles. As a result, per capita, the best-served district receives 25 times what the worst-served district receives."</t>
    </r>
  </si>
  <si>
    <t xml:space="preserve">OPM. 2019. Financial Debottlenecking Analysis </t>
  </si>
  <si>
    <t>GPE. 2023. Assessment of Enabling Factors: Malawi. ITAP report. Malawi.</t>
  </si>
  <si>
    <r>
      <t xml:space="preserve">Capital maintenance budgets throughout </t>
    </r>
    <r>
      <rPr>
        <b/>
        <sz val="11"/>
        <color theme="1"/>
        <rFont val="Calibri"/>
        <family val="2"/>
      </rPr>
      <t>Pakistan</t>
    </r>
    <r>
      <rPr>
        <sz val="11"/>
        <color theme="1"/>
        <rFont val="Calibri"/>
        <family val="2"/>
      </rPr>
      <t xml:space="preserve"> are ad hoc and overcentralised. </t>
    </r>
  </si>
  <si>
    <t xml:space="preserve">Al-Samarrai &amp; Lewis. 2021. The Role of Intergovernmental Fiscal Transfers in Improving Education Outcomes - Chapter 5, Uganda Case Study
https://documents.worldbank.org/en/publication/documents-reports/documentdetail/099340010192237930/p1694470b2f0a40fc0b1a30e8dcb9fbfd3d </t>
  </si>
  <si>
    <t>In Uganda, multiple fragmented sources of financing has created major challenges for local government planning, budget formulation and execution. Overall, Uganda’s learning assessments indicate that quality has deteriorated since 2011.</t>
  </si>
  <si>
    <t>One example of fragmented school funding is in Colombia, where the transfer formulas are adjusted annually, making it difficult for municipalities to plan effectively or respond to the incentives intended by the transfers. This constant adjustment introduces unpredictability, limiting the ability of local governments to budget and use education funds efficiently.</t>
  </si>
  <si>
    <t xml:space="preserve">Al-Samarrai &amp; Lewis. 2021. The Role of Intergovernmental Fiscal Transfers in Improving Education Outcomes
https://documents.worldbank.org/en/publication/documents-reports/documentdetail/099340010192237930/p1694470b2f0a40fc0b1a30e8dcb9fbfd3d </t>
  </si>
  <si>
    <r>
      <rPr>
        <b/>
        <sz val="11"/>
        <color theme="1"/>
        <rFont val="Calibri"/>
        <family val="2"/>
      </rPr>
      <t>Morocco:</t>
    </r>
    <r>
      <rPr>
        <sz val="11"/>
        <color theme="1"/>
        <rFont val="Calibri"/>
        <family val="2"/>
      </rPr>
      <t xml:space="preserve"> The  school transport program suffers from poor needs-based planning, resulting in a shortage of vehicles and high turnover among drivers due to unstable employment conditions. This logistical failure not only impacts student access to education but also highlights the broader issues of workforce management and planning within educational support systems
</t>
    </r>
  </si>
  <si>
    <r>
      <rPr>
        <b/>
        <sz val="11"/>
        <color theme="1"/>
        <rFont val="Calibri"/>
        <family val="2"/>
      </rPr>
      <t>Lao PDR</t>
    </r>
    <r>
      <rPr>
        <sz val="11"/>
        <color theme="1"/>
        <rFont val="Calibri"/>
        <family val="2"/>
      </rPr>
      <t xml:space="preserve">: fiscal volatility and a decline in revenues has necessitated major expenditure restraint including for education, with a large burden on non-wage recurrent and capital spending. </t>
    </r>
  </si>
  <si>
    <r>
      <rPr>
        <b/>
        <sz val="11"/>
        <color theme="1"/>
        <rFont val="Calibri"/>
        <family val="2"/>
      </rPr>
      <t>Lao PDR</t>
    </r>
    <r>
      <rPr>
        <sz val="11"/>
        <color theme="1"/>
        <rFont val="Calibri"/>
        <family val="2"/>
      </rPr>
      <t xml:space="preserve">: The country  faces challenges with managing textbook distribution, characterized by limited data on stock levels and fragmented distribution channels. These issues lead to shortages and inefficiencies, impacting the quality of education. </t>
    </r>
  </si>
  <si>
    <t>World Bank (unpublished) FinEd: Morocco Case Study.</t>
  </si>
  <si>
    <t>World Bank (2023) Laos Education PEIR.</t>
  </si>
  <si>
    <t>Malaysia</t>
  </si>
  <si>
    <t>OPML and UNICEF. 2025. Punjab child-centred public expenditure reivew. UNICEF Pakistan. Unpublished.</t>
  </si>
  <si>
    <t>Government of Malaysia, 2013. Education Blueprint. https://www.pmo.gov.my/wp-content/uploads/2019/07/Malaysia-Education-Blueprint-2013-2025.pdf
Analysis of Government of Malaysia. n.d. School budget guidelines. https://www.moe.gov.my/storage/files/shares/pekeliling_dan_garis_panduan/Bahagian%20Kewangan/Bajet/SPK%201%20TAHUN%202021%20-%20SURAT%20PEKELILING%20KEWANGAN%20BILANGAN%201%20TAHUN%202021%20%20PENGURUSAN%20KEWANGAN%20BAGI%20PERUNTUKAN%20BANTUAN%20PERSEKOLAHAN%20UMUM%20KEMENTERIAN%20PENDIDIKAN%20MALAYSIA.pdf</t>
  </si>
  <si>
    <r>
      <t xml:space="preserve">In </t>
    </r>
    <r>
      <rPr>
        <b/>
        <sz val="11"/>
        <color theme="1"/>
        <rFont val="Calibri"/>
        <family val="2"/>
      </rPr>
      <t>Malaysia</t>
    </r>
    <r>
      <rPr>
        <sz val="11"/>
        <color theme="1"/>
        <rFont val="Calibri"/>
        <family val="2"/>
      </rPr>
      <t xml:space="preserve">, non-wage funding for schools is allocated through a centrally controlled system that limits school-level autonomy. Budget planning is predominantly top-down, with little to no input from schools in identifying or prioritizing their operational needs. Allocations are often earmarked for specific purposes, preventing schools from reallocating funds even when local circumstances demand flexibility (Government of Malaysia, 2013). </t>
    </r>
  </si>
  <si>
    <t>UNICEF and OPM. 2025. Child-focused expenditure review of Punjab Province. Unpublished.</t>
  </si>
  <si>
    <r>
      <rPr>
        <b/>
        <sz val="11"/>
        <color theme="1"/>
        <rFont val="Calibri"/>
        <family val="2"/>
      </rPr>
      <t xml:space="preserve">Punjab, Pakistan: There is </t>
    </r>
    <r>
      <rPr>
        <sz val="11"/>
        <color theme="1"/>
        <rFont val="Calibri"/>
        <family val="2"/>
      </rPr>
      <t xml:space="preserve">clawback from schools of the capitation grant with a very short release period, also the case in other provinces. </t>
    </r>
  </si>
  <si>
    <t>Assessments of teacher capability, the key performance bottleneck in the system, are often few and far between. School audits in Kenya seem to have ceased being published in FY2022/23.</t>
  </si>
  <si>
    <t>In  Belgium, cuts in the federal budget had resulted in disparities in the GBV policies issued at the regional level, as well as the reduction of funding of the voluntary sector</t>
  </si>
  <si>
    <t xml:space="preserve">Group of Experts on Action against Violence against Women and Domestic Violence (GREVIO) 2020. (Baseline) Evaluation Report on legislative and other measures giving effect to the provisions of the Council of Europe Convention on Preventing and Combating Violence against Women and Domestic Violence (Istanbul Convention) – Belgium. https://rm.coe.int/grevio-report-on-belgium/16809f9a2c </t>
  </si>
  <si>
    <t>Belgium</t>
  </si>
  <si>
    <t xml:space="preserve">In Rwanda oversight of GBV policy is done by the Ministry of Gender and Family Promotion, who have limited ability to enforce budgetary obligations in other agencies. </t>
  </si>
  <si>
    <t xml:space="preserve"> In Peru, the Joint Plan of Action on GBV was overseen by the Ministry of Women and Vulnerable Populations, and coordination challenges were documented; however changes since the introduction of Results-based Budgeting in 2019, introducing a specific cross-sectoral program related to GBV, have given a more prominent role for the Ministry of Finance.  </t>
  </si>
  <si>
    <t>World Bank, 2019. 10 Mensajes sobre la violencia contra las mujeres en el Perú : Un análisis de las inversiones públicas en esta agenda : Resumen (Spanish). Washington, DC: World Bank. https://documents.worldbank.org/en/publication/documents-reports/documentdetail/584501561492496523/resumen?deliveryName=DM15184
Government of Peru, 2019. Results-oriented Budget Program for the Reduction of Violence against Women Multisector Working Group. RM N° 162-2019-EF/10. Lima: Government of Peru. https://www.mef.gob.pe/contenidos/presu_publ/anexos/anexo_RS024_2019EF.pdf</t>
  </si>
  <si>
    <t>Interviews with MINECOFIN officials, Rwanda, May 2024</t>
  </si>
  <si>
    <t>Interviews with MOHSP officials, Albania, May 2024</t>
  </si>
  <si>
    <t>Interviews with Albania MoF officials indicated that they were trained on issues of gender responsive budgeting, but this did not amount to an in-depth understanding of GBV policy issues in particular. Moreover, a lack of quality standards on particular services, hinders scrutiny and oversight.</t>
  </si>
  <si>
    <t>Interviews with Rwanda MoF officials indicated that they were trained on issues of gender responsive budgeting, but this did not amount to an in-depth understanding of GBV policy issues in particular. Moreover, a lack of quality standards on particular services, hinders scrutiny and oversight.</t>
  </si>
  <si>
    <t xml:space="preserve"> Introduction of reforms to increase competition and private participation are necessary for meaningful and cost-effective introduction of most renewable technologies. In Morocco, obstruction from legacy energy utilities has meant a selective and incremental approach to competition reforms in the sector has been persued. The national public utility, ONEE has only been partially unbundled and remains involved in generation, transmission and distribution. This is partly because the introduction of private sector participation and competition in the sector through renewable investment has reduced the customer base and revenue for the public utility, reducing its ability to provide power purchase and risk guarantees to investors.</t>
  </si>
  <si>
    <t xml:space="preserve">In Pakistan the case for incentivising private sector participation was initially raised in the 1970s. Despite repeated attempts at reform, the first major privatization did not occur until 2005 with little significant privatization since. Among the causes are a lack of political consensus around the reform agenda, frequent changes of government, and a failure to enforce limits on public finance resources or cede authority to set tariffs to the regulator. This has meant poor performance and weak governance persists in the sector, deterring private engagement in power generation, distribution or transmission, stalling the enhancement of capacity in energy utilities and limiting investment in renewables despite compelling arguments to do so (SDPI, 2024; World Bank, 2019c). </t>
  </si>
  <si>
    <t>2005-2025</t>
  </si>
  <si>
    <t>SDPI (Sustainable Development Policy Institute). 2024. Research Report: Privatization of Pakistan’s Power Utility Sector: Opportunities and the Lessons Learnt. August 2024. https://sdpi.org/assets/lib/uploads/PRIVATIZATION%20OF%20PAKISTAN%E2%80%99S%20POWER%20UTILITY%20SECTOR%20(3).pdf 
World Bank. 2019c. Lessons from Power Sector Reform: The Case of Pakistan. Washington DC: World Bank. https://documents1.worldbank.org/curated/en/403611557151850485/pdf/Learning-from-Power-Sector-Reform-The-Case-of-Pakistan.pdf</t>
  </si>
  <si>
    <t>In Morocco, obstruction from legacy energy utilities has meant a selective and incremental approach to competition reforms in the sector has been pursued. The state-owned utility, the National Office of Electricity and Drinking Water (ONEE), has only been partially unbundled and remains involved in generation, transmission, and distribution. This is partly because the introduction of private sector participation and competition in the sector through renewable investment has reduced the customer base and revenue for the public utility, reducing its ability to provide power purchase and risk guarantees to investors (World Bank 2019a).</t>
  </si>
  <si>
    <t>World Bank. 2019a. Lessons from Power Sector Reforms, the Case of Morocco. Washington, DC: World Bank. https://documents.worldbank.org/en/publication/documents-reports/documentdetail/471511565200281012/lessons-from-power-sector-reforms-the-case-of-morocco</t>
  </si>
  <si>
    <t>Commitment to solar PV in Vietnam was implemented through generous feed-in-tarrifs (FIT). Being new and untested, the FIT schemes had short windows and were not assured to continue. The FITs emerged as very effective at driving PV implementation but have not been met by equivalent expansion and investment in transmission, causing a significant obstacle and uncertainty for continuation of renewables expansion. Partly this was inadequate planning, but partly the schemes were  a victim of their own great success in driving renewable implementation.</t>
  </si>
  <si>
    <t xml:space="preserve">Kenya has a relatively strong planning and public procurement framework and has been one of the most successful countries in the region at attracting private participation in energy generation both through investment in KenGen, the power utility, and through Independent Power Producer (IPP) agreements. Despite initial challenges in attracting bidders, the result has been to triple generation capacity in the 30 years from 1990, a rate that has outpaced peak demand and has created a potential capacity that far outpaces demand projections . As a result, many IPPs are in various stages of delayed implementation. Part of the challenge has been political interference in procurement and contracting of private producers which has led to significant growth in power supply without considering aligned growth in demand causing unnecessary costs to government and distortions to the market. There are some similarities with the story in Viet Nam where commitment to solar PV was signalled by the government through generous feed-in-tariffs (FIT). Being new and untested, the FIT schemes had short windows and were not assured to continue. The FITs emerged as very effective at driving PV implementation but have not been met by equivalent expansion and investment in transmission, causing a significant obstacle and uncertainty for continuation of renewables expansion. Partly this was inadequate planning, but partly the schemes were a victim of their own great success in driving renewable implementation .
</t>
  </si>
  <si>
    <t>World Bank 2020b Learning from Power Sector Reform Experiences: The Case of Vietnam. Washington DC: World Bank. Internet. Available:  https://documents1.worldbank.org/curated/en/757761583166223011/pdf/Learning-from-Power-Sector-Reform-Experiences-The-Case-of-Vietnam.pdf</t>
  </si>
  <si>
    <t xml:space="preserve">World Bank 2019b Lessons from Power Sector Reform: The Case of Kenya. Washington DC: World Bank. Internet. Available: https://documents1.worldbank.org/curated/en/451561555435655366/pdf/Learning-from-Power-Sector-Reform-The-Case-of-Kenya.pdf
</t>
  </si>
  <si>
    <t>1990-2019</t>
  </si>
  <si>
    <r>
      <rPr>
        <b/>
        <sz val="11"/>
        <color theme="1"/>
        <rFont val="Calibri"/>
        <family val="2"/>
      </rPr>
      <t>Laos:</t>
    </r>
    <r>
      <rPr>
        <sz val="11"/>
        <color theme="1"/>
        <rFont val="Calibri"/>
        <family val="2"/>
      </rPr>
      <t xml:space="preserve"> The issue of teacher deployment reveals a stark mismatch, with urban schools being overstaffed while rural schools experience acute shortages. The lack of advanced planning tools for forecasting future teacher demand exacerbates this issue, indicating a critical gap in the strategic allocation of educational resources, which undermines the equity and effectiveness of education across regions.</t>
    </r>
  </si>
  <si>
    <t>Mali: Performance-based incentives for teachers were undermined by a lack of alignment with budgetary and HRM policies.</t>
  </si>
  <si>
    <t>Lao DPR</t>
  </si>
  <si>
    <t>World Bank (2023) Preventing a Lost Decade in Education in the Lao PDR: Public Expenditure Review and Financial Management in Education Analysis https://documents.worldbank.org/en/publication/documents-reports/documentdetail/099011624014536949/p179015156451402e1b1051b2fa3d7674fb</t>
  </si>
  <si>
    <t>Kiendrebeogo 2023. Public Sector Wage Bill in Mali. Selected Issues Paper. IMF. https://www.imf.org/-/media/Files/Publications/Selected-Issues-Papers/2023/English/SIPEA2023056.ashx</t>
  </si>
  <si>
    <t>Power sector investment in Morocco is led by the private sector, but closely managed by the state-owned utility, ONEE. Generous power purchase and financial guarantees from ONEE have allowed independent power producers (IPPs) to invest in their operations resulting in their high capacity and availability factors. However, these generous PPAs undermine ONEE’s financial buoyancy and its capacity to sufficiently invest in maintenance since its energy sales are insufficient to cover its total costs. ONEE operates as a sole buyer and supplier of electricity and so is cautious of allowing significant new private  entry into the market, or relinquishing share in distribution as it runs the risk of depriving the public utility of more lucrative customers, reducing revenue, and undermining the ablility to provide incentives through the power purchase agreements and risk guarantees. This has led to a gradual and selective approach to market entry. To develop renewable energy (RE) capacity, Morocco has developed a more liberalized track to for private producers, increasingly with RE grid integration and the direct access to end users that RE producers now have. While attractive to private producers, this could disrupt the business models of fossil fuel generators and distributors in the long run, reducing revenue and creating fiscal risks for the govenment relating to the performance of ONEE.</t>
  </si>
  <si>
    <t>In Pakistan, failure to enforce cost recovery or improve governance of utilities led to financial instability and limited renewable investments. This has been caused by volatility of prices (see 5.1 for more detail), poor revenue collection performance and incentives for improvement (see 6.1) and structural issues with governance, transparency and reform in utilties (see 8.3).</t>
  </si>
  <si>
    <t xml:space="preserve"> In Kenya, regulatory and financial challenges led to inefficiencies. In the late 1990s, the vertically integrated utility, KPLC, was a relatively strong performer and had a power purchase agreement with KenGen, the power generation entity. Drought in 1999 affected supply (load shedding) and severely affected sales, and the financial viability of KPLC. Provision of emergency power increased the costs and debt rose. The regulator did not intervene until a change of government in 2002 and new performance contracts for both KPLC and KenGen replaced the PPA arrangment, and later a private management contract to sever the influence between utility staff and government officials. Droughts in the late 2000s and early 2010s required a return to emergency power purchasing, and profiot margins were affected, though overall financial performance was consistently good through the period. </t>
  </si>
  <si>
    <t>Late 1990s - early 2010s</t>
  </si>
  <si>
    <t>Despite clear interest from investors, the cost of capital for clean power projects in Kenya remains high. For utility-scale solar power projects, IEA data suggests that the weighted average cost of capital (WACC) in Kenya is between 8.5% and 9%,  though this is significantly less than in emerging economies where the WACC is 9.5%-11% due to the role of concessional finance. In North America or Europe, rates are between 4.7% and 6.4%. Estimates suggest over 60% of the WACC in Kenya is due to the 'base rate' reflecting country level risks and low maturity of the sector (compared to 35% in China and 10% in many developed countries). To further mitigate risk to producers, power purchased agreements are typically denominated in US dollars which in Kenya added 28% to costs (which are passed on to consumers) between 2018 and 2024 due to depreciation of the shilling. The performance of the energy utility, KPLC, is considered strong, with major strides in equitable access, over 80% renewable generation and is ranked 9th among african countries for grid stablility; however energy prices are 4th highest in Africa, the financial health of KPLC is constantly under pressure.</t>
  </si>
  <si>
    <t>In Pakistan, despite volatility in fossil fuel costs (see 7.1), significant solar potential and government schemes to reduce the cost of capital, weak governance and poor utility reforms dissuaded private sector participation in development of renewables. Price volatility and the falling rupee make a case for investment in renewables with lower input costs. However, renewables are also negativelty affected by the forex rate due to dependence on foreign investment (and foreign denominated power purchase agreements). The cost of capital is also much higher in Pakistan with the benchmark lending rate much higher (20%) than neighbouring countries (eg India at 8%, China 5.5%). While the State Bank of Pakistan did introduce a concessionary finance scheme for renewables with a 6% rate, uptake has been muted due to red tape and administrative barriers.</t>
  </si>
  <si>
    <t>IEA 2025c How a high cost of capital is holding back energy development in Kenya and Senegal. Internet. Available: https://www.iea.org/commentaries/how-a-high-cost-of-capital-is-holding-back-energy-development-in-kenya-and-senegal
EPRA 2025Energy andf Petroleum Statistics Report 2023-2024. Internet. Available: https://www.epra.go.ke/sites/default/files/2024-10/EPRA%20Energy%20and%20Petroleum%20Statistics%20Report%20FY%202023-2024_2.pdf</t>
  </si>
  <si>
    <t>Isaad, H. 2023. Pakistan's Power Predicament. London: TransitionZero. Internet. Available: https://www.transitionzero.org/insights/pakistans-power-predicament</t>
  </si>
  <si>
    <t>2018-2024</t>
  </si>
  <si>
    <t xml:space="preserve">In Vietnam, reliance on generous feed-in tariffs (FiTs) attracted private investments but created financial challenges for utilities. FITs provide a relativey simple mechanism for the government to shoulder financial risk, allowing producers to focus on investment and operation. While typically effective at attracting investment, they tend to work out more expensive for the procurer (government). In Vietnam the key government driver for renewable investment is not climate policy or fiscal policy but electricity access. Cost recovery has been less important, but this can be seen as a choice that created attractive private sector investment opportunities. </t>
  </si>
  <si>
    <t xml:space="preserve">Cost effectiveness of solar has driven investment in the Sahel, but to date this has been dominated by external finance, much of which concessional. Increased private sector investment is desirable and has strong commercial potential, however regulation governing independent power production and regional trade needs strengthening and the institutional capacity of utilities is relatively weak as is the broader private sector enabling environment.  This combination of factors has led to ad-hoc and unsolicited private-financed solar projects in several Sahel countries. This investment, while encouraging, fails to take advantage of region-wide least cost options and can lead to higher prices and inefficient development of the energy sector regionally (Sahel CCDR). </t>
  </si>
  <si>
    <t>World Bank. 2022a. G5 Sahel Country Climate and Development Report (CCDR). Washington: World Bank. June 2022. https://openknowledge.worldbank.org/server/api/core/bitstreams/197f07e0-d3ec-48bc-9d52-38d551d5d312/content</t>
  </si>
  <si>
    <t>Volatile fossil fuel costs and unreliable hydroelectric generation have caused significant supply side shocks in Pakistan which emerge as realised contingent liabilities that were poorly modelled and planned for and consequent fiscal impact.
Further, supplies of LNG have proven unreliable with limited forecasting leading to high costs and periods of poor performance and widespread shutdown of power generation plants. As domestic production of LNG waned, the cost of gas-fired power has tripled since 2015 when Pakistan began importing LNG. The global gas crisis in 2012-2022 exacerbated this, and while this has softened, the weakening Rupee means continued real-terms increases in cost. While this appears to strengthen the case for renewable investment, numerous challenges have stifled investment and led to continued dependence on fossil fuels (see 5.1)</t>
  </si>
  <si>
    <t>2012-2022</t>
  </si>
  <si>
    <t xml:space="preserve">In Kenya, a lack of clarity over financial functions and asset ownership between the central state-owned power purchaser, KPLC, and state-owned power generation and transmission companies undermined transparency and the ability to plan new facilities and set tariffs despite KPLC being a relatively strong performer in the region with reasonable governance performance and capacity . </t>
  </si>
  <si>
    <t>Poor transparency in utility governance in Pakistan led to limited knowledge of large liability build up known as circular debt and inefficient, politically influenced management of the liabilities resulting in regular government bailouts and little appetite for engagement by the private sector. This build up is are caused by the net unfunded liability position of power distribution companies (DISCOs) to the Central Power Purchasing Authority (CPPA) due to the gap between costs and revenue+financing. This in turn causes delayed payments from the CPPA to power generation companies which are eventually financed through borrowings. Tariff Differential Subsidies in Pakistan are defined by the gap between fees collected by utilities and cost of power generation. This arrangement leaves the public sector liable for potentially huge and unplanned financial obligations where the demand or supply side pressures deviate from plans. Poor or late information provided by the utilities on TDS obligations means that the CFA is unable to raise the necessary resources in a timely manner causing unpredictability in cash availability, arrears, associated penalty charges and unplanned borrowing. These combined factors led to large debts building up. The Government of Pakistan owns the majority of the entities in the supply chain and regular large bailouts have demotivated performance improvement or more transparency and accountability from the DISCOs.</t>
  </si>
  <si>
    <t>Fiscal sustainability</t>
  </si>
  <si>
    <t xml:space="preserve">Formulating and implementing revenue policies which balance the needs of programs at different levels of governemnt with the need to promote long term economic growth. This invovles brokering agreements between policymakers across various ministries and MDAs with competing objectives.  </t>
  </si>
  <si>
    <t>Revenues are accurately forecasted, incorporating detailed estimates from policy costings of changes to policy and revenues from various streams (tax, non-tax, grants etc.). This provides  certainty and stability to facilitate short and medium-term planning.</t>
  </si>
  <si>
    <t>Revenues policy is designed so as to raise sufficient amounts to enable the achievemnt of prioritized, feasible, policy objectives and has the desired distributional impacts.</t>
  </si>
  <si>
    <t>Revenue policy is administered in ways which does not undermine the objectives of revenue policy and the pursuit of overall revenue raising and broader economic objectives.</t>
  </si>
  <si>
    <t>Revenues and expenditures are managed with transparency communicated to taxpayers in ways which builds tax morale of citizens and the private sector and encourages compliance.</t>
  </si>
  <si>
    <t xml:space="preserve">Tax expenditures are regularly monitored and evaluated to ensure they support the attainment of their intended objectives and reach the targeted beneficiaries at a minimal cost to the taxpayer. </t>
  </si>
  <si>
    <t>Role Description: Public Finance</t>
  </si>
  <si>
    <t>The good functioning of PFM systems, in tandem with other public sector systems and institutions, helps determine how effectively public resources will be used in achieving public sector results. A focus on performance and quality delivery is based on adequate accountability mechanisms and integrated information systems that support decision-making.</t>
  </si>
  <si>
    <t>Governments need to ensure the long-term equilbrium of public finances, and balance it off with the resource needs of the multiple policy objectives that they pursue. This task is based on a delicate balance of revenue, spending and financing decisions, on important costing and forecasting skills and capacities, and on careful management of various types of government entities (e.g. including subnational governments and state-owned enterprises).</t>
  </si>
  <si>
    <t>There is inadequate political commitment to policies that raise sufficient revenues. This results in sub-obtimal policies and/or frequent policy reversals, introduction of poorly targeted exemptions and/or weak compliance administration.</t>
  </si>
  <si>
    <t>Policy discussions and decisions happen within a narrow group of actors, with no significant involvement of relevant stakeholders inside or outside the public sector, including service providers and beneficiaries. This limits the political acceptability of government policies, and the overall commitment to their implementation. It can also result in a disconnect between policies and actual demand for them.</t>
  </si>
  <si>
    <t>Taxpayer groups, revenue authorities, line ministries and other important stakeholders are not adequately consulted during policy formultion, and the rationale for revenue polices is not properly communicated, which contributes to weak commitment to revenue policy and its implementation.</t>
  </si>
  <si>
    <t>There is weak co-ordination across and within key institutions, particularly the Finance Ministry, Tax and/or Authority, between Finance, line ministries and donors, and with the private sector. This  arises when there are weak or missing governance/institutional arrangements across entities, resulting in fragmentation, missalignment with population needs, and poor prioritization of policy objectives</t>
  </si>
  <si>
    <t>Tax policy capacity is limited given the economic  and capacity realities in many countries, leading to a narrow tax base and potential inequities in tax collection.
Ability to manage revenue flows across sources in a stable manner leads to unpredictability, and insufficient resources to meet policy goals</t>
  </si>
  <si>
    <t>Revenue policy formulation is disconnected from budget formulation and overall fiscal policy goals and targets. Implementation models used within sectors and across administrative levels are inefficient and/or unaffordable.</t>
  </si>
  <si>
    <t xml:space="preserve">There are loopholes, inadequacies or complexities in policy design of key taxes which undermine their objectives. This may be driven by a lack of analytical capacity and data during the policy formulation phase, or arise as a result of political economy factors which oppose effective, technically sound reform. A lack of knowledge or technical capacity in Parliament can exacerbate this issue. Poorly formulated policy also undermines the efficiency of tax administration. </t>
  </si>
  <si>
    <t xml:space="preserve">The role of tax policy in supporting the attainment of medium to long-term development objectives is misaligned. This can arise due to e.g., (i) an over-emphasis on collection efficiency, whilst issues such as behavioral responses or the equity/distributional impacts of the tax system are not considered or adequately addressed; (ii) a lack of (or weak) policy appraisal / evaluation mechanisms and low technical capacity  (iii) Tax administrators’ incentives (remuneration) being based solely on efficiency of revenue collection or (iv) reactive, pro-cyclical fiscal policy </t>
  </si>
  <si>
    <t>Weak projections of macroeconomic conditions and inaccurate costing of tax policy and administrative changes leads to unrealistic budget projections. Contributions from diverse revenue sources may not be effectively accounted for in the budget (e.g., public and private sector, donor funding, OOP).</t>
  </si>
  <si>
    <t>Budget rigidities limit governments' options for fiscal consolidation. Where tax revenues are earmarked toward certain spending needs, or where certain spending needs - such as debt obligations - must be prioritized, the menu of options for utilizing additional tax revenues from new policy measues becomes more limited. Tax expenditures can also generate budget rigitieis that limit fiscal space.</t>
  </si>
  <si>
    <t xml:space="preserve">Narrow tax bases, exacerbated by large informal sectors or the use of tax expenditures, leave policymakers with only limited options to raise revenue via the tax system. Compliant taxpayers may bear the weight of any additional measures or rate adjustments, leading to distortions or inequities and negatively impacting tax morale. </t>
  </si>
  <si>
    <t>Linkages between policy formulation and budget formulation can arise where there is e.g., a lack of credible ex-ante costing for new revenue measures, where budget calendars are misaligned with the process of tax policy formulation, where budget ceilings are not reflective of political commitments or revenue projections are misaligned with sectoral spending needs and targets.</t>
  </si>
  <si>
    <t>5.3 Resource deployment is not informed by demand for, the costs of, or effectiveness in achieving public policy objectives</t>
  </si>
  <si>
    <t xml:space="preserve">Poorly targeted and ineffective tax expenditures can divert public resources away from where they are most effective and support activities that do contribute to broader policy objectives. </t>
  </si>
  <si>
    <t>The role of tax policy and administration in supporting the attainment of development objectives is misaligned. This can arise due to e.g. an over-emphasis on collection efficiency, which can be driven by  tax administrators’ incentives (remuneration) being driven by efficiency of revenue collection.</t>
  </si>
  <si>
    <t>Disconnect can emerge between different revenue sources. The ad-hoc nature of some revenue sources (e.g., ODA, grants) and instability of others (such as natural resource revenues) can cause inefficiencies in funding effective service delivery when revenue streams are uncertain over the medium-term.</t>
  </si>
  <si>
    <t xml:space="preserve">Intrgovernmental revenue assignments and intergovernmental transfer systems are often ad hoc, have conflicting policy objectives, not based on clear functional assigments and associated expenditure and infrastructure needs, undermining the effective mobilization, deployment and use of public resources across levels of government and sectors. </t>
  </si>
  <si>
    <t>Unclear revenue assignments across levels of government (e.g. between federal and state), combined with weak political incentives to collect local tax revenues and nontax fees may undermine revenue collection at subnational levels of government.</t>
  </si>
  <si>
    <t>Staff in tax authorities may not always be allocated based on operational need or area of specialization. Gaps in qualifications or training and performance incentives that encourage discretionary or regressive application of the tax system can limit effectiveness, undermining the tax authority's ability to enforce compliance and manage taxpayer services efficiently.</t>
  </si>
  <si>
    <t>Inefficiencies arise where inadequate funding is provided to the tax authority to support investment in key taxpayer services and compliance mechanisms / strategies / technologies.</t>
  </si>
  <si>
    <t>Incentives for staff of tax adminstration authorities are often tied to efficiency (collection targets) which can not only undermine a good tax policy but also perpetuate discretionary, inequitable revenue collection practices where smaller taxpayers are targeted.</t>
  </si>
  <si>
    <t>Weaknesses in tax compliance administration undermine the fairness and efficiency of revenue collection. When tax laws are poorly enforced or compliance systems are weak, taxpayers may avoid or evade taxes, shifting the burden onto more compliant individuals and businesses. This not only reduces overall revenue but also erodes trust in the tax system. Inefficient revenue management undermines the governments ability to effectively forecast tax revenues, adequately account for tax revenues and maintain a VAT refund process.</t>
  </si>
  <si>
    <t xml:space="preserve">Weakness in tax compliance administration can undermine effective revenue mobilization. Where there is widespread informality,  registered taxpayer bases may be unrepresentative of the economy at large, leading to inequitable revenue collection. Ineffective or inadequate measures to encourage voluntary tax compliance (filing of returns, verification of information and payment of taxes due) and ineffective tax dispute resolution can further exacerbate inefficiency in revenue collection. 
Poor revenue management - whereby the revenue authority does not remit taxes collected to the Treasury in a timely or efficient manner - creates cashflow problems for the government and undermines the process of budget execution. </t>
  </si>
  <si>
    <t>Underlying issues in policy and administration are exacerbated in the presence of weak fiscal contracts. Taxpayers are more likely to attempt to evade taxes through loopholes in policy frameworks, or through low levels of tax compliance.</t>
  </si>
  <si>
    <t>Weaknesses in macro-fiscal discipline, procuremnent, financial reporting and/or audit undermines government's ability to implement public sector programs and mobilise private finance for public and private investment and action.</t>
  </si>
  <si>
    <t xml:space="preserve">Inadequate governance frameworks for tax expendituresthat do not outline the key jurisdictions, roles and responsibilities with respect to their granting and monitoring etc. contribute to inefficiences within the tax system and undermine the goal of revenue mobilization. </t>
  </si>
  <si>
    <t xml:space="preserve">A lack of transparency and accountability from the government around the use of revenue and under-resourced institutions for dispute resolution (e.g.,the tax appeals tribunal) undermine confidence in the integrity of the tax system and tax morale. </t>
  </si>
  <si>
    <t xml:space="preserve">A reliance on data from limited sources - primarily taxpayer returns to the central government - means that information from other parts of government (such as local government, land registry, business registers etc.) is not used effectively for revenue administration (e.g., identification of evasion or noncompliance, or targeting in audit processes), policy analysis and accountability. </t>
  </si>
  <si>
    <t xml:space="preserve">Incomplete or poor quality taxpayer data - potentially as a result of inadequately detailed tax return forms - undermines the ability of officials engaging in analysis to propose effective reforms or monitor tax expenditures. Data weaknesses also hamper the ability of the tax administration to engage in risk management. 
Incomplete or missing legislation to facilitate data sharing across levels of government or MDAs creates further barriers to effective revenue policy and administration. </t>
  </si>
  <si>
    <r>
      <t>Public sector results</t>
    </r>
    <r>
      <rPr>
        <sz val="11"/>
        <color rgb="FF000000"/>
        <rFont val="Calibri"/>
        <family val="2"/>
        <scheme val="minor"/>
      </rPr>
      <t xml:space="preserve"> are measures of what governments actually do to contribute to development outcomes.</t>
    </r>
  </si>
  <si>
    <r>
      <t>Feasible policies</t>
    </r>
    <r>
      <rPr>
        <sz val="11"/>
        <color rgb="FF000000"/>
        <rFont val="Calibri"/>
        <family val="2"/>
        <scheme val="minor"/>
      </rPr>
      <t xml:space="preserve"> are policies that are politically acceptable, financially affordable and consistent with delivery capabilities.  </t>
    </r>
  </si>
  <si>
    <r>
      <t>Delivery capabilities</t>
    </r>
    <r>
      <rPr>
        <sz val="11"/>
        <color rgb="FF000000"/>
        <rFont val="Calibri"/>
        <family val="2"/>
        <scheme val="minor"/>
      </rPr>
      <t xml:space="preserve"> refer to governments' ability to turn policies into public sector results.</t>
    </r>
  </si>
  <si>
    <t>3.1 Domestic revenue policies generate insufficient and unstable resources - in an inequitable manner- to achieve policy goals given fiscal reality</t>
  </si>
  <si>
    <t>3.3 Policies are poorly designed, misaligned with development objectives and/or do not take into account context, including the available organizational capability to achieve goals</t>
  </si>
  <si>
    <t>The lack of a medium- to long-term focus in fiscal policy formulation means governments fail to prioritize and manage trade-offs over time, and subsequently react to shocks in pro-cyclical ways, raising spending (or cutting taxes) during good times and having to reduce spending (or raise taxes) drastically during economic downturns. This in turn undermines governments' capacity to deliver on policy objectives.</t>
  </si>
  <si>
    <r>
      <t>4.2 Biased or inaccurate fiscal forecasting and unpredictable, volatile resource flows result in budgets being</t>
    </r>
    <r>
      <rPr>
        <u/>
        <sz val="11"/>
        <rFont val="Calibri"/>
        <family val="2"/>
        <scheme val="minor"/>
      </rPr>
      <t xml:space="preserve"> </t>
    </r>
    <r>
      <rPr>
        <sz val="11"/>
        <rFont val="Calibri"/>
        <family val="2"/>
        <scheme val="minor"/>
      </rPr>
      <t>under-funded</t>
    </r>
  </si>
  <si>
    <t>4.4 Pre-existing earmarks and spending commitments create budget rigidity and limit options for fiscal consolidation and/or increasing fiscal space</t>
  </si>
  <si>
    <t>Spending related to various types of entitlements, earmarking and mandatory servicing of debt obligations limit governments' options in terms of both reducing spending when needed, of creating space for new spending to fund policy priorities, and of reallocating resources to enhance development impact.</t>
  </si>
  <si>
    <t>5.1 Limited or costly revenue and financing mobilized for investment and service delivery</t>
  </si>
  <si>
    <t>Revenue raising and financing options for funding investment, regulation and service delivery are limited, costly and potentially distortionary, limiting the cost-effectiveness of government interventions and reducing the development impact of public spending.</t>
  </si>
  <si>
    <t>5.2 Resource raising and deployment is often incremental and disconnected from public policy priorities and delivery mechanisms</t>
  </si>
  <si>
    <t xml:space="preserve">Budgets are formulated in an incremental manner and not through a process of strategic prioritization, due to the lack of clear linkages between revenue collection, planning and budgeting, a lack of crediblly costed sector policies and strategies, and reluctance to move from the status quo. </t>
  </si>
  <si>
    <r>
      <t>5.4 Unequal and inequitable resource mobilization and distribution</t>
    </r>
    <r>
      <rPr>
        <u/>
        <sz val="11"/>
        <rFont val="Calibri"/>
        <family val="2"/>
        <scheme val="minor"/>
      </rPr>
      <t>,</t>
    </r>
    <r>
      <rPr>
        <sz val="11"/>
        <rFont val="Calibri"/>
        <family val="2"/>
        <scheme val="minor"/>
      </rPr>
      <t xml:space="preserve"> misaligned with policy and effective delivery</t>
    </r>
  </si>
  <si>
    <t>Resource mobilization, administration and allocation does not take existing inequities in socioeconomic indicators into account (e.g. geographic, income, gender, etc.) or in access to benefits and services, limiting the effectiveness of public spending in addressing such inequities and broader policy objectives.</t>
  </si>
  <si>
    <t>Public sector systems, processes and procedures are not consistently utilized and followed by users or public sector workers due to user unfriendly design, inadequate skills, and weak incentives and enforcement, opening the way for inefficiencies, resource misuse and corrupt behavior.</t>
  </si>
  <si>
    <t>Monitoring and evaluation systems are not well developed or functioning effectively. The internal audit, external audit and parliamentary oversight functions do not provide adequate accountability for both resource use and performance.  There maybe inadequate transparency and/or  involvement of beneficiaries in the monitoring and use of funds and service delivery. Weaknesses in accountaiblity and transparecny frameworks undermine public confidence in the integrity of the tax administration, impacting upon tax morale.</t>
  </si>
  <si>
    <t>In many countries, per capita GDP is low and, due to economic structure (large informal sectors, etc.) and weak capacities, governments only collect a limited share of GDP (10-15%) in revenues.  This limits their fiscal capacity and fiscal space, constraining spending on priority policies aimed at achieving development outcomes. Studies on the financing gap for SDG achievement have shown this clearly. Further, many countries fail to collect taxes in a sustainable manner and thus have to resort to frequent and piecemeal adjustments to either tax rates or bases.</t>
  </si>
  <si>
    <t>Revenue</t>
  </si>
  <si>
    <t>In The Gambia, tax and non-tax outturns deviated significantly from predictions in the period of 2019-2021. Budgets did not cover all sources potential revenues (social contributions were, for example, omitted) and in general the forecasts of non-tax revenues is poor. MDA vote controllers have responsibility for making non-tax revenue forecasts but lack the adequate training and do not apply any robust methodologies. On average during the period, tax revenues deviated by 24% from budgeted amounts.</t>
  </si>
  <si>
    <t>Gambia, The</t>
  </si>
  <si>
    <t xml:space="preserve">PEFA - The Gambia (2024) https://www.pefa.org/assessments/summary/5067 </t>
  </si>
  <si>
    <t>2019-21</t>
  </si>
  <si>
    <t>8.3 Weakness in tax compliance administration leads to inefficient or inequitable revenue collection and inefficient revenue management</t>
  </si>
  <si>
    <t>8.5 Inadequate transparency, oversight, monitoring, evaluation and accountability for resources and performance</t>
  </si>
  <si>
    <t>8.4 Weaknesses in fiscal governance undermine public and private investment and action</t>
  </si>
  <si>
    <t xml:space="preserve">Revenue Mobilization in support of Policy Objectives </t>
  </si>
  <si>
    <t>Developing effective policies that balance the raising of revenue and the need for policy implementation with distributional and economic development objectives and provide certainty over the medium term.</t>
  </si>
  <si>
    <t>Building collective agreement between policymakers across various ministries and MDAs with competing objectives, revenue authorities and major taxpayer groups on feasible revenue policies which are implementable in practice.</t>
  </si>
  <si>
    <t>Any issue that disrupts the functioning of public finance in playing its role.  More specifically, it denotes any system- or policy-related weakness which contributes to the public sector challenges faced in achieving public sector results and development outcomes.</t>
  </si>
  <si>
    <t>The key obstacles that constrain the public sector in achieving desired public sector results and they may relate to either or both the feasibility of policies or delivery capabilities.</t>
  </si>
  <si>
    <t>PF Bottleneck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</si>
</sst>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6" x14ac:knownFonts="1">
    <font>
      <sz val="11"/>
      <color theme="1"/>
      <name val="Calibri"/>
      <family val="2"/>
      <scheme val="minor"/>
    </font>
    <font>
      <sz val="12"/>
      <color theme="1"/>
      <name val="Calibri"/>
      <family val="2"/>
      <scheme val="minor"/>
    </font>
    <font>
      <sz val="11"/>
      <color theme="1"/>
      <name val="Aptos"/>
      <family val="2"/>
    </font>
    <font>
      <b/>
      <sz val="11"/>
      <color theme="1"/>
      <name val="Calibri"/>
      <family val="2"/>
      <scheme val="minor"/>
    </font>
    <font>
      <b/>
      <i/>
      <sz val="11"/>
      <color theme="1"/>
      <name val="Calibri"/>
      <family val="2"/>
      <scheme val="minor"/>
    </font>
    <font>
      <sz val="12"/>
      <color theme="1"/>
      <name val="Calibri"/>
      <family val="2"/>
      <scheme val="minor"/>
    </font>
    <font>
      <i/>
      <sz val="11"/>
      <color theme="1"/>
      <name val="Calibri"/>
      <family val="2"/>
      <scheme val="minor"/>
    </font>
    <font>
      <sz val="12"/>
      <color theme="1"/>
      <name val="Aptos"/>
      <family val="2"/>
    </font>
    <font>
      <sz val="12"/>
      <color rgb="FF000000"/>
      <name val="Calibri"/>
      <family val="2"/>
    </font>
    <font>
      <sz val="12"/>
      <color theme="1"/>
      <name val="Calibri"/>
      <family val="2"/>
    </font>
    <font>
      <b/>
      <sz val="12"/>
      <color theme="1"/>
      <name val="Calibri"/>
      <family val="2"/>
      <scheme val="minor"/>
    </font>
    <font>
      <b/>
      <sz val="12"/>
      <color theme="1"/>
      <name val="Aptos"/>
      <family val="2"/>
    </font>
    <font>
      <b/>
      <sz val="12"/>
      <color rgb="FF000000"/>
      <name val="Calibri"/>
      <family val="2"/>
    </font>
    <font>
      <sz val="14"/>
      <color theme="1"/>
      <name val="Calibri"/>
      <family val="2"/>
      <scheme val="minor"/>
    </font>
    <font>
      <sz val="12"/>
      <color rgb="FF000000"/>
      <name val="Aptos"/>
      <family val="2"/>
    </font>
    <font>
      <sz val="12"/>
      <name val="Calibri"/>
      <family val="2"/>
    </font>
    <font>
      <u/>
      <sz val="12"/>
      <color theme="1"/>
      <name val="Calibri"/>
      <family val="2"/>
    </font>
    <font>
      <u/>
      <sz val="11"/>
      <color theme="10"/>
      <name val="Calibri"/>
      <family val="2"/>
      <scheme val="minor"/>
    </font>
    <font>
      <sz val="11"/>
      <color rgb="FF000000"/>
      <name val="Calibri"/>
      <family val="2"/>
    </font>
    <font>
      <sz val="11"/>
      <color theme="1"/>
      <name val="Calibri"/>
      <family val="2"/>
    </font>
    <font>
      <b/>
      <sz val="12"/>
      <color theme="0"/>
      <name val="Calibri"/>
      <family val="2"/>
    </font>
    <font>
      <b/>
      <sz val="12"/>
      <color theme="0"/>
      <name val="Aptos"/>
      <family val="2"/>
    </font>
    <font>
      <b/>
      <sz val="11"/>
      <color rgb="FFFFFFFF"/>
      <name val="Calibri"/>
      <family val="2"/>
    </font>
    <font>
      <b/>
      <sz val="11"/>
      <color rgb="FF000000"/>
      <name val="Calibri"/>
      <family val="2"/>
    </font>
    <font>
      <sz val="11"/>
      <color rgb="FFFF0000"/>
      <name val="Calibri"/>
      <family val="2"/>
    </font>
    <font>
      <u/>
      <sz val="12"/>
      <color rgb="FF000000"/>
      <name val="Calibri"/>
      <family val="2"/>
    </font>
    <font>
      <sz val="11"/>
      <color rgb="FF000000"/>
      <name val="Calibri"/>
      <family val="2"/>
      <scheme val="minor"/>
    </font>
    <font>
      <u/>
      <sz val="11"/>
      <color theme="1"/>
      <name val="Calibri"/>
      <family val="2"/>
      <scheme val="minor"/>
    </font>
    <font>
      <u/>
      <sz val="11"/>
      <color rgb="FF000000"/>
      <name val="Calibri"/>
      <family val="2"/>
      <scheme val="minor"/>
    </font>
    <font>
      <i/>
      <sz val="11"/>
      <color rgb="FF000000"/>
      <name val="Calibri"/>
      <family val="2"/>
      <scheme val="minor"/>
    </font>
    <font>
      <sz val="11"/>
      <name val="Calibri"/>
      <family val="2"/>
    </font>
    <font>
      <i/>
      <sz val="11"/>
      <color rgb="FFFF0000"/>
      <name val="Calibri"/>
      <family val="2"/>
    </font>
    <font>
      <sz val="11"/>
      <color theme="1"/>
      <name val="Calibri"/>
      <family val="2"/>
      <scheme val="minor"/>
    </font>
    <font>
      <b/>
      <sz val="11"/>
      <name val="Calibri"/>
      <family val="2"/>
    </font>
    <font>
      <sz val="11"/>
      <name val="Calibri"/>
      <family val="2"/>
      <scheme val="minor"/>
    </font>
    <font>
      <sz val="10"/>
      <name val="Calibri"/>
      <family val="2"/>
      <scheme val="minor"/>
    </font>
    <font>
      <sz val="10.5"/>
      <color theme="1"/>
      <name val="Calibri"/>
      <family val="2"/>
      <scheme val="minor"/>
    </font>
    <font>
      <b/>
      <sz val="11"/>
      <color theme="1"/>
      <name val="Calibri"/>
      <family val="2"/>
    </font>
    <font>
      <u/>
      <sz val="11"/>
      <color theme="10"/>
      <name val="Calibri"/>
      <family val="2"/>
    </font>
    <font>
      <b/>
      <sz val="11"/>
      <color theme="0"/>
      <name val="Calibri"/>
      <family val="2"/>
      <scheme val="minor"/>
    </font>
    <font>
      <u/>
      <sz val="11"/>
      <name val="Calibri"/>
      <family val="2"/>
      <scheme val="minor"/>
    </font>
    <font>
      <sz val="9"/>
      <name val="Calibri"/>
      <family val="2"/>
      <scheme val="minor"/>
    </font>
    <font>
      <i/>
      <sz val="11"/>
      <name val="Calibri"/>
      <family val="2"/>
      <scheme val="minor"/>
    </font>
    <font>
      <i/>
      <sz val="11"/>
      <name val="Calibri"/>
      <family val="2"/>
    </font>
    <font>
      <sz val="12"/>
      <color rgb="FF000000"/>
      <name val="Calibri"/>
      <family val="2"/>
      <scheme val="minor"/>
    </font>
    <font>
      <b/>
      <sz val="11"/>
      <color rgb="FFFFFFFF"/>
      <name val="Calibri"/>
      <family val="2"/>
      <scheme val="minor"/>
    </font>
  </fonts>
  <fills count="11">
    <fill>
      <patternFill patternType="none"/>
    </fill>
    <fill>
      <patternFill patternType="gray125"/>
    </fill>
    <fill>
      <patternFill patternType="solid">
        <fgColor theme="2" tint="-0.249977111117893"/>
        <bgColor indexed="64"/>
      </patternFill>
    </fill>
    <fill>
      <patternFill patternType="solid">
        <fgColor rgb="FFFFFF00"/>
        <bgColor indexed="64"/>
      </patternFill>
    </fill>
    <fill>
      <patternFill patternType="solid">
        <fgColor theme="0" tint="-0.34998626667073579"/>
        <bgColor indexed="64"/>
      </patternFill>
    </fill>
    <fill>
      <patternFill patternType="solid">
        <fgColor theme="0"/>
        <bgColor indexed="64"/>
      </patternFill>
    </fill>
    <fill>
      <patternFill patternType="solid">
        <fgColor theme="1"/>
        <bgColor indexed="64"/>
      </patternFill>
    </fill>
    <fill>
      <patternFill patternType="solid">
        <fgColor theme="4"/>
        <bgColor indexed="64"/>
      </patternFill>
    </fill>
    <fill>
      <patternFill patternType="solid">
        <fgColor theme="4"/>
        <bgColor rgb="FF000000"/>
      </patternFill>
    </fill>
    <fill>
      <patternFill patternType="solid">
        <fgColor rgb="FF000000"/>
        <bgColor rgb="FF000000"/>
      </patternFill>
    </fill>
    <fill>
      <patternFill patternType="solid">
        <fgColor rgb="FFFFFFFF"/>
        <bgColor rgb="FF000000"/>
      </patternFill>
    </fill>
  </fills>
  <borders count="19">
    <border>
      <left/>
      <right/>
      <top/>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style="thin">
        <color rgb="FF000000"/>
      </top>
      <bottom style="thin">
        <color rgb="FF000000"/>
      </bottom>
      <diagonal/>
    </border>
    <border>
      <left/>
      <right/>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bottom style="thin">
        <color rgb="FF000000"/>
      </bottom>
      <diagonal/>
    </border>
    <border>
      <left style="thin">
        <color indexed="64"/>
      </left>
      <right style="thin">
        <color indexed="64"/>
      </right>
      <top style="thin">
        <color rgb="FF000000"/>
      </top>
      <bottom/>
      <diagonal/>
    </border>
  </borders>
  <cellStyleXfs count="4">
    <xf numFmtId="0" fontId="0" fillId="0" borderId="0"/>
    <xf numFmtId="0" fontId="5" fillId="0" borderId="0"/>
    <xf numFmtId="0" fontId="17" fillId="0" borderId="0" applyNumberFormat="0" applyFill="0" applyBorder="0" applyAlignment="0" applyProtection="0"/>
    <xf numFmtId="0" fontId="1" fillId="0" borderId="0"/>
  </cellStyleXfs>
  <cellXfs count="197">
    <xf numFmtId="0" fontId="0" fillId="0" borderId="0" xfId="0"/>
    <xf numFmtId="0" fontId="0" fillId="0" borderId="0" xfId="0" applyAlignment="1">
      <alignment horizontal="left" vertical="top" wrapText="1"/>
    </xf>
    <xf numFmtId="0" fontId="3" fillId="0" borderId="0" xfId="0" applyFont="1" applyAlignment="1">
      <alignment horizontal="left" vertical="top" wrapText="1"/>
    </xf>
    <xf numFmtId="0" fontId="3" fillId="0" borderId="0" xfId="0" applyFont="1"/>
    <xf numFmtId="0" fontId="0" fillId="0" borderId="3" xfId="0" applyBorder="1" applyAlignment="1">
      <alignment horizontal="left" vertical="center" wrapText="1"/>
    </xf>
    <xf numFmtId="0" fontId="0" fillId="0" borderId="3" xfId="0" applyBorder="1" applyAlignment="1">
      <alignment horizontal="left" vertical="top" wrapText="1"/>
    </xf>
    <xf numFmtId="0" fontId="0" fillId="2" borderId="3" xfId="0" applyFill="1" applyBorder="1" applyAlignment="1">
      <alignment horizontal="left" vertical="top" wrapText="1"/>
    </xf>
    <xf numFmtId="0" fontId="2" fillId="0" borderId="3" xfId="0" applyFont="1" applyBorder="1" applyAlignment="1">
      <alignment horizontal="left" vertical="top" wrapText="1"/>
    </xf>
    <xf numFmtId="0" fontId="6" fillId="0" borderId="3" xfId="0" applyFont="1" applyBorder="1" applyAlignment="1">
      <alignment horizontal="left" vertical="top" wrapText="1"/>
    </xf>
    <xf numFmtId="0" fontId="6" fillId="2" borderId="3" xfId="0" applyFont="1" applyFill="1" applyBorder="1" applyAlignment="1">
      <alignment horizontal="left" vertical="top" wrapText="1"/>
    </xf>
    <xf numFmtId="0" fontId="4" fillId="0" borderId="0" xfId="0" applyFont="1" applyAlignment="1">
      <alignment horizontal="left" vertical="top" wrapText="1"/>
    </xf>
    <xf numFmtId="0" fontId="0" fillId="0" borderId="0" xfId="0" applyAlignment="1">
      <alignment horizontal="left" vertical="top"/>
    </xf>
    <xf numFmtId="0" fontId="0" fillId="0" borderId="1" xfId="0" applyBorder="1" applyAlignment="1">
      <alignment horizontal="left" vertical="top"/>
    </xf>
    <xf numFmtId="0" fontId="5" fillId="0" borderId="0" xfId="1" applyAlignment="1">
      <alignment horizontal="left"/>
    </xf>
    <xf numFmtId="0" fontId="5" fillId="0" borderId="0" xfId="1" applyAlignment="1">
      <alignment horizontal="left" wrapText="1"/>
    </xf>
    <xf numFmtId="0" fontId="9" fillId="0" borderId="3" xfId="1" applyFont="1" applyBorder="1" applyAlignment="1">
      <alignment horizontal="left" vertical="center" wrapText="1"/>
    </xf>
    <xf numFmtId="0" fontId="10" fillId="0" borderId="0" xfId="1" applyFont="1" applyAlignment="1">
      <alignment horizontal="left"/>
    </xf>
    <xf numFmtId="0" fontId="11" fillId="4" borderId="3" xfId="1" applyFont="1" applyFill="1" applyBorder="1" applyAlignment="1">
      <alignment horizontal="center" vertical="center" wrapText="1"/>
    </xf>
    <xf numFmtId="0" fontId="5" fillId="0" borderId="3" xfId="1" applyBorder="1" applyAlignment="1">
      <alignment horizontal="left" vertical="top" wrapText="1"/>
    </xf>
    <xf numFmtId="0" fontId="7" fillId="0" borderId="3" xfId="1" applyFont="1" applyBorder="1" applyAlignment="1">
      <alignment horizontal="left" vertical="top" wrapText="1"/>
    </xf>
    <xf numFmtId="0" fontId="13" fillId="0" borderId="0" xfId="1" applyFont="1" applyAlignment="1">
      <alignment horizontal="left" vertical="top" wrapText="1"/>
    </xf>
    <xf numFmtId="0" fontId="11" fillId="4" borderId="0" xfId="1" applyFont="1" applyFill="1" applyAlignment="1">
      <alignment horizontal="center" vertical="center" wrapText="1"/>
    </xf>
    <xf numFmtId="0" fontId="5" fillId="0" borderId="0" xfId="1" applyAlignment="1">
      <alignment horizontal="left" vertical="top" wrapText="1"/>
    </xf>
    <xf numFmtId="0" fontId="14" fillId="0" borderId="0" xfId="0" applyFont="1" applyAlignment="1">
      <alignment vertical="top" wrapText="1"/>
    </xf>
    <xf numFmtId="0" fontId="5" fillId="0" borderId="8" xfId="1" applyBorder="1" applyAlignment="1">
      <alignment horizontal="left" vertical="top" wrapText="1"/>
    </xf>
    <xf numFmtId="0" fontId="14" fillId="0" borderId="3" xfId="0" applyFont="1" applyBorder="1" applyAlignment="1">
      <alignment vertical="top" wrapText="1"/>
    </xf>
    <xf numFmtId="0" fontId="14" fillId="0" borderId="8" xfId="0" applyFont="1" applyBorder="1" applyAlignment="1">
      <alignment vertical="top" wrapText="1"/>
    </xf>
    <xf numFmtId="0" fontId="10" fillId="0" borderId="3" xfId="1" applyFont="1" applyBorder="1" applyAlignment="1">
      <alignment horizontal="left"/>
    </xf>
    <xf numFmtId="0" fontId="5" fillId="0" borderId="3" xfId="1" applyBorder="1" applyAlignment="1">
      <alignment horizontal="left"/>
    </xf>
    <xf numFmtId="0" fontId="5" fillId="0" borderId="8" xfId="1" quotePrefix="1" applyBorder="1" applyAlignment="1">
      <alignment horizontal="left" vertical="top" wrapText="1"/>
    </xf>
    <xf numFmtId="0" fontId="5" fillId="0" borderId="3" xfId="1" quotePrefix="1" applyBorder="1" applyAlignment="1">
      <alignment horizontal="left" vertical="top" wrapText="1"/>
    </xf>
    <xf numFmtId="0" fontId="15" fillId="0" borderId="3" xfId="1" applyFont="1" applyBorder="1" applyAlignment="1">
      <alignment horizontal="left" vertical="top" wrapText="1"/>
    </xf>
    <xf numFmtId="0" fontId="0" fillId="0" borderId="4" xfId="0" applyBorder="1" applyAlignment="1">
      <alignment horizontal="left" vertical="center" wrapText="1"/>
    </xf>
    <xf numFmtId="0" fontId="0" fillId="0" borderId="7" xfId="0" applyBorder="1" applyAlignment="1">
      <alignment horizontal="left" vertical="center" wrapText="1"/>
    </xf>
    <xf numFmtId="0" fontId="0" fillId="0" borderId="6" xfId="0" applyBorder="1" applyAlignment="1">
      <alignment horizontal="left" vertical="center" wrapText="1"/>
    </xf>
    <xf numFmtId="0" fontId="9" fillId="0" borderId="3" xfId="1" applyFont="1" applyBorder="1" applyAlignment="1">
      <alignment vertical="center" wrapText="1"/>
    </xf>
    <xf numFmtId="0" fontId="0" fillId="0" borderId="4" xfId="0" applyBorder="1" applyAlignment="1">
      <alignment vertical="center" wrapText="1"/>
    </xf>
    <xf numFmtId="0" fontId="7" fillId="0" borderId="3" xfId="1" applyFont="1" applyBorder="1" applyAlignment="1">
      <alignment vertical="top" wrapText="1"/>
    </xf>
    <xf numFmtId="0" fontId="5" fillId="0" borderId="10" xfId="1" applyBorder="1" applyAlignment="1">
      <alignment horizontal="left" vertical="top" wrapText="1"/>
    </xf>
    <xf numFmtId="0" fontId="5" fillId="0" borderId="11" xfId="1" applyBorder="1" applyAlignment="1">
      <alignment horizontal="left" vertical="top" wrapText="1"/>
    </xf>
    <xf numFmtId="0" fontId="14" fillId="3" borderId="12" xfId="0" applyFont="1" applyFill="1" applyBorder="1" applyAlignment="1">
      <alignment vertical="top" wrapText="1"/>
    </xf>
    <xf numFmtId="0" fontId="5" fillId="3" borderId="10" xfId="1" applyFill="1" applyBorder="1" applyAlignment="1">
      <alignment horizontal="left" vertical="top" wrapText="1"/>
    </xf>
    <xf numFmtId="0" fontId="14" fillId="0" borderId="12" xfId="0" applyFont="1" applyBorder="1" applyAlignment="1">
      <alignment vertical="top" wrapText="1"/>
    </xf>
    <xf numFmtId="0" fontId="5" fillId="0" borderId="13" xfId="1" applyBorder="1" applyAlignment="1">
      <alignment horizontal="left" vertical="top" wrapText="1"/>
    </xf>
    <xf numFmtId="0" fontId="20" fillId="6" borderId="3" xfId="1" applyFont="1" applyFill="1" applyBorder="1" applyAlignment="1">
      <alignment horizontal="center" vertical="center" wrapText="1"/>
    </xf>
    <xf numFmtId="0" fontId="21" fillId="6" borderId="3" xfId="1" applyFont="1" applyFill="1" applyBorder="1" applyAlignment="1">
      <alignment horizontal="center" vertical="center" wrapText="1"/>
    </xf>
    <xf numFmtId="0" fontId="19" fillId="0" borderId="0" xfId="0" applyFont="1" applyAlignment="1">
      <alignment horizontal="left" vertical="top"/>
    </xf>
    <xf numFmtId="0" fontId="19" fillId="0" borderId="3" xfId="0" applyFont="1" applyBorder="1" applyAlignment="1">
      <alignment horizontal="left" vertical="top" wrapText="1"/>
    </xf>
    <xf numFmtId="0" fontId="19" fillId="0" borderId="0" xfId="0" applyFont="1" applyAlignment="1">
      <alignment horizontal="left" vertical="top" wrapText="1"/>
    </xf>
    <xf numFmtId="0" fontId="19" fillId="0" borderId="3" xfId="0" quotePrefix="1" applyFont="1" applyBorder="1" applyAlignment="1">
      <alignment horizontal="left" vertical="top" wrapText="1"/>
    </xf>
    <xf numFmtId="0" fontId="18" fillId="0" borderId="3" xfId="0" applyFont="1" applyBorder="1" applyAlignment="1">
      <alignment horizontal="left" vertical="top" wrapText="1"/>
    </xf>
    <xf numFmtId="0" fontId="19" fillId="0" borderId="9" xfId="0" applyFont="1" applyBorder="1" applyAlignment="1">
      <alignment horizontal="left" vertical="top" wrapText="1"/>
    </xf>
    <xf numFmtId="0" fontId="19" fillId="0" borderId="3" xfId="0" applyFont="1" applyBorder="1" applyAlignment="1">
      <alignment horizontal="left" vertical="top"/>
    </xf>
    <xf numFmtId="0" fontId="19" fillId="0" borderId="3" xfId="0" applyFont="1" applyBorder="1" applyAlignment="1">
      <alignment vertical="top" wrapText="1"/>
    </xf>
    <xf numFmtId="0" fontId="10" fillId="0" borderId="0" xfId="1" applyFont="1" applyAlignment="1">
      <alignment horizontal="left" vertical="top" wrapText="1"/>
    </xf>
    <xf numFmtId="0" fontId="1" fillId="0" borderId="0" xfId="1" applyFont="1" applyAlignment="1">
      <alignment horizontal="left"/>
    </xf>
    <xf numFmtId="0" fontId="8" fillId="0" borderId="3" xfId="1" applyFont="1" applyBorder="1" applyAlignment="1">
      <alignment horizontal="left" vertical="center" wrapText="1"/>
    </xf>
    <xf numFmtId="0" fontId="24" fillId="3" borderId="3" xfId="0" applyFont="1" applyFill="1" applyBorder="1" applyAlignment="1">
      <alignment horizontal="left" vertical="top" wrapText="1"/>
    </xf>
    <xf numFmtId="0" fontId="19" fillId="5" borderId="3" xfId="0" applyFont="1" applyFill="1" applyBorder="1" applyAlignment="1">
      <alignment horizontal="left" vertical="top" wrapText="1"/>
    </xf>
    <xf numFmtId="0" fontId="0" fillId="5" borderId="3" xfId="0" applyFill="1" applyBorder="1" applyAlignment="1">
      <alignment horizontal="left" vertical="top" wrapText="1"/>
    </xf>
    <xf numFmtId="0" fontId="22" fillId="7" borderId="5" xfId="0" applyFont="1" applyFill="1" applyBorder="1" applyAlignment="1">
      <alignment horizontal="left" vertical="top"/>
    </xf>
    <xf numFmtId="0" fontId="22" fillId="7" borderId="6" xfId="0" applyFont="1" applyFill="1" applyBorder="1" applyAlignment="1">
      <alignment horizontal="left" vertical="top"/>
    </xf>
    <xf numFmtId="0" fontId="22" fillId="7" borderId="6" xfId="0" applyFont="1" applyFill="1" applyBorder="1" applyAlignment="1">
      <alignment horizontal="left" vertical="top" wrapText="1"/>
    </xf>
    <xf numFmtId="0" fontId="19" fillId="7" borderId="0" xfId="0" applyFont="1" applyFill="1" applyAlignment="1">
      <alignment horizontal="left" vertical="top"/>
    </xf>
    <xf numFmtId="0" fontId="19" fillId="5" borderId="0" xfId="0" applyFont="1" applyFill="1" applyAlignment="1">
      <alignment horizontal="left" vertical="top"/>
    </xf>
    <xf numFmtId="0" fontId="18" fillId="5" borderId="3" xfId="0" applyFont="1" applyFill="1" applyBorder="1" applyAlignment="1">
      <alignment horizontal="left" vertical="top" wrapText="1"/>
    </xf>
    <xf numFmtId="0" fontId="19" fillId="5" borderId="3" xfId="0" applyFont="1" applyFill="1" applyBorder="1" applyAlignment="1">
      <alignment horizontal="left" vertical="top"/>
    </xf>
    <xf numFmtId="0" fontId="19" fillId="5" borderId="3" xfId="0" quotePrefix="1" applyFont="1" applyFill="1" applyBorder="1" applyAlignment="1">
      <alignment horizontal="left" vertical="top" wrapText="1"/>
    </xf>
    <xf numFmtId="0" fontId="26" fillId="5" borderId="3" xfId="0" applyFont="1" applyFill="1" applyBorder="1" applyAlignment="1">
      <alignment horizontal="left" vertical="top" wrapText="1"/>
    </xf>
    <xf numFmtId="0" fontId="18" fillId="5" borderId="3" xfId="0" quotePrefix="1" applyFont="1" applyFill="1" applyBorder="1" applyAlignment="1">
      <alignment horizontal="left" vertical="top" wrapText="1"/>
    </xf>
    <xf numFmtId="0" fontId="30" fillId="5" borderId="3" xfId="0" applyFont="1" applyFill="1" applyBorder="1" applyAlignment="1">
      <alignment horizontal="left" vertical="top" wrapText="1"/>
    </xf>
    <xf numFmtId="0" fontId="30" fillId="5" borderId="0" xfId="0" applyFont="1" applyFill="1" applyAlignment="1">
      <alignment horizontal="left" vertical="top"/>
    </xf>
    <xf numFmtId="0" fontId="30" fillId="5" borderId="3" xfId="0" applyFont="1" applyFill="1" applyBorder="1" applyAlignment="1">
      <alignment horizontal="left" vertical="top"/>
    </xf>
    <xf numFmtId="0" fontId="33" fillId="8" borderId="3" xfId="0" applyFont="1" applyFill="1" applyBorder="1" applyAlignment="1">
      <alignment horizontal="left" vertical="top"/>
    </xf>
    <xf numFmtId="0" fontId="33" fillId="8" borderId="3" xfId="0" applyFont="1" applyFill="1" applyBorder="1" applyAlignment="1">
      <alignment horizontal="left" vertical="top" wrapText="1"/>
    </xf>
    <xf numFmtId="0" fontId="30" fillId="7" borderId="0" xfId="0" applyFont="1" applyFill="1" applyAlignment="1">
      <alignment horizontal="left" vertical="top"/>
    </xf>
    <xf numFmtId="0" fontId="34" fillId="5" borderId="3" xfId="0" applyFont="1" applyFill="1" applyBorder="1" applyAlignment="1">
      <alignment horizontal="left" vertical="top" wrapText="1"/>
    </xf>
    <xf numFmtId="0" fontId="30" fillId="5" borderId="3" xfId="0" applyFont="1" applyFill="1" applyBorder="1" applyAlignment="1">
      <alignment wrapText="1"/>
    </xf>
    <xf numFmtId="0" fontId="30" fillId="5" borderId="3" xfId="0" applyFont="1" applyFill="1" applyBorder="1" applyAlignment="1">
      <alignment vertical="top" wrapText="1"/>
    </xf>
    <xf numFmtId="0" fontId="30" fillId="5" borderId="0" xfId="0" applyFont="1" applyFill="1"/>
    <xf numFmtId="0" fontId="34" fillId="5" borderId="3" xfId="0" applyFont="1" applyFill="1" applyBorder="1" applyAlignment="1">
      <alignment horizontal="left" vertical="center" wrapText="1"/>
    </xf>
    <xf numFmtId="0" fontId="33" fillId="8" borderId="5" xfId="0" applyFont="1" applyFill="1" applyBorder="1" applyAlignment="1">
      <alignment horizontal="left" vertical="top"/>
    </xf>
    <xf numFmtId="0" fontId="33" fillId="8" borderId="6" xfId="0" applyFont="1" applyFill="1" applyBorder="1" applyAlignment="1">
      <alignment horizontal="left" vertical="top"/>
    </xf>
    <xf numFmtId="0" fontId="33" fillId="8" borderId="6" xfId="0" applyFont="1" applyFill="1" applyBorder="1" applyAlignment="1">
      <alignment horizontal="left" vertical="top" wrapText="1"/>
    </xf>
    <xf numFmtId="0" fontId="34" fillId="5" borderId="3" xfId="0" applyFont="1" applyFill="1" applyBorder="1" applyAlignment="1">
      <alignment vertical="top" wrapText="1"/>
    </xf>
    <xf numFmtId="0" fontId="33" fillId="8" borderId="3" xfId="0" applyFont="1" applyFill="1" applyBorder="1" applyAlignment="1">
      <alignment vertical="center" wrapText="1"/>
    </xf>
    <xf numFmtId="0" fontId="30" fillId="7" borderId="0" xfId="0" applyFont="1" applyFill="1"/>
    <xf numFmtId="0" fontId="30" fillId="5" borderId="3" xfId="0" applyFont="1" applyFill="1" applyBorder="1"/>
    <xf numFmtId="0" fontId="33" fillId="8" borderId="3" xfId="0" applyFont="1" applyFill="1" applyBorder="1" applyAlignment="1">
      <alignment vertical="center"/>
    </xf>
    <xf numFmtId="0" fontId="33" fillId="8" borderId="9" xfId="0" applyFont="1" applyFill="1" applyBorder="1" applyAlignment="1">
      <alignment vertical="center" wrapText="1"/>
    </xf>
    <xf numFmtId="0" fontId="30" fillId="5" borderId="9" xfId="0" applyFont="1" applyFill="1" applyBorder="1" applyAlignment="1">
      <alignment vertical="top" wrapText="1"/>
    </xf>
    <xf numFmtId="0" fontId="30" fillId="5" borderId="0" xfId="0" applyFont="1" applyFill="1" applyAlignment="1">
      <alignment vertical="top"/>
    </xf>
    <xf numFmtId="0" fontId="19" fillId="5" borderId="4" xfId="0" applyFont="1" applyFill="1" applyBorder="1" applyAlignment="1">
      <alignment horizontal="left" vertical="top" wrapText="1"/>
    </xf>
    <xf numFmtId="0" fontId="0" fillId="5" borderId="4" xfId="0" applyFill="1" applyBorder="1" applyAlignment="1">
      <alignment horizontal="left" vertical="top" wrapText="1"/>
    </xf>
    <xf numFmtId="0" fontId="19" fillId="5" borderId="6" xfId="0" applyFont="1" applyFill="1" applyBorder="1" applyAlignment="1">
      <alignment horizontal="left" vertical="top" wrapText="1"/>
    </xf>
    <xf numFmtId="0" fontId="19" fillId="7" borderId="3" xfId="0" applyFont="1" applyFill="1" applyBorder="1" applyAlignment="1">
      <alignment horizontal="left" vertical="top"/>
    </xf>
    <xf numFmtId="14" fontId="19" fillId="5" borderId="3" xfId="0" quotePrefix="1" applyNumberFormat="1" applyFont="1" applyFill="1" applyBorder="1" applyAlignment="1">
      <alignment horizontal="left" vertical="top" wrapText="1"/>
    </xf>
    <xf numFmtId="0" fontId="22" fillId="8" borderId="3" xfId="0" applyFont="1" applyFill="1" applyBorder="1" applyAlignment="1">
      <alignment horizontal="left" vertical="top"/>
    </xf>
    <xf numFmtId="0" fontId="22" fillId="8" borderId="3" xfId="0" applyFont="1" applyFill="1" applyBorder="1" applyAlignment="1">
      <alignment horizontal="left" vertical="top" wrapText="1"/>
    </xf>
    <xf numFmtId="0" fontId="19" fillId="5" borderId="8" xfId="0" applyFont="1" applyFill="1" applyBorder="1" applyAlignment="1">
      <alignment horizontal="left" vertical="top" wrapText="1"/>
    </xf>
    <xf numFmtId="0" fontId="19" fillId="5" borderId="14" xfId="0" applyFont="1" applyFill="1" applyBorder="1" applyAlignment="1">
      <alignment horizontal="left" vertical="top" wrapText="1"/>
    </xf>
    <xf numFmtId="0" fontId="19" fillId="7" borderId="4" xfId="0" applyFont="1" applyFill="1" applyBorder="1" applyAlignment="1">
      <alignment horizontal="left" vertical="top"/>
    </xf>
    <xf numFmtId="0" fontId="19" fillId="5" borderId="0" xfId="0" applyFont="1" applyFill="1" applyAlignment="1">
      <alignment horizontal="left" vertical="top" wrapText="1"/>
    </xf>
    <xf numFmtId="0" fontId="19" fillId="5" borderId="6" xfId="0" applyFont="1" applyFill="1" applyBorder="1" applyAlignment="1">
      <alignment horizontal="left" vertical="top"/>
    </xf>
    <xf numFmtId="0" fontId="19" fillId="0" borderId="4" xfId="0" applyFont="1" applyBorder="1" applyAlignment="1">
      <alignment horizontal="left" vertical="top" wrapText="1"/>
    </xf>
    <xf numFmtId="0" fontId="24" fillId="3" borderId="4" xfId="0" applyFont="1" applyFill="1" applyBorder="1" applyAlignment="1">
      <alignment horizontal="left" vertical="top" wrapText="1"/>
    </xf>
    <xf numFmtId="0" fontId="30" fillId="5" borderId="0" xfId="0" applyFont="1" applyFill="1" applyAlignment="1">
      <alignment horizontal="left" vertical="top" wrapText="1"/>
    </xf>
    <xf numFmtId="0" fontId="30" fillId="5" borderId="4" xfId="0" applyFont="1" applyFill="1" applyBorder="1" applyAlignment="1">
      <alignment horizontal="left" vertical="top" wrapText="1"/>
    </xf>
    <xf numFmtId="0" fontId="34" fillId="5" borderId="4" xfId="0" applyFont="1" applyFill="1" applyBorder="1" applyAlignment="1">
      <alignment horizontal="left" vertical="top" wrapText="1"/>
    </xf>
    <xf numFmtId="0" fontId="30" fillId="5" borderId="8" xfId="0" applyFont="1" applyFill="1" applyBorder="1" applyAlignment="1">
      <alignment horizontal="left" vertical="top" wrapText="1"/>
    </xf>
    <xf numFmtId="0" fontId="34" fillId="5" borderId="8" xfId="0" applyFont="1" applyFill="1" applyBorder="1" applyAlignment="1">
      <alignment horizontal="left" vertical="top" wrapText="1"/>
    </xf>
    <xf numFmtId="0" fontId="30" fillId="5" borderId="8" xfId="0" applyFont="1" applyFill="1" applyBorder="1" applyAlignment="1">
      <alignment vertical="center" wrapText="1"/>
    </xf>
    <xf numFmtId="0" fontId="30" fillId="5" borderId="8" xfId="0" applyFont="1" applyFill="1" applyBorder="1" applyAlignment="1">
      <alignment vertical="top" wrapText="1"/>
    </xf>
    <xf numFmtId="0" fontId="34" fillId="5" borderId="8" xfId="0" applyFont="1" applyFill="1" applyBorder="1" applyAlignment="1">
      <alignment vertical="center" wrapText="1"/>
    </xf>
    <xf numFmtId="0" fontId="34" fillId="5" borderId="14" xfId="0" applyFont="1" applyFill="1" applyBorder="1" applyAlignment="1">
      <alignment horizontal="left" vertical="top" wrapText="1"/>
    </xf>
    <xf numFmtId="0" fontId="30" fillId="5" borderId="0" xfId="0" applyFont="1" applyFill="1" applyAlignment="1">
      <alignment wrapText="1"/>
    </xf>
    <xf numFmtId="0" fontId="30" fillId="5" borderId="0" xfId="0" applyFont="1" applyFill="1" applyAlignment="1">
      <alignment vertical="top" wrapText="1"/>
    </xf>
    <xf numFmtId="0" fontId="22" fillId="7" borderId="15" xfId="0" applyFont="1" applyFill="1" applyBorder="1" applyAlignment="1">
      <alignment horizontal="left" vertical="top" wrapText="1"/>
    </xf>
    <xf numFmtId="0" fontId="19" fillId="5" borderId="9" xfId="0" applyFont="1" applyFill="1" applyBorder="1" applyAlignment="1">
      <alignment horizontal="left" vertical="top" wrapText="1"/>
    </xf>
    <xf numFmtId="0" fontId="0" fillId="5" borderId="9" xfId="0" applyFill="1" applyBorder="1" applyAlignment="1">
      <alignment horizontal="left" vertical="top" wrapText="1"/>
    </xf>
    <xf numFmtId="0" fontId="0" fillId="5" borderId="2" xfId="0" applyFill="1" applyBorder="1" applyAlignment="1">
      <alignment horizontal="left" vertical="top" wrapText="1"/>
    </xf>
    <xf numFmtId="0" fontId="38" fillId="0" borderId="3" xfId="2" applyFont="1" applyBorder="1" applyAlignment="1">
      <alignment horizontal="left" vertical="top" wrapText="1"/>
    </xf>
    <xf numFmtId="0" fontId="34" fillId="5" borderId="3" xfId="2" applyFont="1" applyFill="1" applyBorder="1" applyAlignment="1">
      <alignment vertical="top" wrapText="1"/>
    </xf>
    <xf numFmtId="0" fontId="41" fillId="5" borderId="3" xfId="0" applyFont="1" applyFill="1" applyBorder="1" applyAlignment="1">
      <alignment vertical="top" wrapText="1"/>
    </xf>
    <xf numFmtId="0" fontId="35" fillId="5" borderId="3" xfId="0" applyFont="1" applyFill="1" applyBorder="1" applyAlignment="1">
      <alignment vertical="top" wrapText="1"/>
    </xf>
    <xf numFmtId="0" fontId="34" fillId="0" borderId="0" xfId="0" applyFont="1" applyAlignment="1">
      <alignment vertical="top" wrapText="1"/>
    </xf>
    <xf numFmtId="0" fontId="30" fillId="0" borderId="3" xfId="0" applyFont="1" applyBorder="1" applyAlignment="1">
      <alignment horizontal="left" vertical="top" wrapText="1"/>
    </xf>
    <xf numFmtId="0" fontId="32" fillId="0" borderId="3" xfId="3" applyFont="1" applyBorder="1" applyAlignment="1">
      <alignment horizontal="left" vertical="top" wrapText="1"/>
    </xf>
    <xf numFmtId="0" fontId="32" fillId="0" borderId="3" xfId="1" applyFont="1" applyBorder="1" applyAlignment="1">
      <alignment horizontal="left" vertical="top"/>
    </xf>
    <xf numFmtId="0" fontId="1" fillId="0" borderId="0" xfId="1" applyFont="1" applyAlignment="1">
      <alignment horizontal="left" wrapText="1"/>
    </xf>
    <xf numFmtId="0" fontId="1" fillId="0" borderId="0" xfId="1" applyFont="1" applyAlignment="1">
      <alignment horizontal="left" vertical="top" wrapText="1"/>
    </xf>
    <xf numFmtId="0" fontId="39" fillId="6" borderId="3" xfId="1" applyFont="1" applyFill="1" applyBorder="1" applyAlignment="1">
      <alignment horizontal="left" vertical="top" wrapText="1"/>
    </xf>
    <xf numFmtId="0" fontId="32" fillId="0" borderId="3" xfId="1" applyFont="1" applyBorder="1" applyAlignment="1">
      <alignment horizontal="left" vertical="top" wrapText="1"/>
    </xf>
    <xf numFmtId="0" fontId="39" fillId="6" borderId="3" xfId="3" applyFont="1" applyFill="1" applyBorder="1" applyAlignment="1">
      <alignment horizontal="left" vertical="top" wrapText="1"/>
    </xf>
    <xf numFmtId="0" fontId="1" fillId="0" borderId="0" xfId="3" applyAlignment="1">
      <alignment horizontal="left" vertical="center" wrapText="1"/>
    </xf>
    <xf numFmtId="0" fontId="10" fillId="4" borderId="3" xfId="1" applyFont="1" applyFill="1" applyBorder="1" applyAlignment="1">
      <alignment horizontal="center" vertical="center" wrapText="1"/>
    </xf>
    <xf numFmtId="0" fontId="10" fillId="4" borderId="0" xfId="1" applyFont="1" applyFill="1" applyAlignment="1">
      <alignment horizontal="center" vertical="center" wrapText="1"/>
    </xf>
    <xf numFmtId="0" fontId="1" fillId="0" borderId="8" xfId="1" applyFont="1" applyBorder="1" applyAlignment="1">
      <alignment horizontal="left" vertical="top" wrapText="1"/>
    </xf>
    <xf numFmtId="0" fontId="1" fillId="0" borderId="8" xfId="1" quotePrefix="1" applyFont="1" applyBorder="1" applyAlignment="1">
      <alignment horizontal="left" vertical="top" wrapText="1"/>
    </xf>
    <xf numFmtId="0" fontId="1" fillId="0" borderId="3" xfId="1" applyFont="1" applyBorder="1" applyAlignment="1">
      <alignment horizontal="left" vertical="top" wrapText="1"/>
    </xf>
    <xf numFmtId="0" fontId="1" fillId="0" borderId="3" xfId="1" applyFont="1" applyBorder="1" applyAlignment="1">
      <alignment horizontal="left"/>
    </xf>
    <xf numFmtId="0" fontId="1" fillId="0" borderId="3" xfId="1" quotePrefix="1" applyFont="1" applyBorder="1" applyAlignment="1">
      <alignment horizontal="left" vertical="top" wrapText="1"/>
    </xf>
    <xf numFmtId="0" fontId="1" fillId="0" borderId="10" xfId="1" applyFont="1" applyBorder="1" applyAlignment="1">
      <alignment horizontal="left" vertical="top" wrapText="1"/>
    </xf>
    <xf numFmtId="0" fontId="1" fillId="0" borderId="11" xfId="1" applyFont="1" applyBorder="1" applyAlignment="1">
      <alignment horizontal="left" vertical="top" wrapText="1"/>
    </xf>
    <xf numFmtId="0" fontId="44" fillId="3" borderId="12" xfId="0" applyFont="1" applyFill="1" applyBorder="1" applyAlignment="1">
      <alignment vertical="top" wrapText="1"/>
    </xf>
    <xf numFmtId="0" fontId="44" fillId="0" borderId="3" xfId="0" applyFont="1" applyBorder="1" applyAlignment="1">
      <alignment vertical="top" wrapText="1"/>
    </xf>
    <xf numFmtId="0" fontId="44" fillId="0" borderId="8" xfId="0" applyFont="1" applyBorder="1" applyAlignment="1">
      <alignment vertical="top" wrapText="1"/>
    </xf>
    <xf numFmtId="0" fontId="1" fillId="3" borderId="10" xfId="1" applyFont="1" applyFill="1" applyBorder="1" applyAlignment="1">
      <alignment horizontal="left" vertical="top" wrapText="1"/>
    </xf>
    <xf numFmtId="0" fontId="44" fillId="0" borderId="12" xfId="0" applyFont="1" applyBorder="1" applyAlignment="1">
      <alignment vertical="top" wrapText="1"/>
    </xf>
    <xf numFmtId="0" fontId="44" fillId="0" borderId="0" xfId="0" applyFont="1" applyAlignment="1">
      <alignment vertical="top" wrapText="1"/>
    </xf>
    <xf numFmtId="0" fontId="1" fillId="0" borderId="13" xfId="1" applyFont="1" applyBorder="1" applyAlignment="1">
      <alignment horizontal="left" vertical="top" wrapText="1"/>
    </xf>
    <xf numFmtId="0" fontId="34" fillId="0" borderId="3" xfId="3" applyFont="1" applyBorder="1" applyAlignment="1">
      <alignment horizontal="left" vertical="top" wrapText="1"/>
    </xf>
    <xf numFmtId="0" fontId="34" fillId="0" borderId="3" xfId="0" applyFont="1" applyBorder="1" applyAlignment="1">
      <alignment horizontal="left" vertical="top" wrapText="1"/>
    </xf>
    <xf numFmtId="0" fontId="34" fillId="5" borderId="3" xfId="3" applyFont="1" applyFill="1" applyBorder="1" applyAlignment="1">
      <alignment horizontal="left" vertical="top" wrapText="1"/>
    </xf>
    <xf numFmtId="0" fontId="34" fillId="0" borderId="3" xfId="0" quotePrefix="1" applyFont="1" applyBorder="1" applyAlignment="1">
      <alignment horizontal="left" vertical="top" wrapText="1"/>
    </xf>
    <xf numFmtId="0" fontId="34" fillId="0" borderId="0" xfId="3" applyFont="1" applyAlignment="1">
      <alignment horizontal="left" vertical="top" wrapText="1"/>
    </xf>
    <xf numFmtId="0" fontId="30" fillId="5" borderId="4" xfId="0" applyFont="1" applyFill="1" applyBorder="1" applyAlignment="1">
      <alignment horizontal="left" vertical="center" wrapText="1"/>
    </xf>
    <xf numFmtId="0" fontId="30" fillId="5" borderId="16" xfId="0" applyFont="1" applyFill="1" applyBorder="1" applyAlignment="1">
      <alignment horizontal="left" vertical="center" wrapText="1"/>
    </xf>
    <xf numFmtId="0" fontId="0" fillId="0" borderId="3" xfId="1" applyFont="1" applyBorder="1" applyAlignment="1">
      <alignment horizontal="left" vertical="top" wrapText="1"/>
    </xf>
    <xf numFmtId="0" fontId="45" fillId="9" borderId="3" xfId="0" applyFont="1" applyFill="1" applyBorder="1" applyAlignment="1">
      <alignment horizontal="left" vertical="top" wrapText="1"/>
    </xf>
    <xf numFmtId="0" fontId="45" fillId="9" borderId="9" xfId="0" applyFont="1" applyFill="1" applyBorder="1" applyAlignment="1">
      <alignment horizontal="left" vertical="top" wrapText="1"/>
    </xf>
    <xf numFmtId="0" fontId="26" fillId="0" borderId="4" xfId="0" applyFont="1" applyBorder="1" applyAlignment="1">
      <alignment horizontal="left" vertical="top" wrapText="1"/>
    </xf>
    <xf numFmtId="0" fontId="26" fillId="0" borderId="18" xfId="0" applyFont="1" applyBorder="1" applyAlignment="1">
      <alignment horizontal="left" vertical="top" wrapText="1"/>
    </xf>
    <xf numFmtId="0" fontId="34" fillId="0" borderId="0" xfId="0" applyFont="1" applyAlignment="1">
      <alignment horizontal="left" vertical="top" wrapText="1"/>
    </xf>
    <xf numFmtId="0" fontId="34" fillId="0" borderId="5" xfId="0" applyFont="1" applyBorder="1" applyAlignment="1">
      <alignment horizontal="left" vertical="top" wrapText="1"/>
    </xf>
    <xf numFmtId="0" fontId="34" fillId="0" borderId="6" xfId="0" applyFont="1" applyBorder="1" applyAlignment="1">
      <alignment horizontal="left" vertical="top" wrapText="1"/>
    </xf>
    <xf numFmtId="0" fontId="34" fillId="10" borderId="5" xfId="0" applyFont="1" applyFill="1" applyBorder="1" applyAlignment="1">
      <alignment horizontal="left" vertical="top" wrapText="1"/>
    </xf>
    <xf numFmtId="0" fontId="34" fillId="0" borderId="9" xfId="0" applyFont="1" applyBorder="1" applyAlignment="1">
      <alignment horizontal="left" vertical="top" wrapText="1"/>
    </xf>
    <xf numFmtId="0" fontId="0" fillId="0" borderId="4" xfId="0" applyBorder="1" applyAlignment="1">
      <alignment horizontal="left" vertical="center" wrapText="1"/>
    </xf>
    <xf numFmtId="0" fontId="0" fillId="0" borderId="7" xfId="0" applyBorder="1" applyAlignment="1">
      <alignment horizontal="left" vertical="center" wrapText="1"/>
    </xf>
    <xf numFmtId="0" fontId="0" fillId="0" borderId="6" xfId="0" applyBorder="1" applyAlignment="1">
      <alignment horizontal="left" vertical="center" wrapText="1"/>
    </xf>
    <xf numFmtId="0" fontId="0" fillId="0" borderId="4" xfId="0" applyBorder="1" applyAlignment="1">
      <alignment horizontal="left" vertical="center"/>
    </xf>
    <xf numFmtId="0" fontId="0" fillId="0" borderId="7" xfId="0" applyBorder="1" applyAlignment="1">
      <alignment horizontal="left" vertical="center"/>
    </xf>
    <xf numFmtId="0" fontId="0" fillId="0" borderId="6" xfId="0" applyBorder="1" applyAlignment="1">
      <alignment horizontal="left" vertical="center"/>
    </xf>
    <xf numFmtId="0" fontId="5" fillId="0" borderId="0" xfId="1" applyAlignment="1">
      <alignment horizontal="left" vertical="top" wrapText="1"/>
    </xf>
    <xf numFmtId="0" fontId="12" fillId="0" borderId="4" xfId="1" applyFont="1" applyBorder="1" applyAlignment="1">
      <alignment horizontal="left" vertical="center" wrapText="1"/>
    </xf>
    <xf numFmtId="0" fontId="12" fillId="0" borderId="7" xfId="1" applyFont="1" applyBorder="1" applyAlignment="1">
      <alignment horizontal="left" vertical="center" wrapText="1"/>
    </xf>
    <xf numFmtId="0" fontId="12" fillId="0" borderId="6" xfId="1" applyFont="1" applyBorder="1" applyAlignment="1">
      <alignment horizontal="left" vertical="center" wrapText="1"/>
    </xf>
    <xf numFmtId="0" fontId="9" fillId="0" borderId="3" xfId="1" applyFont="1" applyBorder="1" applyAlignment="1">
      <alignment horizontal="left" vertical="center" wrapText="1"/>
    </xf>
    <xf numFmtId="0" fontId="9" fillId="0" borderId="4" xfId="1" applyFont="1" applyBorder="1" applyAlignment="1">
      <alignment horizontal="left" vertical="center" wrapText="1"/>
    </xf>
    <xf numFmtId="0" fontId="9" fillId="0" borderId="7" xfId="1" applyFont="1" applyBorder="1" applyAlignment="1">
      <alignment horizontal="left" vertical="center" wrapText="1"/>
    </xf>
    <xf numFmtId="0" fontId="9" fillId="0" borderId="6" xfId="1" applyFont="1" applyBorder="1" applyAlignment="1">
      <alignment horizontal="left" vertical="center" wrapText="1"/>
    </xf>
    <xf numFmtId="0" fontId="12" fillId="0" borderId="3" xfId="1" applyFont="1" applyBorder="1" applyAlignment="1">
      <alignment horizontal="left" vertical="center" wrapText="1"/>
    </xf>
    <xf numFmtId="0" fontId="12" fillId="0" borderId="2" xfId="1" applyFont="1" applyBorder="1" applyAlignment="1">
      <alignment horizontal="left" vertical="center" wrapText="1"/>
    </xf>
    <xf numFmtId="0" fontId="12" fillId="0" borderId="1" xfId="1" applyFont="1" applyBorder="1" applyAlignment="1">
      <alignment horizontal="left" vertical="center" wrapText="1"/>
    </xf>
    <xf numFmtId="0" fontId="12" fillId="0" borderId="5" xfId="1" applyFont="1" applyBorder="1" applyAlignment="1">
      <alignment horizontal="left" vertical="center" wrapText="1"/>
    </xf>
    <xf numFmtId="0" fontId="1" fillId="0" borderId="0" xfId="1" applyFont="1" applyAlignment="1">
      <alignment horizontal="left" vertical="top" wrapText="1"/>
    </xf>
    <xf numFmtId="0" fontId="32" fillId="0" borderId="4" xfId="3" applyFont="1" applyBorder="1" applyAlignment="1">
      <alignment horizontal="left" vertical="top" wrapText="1"/>
    </xf>
    <xf numFmtId="0" fontId="32" fillId="0" borderId="6" xfId="3" applyFont="1" applyBorder="1" applyAlignment="1">
      <alignment horizontal="left" vertical="top" wrapText="1"/>
    </xf>
    <xf numFmtId="0" fontId="34" fillId="0" borderId="4" xfId="3" applyFont="1" applyBorder="1" applyAlignment="1">
      <alignment horizontal="left" vertical="top" wrapText="1"/>
    </xf>
    <xf numFmtId="0" fontId="34" fillId="0" borderId="6" xfId="3" applyFont="1" applyBorder="1" applyAlignment="1">
      <alignment horizontal="left" vertical="top" wrapText="1"/>
    </xf>
    <xf numFmtId="0" fontId="34" fillId="0" borderId="7" xfId="3" applyFont="1" applyBorder="1" applyAlignment="1">
      <alignment horizontal="left" vertical="top" wrapText="1"/>
    </xf>
    <xf numFmtId="0" fontId="34" fillId="0" borderId="18" xfId="0" applyFont="1" applyBorder="1" applyAlignment="1">
      <alignment horizontal="left" vertical="top" wrapText="1"/>
    </xf>
    <xf numFmtId="0" fontId="34" fillId="0" borderId="7" xfId="0" applyFont="1" applyBorder="1" applyAlignment="1">
      <alignment horizontal="left" vertical="top" wrapText="1"/>
    </xf>
    <xf numFmtId="0" fontId="34" fillId="0" borderId="17" xfId="0" applyFont="1" applyBorder="1" applyAlignment="1">
      <alignment horizontal="left" vertical="top" wrapText="1"/>
    </xf>
    <xf numFmtId="0" fontId="34" fillId="0" borderId="4" xfId="0" applyFont="1" applyBorder="1" applyAlignment="1">
      <alignment horizontal="left" vertical="top" wrapText="1"/>
    </xf>
    <xf numFmtId="0" fontId="34" fillId="0" borderId="6" xfId="0" applyFont="1" applyBorder="1" applyAlignment="1">
      <alignment horizontal="left" vertical="top" wrapText="1"/>
    </xf>
  </cellXfs>
  <cellStyles count="4">
    <cellStyle name="Hyperlink" xfId="2" builtinId="8"/>
    <cellStyle name="Normal" xfId="0" builtinId="0"/>
    <cellStyle name="Normal 2" xfId="1" xr:uid="{BEACF317-027E-4139-BAC7-C4A297D2D493}"/>
    <cellStyle name="Normal 2 2" xfId="3" xr:uid="{F9DD677C-7E86-4056-9948-DA9C9A9E9B63}"/>
  </cellStyles>
  <dxfs count="21">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top" textRotation="0" wrapText="1" indent="0" justifyLastLine="0" shrinkToFit="0" readingOrder="0"/>
      <border diagonalUp="0" diagonalDown="0">
        <left style="thin">
          <color indexed="64"/>
        </left>
        <right/>
        <top style="thin">
          <color indexed="64"/>
        </top>
        <bottom style="thin">
          <color indexed="64"/>
        </bottom>
        <vertical style="thin">
          <color indexed="64"/>
        </vertical>
        <horizontal style="thin">
          <color indexed="64"/>
        </horizontal>
      </border>
    </dxf>
    <dxf>
      <font>
        <strike val="0"/>
        <outline val="0"/>
        <shadow val="0"/>
        <u val="none"/>
        <vertAlign val="baseline"/>
        <color auto="1"/>
        <name val="Calibri"/>
        <family val="2"/>
      </font>
      <fill>
        <patternFill patternType="solid">
          <fgColor indexed="64"/>
          <bgColor theme="0"/>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0"/>
        </patternFill>
      </fill>
      <alignment horizontal="left" vertical="top" textRotation="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Calibri"/>
        <family val="2"/>
        <scheme val="none"/>
      </font>
      <fill>
        <patternFill patternType="solid">
          <fgColor indexed="64"/>
          <bgColor theme="0"/>
        </patternFill>
      </fill>
      <alignment horizontal="left" vertical="top"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ill>
        <patternFill patternType="solid">
          <fgColor indexed="64"/>
          <bgColor theme="0"/>
        </patternFill>
      </fill>
      <alignment horizontal="left" vertical="top" textRotation="0" indent="0" justifyLastLine="0" shrinkToFit="0" readingOrder="0"/>
    </dxf>
    <dxf>
      <border>
        <bottom style="thin">
          <color indexed="64"/>
        </bottom>
      </border>
    </dxf>
    <dxf>
      <font>
        <b/>
        <i val="0"/>
        <strike val="0"/>
        <condense val="0"/>
        <extend val="0"/>
        <outline val="0"/>
        <shadow val="0"/>
        <u val="none"/>
        <vertAlign val="baseline"/>
        <sz val="11"/>
        <color rgb="FFFFFFFF"/>
        <name val="Calibri"/>
        <family val="2"/>
        <scheme val="none"/>
      </font>
      <fill>
        <patternFill patternType="solid">
          <fgColor indexed="64"/>
          <bgColor theme="4"/>
        </patternFill>
      </fill>
      <alignment horizontal="left" vertical="top" textRotation="0" wrapText="1" indent="0" justifyLastLine="0" shrinkToFit="0" readingOrder="0"/>
      <border diagonalUp="0" diagonalDown="0">
        <left style="thin">
          <color indexed="64"/>
        </left>
        <right style="thin">
          <color indexed="64"/>
        </right>
        <top/>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none"/>
      </font>
      <fill>
        <patternFill>
          <bgColor theme="0"/>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none"/>
      </font>
      <fill>
        <patternFill>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font>
      <fill>
        <patternFill>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none"/>
      </font>
      <fill>
        <patternFill>
          <bgColor theme="0"/>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top style="thin">
          <color indexed="64"/>
        </top>
        <bottom style="thin">
          <color indexed="64"/>
        </bottom>
      </border>
    </dxf>
    <dxf>
      <font>
        <strike val="0"/>
        <outline val="0"/>
        <shadow val="0"/>
        <u val="none"/>
        <vertAlign val="baseline"/>
        <sz val="11"/>
        <color auto="1"/>
        <name val="Calibri"/>
        <family val="2"/>
      </font>
      <fill>
        <patternFill>
          <bgColor theme="0"/>
        </patternFill>
      </fill>
    </dxf>
    <dxf>
      <border outline="0">
        <bottom style="thin">
          <color indexed="64"/>
        </bottom>
      </border>
    </dxf>
    <dxf>
      <font>
        <b/>
        <i val="0"/>
        <strike val="0"/>
        <condense val="0"/>
        <extend val="0"/>
        <outline val="0"/>
        <shadow val="0"/>
        <u val="none"/>
        <vertAlign val="baseline"/>
        <sz val="11"/>
        <color auto="1"/>
        <name val="Calibri"/>
        <family val="2"/>
        <scheme val="none"/>
      </font>
      <fill>
        <patternFill patternType="solid">
          <fgColor rgb="FF000000"/>
          <bgColor theme="4"/>
        </patternFill>
      </fill>
      <alignment horizontal="general" vertical="top"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orldbankgroup.sharepoint.com/teams/PFM-PIMGSG-WBGroup/Shared%20Documents/General/GSG%20Reimagining%20Public%20Finance/Phase%201%20research/Synthesis%20Report/Sectors%20Words%20V2/Bottlenecks%20-%20combined%20outcome%20examples%20rev.xlsx" TargetMode="External"/><Relationship Id="rId1" Type="http://schemas.openxmlformats.org/officeDocument/2006/relationships/externalLinkPath" Target="https://worldbankgroup.sharepoint.com/teams/PFM-PIMGSG-WBGroup/Shared%20Documents/General/GSG%20Reimagining%20Public%20Finance/Phase%201%20research/Synthesis%20Report/Sectors%20Words%20V2/Bottlenecks%20-%20combined%20outcome%20examples%20rev.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hallenges-List"/>
      <sheetName val="Roles-List"/>
      <sheetName val="Bottlenecks - List"/>
      <sheetName val="Taxonomy"/>
      <sheetName val="Outcomes &amp; Results"/>
      <sheetName val="PF Roles"/>
      <sheetName val="Challenges"/>
      <sheetName val="PF Bottlenecks"/>
    </sheetNames>
    <sheetDataSet>
      <sheetData sheetId="0">
        <row r="4">
          <cell r="D4" t="str">
            <v>1. Insufficient Stakeholder Commitment to Policy Action</v>
          </cell>
          <cell r="E4" t="str">
            <v>1</v>
          </cell>
        </row>
        <row r="5">
          <cell r="D5" t="str">
            <v>2. Incoherent, fragmented and poorly prioritized policy</v>
          </cell>
          <cell r="E5" t="str">
            <v>2</v>
          </cell>
        </row>
        <row r="6">
          <cell r="D6" t="str">
            <v>3. Mismatch between policy goals, priorities, capability and resources</v>
          </cell>
          <cell r="E6" t="str">
            <v>3</v>
          </cell>
        </row>
        <row r="7">
          <cell r="D7" t="str">
            <v>4. Unsustainable fiscal situation of governments and organizations</v>
          </cell>
          <cell r="E7" t="str">
            <v>4</v>
          </cell>
        </row>
        <row r="8">
          <cell r="D8" t="str">
            <v xml:space="preserve">5. Inadequate and inequitable resources mobilized and deployed for policy implementation  </v>
          </cell>
          <cell r="E8" t="str">
            <v>5</v>
          </cell>
        </row>
        <row r="9">
          <cell r="D9" t="str">
            <v>6. Unreliable, delayed and fragmented funding for delivery</v>
          </cell>
          <cell r="E9" t="str">
            <v>6</v>
          </cell>
        </row>
        <row r="10">
          <cell r="D10" t="str">
            <v xml:space="preserve">7. Inefficient deployment and management of resources and inputs for delivery </v>
          </cell>
          <cell r="E10" t="str">
            <v>7</v>
          </cell>
        </row>
        <row r="11">
          <cell r="D11" t="str">
            <v>8. Management, oversight, transparency and accountability systems and institutions fail to encourage and enable performance as intended</v>
          </cell>
          <cell r="E11" t="str">
            <v>8</v>
          </cell>
        </row>
        <row r="12">
          <cell r="D12" t="str">
            <v>9. Inadequate availability and use of fragmented sector and financial data in decision making for policy, delivery and accountability.</v>
          </cell>
          <cell r="E12" t="str">
            <v>9</v>
          </cell>
        </row>
      </sheetData>
      <sheetData sheetId="1"/>
      <sheetData sheetId="2"/>
      <sheetData sheetId="3"/>
      <sheetData sheetId="4"/>
      <sheetData sheetId="5"/>
      <sheetData sheetId="6"/>
      <sheetData sheetId="7"/>
    </sheetDataSet>
  </externalBook>
</externalLink>
</file>

<file path=xl/persons/person.xml><?xml version="1.0" encoding="utf-8"?>
<personList xmlns="http://schemas.microsoft.com/office/spreadsheetml/2018/threadedcomments" xmlns:x="http://schemas.openxmlformats.org/spreadsheetml/2006/main">
  <person displayName="Paolo Giovanni De Renzio" id="{3A308A2A-C623-4491-AACB-31B7FC2104FA}" userId="S::pderenzio@worldbank.org::4c70d219-9af7-4bd0-8979-629b188ee646"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EEC49A-2BE5-4399-90BD-76DA6DDA7D8C}" name="Table1" displayName="Table1" ref="A1:D56" totalsRowShown="0" headerRowDxfId="20" dataDxfId="18" headerRowBorderDxfId="19" tableBorderDxfId="17">
  <autoFilter ref="A1:D56" xr:uid="{76EEC49A-2BE5-4399-90BD-76DA6DDA7D8C}"/>
  <tableColumns count="4">
    <tableColumn id="1" xr3:uid="{97DD028C-59A5-4AD7-9919-0C57AE89CDE4}" name="Outcome" dataDxfId="16"/>
    <tableColumn id="5" xr3:uid="{1E89A2E4-2A6B-4FC6-BF0B-3233FCC091D5}" name="Level of Framework " dataDxfId="15"/>
    <tableColumn id="2" xr3:uid="{A311AFBC-8F7B-40FC-A2EA-3D2193DB4AB1}" name="Role of Public Finance" dataDxfId="14"/>
    <tableColumn id="3" xr3:uid="{A77AF791-49BD-4C88-A1CC-5039F776CB42}" name="Outcome Role"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C46623-E2A3-4B15-9884-E3B56E3C330A}" name="Table13" displayName="Table13" ref="A1:H63" totalsRowShown="0" headerRowDxfId="12" dataDxfId="10" headerRowBorderDxfId="11" tableBorderDxfId="9" totalsRowBorderDxfId="8">
  <autoFilter ref="A1:H63" xr:uid="{76EEC49A-2BE5-4399-90BD-76DA6DDA7D8C}">
    <filterColumn colId="0">
      <filters>
        <filter val="Improving Economic Resilience"/>
      </filters>
    </filterColumn>
    <filterColumn colId="1">
      <filters>
        <filter val="A. Commitment to Feasible Policy"/>
      </filters>
    </filterColumn>
  </autoFilter>
  <tableColumns count="8">
    <tableColumn id="1" xr3:uid="{E7546662-459E-4DE6-85D7-B44975AAC4F3}" name="Outcome" dataDxfId="7"/>
    <tableColumn id="2" xr3:uid="{EE61C09E-553A-4973-A321-BA3F4217F39D}" name="Role of Public Finance" dataDxfId="6">
      <calculatedColumnFormula>'Roles - Outcome'!C2</calculatedColumnFormula>
    </tableColumn>
    <tableColumn id="3" xr3:uid="{69F799CF-ECD4-43BD-90FE-CD9C2E88EC2B}" name="Outcome Role" dataDxfId="5"/>
    <tableColumn id="4" xr3:uid="{855531CC-DDF5-45FD-8C23-C9F796301E94}" name="Description of  Examples where Roles have been played" dataDxfId="4"/>
    <tableColumn id="6" xr3:uid="{BB302188-FEF9-4AEC-9834-2BA3DCBE15A7}" name="Country" dataDxfId="3"/>
    <tableColumn id="8" xr3:uid="{62F0FAF9-9DAF-4FF8-9AE1-42E393624E63}" name="Year" dataDxfId="2"/>
    <tableColumn id="5" xr3:uid="{DDDA861F-0D0F-4820-AE2F-2B541988EB02}" name="References" dataDxfId="1" dataCellStyle="Hyperlink"/>
    <tableColumn id="7" xr3:uid="{3795C989-81BF-4D74-BBF7-C4A372E273EE}" name="Sourc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5" dT="2025-01-29T06:17:38.84" personId="{3A308A2A-C623-4491-AACB-31B7FC2104FA}" id="{0304DBF6-3498-4961-B070-CD179FE8EF23}">
    <text>We could add a DRM bottleneck here about ineffective revenue admin, etc.?</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ww.ijhpm.com/article_4108.html" TargetMode="External"/><Relationship Id="rId1" Type="http://schemas.openxmlformats.org/officeDocument/2006/relationships/hyperlink" Target="https://unfccc.int/NDCRE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90084-F6D8-4F6A-907E-CFEEDD2669EB}">
  <sheetPr>
    <tabColor theme="9" tint="0.39997558519241921"/>
  </sheetPr>
  <dimension ref="A2:E12"/>
  <sheetViews>
    <sheetView topLeftCell="B1" zoomScale="99" zoomScaleNormal="130" workbookViewId="0">
      <pane ySplit="12" topLeftCell="A13" activePane="bottomLeft" state="frozen"/>
      <selection activeCell="C32" sqref="C32:C33"/>
      <selection pane="bottomLeft" activeCell="D4" sqref="D4"/>
    </sheetView>
  </sheetViews>
  <sheetFormatPr baseColWidth="10" defaultColWidth="8.83203125" defaultRowHeight="15" x14ac:dyDescent="0.2"/>
  <cols>
    <col min="1" max="1" width="36" customWidth="1"/>
    <col min="2" max="2" width="23.6640625" customWidth="1"/>
    <col min="3" max="3" width="4.6640625" hidden="1" customWidth="1"/>
    <col min="4" max="4" width="53.6640625" customWidth="1"/>
    <col min="8" max="8" width="14.83203125" customWidth="1"/>
  </cols>
  <sheetData>
    <row r="2" spans="1:5" x14ac:dyDescent="0.2">
      <c r="A2" s="3"/>
      <c r="B2" s="3"/>
      <c r="C2" s="3"/>
      <c r="D2" s="3"/>
    </row>
    <row r="3" spans="1:5" x14ac:dyDescent="0.2">
      <c r="A3" s="3" t="s">
        <v>0</v>
      </c>
      <c r="B3" s="3" t="s">
        <v>1</v>
      </c>
      <c r="C3" s="3"/>
      <c r="D3" s="3" t="s">
        <v>2</v>
      </c>
    </row>
    <row r="4" spans="1:5" ht="15" customHeight="1" x14ac:dyDescent="0.2">
      <c r="A4" s="171" t="s">
        <v>3</v>
      </c>
      <c r="B4" s="168" t="s">
        <v>4</v>
      </c>
      <c r="C4" s="32">
        <v>1</v>
      </c>
      <c r="D4" s="4" t="str">
        <f>Taxonomy!A25</f>
        <v>1. Insufficient Stakeholder Commitment to Policy Action</v>
      </c>
      <c r="E4" t="str">
        <f>LEFT(D4,1)</f>
        <v>1</v>
      </c>
    </row>
    <row r="5" spans="1:5" ht="16" x14ac:dyDescent="0.2">
      <c r="A5" s="172"/>
      <c r="B5" s="169"/>
      <c r="C5" s="33">
        <v>2</v>
      </c>
      <c r="D5" s="4" t="str">
        <f>Taxonomy!A27</f>
        <v>2. Incoherent, fragmented and poorly prioritized policy</v>
      </c>
      <c r="E5" t="str">
        <f t="shared" ref="E5:E12" si="0">LEFT(D5,1)</f>
        <v>2</v>
      </c>
    </row>
    <row r="6" spans="1:5" ht="32" x14ac:dyDescent="0.2">
      <c r="A6" s="173"/>
      <c r="B6" s="170"/>
      <c r="C6" s="34">
        <v>3</v>
      </c>
      <c r="D6" s="4" t="str">
        <f>Taxonomy!A28</f>
        <v>3. Mismatch between policy goals, priorities, capability and resources</v>
      </c>
      <c r="E6" t="str">
        <f t="shared" si="0"/>
        <v>3</v>
      </c>
    </row>
    <row r="7" spans="1:5" ht="29.25" customHeight="1" x14ac:dyDescent="0.2">
      <c r="A7" s="171" t="s">
        <v>5</v>
      </c>
      <c r="B7" s="4" t="s">
        <v>6</v>
      </c>
      <c r="C7" s="4">
        <v>4</v>
      </c>
      <c r="D7" s="4" t="str">
        <f>Taxonomy!A31</f>
        <v>4. Unsustainable fiscal situation of governments and organizations</v>
      </c>
      <c r="E7" t="str">
        <f t="shared" si="0"/>
        <v>4</v>
      </c>
    </row>
    <row r="8" spans="1:5" ht="32" x14ac:dyDescent="0.2">
      <c r="A8" s="172"/>
      <c r="B8" s="168" t="s">
        <v>7</v>
      </c>
      <c r="C8" s="32">
        <v>5</v>
      </c>
      <c r="D8" s="4" t="str">
        <f>Taxonomy!A36</f>
        <v xml:space="preserve">5. Inadequate and inequitable resources mobilized and deployed for policy implementation  </v>
      </c>
      <c r="E8" t="str">
        <f t="shared" si="0"/>
        <v>5</v>
      </c>
    </row>
    <row r="9" spans="1:5" ht="16" x14ac:dyDescent="0.2">
      <c r="A9" s="173"/>
      <c r="B9" s="170"/>
      <c r="C9" s="34">
        <v>6</v>
      </c>
      <c r="D9" s="4" t="str">
        <f>Taxonomy!A40</f>
        <v>6. Unreliable, delayed and fragmented funding for delivery</v>
      </c>
      <c r="E9" t="str">
        <f t="shared" si="0"/>
        <v>6</v>
      </c>
    </row>
    <row r="10" spans="1:5" ht="32" x14ac:dyDescent="0.2">
      <c r="A10" s="171" t="s">
        <v>8</v>
      </c>
      <c r="B10" s="168" t="s">
        <v>9</v>
      </c>
      <c r="C10" s="32">
        <v>7</v>
      </c>
      <c r="D10" s="4" t="str">
        <f>Taxonomy!A43</f>
        <v xml:space="preserve">7. Inefficient deployment and management of resources and inputs for delivery </v>
      </c>
      <c r="E10" t="str">
        <f t="shared" si="0"/>
        <v>7</v>
      </c>
    </row>
    <row r="11" spans="1:5" ht="48" x14ac:dyDescent="0.2">
      <c r="A11" s="172"/>
      <c r="B11" s="169"/>
      <c r="C11" s="33">
        <v>8</v>
      </c>
      <c r="D11" s="4" t="str">
        <f>Taxonomy!A49</f>
        <v>8. Management, oversight, transparency and accountability systems and institutions fail to encourage and enable performance as intended</v>
      </c>
      <c r="E11" t="str">
        <f t="shared" si="0"/>
        <v>8</v>
      </c>
    </row>
    <row r="12" spans="1:5" ht="35.25" customHeight="1" x14ac:dyDescent="0.2">
      <c r="A12" s="173"/>
      <c r="B12" s="170"/>
      <c r="C12" s="34">
        <v>9</v>
      </c>
      <c r="D12" s="4">
        <f>Taxonomy!A53</f>
        <v>0</v>
      </c>
      <c r="E12" t="str">
        <f t="shared" si="0"/>
        <v>0</v>
      </c>
    </row>
  </sheetData>
  <mergeCells count="6">
    <mergeCell ref="B10:B12"/>
    <mergeCell ref="A4:A6"/>
    <mergeCell ref="A7:A9"/>
    <mergeCell ref="A10:A12"/>
    <mergeCell ref="B4:B6"/>
    <mergeCell ref="B8:B9"/>
  </mergeCells>
  <pageMargins left="0.7" right="0.7" top="0.75" bottom="0.75" header="0.3" footer="0.3"/>
  <pageSetup orientation="portrait" r:id="rId1"/>
  <headerFooter>
    <oddFooter>&amp;R_x000D_&amp;1#&amp;"Calibri"&amp;10&amp;K000000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9B962-CD88-45FB-BD56-E4EFE4FF1C92}">
  <sheetPr>
    <tabColor theme="9" tint="0.39997558519241921"/>
  </sheetPr>
  <dimension ref="A2:A5"/>
  <sheetViews>
    <sheetView workbookViewId="0">
      <selection activeCell="C32" sqref="C32:C33"/>
    </sheetView>
  </sheetViews>
  <sheetFormatPr baseColWidth="10" defaultColWidth="8.83203125" defaultRowHeight="15" x14ac:dyDescent="0.2"/>
  <cols>
    <col min="1" max="1" width="44.5" customWidth="1"/>
  </cols>
  <sheetData>
    <row r="2" spans="1:1" ht="16" x14ac:dyDescent="0.2">
      <c r="A2" s="36" t="s">
        <v>10</v>
      </c>
    </row>
    <row r="3" spans="1:1" ht="16" x14ac:dyDescent="0.2">
      <c r="A3" s="4" t="s">
        <v>11</v>
      </c>
    </row>
    <row r="4" spans="1:1" ht="15" customHeight="1" x14ac:dyDescent="0.2">
      <c r="A4" s="36" t="s">
        <v>12</v>
      </c>
    </row>
    <row r="5" spans="1:1" ht="16" x14ac:dyDescent="0.2">
      <c r="A5" s="36" t="s">
        <v>13</v>
      </c>
    </row>
  </sheetData>
  <pageMargins left="0.7" right="0.7" top="0.75" bottom="0.75" header="0.3" footer="0.3"/>
  <headerFooter>
    <oddFooter>&amp;R_x000D_&amp;1#&amp;"Calibri"&amp;10&amp;K000000 Official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CF50EA-27B7-4D8B-A3E7-9FE9268886CA}">
  <sheetPr>
    <tabColor theme="9" tint="0.39997558519241921"/>
  </sheetPr>
  <dimension ref="A1:L31"/>
  <sheetViews>
    <sheetView zoomScale="80" zoomScaleNormal="80" workbookViewId="0">
      <pane xSplit="3" ySplit="1" topLeftCell="G2" activePane="bottomRight" state="frozen"/>
      <selection pane="topRight" activeCell="C32" sqref="C32:C33"/>
      <selection pane="bottomLeft" activeCell="C32" sqref="C32:C33"/>
      <selection pane="bottomRight" activeCell="C32" sqref="C32:C33"/>
    </sheetView>
  </sheetViews>
  <sheetFormatPr baseColWidth="10" defaultColWidth="9.1640625" defaultRowHeight="15" x14ac:dyDescent="0.2"/>
  <cols>
    <col min="1" max="1" width="11.5" style="10" hidden="1" customWidth="1"/>
    <col min="2" max="5" width="43.83203125" style="11" hidden="1" customWidth="1"/>
    <col min="6" max="6" width="43.83203125" style="12" hidden="1" customWidth="1"/>
    <col min="7" max="7" width="20.33203125" style="11" customWidth="1"/>
    <col min="8" max="8" width="20.33203125" style="1" customWidth="1"/>
    <col min="9" max="9" width="30.6640625" style="1" customWidth="1"/>
    <col min="10" max="10" width="38.1640625" style="2" customWidth="1"/>
    <col min="11" max="12" width="41.6640625" style="1" customWidth="1"/>
    <col min="13" max="16384" width="9.1640625" style="11"/>
  </cols>
  <sheetData>
    <row r="1" spans="1:12" ht="32" x14ac:dyDescent="0.2">
      <c r="A1" s="9" t="s">
        <v>14</v>
      </c>
      <c r="B1" s="6" t="s">
        <v>15</v>
      </c>
      <c r="C1" s="6" t="s">
        <v>16</v>
      </c>
      <c r="D1" s="6"/>
      <c r="E1" s="6" t="s">
        <v>17</v>
      </c>
      <c r="F1" s="6" t="s">
        <v>18</v>
      </c>
      <c r="G1" s="6" t="s">
        <v>19</v>
      </c>
      <c r="H1" s="6" t="s">
        <v>20</v>
      </c>
      <c r="I1" s="6" t="s">
        <v>21</v>
      </c>
      <c r="J1" s="6" t="s">
        <v>22</v>
      </c>
      <c r="K1" s="6" t="s">
        <v>23</v>
      </c>
      <c r="L1" s="6" t="s">
        <v>24</v>
      </c>
    </row>
    <row r="2" spans="1:12" ht="69.75" customHeight="1" x14ac:dyDescent="0.2">
      <c r="A2" s="8" t="s">
        <v>25</v>
      </c>
      <c r="B2" s="7" t="s">
        <v>26</v>
      </c>
      <c r="C2" s="7" t="s">
        <v>26</v>
      </c>
      <c r="D2" s="7" t="s">
        <v>27</v>
      </c>
      <c r="E2" s="7" t="s">
        <v>28</v>
      </c>
      <c r="F2" s="7" t="s">
        <v>29</v>
      </c>
      <c r="G2" s="5" t="s">
        <v>30</v>
      </c>
      <c r="H2" s="5" t="s">
        <v>31</v>
      </c>
      <c r="I2" s="5" t="s">
        <v>32</v>
      </c>
      <c r="J2" s="31" t="str">
        <f>Taxonomy!B25</f>
        <v>1.1 Inadequate commitment of political and technical leadership to policy action and associated resource mobilization and use within or across sectors</v>
      </c>
      <c r="K2" s="5"/>
      <c r="L2" s="5"/>
    </row>
    <row r="3" spans="1:12" ht="66" customHeight="1" x14ac:dyDescent="0.2">
      <c r="A3" s="8" t="s">
        <v>25</v>
      </c>
      <c r="B3" s="7" t="s">
        <v>33</v>
      </c>
      <c r="C3" s="7" t="s">
        <v>33</v>
      </c>
      <c r="D3" s="7" t="s">
        <v>34</v>
      </c>
      <c r="E3" s="7" t="s">
        <v>35</v>
      </c>
      <c r="F3" s="5"/>
      <c r="G3" s="5" t="s">
        <v>30</v>
      </c>
      <c r="H3" s="5" t="s">
        <v>31</v>
      </c>
      <c r="I3" s="5" t="s">
        <v>32</v>
      </c>
      <c r="J3" s="31" t="str">
        <f>Taxonomy!B26</f>
        <v>1.2 Inadequately broad-based stakeholder involvement, understanding and support for policy action and associated resource mobilization and use</v>
      </c>
      <c r="K3" s="5"/>
      <c r="L3" s="5"/>
    </row>
    <row r="4" spans="1:12" ht="75.75" customHeight="1" x14ac:dyDescent="0.2">
      <c r="A4" s="8" t="s">
        <v>36</v>
      </c>
      <c r="B4" s="7" t="s">
        <v>37</v>
      </c>
      <c r="C4" s="7" t="s">
        <v>38</v>
      </c>
      <c r="D4" s="7" t="s">
        <v>39</v>
      </c>
      <c r="E4" s="5" t="s">
        <v>40</v>
      </c>
      <c r="F4" s="7" t="s">
        <v>41</v>
      </c>
      <c r="G4" s="5" t="s">
        <v>30</v>
      </c>
      <c r="H4" s="5" t="s">
        <v>31</v>
      </c>
      <c r="I4" s="5" t="s">
        <v>42</v>
      </c>
      <c r="J4" s="31" t="str">
        <f>Taxonomy!B27</f>
        <v>2.1 Fragmented, over-ambitious, inconsistent, uncoordinated and poorly prioritized policies across or within sectors</v>
      </c>
      <c r="K4" s="5"/>
      <c r="L4" s="5"/>
    </row>
    <row r="5" spans="1:12" ht="75.75" customHeight="1" x14ac:dyDescent="0.2">
      <c r="A5" s="8"/>
      <c r="B5" s="7"/>
      <c r="C5" s="7"/>
      <c r="D5" s="7"/>
      <c r="E5" s="5"/>
      <c r="F5" s="7"/>
      <c r="G5" s="5" t="s">
        <v>30</v>
      </c>
      <c r="H5" s="5" t="s">
        <v>31</v>
      </c>
      <c r="I5" s="5" t="s">
        <v>43</v>
      </c>
      <c r="J5" s="31" t="str">
        <f>Taxonomy!B28</f>
        <v>3.1 Domestic revenue policies generate insufficient and unstable resources - in an inequitable manner- to achieve policy goals given fiscal reality</v>
      </c>
      <c r="K5" s="5"/>
      <c r="L5" s="5"/>
    </row>
    <row r="6" spans="1:12" ht="93" customHeight="1" x14ac:dyDescent="0.2">
      <c r="A6" s="8" t="s">
        <v>44</v>
      </c>
      <c r="B6" s="5" t="s">
        <v>45</v>
      </c>
      <c r="C6" s="5" t="s">
        <v>46</v>
      </c>
      <c r="D6" s="7"/>
      <c r="E6" s="7" t="s">
        <v>47</v>
      </c>
      <c r="F6" s="7" t="s">
        <v>48</v>
      </c>
      <c r="G6" s="5" t="s">
        <v>30</v>
      </c>
      <c r="H6" s="5" t="s">
        <v>31</v>
      </c>
      <c r="I6" s="5" t="s">
        <v>43</v>
      </c>
      <c r="J6" s="31" t="str">
        <f>Taxonomy!B29</f>
        <v>3.2 Public policy goals and delivery models are unaffordable given current and future costs and fiscal reality.</v>
      </c>
      <c r="K6" s="5"/>
      <c r="L6" s="5"/>
    </row>
    <row r="7" spans="1:12" ht="70.5" customHeight="1" x14ac:dyDescent="0.2">
      <c r="A7" s="8"/>
      <c r="B7" s="5"/>
      <c r="C7" s="5"/>
      <c r="D7" s="7"/>
      <c r="E7" s="7"/>
      <c r="F7" s="7"/>
      <c r="G7" s="5" t="s">
        <v>30</v>
      </c>
      <c r="H7" s="5" t="s">
        <v>31</v>
      </c>
      <c r="I7" s="5" t="s">
        <v>43</v>
      </c>
      <c r="J7" s="31" t="str">
        <f>Taxonomy!B30</f>
        <v>3.3 Policies are poorly designed, misaligned with development objectives and/or do not take into account context, including the available organizational capability to achieve goals</v>
      </c>
      <c r="K7" s="5"/>
      <c r="L7" s="5"/>
    </row>
    <row r="8" spans="1:12" ht="66.75" customHeight="1" x14ac:dyDescent="0.2">
      <c r="A8" s="8" t="s">
        <v>25</v>
      </c>
      <c r="B8" s="7" t="s">
        <v>49</v>
      </c>
      <c r="C8" s="7" t="s">
        <v>50</v>
      </c>
      <c r="D8" s="7" t="s">
        <v>51</v>
      </c>
      <c r="E8" s="7" t="s">
        <v>52</v>
      </c>
      <c r="F8" s="7" t="s">
        <v>53</v>
      </c>
      <c r="G8" s="5" t="s">
        <v>5</v>
      </c>
      <c r="H8" s="5" t="s">
        <v>6</v>
      </c>
      <c r="I8" s="5" t="s">
        <v>54</v>
      </c>
      <c r="J8" s="31" t="str">
        <f>Taxonomy!B31</f>
        <v>4.1 Short term incentives and perspectives leads to a failure to manage trade offs and pro-cyclical spending which forces deep cuts during downturns</v>
      </c>
      <c r="K8" s="5"/>
      <c r="L8" s="5"/>
    </row>
    <row r="9" spans="1:12" ht="93" customHeight="1" x14ac:dyDescent="0.2">
      <c r="A9" s="8" t="s">
        <v>25</v>
      </c>
      <c r="B9" s="7" t="s">
        <v>55</v>
      </c>
      <c r="C9" s="7" t="s">
        <v>55</v>
      </c>
      <c r="D9" s="7" t="s">
        <v>56</v>
      </c>
      <c r="E9" s="7" t="s">
        <v>57</v>
      </c>
      <c r="F9" s="7" t="s">
        <v>58</v>
      </c>
      <c r="G9" s="5" t="s">
        <v>5</v>
      </c>
      <c r="H9" s="5" t="s">
        <v>6</v>
      </c>
      <c r="I9" s="5" t="s">
        <v>54</v>
      </c>
      <c r="J9" s="31" t="str">
        <f>Taxonomy!B32</f>
        <v>4.2 Biased or inaccurate fiscal forecasting and unpredictable, volatile resource flows result in budgets being under-funded</v>
      </c>
      <c r="K9" s="5"/>
      <c r="L9" s="5"/>
    </row>
    <row r="10" spans="1:12" ht="93" customHeight="1" x14ac:dyDescent="0.2">
      <c r="A10" s="8"/>
      <c r="B10" s="7"/>
      <c r="C10" s="7"/>
      <c r="D10" s="7"/>
      <c r="E10" s="7"/>
      <c r="F10" s="7"/>
      <c r="G10" s="5" t="s">
        <v>5</v>
      </c>
      <c r="H10" s="5" t="s">
        <v>6</v>
      </c>
      <c r="I10" s="5" t="s">
        <v>54</v>
      </c>
      <c r="J10" s="31" t="str">
        <f>Taxonomy!B33</f>
        <v>4.3 Un-strategic, ad hoc and supply driven debt management undermines fiscal consolidation and reduces fiscal space</v>
      </c>
      <c r="K10" s="5"/>
      <c r="L10" s="5"/>
    </row>
    <row r="11" spans="1:12" ht="93" customHeight="1" x14ac:dyDescent="0.2">
      <c r="A11" s="8" t="s">
        <v>36</v>
      </c>
      <c r="B11" s="7" t="s">
        <v>59</v>
      </c>
      <c r="C11" s="7" t="s">
        <v>59</v>
      </c>
      <c r="D11" s="7" t="s">
        <v>60</v>
      </c>
      <c r="E11" s="7" t="s">
        <v>61</v>
      </c>
      <c r="F11" s="7" t="s">
        <v>62</v>
      </c>
      <c r="G11" s="5" t="s">
        <v>5</v>
      </c>
      <c r="H11" s="5" t="s">
        <v>6</v>
      </c>
      <c r="I11" s="5" t="s">
        <v>54</v>
      </c>
      <c r="J11" s="31" t="str">
        <f>Taxonomy!B34</f>
        <v>4.4 Pre-existing earmarks and spending commitments create budget rigidity and limit options for fiscal consolidation and/or increasing fiscal space</v>
      </c>
      <c r="K11" s="5"/>
      <c r="L11" s="5"/>
    </row>
    <row r="12" spans="1:12" ht="93" customHeight="1" x14ac:dyDescent="0.2">
      <c r="A12" s="8" t="s">
        <v>25</v>
      </c>
      <c r="B12" s="7" t="s">
        <v>63</v>
      </c>
      <c r="C12" s="7" t="s">
        <v>63</v>
      </c>
      <c r="D12" s="7" t="s">
        <v>64</v>
      </c>
      <c r="E12" s="7" t="s">
        <v>65</v>
      </c>
      <c r="F12" s="7" t="s">
        <v>66</v>
      </c>
      <c r="G12" s="5" t="s">
        <v>5</v>
      </c>
      <c r="H12" s="5" t="s">
        <v>6</v>
      </c>
      <c r="I12" s="5" t="s">
        <v>54</v>
      </c>
      <c r="J12" s="31" t="str">
        <f>Taxonomy!B35</f>
        <v>4.5 Financial unviability of providers and utilities</v>
      </c>
      <c r="K12" s="5"/>
      <c r="L12" s="5"/>
    </row>
    <row r="13" spans="1:12" ht="114" customHeight="1" x14ac:dyDescent="0.2">
      <c r="A13" s="8" t="s">
        <v>36</v>
      </c>
      <c r="B13" s="7" t="s">
        <v>67</v>
      </c>
      <c r="C13" s="7" t="s">
        <v>68</v>
      </c>
      <c r="D13" s="7" t="s">
        <v>69</v>
      </c>
      <c r="E13" s="7" t="s">
        <v>70</v>
      </c>
      <c r="F13" s="7" t="s">
        <v>71</v>
      </c>
      <c r="G13" s="5" t="s">
        <v>5</v>
      </c>
      <c r="H13" s="5" t="s">
        <v>72</v>
      </c>
      <c r="I13" s="5" t="s">
        <v>73</v>
      </c>
      <c r="J13" s="31" t="str">
        <f>Taxonomy!B36</f>
        <v>5.1 Limited or costly revenue and financing mobilized for investment and service delivery</v>
      </c>
      <c r="K13" s="5"/>
      <c r="L13" s="5"/>
    </row>
    <row r="14" spans="1:12" ht="93" customHeight="1" x14ac:dyDescent="0.2">
      <c r="A14" s="8"/>
      <c r="B14" s="7"/>
      <c r="C14" s="7"/>
      <c r="D14" s="7"/>
      <c r="E14" s="7"/>
      <c r="F14" s="7"/>
      <c r="G14" s="5" t="s">
        <v>5</v>
      </c>
      <c r="H14" s="5" t="s">
        <v>72</v>
      </c>
      <c r="I14" s="5" t="s">
        <v>73</v>
      </c>
      <c r="J14" s="31" t="str">
        <f>Taxonomy!B37</f>
        <v>5.2 Resource raising and deployment is often incremental and disconnected from public policy priorities and delivery mechanisms</v>
      </c>
      <c r="K14" s="5"/>
      <c r="L14" s="5"/>
    </row>
    <row r="15" spans="1:12" ht="93" customHeight="1" x14ac:dyDescent="0.2">
      <c r="A15" s="8" t="s">
        <v>36</v>
      </c>
      <c r="B15" s="7" t="s">
        <v>74</v>
      </c>
      <c r="C15" s="7" t="s">
        <v>75</v>
      </c>
      <c r="D15" s="7" t="s">
        <v>76</v>
      </c>
      <c r="E15" s="7" t="s">
        <v>77</v>
      </c>
      <c r="F15" s="7" t="s">
        <v>78</v>
      </c>
      <c r="G15" s="5" t="s">
        <v>5</v>
      </c>
      <c r="H15" s="5" t="s">
        <v>72</v>
      </c>
      <c r="I15" s="5" t="s">
        <v>73</v>
      </c>
      <c r="J15" s="31" t="str">
        <f>Taxonomy!B38</f>
        <v>5.3 Resource deployment is not informed by demand for, the costs of, or effectiveness in achieving public policy objectives</v>
      </c>
      <c r="K15" s="5"/>
      <c r="L15" s="5"/>
    </row>
    <row r="16" spans="1:12" ht="93" customHeight="1" x14ac:dyDescent="0.2">
      <c r="A16" s="8" t="s">
        <v>44</v>
      </c>
      <c r="B16" s="5" t="s">
        <v>79</v>
      </c>
      <c r="C16" s="5" t="s">
        <v>79</v>
      </c>
      <c r="D16" s="7"/>
      <c r="E16" s="7" t="s">
        <v>80</v>
      </c>
      <c r="F16" s="7" t="s">
        <v>81</v>
      </c>
      <c r="G16" s="5" t="s">
        <v>5</v>
      </c>
      <c r="H16" s="5" t="s">
        <v>72</v>
      </c>
      <c r="I16" s="5" t="s">
        <v>73</v>
      </c>
      <c r="J16" s="31" t="str">
        <f>Taxonomy!B39</f>
        <v>5.4 Unequal and inequitable resource mobilization and distribution, misaligned with policy and effective delivery</v>
      </c>
      <c r="K16" s="5"/>
      <c r="L16" s="5"/>
    </row>
    <row r="17" spans="1:12" ht="93" customHeight="1" x14ac:dyDescent="0.2">
      <c r="A17" s="8"/>
      <c r="B17" s="7"/>
      <c r="C17" s="7"/>
      <c r="D17" s="7"/>
      <c r="E17" s="7"/>
      <c r="F17" s="7"/>
      <c r="G17" s="5" t="s">
        <v>5</v>
      </c>
      <c r="H17" s="5" t="s">
        <v>82</v>
      </c>
      <c r="I17" s="5" t="s">
        <v>83</v>
      </c>
      <c r="J17" s="31" t="str">
        <f>Taxonomy!B40</f>
        <v>6.1 Ad hoc, political and fragmented funding channels contribute to ineffective and inefficient delivery</v>
      </c>
      <c r="K17" s="5"/>
      <c r="L17" s="5"/>
    </row>
    <row r="18" spans="1:12" ht="93" customHeight="1" x14ac:dyDescent="0.2">
      <c r="A18" s="8"/>
      <c r="B18" s="7"/>
      <c r="C18" s="7"/>
      <c r="D18" s="7"/>
      <c r="E18" s="7"/>
      <c r="F18" s="7"/>
      <c r="G18" s="5"/>
      <c r="H18" s="5"/>
      <c r="I18" s="5" t="s">
        <v>83</v>
      </c>
      <c r="J18" s="31" t="str">
        <f>Taxonomy!B41</f>
        <v xml:space="preserve">6.2 Intergovernmental financing systems for delivery are often incoherent, bypassed and uncoordinated between levels of government. </v>
      </c>
      <c r="K18" s="5"/>
      <c r="L18" s="5"/>
    </row>
    <row r="19" spans="1:12" ht="93" customHeight="1" x14ac:dyDescent="0.2">
      <c r="A19" s="8" t="s">
        <v>44</v>
      </c>
      <c r="B19" s="5" t="s">
        <v>84</v>
      </c>
      <c r="C19" s="5" t="s">
        <v>84</v>
      </c>
      <c r="D19" s="7"/>
      <c r="E19" s="7" t="s">
        <v>85</v>
      </c>
      <c r="F19" s="7" t="s">
        <v>86</v>
      </c>
      <c r="G19" s="5" t="s">
        <v>5</v>
      </c>
      <c r="H19" s="5" t="s">
        <v>82</v>
      </c>
      <c r="I19" s="5" t="s">
        <v>83</v>
      </c>
      <c r="J19" s="31" t="str">
        <f>Taxonomy!B42</f>
        <v>6.3 Shortfalls, delays and diversion of funding for delivery</v>
      </c>
      <c r="K19" s="5"/>
      <c r="L19" s="5"/>
    </row>
    <row r="20" spans="1:12" ht="93" customHeight="1" x14ac:dyDescent="0.2">
      <c r="A20" s="8"/>
      <c r="B20" s="5"/>
      <c r="C20" s="5"/>
      <c r="D20" s="7"/>
      <c r="E20" s="7"/>
      <c r="F20" s="7"/>
      <c r="G20" s="5" t="s">
        <v>87</v>
      </c>
      <c r="H20" s="5" t="s">
        <v>82</v>
      </c>
      <c r="I20" s="5" t="s">
        <v>88</v>
      </c>
      <c r="J20" s="31" t="str">
        <f>Taxonomy!B43</f>
        <v>7.1 Resource deployment is inefficient overall due to high overheads and unbalanced allocations to delivery inputs and sectoral programs.</v>
      </c>
      <c r="K20" s="5"/>
      <c r="L20" s="5"/>
    </row>
    <row r="21" spans="1:12" ht="93" customHeight="1" x14ac:dyDescent="0.2">
      <c r="A21" s="8" t="s">
        <v>25</v>
      </c>
      <c r="B21" s="7" t="s">
        <v>89</v>
      </c>
      <c r="C21" s="7" t="s">
        <v>89</v>
      </c>
      <c r="D21" s="7" t="s">
        <v>90</v>
      </c>
      <c r="E21" s="7" t="s">
        <v>91</v>
      </c>
      <c r="F21" s="5"/>
      <c r="G21" s="5" t="s">
        <v>87</v>
      </c>
      <c r="H21" s="5" t="s">
        <v>82</v>
      </c>
      <c r="I21" s="5" t="s">
        <v>88</v>
      </c>
      <c r="J21" s="31" t="str">
        <f>Taxonomy!B44</f>
        <v>7.2 Inefficient public investment decisions and management of assets</v>
      </c>
      <c r="K21" s="5"/>
      <c r="L21" s="5"/>
    </row>
    <row r="22" spans="1:12" ht="93" customHeight="1" x14ac:dyDescent="0.2">
      <c r="A22" s="8" t="s">
        <v>44</v>
      </c>
      <c r="B22" s="5" t="s">
        <v>92</v>
      </c>
      <c r="C22" s="5" t="s">
        <v>92</v>
      </c>
      <c r="D22" s="7"/>
      <c r="E22" s="7" t="s">
        <v>93</v>
      </c>
      <c r="F22" s="7" t="s">
        <v>94</v>
      </c>
      <c r="G22" s="5" t="s">
        <v>87</v>
      </c>
      <c r="H22" s="5" t="s">
        <v>95</v>
      </c>
      <c r="I22" s="5" t="s">
        <v>88</v>
      </c>
      <c r="J22" s="31" t="str">
        <f>Taxonomy!B45</f>
        <v>7.3 High cost, inefficient deployment, poor motivation and inadequate skills of frontline and other staff</v>
      </c>
      <c r="K22" s="5"/>
      <c r="L22" s="5"/>
    </row>
    <row r="23" spans="1:12" ht="93" customHeight="1" x14ac:dyDescent="0.2">
      <c r="A23" s="8" t="s">
        <v>44</v>
      </c>
      <c r="B23" s="5" t="s">
        <v>96</v>
      </c>
      <c r="C23" s="5" t="s">
        <v>96</v>
      </c>
      <c r="D23" s="7"/>
      <c r="E23" s="7" t="s">
        <v>97</v>
      </c>
      <c r="F23" s="7" t="s">
        <v>98</v>
      </c>
      <c r="G23" s="5" t="s">
        <v>87</v>
      </c>
      <c r="H23" s="5" t="s">
        <v>95</v>
      </c>
      <c r="I23" s="5" t="s">
        <v>88</v>
      </c>
      <c r="J23" s="31" t="str">
        <f>Taxonomy!B46</f>
        <v>7.4 Limited availability of operational funding to regulate and run services and maintain infrastructure and other assets.</v>
      </c>
      <c r="K23" s="5"/>
      <c r="L23" s="5"/>
    </row>
    <row r="24" spans="1:12" ht="93" customHeight="1" x14ac:dyDescent="0.2">
      <c r="A24" s="8"/>
      <c r="B24" s="5"/>
      <c r="C24" s="5"/>
      <c r="D24" s="5"/>
      <c r="E24" s="5"/>
      <c r="F24" s="7"/>
      <c r="G24" s="5" t="s">
        <v>87</v>
      </c>
      <c r="H24" s="5" t="s">
        <v>95</v>
      </c>
      <c r="I24" s="5" t="s">
        <v>88</v>
      </c>
      <c r="J24" s="31" t="str">
        <f>Taxonomy!B47</f>
        <v>7.5 Delays in and inflated cost of procurement for infrastructure and operational inputs</v>
      </c>
      <c r="K24" s="5"/>
      <c r="L24" s="5"/>
    </row>
    <row r="25" spans="1:12" ht="111.75" customHeight="1" x14ac:dyDescent="0.2">
      <c r="A25" s="8" t="s">
        <v>44</v>
      </c>
      <c r="B25" s="5" t="s">
        <v>99</v>
      </c>
      <c r="C25" s="5" t="s">
        <v>100</v>
      </c>
      <c r="D25" s="7"/>
      <c r="E25" s="7" t="s">
        <v>101</v>
      </c>
      <c r="F25" s="7" t="s">
        <v>102</v>
      </c>
      <c r="G25" s="5" t="s">
        <v>87</v>
      </c>
      <c r="H25" s="5" t="s">
        <v>95</v>
      </c>
      <c r="I25" s="5" t="s">
        <v>88</v>
      </c>
      <c r="J25" s="31" t="str">
        <f>Taxonomy!B48</f>
        <v>7.6 The arrangements for managing funds at different levels up to the point of delivery are poorly designed and incoherent, especially in in multi-level government contexts.</v>
      </c>
      <c r="K25" s="5"/>
      <c r="L25" s="5"/>
    </row>
    <row r="26" spans="1:12" ht="93" customHeight="1" x14ac:dyDescent="0.2">
      <c r="A26" s="8" t="s">
        <v>36</v>
      </c>
      <c r="B26" s="7" t="s">
        <v>103</v>
      </c>
      <c r="C26" s="7" t="s">
        <v>104</v>
      </c>
      <c r="D26" s="7" t="s">
        <v>105</v>
      </c>
      <c r="E26" s="7" t="s">
        <v>106</v>
      </c>
      <c r="F26" s="7" t="s">
        <v>107</v>
      </c>
      <c r="G26" s="5" t="s">
        <v>87</v>
      </c>
      <c r="H26" s="5" t="s">
        <v>95</v>
      </c>
      <c r="I26" s="5" t="s">
        <v>108</v>
      </c>
      <c r="J26" s="31" t="str">
        <f>Taxonomy!B49</f>
        <v>8.1 The design of regulatory, incentive, control and management systems limits autonomy and discourages performance</v>
      </c>
      <c r="K26" s="5"/>
      <c r="L26" s="5"/>
    </row>
    <row r="27" spans="1:12" ht="93" customHeight="1" x14ac:dyDescent="0.2">
      <c r="A27" s="8"/>
      <c r="B27" s="7"/>
      <c r="C27" s="7"/>
      <c r="D27" s="7"/>
      <c r="E27" s="7"/>
      <c r="F27" s="7"/>
      <c r="G27" s="5" t="s">
        <v>87</v>
      </c>
      <c r="H27" s="5" t="s">
        <v>95</v>
      </c>
      <c r="I27" s="5" t="s">
        <v>108</v>
      </c>
      <c r="J27" s="31" t="str">
        <f>Taxonomy!B51</f>
        <v>8.3 Weakness in tax compliance administration leads to inefficient or inequitable revenue collection and inefficient revenue management</v>
      </c>
      <c r="K27" s="5"/>
      <c r="L27" s="5"/>
    </row>
    <row r="28" spans="1:12" s="1" customFormat="1" ht="93" customHeight="1" x14ac:dyDescent="0.2">
      <c r="A28" s="8" t="s">
        <v>36</v>
      </c>
      <c r="B28" s="7" t="s">
        <v>103</v>
      </c>
      <c r="C28" s="7" t="s">
        <v>109</v>
      </c>
      <c r="D28" s="7" t="s">
        <v>110</v>
      </c>
      <c r="E28" s="7" t="s">
        <v>111</v>
      </c>
      <c r="F28" s="7" t="s">
        <v>112</v>
      </c>
      <c r="G28" s="5" t="s">
        <v>87</v>
      </c>
      <c r="H28" s="5" t="s">
        <v>95</v>
      </c>
      <c r="I28" s="5" t="s">
        <v>108</v>
      </c>
      <c r="J28" s="31" t="str">
        <f>Taxonomy!B50</f>
        <v>8.2 Non-compliance and weak enforcement of regulatory, PFM and public sector management systems undermines performance and accountability</v>
      </c>
      <c r="K28" s="5"/>
      <c r="L28" s="5"/>
    </row>
    <row r="29" spans="1:12" s="1" customFormat="1" ht="93" customHeight="1" x14ac:dyDescent="0.2">
      <c r="A29" s="8" t="s">
        <v>44</v>
      </c>
      <c r="B29" s="5" t="s">
        <v>113</v>
      </c>
      <c r="C29" s="5" t="s">
        <v>113</v>
      </c>
      <c r="D29" s="7"/>
      <c r="E29" s="7" t="s">
        <v>114</v>
      </c>
      <c r="F29" s="7" t="s">
        <v>115</v>
      </c>
      <c r="G29" s="5" t="s">
        <v>87</v>
      </c>
      <c r="H29" s="5" t="s">
        <v>95</v>
      </c>
      <c r="I29" s="5" t="s">
        <v>108</v>
      </c>
      <c r="J29" s="31" t="str">
        <f>Taxonomy!B52</f>
        <v>8.4 Weaknesses in fiscal governance undermine public and private investment and action</v>
      </c>
      <c r="K29" s="5"/>
      <c r="L29" s="5"/>
    </row>
    <row r="30" spans="1:12" s="1" customFormat="1" ht="93" customHeight="1" x14ac:dyDescent="0.2">
      <c r="A30" s="8" t="s">
        <v>36</v>
      </c>
      <c r="B30" s="7" t="s">
        <v>116</v>
      </c>
      <c r="C30" s="7" t="s">
        <v>116</v>
      </c>
      <c r="D30" s="7" t="s">
        <v>117</v>
      </c>
      <c r="E30" s="7" t="s">
        <v>118</v>
      </c>
      <c r="F30" s="7" t="s">
        <v>119</v>
      </c>
      <c r="G30" s="5" t="s">
        <v>87</v>
      </c>
      <c r="H30" s="5" t="s">
        <v>95</v>
      </c>
      <c r="I30" s="5" t="s">
        <v>120</v>
      </c>
      <c r="J30" s="31" t="str">
        <f>Taxonomy!B53</f>
        <v>8.5 Inadequate transparency, oversight, monitoring, evaluation and accountability for resources and performance</v>
      </c>
      <c r="K30" s="5"/>
      <c r="L30" s="5"/>
    </row>
    <row r="31" spans="1:12" s="1" customFormat="1" ht="57.75" customHeight="1" x14ac:dyDescent="0.2">
      <c r="A31" s="8" t="s">
        <v>25</v>
      </c>
      <c r="B31" s="7" t="s">
        <v>121</v>
      </c>
      <c r="C31" s="7" t="s">
        <v>121</v>
      </c>
      <c r="D31" s="7" t="s">
        <v>122</v>
      </c>
      <c r="E31" s="5"/>
      <c r="F31" s="5"/>
      <c r="G31" s="5" t="s">
        <v>87</v>
      </c>
      <c r="H31" s="5" t="s">
        <v>95</v>
      </c>
      <c r="I31" s="5" t="s">
        <v>120</v>
      </c>
      <c r="J31" s="31" t="str">
        <f>Taxonomy!B54</f>
        <v>9.1 Available financial and non-financial information not used for decision making, management and accountability</v>
      </c>
      <c r="K31" s="5"/>
      <c r="L31" s="5"/>
    </row>
  </sheetData>
  <autoFilter ref="A1:K31" xr:uid="{CA49D30F-E07F-47F8-8D93-B75D2E6E2A2A}">
    <sortState xmlns:xlrd2="http://schemas.microsoft.com/office/spreadsheetml/2017/richdata2" ref="A2:K31">
      <sortCondition ref="I1:I31"/>
    </sortState>
  </autoFilter>
  <dataValidations count="1">
    <dataValidation type="list" allowBlank="1" showInputMessage="1" showErrorMessage="1" sqref="I2:I31" xr:uid="{B70F8A79-8559-401F-A755-0948996BECD1}">
      <formula1>PFChallenges</formula1>
    </dataValidation>
  </dataValidations>
  <pageMargins left="0.7" right="0.7" top="0.75" bottom="0.75" header="0.3" footer="0.3"/>
  <pageSetup orientation="portrait" r:id="rId1"/>
  <headerFooter>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D72C3-4C6F-4BF8-9EC9-8EB784E0F77C}">
  <sheetPr>
    <tabColor theme="9" tint="-0.499984740745262"/>
  </sheetPr>
  <dimension ref="A1:J41"/>
  <sheetViews>
    <sheetView zoomScale="97" zoomScaleNormal="100" workbookViewId="0">
      <pane ySplit="3" topLeftCell="A30" activePane="bottomLeft" state="frozen"/>
      <selection pane="bottomLeft" activeCell="A54" sqref="A54"/>
    </sheetView>
  </sheetViews>
  <sheetFormatPr baseColWidth="10" defaultColWidth="12.5" defaultRowHeight="16" x14ac:dyDescent="0.2"/>
  <cols>
    <col min="1" max="1" width="23.83203125" style="13" customWidth="1"/>
    <col min="2" max="2" width="37.5" style="13" customWidth="1"/>
    <col min="3" max="3" width="26.1640625" style="13" customWidth="1"/>
    <col min="4" max="4" width="52.6640625" style="14" customWidth="1"/>
    <col min="5" max="5" width="87.33203125" style="14" customWidth="1"/>
    <col min="6" max="8" width="61.83203125" style="13" hidden="1" customWidth="1"/>
    <col min="9" max="9" width="18.83203125" style="13" hidden="1" customWidth="1"/>
    <col min="10" max="10" width="0" style="13" hidden="1" customWidth="1"/>
    <col min="11" max="16384" width="12.5" style="13"/>
  </cols>
  <sheetData>
    <row r="1" spans="1:10" ht="24.5" customHeight="1" x14ac:dyDescent="0.2">
      <c r="A1" s="16" t="s">
        <v>123</v>
      </c>
    </row>
    <row r="2" spans="1:10" ht="132.75" customHeight="1" x14ac:dyDescent="0.2">
      <c r="A2" s="174" t="s">
        <v>124</v>
      </c>
      <c r="B2" s="174"/>
      <c r="C2" s="174"/>
      <c r="D2" s="174"/>
      <c r="E2" s="174"/>
      <c r="F2" s="174"/>
      <c r="G2" s="20"/>
      <c r="H2" s="20"/>
      <c r="I2" s="20"/>
    </row>
    <row r="3" spans="1:10" s="16" customFormat="1" ht="29.25" customHeight="1" x14ac:dyDescent="0.2">
      <c r="A3" s="44" t="s">
        <v>125</v>
      </c>
      <c r="B3" s="44" t="s">
        <v>20</v>
      </c>
      <c r="C3" s="44" t="s">
        <v>126</v>
      </c>
      <c r="D3" s="44" t="s">
        <v>127</v>
      </c>
      <c r="E3" s="45" t="s">
        <v>128</v>
      </c>
      <c r="F3" s="17" t="s">
        <v>129</v>
      </c>
      <c r="G3" s="21" t="s">
        <v>130</v>
      </c>
      <c r="H3" s="21" t="s">
        <v>131</v>
      </c>
      <c r="I3" s="17" t="s">
        <v>132</v>
      </c>
      <c r="J3" s="27" t="s">
        <v>133</v>
      </c>
    </row>
    <row r="4" spans="1:10" ht="84.75" customHeight="1" x14ac:dyDescent="0.2">
      <c r="A4" s="175" t="s">
        <v>3</v>
      </c>
      <c r="B4" s="175" t="s">
        <v>134</v>
      </c>
      <c r="C4" s="178" t="s">
        <v>32</v>
      </c>
      <c r="D4" s="15" t="s">
        <v>135</v>
      </c>
      <c r="E4" s="19" t="s">
        <v>136</v>
      </c>
      <c r="F4" s="24" t="s">
        <v>137</v>
      </c>
      <c r="G4" s="29" t="s">
        <v>138</v>
      </c>
      <c r="H4" s="24" t="s">
        <v>139</v>
      </c>
      <c r="I4" s="18" t="s">
        <v>140</v>
      </c>
      <c r="J4" s="28" t="s">
        <v>141</v>
      </c>
    </row>
    <row r="5" spans="1:10" ht="91.5" customHeight="1" x14ac:dyDescent="0.2">
      <c r="A5" s="176"/>
      <c r="B5" s="176"/>
      <c r="C5" s="178"/>
      <c r="D5" s="15" t="s">
        <v>142</v>
      </c>
      <c r="E5" s="19" t="s">
        <v>143</v>
      </c>
      <c r="F5" s="24" t="s">
        <v>144</v>
      </c>
      <c r="G5" s="30" t="s">
        <v>145</v>
      </c>
      <c r="H5" s="29" t="s">
        <v>146</v>
      </c>
      <c r="I5" s="18" t="s">
        <v>147</v>
      </c>
      <c r="J5" s="28" t="s">
        <v>148</v>
      </c>
    </row>
    <row r="6" spans="1:10" ht="90" customHeight="1" x14ac:dyDescent="0.2">
      <c r="A6" s="176"/>
      <c r="B6" s="176"/>
      <c r="C6" s="15" t="s">
        <v>149</v>
      </c>
      <c r="D6" s="15" t="s">
        <v>150</v>
      </c>
      <c r="E6" s="19" t="s">
        <v>151</v>
      </c>
      <c r="F6" s="24"/>
      <c r="G6" s="30" t="s">
        <v>152</v>
      </c>
      <c r="H6" s="29" t="s">
        <v>153</v>
      </c>
      <c r="I6" s="18" t="s">
        <v>140</v>
      </c>
      <c r="J6" s="28" t="s">
        <v>148</v>
      </c>
    </row>
    <row r="7" spans="1:10" ht="104.25" customHeight="1" x14ac:dyDescent="0.2">
      <c r="A7" s="176"/>
      <c r="B7" s="176"/>
      <c r="C7" s="179" t="s">
        <v>154</v>
      </c>
      <c r="D7" s="15" t="s">
        <v>155</v>
      </c>
      <c r="E7" s="19" t="s">
        <v>156</v>
      </c>
      <c r="F7" s="24" t="s">
        <v>157</v>
      </c>
      <c r="G7" s="30" t="s">
        <v>158</v>
      </c>
      <c r="H7" s="29" t="s">
        <v>159</v>
      </c>
      <c r="I7" s="18" t="s">
        <v>140</v>
      </c>
      <c r="J7" s="28" t="s">
        <v>160</v>
      </c>
    </row>
    <row r="8" spans="1:10" ht="115.5" customHeight="1" x14ac:dyDescent="0.2">
      <c r="A8" s="176"/>
      <c r="B8" s="176"/>
      <c r="C8" s="180"/>
      <c r="D8" s="35" t="s">
        <v>161</v>
      </c>
      <c r="E8" s="37" t="s">
        <v>162</v>
      </c>
      <c r="F8" s="38" t="s">
        <v>163</v>
      </c>
      <c r="G8" s="30" t="s">
        <v>164</v>
      </c>
      <c r="H8" s="24" t="s">
        <v>165</v>
      </c>
      <c r="I8" s="18" t="s">
        <v>140</v>
      </c>
      <c r="J8" s="28" t="s">
        <v>141</v>
      </c>
    </row>
    <row r="9" spans="1:10" ht="70.5" customHeight="1" x14ac:dyDescent="0.2">
      <c r="A9" s="176"/>
      <c r="B9" s="177"/>
      <c r="C9" s="181"/>
      <c r="D9" s="15" t="s">
        <v>166</v>
      </c>
      <c r="E9" s="19" t="s">
        <v>167</v>
      </c>
      <c r="F9" s="38" t="s">
        <v>168</v>
      </c>
      <c r="G9" s="30" t="s">
        <v>169</v>
      </c>
      <c r="H9" s="24"/>
      <c r="I9" s="18"/>
      <c r="J9" s="28"/>
    </row>
    <row r="10" spans="1:10" ht="85" x14ac:dyDescent="0.2">
      <c r="A10" s="176"/>
      <c r="B10" s="182" t="s">
        <v>170</v>
      </c>
      <c r="C10" s="178" t="s">
        <v>54</v>
      </c>
      <c r="D10" s="15" t="s">
        <v>171</v>
      </c>
      <c r="E10" s="19" t="s">
        <v>172</v>
      </c>
      <c r="F10" s="39" t="s">
        <v>173</v>
      </c>
      <c r="G10" s="18"/>
      <c r="H10" s="24"/>
      <c r="I10" s="18"/>
      <c r="J10" s="28" t="s">
        <v>160</v>
      </c>
    </row>
    <row r="11" spans="1:10" ht="91.5" customHeight="1" x14ac:dyDescent="0.2">
      <c r="A11" s="177"/>
      <c r="B11" s="182"/>
      <c r="C11" s="178"/>
      <c r="D11" s="15" t="s">
        <v>174</v>
      </c>
      <c r="E11" s="19" t="s">
        <v>175</v>
      </c>
      <c r="F11" s="40" t="s">
        <v>176</v>
      </c>
      <c r="G11" s="25"/>
      <c r="H11" s="26"/>
      <c r="I11" s="25"/>
      <c r="J11" s="28" t="s">
        <v>160</v>
      </c>
    </row>
    <row r="12" spans="1:10" ht="72" customHeight="1" x14ac:dyDescent="0.2">
      <c r="A12" s="183" t="s">
        <v>5</v>
      </c>
      <c r="B12" s="182"/>
      <c r="C12" s="178"/>
      <c r="D12" s="15" t="s">
        <v>177</v>
      </c>
      <c r="E12" s="19" t="s">
        <v>178</v>
      </c>
      <c r="F12" s="38" t="s">
        <v>179</v>
      </c>
      <c r="G12" s="18"/>
      <c r="H12" s="24"/>
      <c r="I12" s="18"/>
      <c r="J12" s="28" t="s">
        <v>141</v>
      </c>
    </row>
    <row r="13" spans="1:10" ht="70.5" customHeight="1" x14ac:dyDescent="0.2">
      <c r="A13" s="184"/>
      <c r="B13" s="182"/>
      <c r="C13" s="178"/>
      <c r="D13" s="15" t="s">
        <v>180</v>
      </c>
      <c r="E13" s="19" t="s">
        <v>181</v>
      </c>
      <c r="F13" s="41" t="s">
        <v>182</v>
      </c>
      <c r="G13" s="18"/>
      <c r="H13" s="24"/>
      <c r="I13" s="18"/>
      <c r="J13" s="28"/>
    </row>
    <row r="14" spans="1:10" ht="35.25" customHeight="1" x14ac:dyDescent="0.2">
      <c r="A14" s="184"/>
      <c r="B14" s="182"/>
      <c r="C14" s="178"/>
      <c r="D14" s="15" t="s">
        <v>183</v>
      </c>
      <c r="E14" s="19" t="s">
        <v>184</v>
      </c>
      <c r="F14" s="38"/>
      <c r="G14" s="18"/>
      <c r="H14" s="24"/>
      <c r="I14" s="18"/>
      <c r="J14" s="28"/>
    </row>
    <row r="15" spans="1:10" ht="54" customHeight="1" x14ac:dyDescent="0.2">
      <c r="A15" s="184"/>
      <c r="B15" s="182" t="s">
        <v>185</v>
      </c>
      <c r="C15" s="178" t="s">
        <v>186</v>
      </c>
      <c r="D15" s="15" t="s">
        <v>187</v>
      </c>
      <c r="E15" s="19" t="s">
        <v>188</v>
      </c>
      <c r="F15" s="38" t="s">
        <v>189</v>
      </c>
      <c r="G15" s="18"/>
      <c r="H15" s="24"/>
      <c r="I15" s="18"/>
      <c r="J15" s="28"/>
    </row>
    <row r="16" spans="1:10" ht="55.5" customHeight="1" x14ac:dyDescent="0.2">
      <c r="A16" s="184"/>
      <c r="B16" s="182"/>
      <c r="C16" s="178"/>
      <c r="D16" s="15" t="s">
        <v>190</v>
      </c>
      <c r="E16" s="19" t="s">
        <v>191</v>
      </c>
      <c r="F16" s="41" t="s">
        <v>192</v>
      </c>
      <c r="G16" s="18"/>
      <c r="H16" s="24"/>
      <c r="I16" s="18"/>
      <c r="J16" s="28"/>
    </row>
    <row r="17" spans="1:10" ht="56.25" customHeight="1" x14ac:dyDescent="0.2">
      <c r="A17" s="184"/>
      <c r="B17" s="182"/>
      <c r="C17" s="178"/>
      <c r="D17" s="15" t="s">
        <v>193</v>
      </c>
      <c r="E17" s="19" t="s">
        <v>194</v>
      </c>
      <c r="F17" s="38" t="s">
        <v>195</v>
      </c>
      <c r="G17" s="18"/>
      <c r="H17" s="24"/>
      <c r="I17" s="18"/>
      <c r="J17" s="28"/>
    </row>
    <row r="18" spans="1:10" ht="81" customHeight="1" x14ac:dyDescent="0.2">
      <c r="A18" s="184"/>
      <c r="B18" s="182"/>
      <c r="C18" s="178"/>
      <c r="D18" s="56" t="s">
        <v>196</v>
      </c>
      <c r="E18" s="19" t="s">
        <v>197</v>
      </c>
      <c r="F18" s="41" t="s">
        <v>198</v>
      </c>
      <c r="G18" s="18"/>
      <c r="H18" s="24"/>
      <c r="I18" s="18"/>
      <c r="J18" s="28"/>
    </row>
    <row r="19" spans="1:10" ht="69" customHeight="1" x14ac:dyDescent="0.2">
      <c r="A19" s="184"/>
      <c r="B19" s="182"/>
      <c r="C19" s="178" t="s">
        <v>83</v>
      </c>
      <c r="D19" s="15" t="s">
        <v>199</v>
      </c>
      <c r="E19" s="19" t="s">
        <v>200</v>
      </c>
      <c r="F19" s="39" t="s">
        <v>201</v>
      </c>
      <c r="G19" s="18"/>
      <c r="H19" s="24"/>
      <c r="I19" s="18"/>
      <c r="J19" s="28"/>
    </row>
    <row r="20" spans="1:10" ht="65.25" customHeight="1" x14ac:dyDescent="0.2">
      <c r="A20" s="184"/>
      <c r="B20" s="182"/>
      <c r="C20" s="178"/>
      <c r="D20" s="15" t="s">
        <v>202</v>
      </c>
      <c r="E20" s="19" t="s">
        <v>203</v>
      </c>
      <c r="F20" s="22"/>
      <c r="G20" s="18"/>
      <c r="H20" s="24"/>
      <c r="I20" s="18"/>
      <c r="J20" s="28"/>
    </row>
    <row r="21" spans="1:10" ht="55.5" customHeight="1" x14ac:dyDescent="0.2">
      <c r="A21" s="184"/>
      <c r="B21" s="182"/>
      <c r="C21" s="178"/>
      <c r="D21" s="15" t="s">
        <v>204</v>
      </c>
      <c r="E21" s="25" t="s">
        <v>205</v>
      </c>
      <c r="F21" s="40" t="s">
        <v>206</v>
      </c>
      <c r="G21" s="25"/>
      <c r="H21" s="26"/>
      <c r="I21" s="25"/>
      <c r="J21" s="28"/>
    </row>
    <row r="22" spans="1:10" ht="81.75" customHeight="1" x14ac:dyDescent="0.2">
      <c r="A22" s="184"/>
      <c r="B22" s="175" t="s">
        <v>207</v>
      </c>
      <c r="C22" s="178" t="s">
        <v>208</v>
      </c>
      <c r="D22" s="15" t="s">
        <v>209</v>
      </c>
      <c r="E22" s="19" t="s">
        <v>210</v>
      </c>
      <c r="F22" s="42" t="s">
        <v>211</v>
      </c>
      <c r="G22" s="25"/>
      <c r="H22" s="26"/>
      <c r="I22" s="25"/>
      <c r="J22" s="28"/>
    </row>
    <row r="23" spans="1:10" ht="129.75" customHeight="1" x14ac:dyDescent="0.2">
      <c r="A23" s="184"/>
      <c r="B23" s="176"/>
      <c r="C23" s="178"/>
      <c r="D23" s="15" t="s">
        <v>212</v>
      </c>
      <c r="E23" s="19" t="s">
        <v>213</v>
      </c>
      <c r="F23" s="23"/>
      <c r="G23" s="25"/>
      <c r="H23" s="26"/>
      <c r="I23" s="25"/>
      <c r="J23" s="28"/>
    </row>
    <row r="24" spans="1:10" ht="63.75" customHeight="1" x14ac:dyDescent="0.2">
      <c r="A24" s="184"/>
      <c r="B24" s="176"/>
      <c r="C24" s="178"/>
      <c r="D24" s="15" t="s">
        <v>214</v>
      </c>
      <c r="E24" s="19" t="s">
        <v>215</v>
      </c>
      <c r="F24" s="43" t="s">
        <v>216</v>
      </c>
      <c r="G24" s="18"/>
      <c r="H24" s="24"/>
      <c r="I24" s="18"/>
      <c r="J24" s="28"/>
    </row>
    <row r="25" spans="1:10" ht="52.5" customHeight="1" x14ac:dyDescent="0.2">
      <c r="A25" s="184"/>
      <c r="B25" s="176"/>
      <c r="C25" s="178"/>
      <c r="D25" s="15" t="s">
        <v>217</v>
      </c>
      <c r="E25" s="19" t="s">
        <v>218</v>
      </c>
      <c r="F25" s="41" t="s">
        <v>219</v>
      </c>
      <c r="G25" s="18"/>
      <c r="H25" s="24"/>
      <c r="I25" s="18"/>
      <c r="J25" s="28"/>
    </row>
    <row r="26" spans="1:10" ht="53.25" customHeight="1" x14ac:dyDescent="0.2">
      <c r="A26" s="184"/>
      <c r="B26" s="176"/>
      <c r="C26" s="178"/>
      <c r="D26" s="15" t="s">
        <v>220</v>
      </c>
      <c r="E26" s="25" t="s">
        <v>221</v>
      </c>
      <c r="F26" s="23" t="s">
        <v>222</v>
      </c>
      <c r="G26" s="25"/>
      <c r="H26" s="26"/>
      <c r="I26" s="25"/>
      <c r="J26" s="28"/>
    </row>
    <row r="27" spans="1:10" ht="126.75" customHeight="1" x14ac:dyDescent="0.2">
      <c r="A27" s="185"/>
      <c r="B27" s="176"/>
      <c r="C27" s="178"/>
      <c r="D27" s="15" t="s">
        <v>223</v>
      </c>
      <c r="E27" s="19" t="s">
        <v>224</v>
      </c>
      <c r="F27" s="38" t="s">
        <v>225</v>
      </c>
      <c r="G27" s="18"/>
      <c r="H27" s="24"/>
      <c r="I27" s="18"/>
      <c r="J27" s="28"/>
    </row>
    <row r="28" spans="1:10" ht="72.75" customHeight="1" x14ac:dyDescent="0.2">
      <c r="A28" s="182" t="s">
        <v>226</v>
      </c>
      <c r="B28" s="176"/>
      <c r="C28" s="178" t="s">
        <v>227</v>
      </c>
      <c r="D28" s="15" t="s">
        <v>228</v>
      </c>
      <c r="E28" s="19" t="s">
        <v>229</v>
      </c>
      <c r="F28" s="38" t="s">
        <v>230</v>
      </c>
      <c r="G28" s="18"/>
      <c r="H28" s="24"/>
      <c r="I28" s="18"/>
      <c r="J28" s="28"/>
    </row>
    <row r="29" spans="1:10" ht="55.5" customHeight="1" x14ac:dyDescent="0.2">
      <c r="A29" s="182"/>
      <c r="B29" s="176"/>
      <c r="C29" s="178"/>
      <c r="D29" s="15" t="s">
        <v>231</v>
      </c>
      <c r="E29" s="19" t="s">
        <v>232</v>
      </c>
      <c r="F29" s="38" t="s">
        <v>233</v>
      </c>
      <c r="G29" s="18"/>
      <c r="H29" s="24"/>
      <c r="I29" s="18"/>
      <c r="J29" s="28"/>
    </row>
    <row r="30" spans="1:10" ht="57" customHeight="1" x14ac:dyDescent="0.2">
      <c r="A30" s="182"/>
      <c r="B30" s="176"/>
      <c r="C30" s="178"/>
      <c r="D30" s="15" t="s">
        <v>234</v>
      </c>
      <c r="E30" s="19" t="s">
        <v>235</v>
      </c>
      <c r="F30" s="39" t="s">
        <v>236</v>
      </c>
      <c r="G30" s="18"/>
      <c r="H30" s="24"/>
      <c r="I30" s="18"/>
      <c r="J30" s="28"/>
    </row>
    <row r="31" spans="1:10" ht="85.5" customHeight="1" x14ac:dyDescent="0.2">
      <c r="A31" s="182"/>
      <c r="B31" s="176"/>
      <c r="C31" s="178"/>
      <c r="D31" s="15" t="s">
        <v>237</v>
      </c>
      <c r="E31" s="25" t="s">
        <v>238</v>
      </c>
      <c r="F31" s="42" t="s">
        <v>239</v>
      </c>
      <c r="G31" s="25"/>
      <c r="H31" s="26"/>
      <c r="I31" s="25"/>
      <c r="J31" s="28"/>
    </row>
    <row r="32" spans="1:10" ht="66.75" customHeight="1" x14ac:dyDescent="0.2">
      <c r="A32" s="182"/>
      <c r="B32" s="176"/>
      <c r="C32" s="179" t="s">
        <v>240</v>
      </c>
      <c r="D32" s="15" t="s">
        <v>241</v>
      </c>
      <c r="E32" s="19" t="s">
        <v>242</v>
      </c>
      <c r="F32" s="43" t="s">
        <v>243</v>
      </c>
      <c r="G32" s="18"/>
      <c r="H32" s="24"/>
      <c r="I32" s="18"/>
      <c r="J32" s="28"/>
    </row>
    <row r="33" spans="1:10" ht="70.5" customHeight="1" x14ac:dyDescent="0.2">
      <c r="A33" s="182"/>
      <c r="B33" s="177"/>
      <c r="C33" s="181"/>
      <c r="D33" s="35" t="s">
        <v>244</v>
      </c>
      <c r="E33" s="37" t="s">
        <v>245</v>
      </c>
      <c r="F33" s="38" t="s">
        <v>246</v>
      </c>
      <c r="G33" s="18"/>
      <c r="H33" s="24"/>
      <c r="I33" s="18"/>
      <c r="J33" s="28"/>
    </row>
    <row r="34" spans="1:10" x14ac:dyDescent="0.2">
      <c r="A34" s="16"/>
      <c r="B34" s="16"/>
    </row>
    <row r="35" spans="1:10" x14ac:dyDescent="0.2">
      <c r="A35" s="16" t="s">
        <v>247</v>
      </c>
    </row>
    <row r="36" spans="1:10" ht="26.75" customHeight="1" x14ac:dyDescent="0.2">
      <c r="A36" s="44" t="s">
        <v>248</v>
      </c>
      <c r="B36" s="44" t="s">
        <v>249</v>
      </c>
    </row>
    <row r="37" spans="1:10" ht="26.75" customHeight="1" x14ac:dyDescent="0.2">
      <c r="A37" s="13" t="s">
        <v>250</v>
      </c>
    </row>
    <row r="38" spans="1:10" ht="26.75" customHeight="1" x14ac:dyDescent="0.2">
      <c r="A38" s="13" t="s">
        <v>251</v>
      </c>
    </row>
    <row r="39" spans="1:10" ht="26.75" customHeight="1" x14ac:dyDescent="0.2">
      <c r="A39" s="13" t="s">
        <v>252</v>
      </c>
    </row>
    <row r="40" spans="1:10" ht="26.75" customHeight="1" x14ac:dyDescent="0.2">
      <c r="A40" s="13" t="s">
        <v>253</v>
      </c>
    </row>
    <row r="41" spans="1:10" x14ac:dyDescent="0.2">
      <c r="A41" s="13" t="s">
        <v>254</v>
      </c>
    </row>
  </sheetData>
  <mergeCells count="16">
    <mergeCell ref="A2:F2"/>
    <mergeCell ref="A4:A11"/>
    <mergeCell ref="B4:B9"/>
    <mergeCell ref="C4:C5"/>
    <mergeCell ref="C7:C9"/>
    <mergeCell ref="B10:B14"/>
    <mergeCell ref="C10:C14"/>
    <mergeCell ref="A12:A27"/>
    <mergeCell ref="B15:B21"/>
    <mergeCell ref="C15:C18"/>
    <mergeCell ref="C19:C21"/>
    <mergeCell ref="B22:B33"/>
    <mergeCell ref="C22:C27"/>
    <mergeCell ref="A28:A33"/>
    <mergeCell ref="C28:C31"/>
    <mergeCell ref="C32:C33"/>
  </mergeCells>
  <pageMargins left="0.7" right="0.7" top="0.75" bottom="0.75" header="0.3" footer="0.3"/>
  <headerFooter>
    <oddFooter>&amp;R_x000D_&amp;1#&amp;"Calibri"&amp;10&amp;K000000 Official Use Only</oddFooter>
  </headerFooter>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7E426-6D40-4DBE-88CC-EE52DB424C1C}">
  <sheetPr>
    <tabColor theme="9" tint="-0.499984740745262"/>
  </sheetPr>
  <dimension ref="A1:I55"/>
  <sheetViews>
    <sheetView topLeftCell="A19" zoomScale="187" zoomScaleNormal="90" workbookViewId="0">
      <selection activeCell="A24" sqref="A24:C55"/>
    </sheetView>
  </sheetViews>
  <sheetFormatPr baseColWidth="10" defaultColWidth="12.5" defaultRowHeight="16" x14ac:dyDescent="0.2"/>
  <cols>
    <col min="1" max="1" width="34.33203125" style="55" customWidth="1"/>
    <col min="2" max="2" width="59.1640625" style="55" customWidth="1"/>
    <col min="3" max="3" width="92.5" style="55" customWidth="1"/>
    <col min="4" max="4" width="87.33203125" style="129" customWidth="1"/>
    <col min="5" max="7" width="61.83203125" style="55" hidden="1" customWidth="1"/>
    <col min="8" max="8" width="18.83203125" style="55" hidden="1" customWidth="1"/>
    <col min="9" max="9" width="0" style="55" hidden="1" customWidth="1"/>
    <col min="10" max="16384" width="12.5" style="55"/>
  </cols>
  <sheetData>
    <row r="1" spans="1:8" ht="24.5" customHeight="1" x14ac:dyDescent="0.2">
      <c r="A1" s="16" t="s">
        <v>123</v>
      </c>
    </row>
    <row r="2" spans="1:8" ht="126.75" customHeight="1" x14ac:dyDescent="0.2">
      <c r="A2" s="186" t="s">
        <v>255</v>
      </c>
      <c r="B2" s="186"/>
      <c r="C2" s="186"/>
      <c r="D2" s="186"/>
      <c r="E2" s="186"/>
      <c r="F2" s="20"/>
      <c r="G2" s="20"/>
      <c r="H2" s="20"/>
    </row>
    <row r="3" spans="1:8" x14ac:dyDescent="0.2">
      <c r="A3" s="16" t="s">
        <v>256</v>
      </c>
    </row>
    <row r="4" spans="1:8" ht="26.75" customHeight="1" x14ac:dyDescent="0.2">
      <c r="A4" s="131" t="s">
        <v>248</v>
      </c>
      <c r="B4" s="131" t="s">
        <v>249</v>
      </c>
    </row>
    <row r="5" spans="1:8" ht="43.5" customHeight="1" x14ac:dyDescent="0.2">
      <c r="A5" s="128" t="s">
        <v>250</v>
      </c>
      <c r="B5" s="132" t="s">
        <v>257</v>
      </c>
    </row>
    <row r="6" spans="1:8" ht="43.5" customHeight="1" x14ac:dyDescent="0.2">
      <c r="A6" s="128" t="s">
        <v>251</v>
      </c>
      <c r="B6" s="158" t="s">
        <v>1052</v>
      </c>
    </row>
    <row r="7" spans="1:8" ht="43.5" customHeight="1" x14ac:dyDescent="0.2">
      <c r="A7" s="128" t="s">
        <v>254</v>
      </c>
      <c r="B7" s="132" t="s">
        <v>1082</v>
      </c>
    </row>
    <row r="8" spans="1:8" ht="43.5" customHeight="1" x14ac:dyDescent="0.2">
      <c r="A8" s="128" t="s">
        <v>252</v>
      </c>
      <c r="B8" s="158" t="s">
        <v>1053</v>
      </c>
    </row>
    <row r="9" spans="1:8" ht="43.5" customHeight="1" x14ac:dyDescent="0.2">
      <c r="A9" s="128" t="s">
        <v>253</v>
      </c>
      <c r="B9" s="132" t="s">
        <v>1054</v>
      </c>
    </row>
    <row r="10" spans="1:8" ht="43.5" customHeight="1" x14ac:dyDescent="0.2">
      <c r="A10" s="128" t="s">
        <v>258</v>
      </c>
      <c r="B10" s="132" t="s">
        <v>1081</v>
      </c>
    </row>
    <row r="11" spans="1:8" ht="29.25" customHeight="1" x14ac:dyDescent="0.2">
      <c r="A11" s="130"/>
      <c r="B11" s="130"/>
      <c r="C11" s="130"/>
      <c r="D11" s="130"/>
      <c r="E11" s="130"/>
      <c r="F11" s="20"/>
      <c r="G11" s="20"/>
      <c r="H11" s="20"/>
    </row>
    <row r="12" spans="1:8" ht="27" customHeight="1" x14ac:dyDescent="0.2">
      <c r="A12" s="54" t="s">
        <v>1</v>
      </c>
      <c r="B12" s="130"/>
      <c r="C12" s="130"/>
      <c r="D12" s="130"/>
      <c r="E12" s="130"/>
      <c r="F12" s="20"/>
      <c r="G12" s="20"/>
      <c r="H12" s="20"/>
    </row>
    <row r="13" spans="1:8" ht="32.25" customHeight="1" x14ac:dyDescent="0.2">
      <c r="A13" s="133" t="s">
        <v>20</v>
      </c>
      <c r="B13" s="133" t="s">
        <v>1020</v>
      </c>
      <c r="C13" s="130"/>
      <c r="D13" s="130"/>
      <c r="E13" s="130"/>
      <c r="F13" s="20"/>
      <c r="G13" s="20"/>
      <c r="H13" s="20"/>
    </row>
    <row r="14" spans="1:8" ht="55.5" customHeight="1" x14ac:dyDescent="0.2">
      <c r="A14" s="187" t="s">
        <v>4</v>
      </c>
      <c r="B14" s="187" t="s">
        <v>259</v>
      </c>
      <c r="C14" s="130"/>
      <c r="D14" s="130"/>
      <c r="E14" s="130"/>
      <c r="F14" s="20"/>
      <c r="G14" s="20"/>
      <c r="H14" s="20"/>
    </row>
    <row r="15" spans="1:8" ht="76.5" customHeight="1" x14ac:dyDescent="0.2">
      <c r="A15" s="188"/>
      <c r="B15" s="188"/>
      <c r="C15" s="130"/>
      <c r="D15" s="130"/>
      <c r="E15" s="130"/>
      <c r="F15" s="20"/>
      <c r="G15" s="20"/>
      <c r="H15" s="20"/>
    </row>
    <row r="16" spans="1:8" ht="99" customHeight="1" x14ac:dyDescent="0.2">
      <c r="A16" s="187" t="s">
        <v>1013</v>
      </c>
      <c r="B16" s="187" t="s">
        <v>1022</v>
      </c>
      <c r="C16" s="130"/>
      <c r="D16" s="130"/>
      <c r="E16" s="130"/>
      <c r="F16" s="20"/>
      <c r="G16" s="20"/>
      <c r="H16" s="20"/>
    </row>
    <row r="17" spans="1:9" ht="113" customHeight="1" x14ac:dyDescent="0.2">
      <c r="A17" s="188"/>
      <c r="B17" s="188"/>
      <c r="C17" s="130"/>
      <c r="D17" s="130"/>
      <c r="E17" s="130"/>
      <c r="F17" s="20"/>
      <c r="G17" s="20"/>
      <c r="H17" s="20"/>
    </row>
    <row r="18" spans="1:9" ht="53.25" customHeight="1" x14ac:dyDescent="0.2">
      <c r="A18" s="187" t="s">
        <v>82</v>
      </c>
      <c r="B18" s="187" t="s">
        <v>260</v>
      </c>
      <c r="C18" s="130"/>
      <c r="D18" s="130"/>
      <c r="E18" s="130"/>
      <c r="F18" s="20"/>
      <c r="G18" s="20"/>
      <c r="H18" s="20"/>
    </row>
    <row r="19" spans="1:9" ht="62.25" customHeight="1" x14ac:dyDescent="0.2">
      <c r="A19" s="188"/>
      <c r="B19" s="188"/>
      <c r="C19" s="130"/>
      <c r="D19" s="130"/>
      <c r="E19" s="130"/>
      <c r="F19" s="20"/>
      <c r="G19" s="20"/>
      <c r="H19" s="20"/>
    </row>
    <row r="20" spans="1:9" ht="57.75" customHeight="1" x14ac:dyDescent="0.2">
      <c r="A20" s="187" t="s">
        <v>95</v>
      </c>
      <c r="B20" s="187" t="s">
        <v>1021</v>
      </c>
      <c r="C20" s="130"/>
      <c r="D20" s="130"/>
      <c r="E20" s="130"/>
      <c r="F20" s="20"/>
      <c r="G20" s="20"/>
      <c r="H20" s="20"/>
    </row>
    <row r="21" spans="1:9" ht="48.75" customHeight="1" x14ac:dyDescent="0.2">
      <c r="A21" s="188"/>
      <c r="B21" s="188"/>
      <c r="C21" s="130"/>
      <c r="D21" s="130"/>
      <c r="E21" s="130"/>
      <c r="F21" s="20"/>
      <c r="G21" s="20"/>
      <c r="H21" s="20"/>
    </row>
    <row r="22" spans="1:9" ht="15.75" customHeight="1" x14ac:dyDescent="0.2">
      <c r="A22" s="134"/>
      <c r="B22" s="134"/>
      <c r="C22" s="134"/>
      <c r="D22" s="130"/>
      <c r="E22" s="130"/>
      <c r="F22" s="20"/>
      <c r="G22" s="20"/>
      <c r="H22" s="20"/>
    </row>
    <row r="23" spans="1:9" ht="18" customHeight="1" x14ac:dyDescent="0.2">
      <c r="A23" s="54" t="s">
        <v>261</v>
      </c>
      <c r="B23" s="130"/>
      <c r="C23" s="130"/>
      <c r="D23" s="130"/>
      <c r="E23" s="130"/>
      <c r="F23" s="20"/>
      <c r="G23" s="20"/>
      <c r="H23" s="20"/>
    </row>
    <row r="24" spans="1:9" s="16" customFormat="1" ht="29.25" customHeight="1" x14ac:dyDescent="0.2">
      <c r="A24" s="133" t="s">
        <v>126</v>
      </c>
      <c r="B24" s="133" t="s">
        <v>127</v>
      </c>
      <c r="C24" s="133" t="s">
        <v>128</v>
      </c>
      <c r="E24" s="135" t="s">
        <v>129</v>
      </c>
      <c r="F24" s="136" t="s">
        <v>130</v>
      </c>
      <c r="G24" s="136" t="s">
        <v>131</v>
      </c>
      <c r="H24" s="135" t="s">
        <v>132</v>
      </c>
      <c r="I24" s="27" t="s">
        <v>133</v>
      </c>
    </row>
    <row r="25" spans="1:9" ht="84.75" customHeight="1" x14ac:dyDescent="0.2">
      <c r="A25" s="189" t="s">
        <v>32</v>
      </c>
      <c r="B25" s="151" t="s">
        <v>135</v>
      </c>
      <c r="C25" s="151" t="s">
        <v>136</v>
      </c>
      <c r="E25" s="137" t="s">
        <v>137</v>
      </c>
      <c r="F25" s="138" t="s">
        <v>138</v>
      </c>
      <c r="G25" s="137" t="s">
        <v>139</v>
      </c>
      <c r="H25" s="139" t="s">
        <v>140</v>
      </c>
      <c r="I25" s="140" t="s">
        <v>141</v>
      </c>
    </row>
    <row r="26" spans="1:9" ht="91.5" customHeight="1" x14ac:dyDescent="0.2">
      <c r="A26" s="190"/>
      <c r="B26" s="151" t="s">
        <v>142</v>
      </c>
      <c r="C26" s="151" t="s">
        <v>1024</v>
      </c>
      <c r="E26" s="137" t="s">
        <v>144</v>
      </c>
      <c r="F26" s="141" t="s">
        <v>145</v>
      </c>
      <c r="G26" s="138" t="s">
        <v>146</v>
      </c>
      <c r="H26" s="139" t="s">
        <v>147</v>
      </c>
      <c r="I26" s="140" t="s">
        <v>148</v>
      </c>
    </row>
    <row r="27" spans="1:9" ht="100.5" customHeight="1" x14ac:dyDescent="0.2">
      <c r="A27" s="151" t="s">
        <v>149</v>
      </c>
      <c r="B27" s="151" t="s">
        <v>262</v>
      </c>
      <c r="C27" s="151" t="s">
        <v>263</v>
      </c>
      <c r="E27" s="137"/>
      <c r="F27" s="141" t="s">
        <v>152</v>
      </c>
      <c r="G27" s="138" t="s">
        <v>153</v>
      </c>
      <c r="H27" s="139" t="s">
        <v>140</v>
      </c>
      <c r="I27" s="140" t="s">
        <v>148</v>
      </c>
    </row>
    <row r="28" spans="1:9" ht="104.25" customHeight="1" x14ac:dyDescent="0.2">
      <c r="A28" s="189" t="s">
        <v>154</v>
      </c>
      <c r="B28" s="151" t="s">
        <v>1055</v>
      </c>
      <c r="C28" s="151" t="s">
        <v>1069</v>
      </c>
      <c r="E28" s="137" t="s">
        <v>157</v>
      </c>
      <c r="F28" s="141" t="s">
        <v>158</v>
      </c>
      <c r="G28" s="138" t="s">
        <v>159</v>
      </c>
      <c r="H28" s="139" t="s">
        <v>140</v>
      </c>
      <c r="I28" s="140" t="s">
        <v>160</v>
      </c>
    </row>
    <row r="29" spans="1:9" ht="115.5" customHeight="1" x14ac:dyDescent="0.2">
      <c r="A29" s="191"/>
      <c r="B29" s="151" t="s">
        <v>161</v>
      </c>
      <c r="C29" s="151" t="s">
        <v>162</v>
      </c>
      <c r="E29" s="142" t="s">
        <v>163</v>
      </c>
      <c r="F29" s="141" t="s">
        <v>164</v>
      </c>
      <c r="G29" s="137" t="s">
        <v>165</v>
      </c>
      <c r="H29" s="139" t="s">
        <v>140</v>
      </c>
      <c r="I29" s="140" t="s">
        <v>141</v>
      </c>
    </row>
    <row r="30" spans="1:9" ht="83.25" customHeight="1" x14ac:dyDescent="0.2">
      <c r="A30" s="190"/>
      <c r="B30" s="151" t="s">
        <v>1056</v>
      </c>
      <c r="C30" s="151" t="s">
        <v>167</v>
      </c>
      <c r="E30" s="142" t="s">
        <v>168</v>
      </c>
      <c r="F30" s="141" t="s">
        <v>169</v>
      </c>
      <c r="G30" s="137"/>
      <c r="H30" s="139"/>
      <c r="I30" s="140"/>
    </row>
    <row r="31" spans="1:9" ht="82.5" customHeight="1" x14ac:dyDescent="0.2">
      <c r="A31" s="189" t="s">
        <v>54</v>
      </c>
      <c r="B31" s="151" t="s">
        <v>171</v>
      </c>
      <c r="C31" s="151" t="s">
        <v>1057</v>
      </c>
      <c r="E31" s="143" t="s">
        <v>173</v>
      </c>
      <c r="F31" s="139"/>
      <c r="G31" s="137"/>
      <c r="H31" s="139"/>
      <c r="I31" s="140" t="s">
        <v>160</v>
      </c>
    </row>
    <row r="32" spans="1:9" ht="91.5" customHeight="1" x14ac:dyDescent="0.2">
      <c r="A32" s="191"/>
      <c r="B32" s="151" t="s">
        <v>1058</v>
      </c>
      <c r="C32" s="151" t="s">
        <v>175</v>
      </c>
      <c r="E32" s="144" t="s">
        <v>176</v>
      </c>
      <c r="F32" s="145"/>
      <c r="G32" s="146"/>
      <c r="H32" s="145"/>
      <c r="I32" s="140" t="s">
        <v>160</v>
      </c>
    </row>
    <row r="33" spans="1:9" ht="72" customHeight="1" x14ac:dyDescent="0.2">
      <c r="A33" s="191"/>
      <c r="B33" s="151" t="s">
        <v>177</v>
      </c>
      <c r="C33" s="151" t="s">
        <v>178</v>
      </c>
      <c r="E33" s="142" t="s">
        <v>179</v>
      </c>
      <c r="F33" s="139"/>
      <c r="G33" s="137"/>
      <c r="H33" s="139"/>
      <c r="I33" s="140" t="s">
        <v>141</v>
      </c>
    </row>
    <row r="34" spans="1:9" ht="70.5" customHeight="1" x14ac:dyDescent="0.2">
      <c r="A34" s="191"/>
      <c r="B34" s="151" t="s">
        <v>1059</v>
      </c>
      <c r="C34" s="151" t="s">
        <v>1060</v>
      </c>
      <c r="E34" s="147" t="s">
        <v>182</v>
      </c>
      <c r="F34" s="139"/>
      <c r="G34" s="137"/>
      <c r="H34" s="139"/>
      <c r="I34" s="140"/>
    </row>
    <row r="35" spans="1:9" ht="35.25" customHeight="1" x14ac:dyDescent="0.2">
      <c r="A35" s="190"/>
      <c r="B35" s="153" t="s">
        <v>183</v>
      </c>
      <c r="C35" s="151" t="s">
        <v>184</v>
      </c>
      <c r="E35" s="142"/>
      <c r="F35" s="139"/>
      <c r="G35" s="137"/>
      <c r="H35" s="139"/>
      <c r="I35" s="140"/>
    </row>
    <row r="36" spans="1:9" ht="54" customHeight="1" x14ac:dyDescent="0.2">
      <c r="A36" s="189" t="s">
        <v>186</v>
      </c>
      <c r="B36" s="151" t="s">
        <v>1061</v>
      </c>
      <c r="C36" s="151" t="s">
        <v>1062</v>
      </c>
      <c r="E36" s="142" t="s">
        <v>189</v>
      </c>
      <c r="F36" s="139"/>
      <c r="G36" s="137"/>
      <c r="H36" s="139"/>
      <c r="I36" s="140"/>
    </row>
    <row r="37" spans="1:9" ht="55.5" customHeight="1" x14ac:dyDescent="0.2">
      <c r="A37" s="191"/>
      <c r="B37" s="151" t="s">
        <v>1063</v>
      </c>
      <c r="C37" s="151" t="s">
        <v>1064</v>
      </c>
      <c r="E37" s="147" t="s">
        <v>192</v>
      </c>
      <c r="F37" s="139"/>
      <c r="G37" s="137"/>
      <c r="H37" s="139"/>
      <c r="I37" s="140"/>
    </row>
    <row r="38" spans="1:9" ht="56.25" customHeight="1" x14ac:dyDescent="0.2">
      <c r="A38" s="191"/>
      <c r="B38" s="151" t="s">
        <v>1035</v>
      </c>
      <c r="C38" s="151" t="s">
        <v>194</v>
      </c>
      <c r="E38" s="142" t="s">
        <v>195</v>
      </c>
      <c r="F38" s="139"/>
      <c r="G38" s="137"/>
      <c r="H38" s="139"/>
      <c r="I38" s="140"/>
    </row>
    <row r="39" spans="1:9" ht="81" customHeight="1" x14ac:dyDescent="0.2">
      <c r="A39" s="191"/>
      <c r="B39" s="151" t="s">
        <v>1065</v>
      </c>
      <c r="C39" s="151" t="s">
        <v>1066</v>
      </c>
      <c r="E39" s="147" t="s">
        <v>198</v>
      </c>
      <c r="F39" s="139"/>
      <c r="G39" s="137"/>
      <c r="H39" s="139"/>
      <c r="I39" s="140"/>
    </row>
    <row r="40" spans="1:9" ht="69" customHeight="1" x14ac:dyDescent="0.2">
      <c r="A40" s="189" t="s">
        <v>83</v>
      </c>
      <c r="B40" s="151" t="s">
        <v>199</v>
      </c>
      <c r="C40" s="153" t="s">
        <v>200</v>
      </c>
      <c r="E40" s="143" t="s">
        <v>201</v>
      </c>
      <c r="F40" s="139"/>
      <c r="G40" s="137"/>
      <c r="H40" s="139"/>
      <c r="I40" s="140"/>
    </row>
    <row r="41" spans="1:9" ht="65.25" customHeight="1" x14ac:dyDescent="0.2">
      <c r="A41" s="191"/>
      <c r="B41" s="151" t="s">
        <v>202</v>
      </c>
      <c r="C41" s="151" t="s">
        <v>1039</v>
      </c>
      <c r="E41" s="130"/>
      <c r="F41" s="139"/>
      <c r="G41" s="137"/>
      <c r="H41" s="139"/>
      <c r="I41" s="140"/>
    </row>
    <row r="42" spans="1:9" ht="55.5" customHeight="1" x14ac:dyDescent="0.2">
      <c r="A42" s="190"/>
      <c r="B42" s="151" t="s">
        <v>204</v>
      </c>
      <c r="C42" s="152" t="s">
        <v>205</v>
      </c>
      <c r="E42" s="144" t="s">
        <v>206</v>
      </c>
      <c r="F42" s="145"/>
      <c r="G42" s="146"/>
      <c r="H42" s="145"/>
      <c r="I42" s="140"/>
    </row>
    <row r="43" spans="1:9" ht="81.75" customHeight="1" x14ac:dyDescent="0.2">
      <c r="A43" s="189" t="s">
        <v>208</v>
      </c>
      <c r="B43" s="151" t="s">
        <v>209</v>
      </c>
      <c r="C43" s="151" t="s">
        <v>210</v>
      </c>
      <c r="E43" s="148" t="s">
        <v>211</v>
      </c>
      <c r="F43" s="145"/>
      <c r="G43" s="146"/>
      <c r="H43" s="145"/>
      <c r="I43" s="140"/>
    </row>
    <row r="44" spans="1:9" ht="129.75" customHeight="1" x14ac:dyDescent="0.2">
      <c r="A44" s="191"/>
      <c r="B44" s="151" t="s">
        <v>212</v>
      </c>
      <c r="C44" s="151" t="s">
        <v>213</v>
      </c>
      <c r="E44" s="149"/>
      <c r="F44" s="145"/>
      <c r="G44" s="146"/>
      <c r="H44" s="145"/>
      <c r="I44" s="140"/>
    </row>
    <row r="45" spans="1:9" ht="63.75" customHeight="1" x14ac:dyDescent="0.2">
      <c r="A45" s="191"/>
      <c r="B45" s="151" t="s">
        <v>214</v>
      </c>
      <c r="C45" s="151" t="s">
        <v>215</v>
      </c>
      <c r="E45" s="150" t="s">
        <v>216</v>
      </c>
      <c r="F45" s="139"/>
      <c r="G45" s="137"/>
      <c r="H45" s="139"/>
      <c r="I45" s="140"/>
    </row>
    <row r="46" spans="1:9" ht="52.5" customHeight="1" x14ac:dyDescent="0.2">
      <c r="A46" s="191"/>
      <c r="B46" s="151" t="s">
        <v>217</v>
      </c>
      <c r="C46" s="151" t="s">
        <v>218</v>
      </c>
      <c r="E46" s="147" t="s">
        <v>219</v>
      </c>
      <c r="F46" s="139"/>
      <c r="G46" s="137"/>
      <c r="H46" s="139"/>
      <c r="I46" s="140"/>
    </row>
    <row r="47" spans="1:9" ht="53.25" customHeight="1" x14ac:dyDescent="0.2">
      <c r="A47" s="191"/>
      <c r="B47" s="151" t="s">
        <v>220</v>
      </c>
      <c r="C47" s="152" t="s">
        <v>221</v>
      </c>
      <c r="E47" s="149" t="s">
        <v>222</v>
      </c>
      <c r="F47" s="145"/>
      <c r="G47" s="146"/>
      <c r="H47" s="145"/>
      <c r="I47" s="140"/>
    </row>
    <row r="48" spans="1:9" ht="126.75" customHeight="1" x14ac:dyDescent="0.2">
      <c r="A48" s="190"/>
      <c r="B48" s="151" t="s">
        <v>223</v>
      </c>
      <c r="C48" s="151" t="s">
        <v>224</v>
      </c>
      <c r="E48" s="142" t="s">
        <v>225</v>
      </c>
      <c r="F48" s="139"/>
      <c r="G48" s="137"/>
      <c r="H48" s="139"/>
      <c r="I48" s="140"/>
    </row>
    <row r="49" spans="1:9" ht="72.75" customHeight="1" x14ac:dyDescent="0.2">
      <c r="A49" s="189" t="s">
        <v>227</v>
      </c>
      <c r="B49" s="151" t="s">
        <v>228</v>
      </c>
      <c r="C49" s="151" t="s">
        <v>229</v>
      </c>
      <c r="E49" s="142" t="s">
        <v>230</v>
      </c>
      <c r="F49" s="139"/>
      <c r="G49" s="137"/>
      <c r="H49" s="139"/>
      <c r="I49" s="140"/>
    </row>
    <row r="50" spans="1:9" ht="57" customHeight="1" x14ac:dyDescent="0.2">
      <c r="A50" s="191"/>
      <c r="B50" s="151" t="s">
        <v>231</v>
      </c>
      <c r="C50" s="151" t="s">
        <v>1067</v>
      </c>
      <c r="E50" s="143" t="s">
        <v>236</v>
      </c>
      <c r="F50" s="139"/>
      <c r="G50" s="137"/>
      <c r="H50" s="139"/>
      <c r="I50" s="140"/>
    </row>
    <row r="51" spans="1:9" ht="57" customHeight="1" x14ac:dyDescent="0.2">
      <c r="A51" s="191"/>
      <c r="B51" s="151" t="s">
        <v>1075</v>
      </c>
      <c r="C51" s="155" t="s">
        <v>1044</v>
      </c>
      <c r="E51" s="130"/>
      <c r="F51" s="139"/>
      <c r="G51" s="137"/>
      <c r="H51" s="139"/>
      <c r="I51" s="140"/>
    </row>
    <row r="52" spans="1:9" ht="85.5" customHeight="1" x14ac:dyDescent="0.2">
      <c r="A52" s="191"/>
      <c r="B52" s="151" t="s">
        <v>1077</v>
      </c>
      <c r="C52" s="151" t="s">
        <v>1047</v>
      </c>
      <c r="E52" s="148" t="s">
        <v>239</v>
      </c>
      <c r="F52" s="145"/>
      <c r="G52" s="146"/>
      <c r="H52" s="145"/>
      <c r="I52" s="140"/>
    </row>
    <row r="53" spans="1:9" ht="66.75" customHeight="1" x14ac:dyDescent="0.2">
      <c r="A53" s="190"/>
      <c r="B53" s="151" t="s">
        <v>1076</v>
      </c>
      <c r="C53" s="152" t="s">
        <v>1068</v>
      </c>
      <c r="E53" s="150" t="s">
        <v>243</v>
      </c>
      <c r="F53" s="139"/>
      <c r="G53" s="137"/>
      <c r="H53" s="139"/>
      <c r="I53" s="140"/>
    </row>
    <row r="54" spans="1:9" ht="70.5" customHeight="1" x14ac:dyDescent="0.2">
      <c r="A54" s="189" t="s">
        <v>240</v>
      </c>
      <c r="B54" s="151" t="s">
        <v>241</v>
      </c>
      <c r="C54" s="151" t="s">
        <v>242</v>
      </c>
      <c r="E54" s="142" t="s">
        <v>246</v>
      </c>
      <c r="F54" s="139"/>
      <c r="G54" s="137"/>
      <c r="H54" s="139"/>
      <c r="I54" s="140"/>
    </row>
    <row r="55" spans="1:9" ht="48" x14ac:dyDescent="0.2">
      <c r="A55" s="190"/>
      <c r="B55" s="151" t="s">
        <v>244</v>
      </c>
      <c r="C55" s="151" t="s">
        <v>245</v>
      </c>
    </row>
  </sheetData>
  <mergeCells count="17">
    <mergeCell ref="A49:A53"/>
    <mergeCell ref="A54:A55"/>
    <mergeCell ref="A28:A30"/>
    <mergeCell ref="A31:A35"/>
    <mergeCell ref="A36:A39"/>
    <mergeCell ref="A40:A42"/>
    <mergeCell ref="A43:A48"/>
    <mergeCell ref="A18:A19"/>
    <mergeCell ref="B18:B19"/>
    <mergeCell ref="A20:A21"/>
    <mergeCell ref="B20:B21"/>
    <mergeCell ref="A25:A26"/>
    <mergeCell ref="A2:E2"/>
    <mergeCell ref="A14:A15"/>
    <mergeCell ref="B14:B15"/>
    <mergeCell ref="A16:A17"/>
    <mergeCell ref="B16:B17"/>
  </mergeCells>
  <pageMargins left="0.7" right="0.7" top="0.75" bottom="0.75" header="0.3" footer="0.3"/>
  <pageSetup orientation="portrait" r:id="rId1"/>
  <headerFooter>
    <oddFooter>&amp;R_x000D_&amp;1#&amp;"Calibri"&amp;10&amp;K000000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881E-6375-1747-87C1-39761FEC32A9}">
  <dimension ref="A1:C32"/>
  <sheetViews>
    <sheetView workbookViewId="0"/>
  </sheetViews>
  <sheetFormatPr baseColWidth="10" defaultRowHeight="15" x14ac:dyDescent="0.2"/>
  <cols>
    <col min="1" max="1" width="79.33203125" customWidth="1"/>
    <col min="2" max="2" width="75.6640625" customWidth="1"/>
    <col min="3" max="3" width="142.33203125" customWidth="1"/>
  </cols>
  <sheetData>
    <row r="1" spans="1:3" ht="16" x14ac:dyDescent="0.2">
      <c r="A1" s="159" t="s">
        <v>126</v>
      </c>
      <c r="B1" s="160" t="s">
        <v>127</v>
      </c>
      <c r="C1" s="160" t="s">
        <v>1083</v>
      </c>
    </row>
    <row r="2" spans="1:3" ht="32" x14ac:dyDescent="0.2">
      <c r="A2" s="195" t="s">
        <v>32</v>
      </c>
      <c r="B2" s="164" t="s">
        <v>135</v>
      </c>
      <c r="C2" s="164" t="s">
        <v>136</v>
      </c>
    </row>
    <row r="3" spans="1:3" ht="48" x14ac:dyDescent="0.2">
      <c r="A3" s="194"/>
      <c r="B3" s="164" t="s">
        <v>142</v>
      </c>
      <c r="C3" s="164" t="s">
        <v>1024</v>
      </c>
    </row>
    <row r="4" spans="1:3" ht="48" x14ac:dyDescent="0.2">
      <c r="A4" s="165" t="s">
        <v>149</v>
      </c>
      <c r="B4" s="164" t="s">
        <v>262</v>
      </c>
      <c r="C4" s="164" t="s">
        <v>263</v>
      </c>
    </row>
    <row r="5" spans="1:3" ht="64" x14ac:dyDescent="0.2">
      <c r="A5" s="195" t="s">
        <v>154</v>
      </c>
      <c r="B5" s="164" t="s">
        <v>1055</v>
      </c>
      <c r="C5" s="164" t="s">
        <v>1069</v>
      </c>
    </row>
    <row r="6" spans="1:3" ht="48" x14ac:dyDescent="0.2">
      <c r="A6" s="193"/>
      <c r="B6" s="164" t="s">
        <v>161</v>
      </c>
      <c r="C6" s="164" t="s">
        <v>162</v>
      </c>
    </row>
    <row r="7" spans="1:3" ht="32" x14ac:dyDescent="0.2">
      <c r="A7" s="194"/>
      <c r="B7" s="164" t="s">
        <v>1056</v>
      </c>
      <c r="C7" s="164" t="s">
        <v>167</v>
      </c>
    </row>
    <row r="8" spans="1:3" ht="48" x14ac:dyDescent="0.2">
      <c r="A8" s="192" t="s">
        <v>54</v>
      </c>
      <c r="B8" s="164" t="s">
        <v>171</v>
      </c>
      <c r="C8" s="164" t="s">
        <v>1057</v>
      </c>
    </row>
    <row r="9" spans="1:3" ht="48" x14ac:dyDescent="0.2">
      <c r="A9" s="193"/>
      <c r="B9" s="164" t="s">
        <v>1058</v>
      </c>
      <c r="C9" s="164" t="s">
        <v>175</v>
      </c>
    </row>
    <row r="10" spans="1:3" ht="32" x14ac:dyDescent="0.2">
      <c r="A10" s="193"/>
      <c r="B10" s="164" t="s">
        <v>177</v>
      </c>
      <c r="C10" s="164" t="s">
        <v>178</v>
      </c>
    </row>
    <row r="11" spans="1:3" ht="32" x14ac:dyDescent="0.2">
      <c r="A11" s="193"/>
      <c r="B11" s="164" t="s">
        <v>1059</v>
      </c>
      <c r="C11" s="164" t="s">
        <v>1060</v>
      </c>
    </row>
    <row r="12" spans="1:3" ht="16" x14ac:dyDescent="0.2">
      <c r="A12" s="194"/>
      <c r="B12" s="166" t="s">
        <v>183</v>
      </c>
      <c r="C12" s="164" t="s">
        <v>184</v>
      </c>
    </row>
    <row r="13" spans="1:3" ht="32" x14ac:dyDescent="0.2">
      <c r="A13" s="192" t="s">
        <v>186</v>
      </c>
      <c r="B13" s="164" t="s">
        <v>1061</v>
      </c>
      <c r="C13" s="164" t="s">
        <v>1062</v>
      </c>
    </row>
    <row r="14" spans="1:3" ht="32" x14ac:dyDescent="0.2">
      <c r="A14" s="193"/>
      <c r="B14" s="164" t="s">
        <v>1063</v>
      </c>
      <c r="C14" s="164" t="s">
        <v>1064</v>
      </c>
    </row>
    <row r="15" spans="1:3" ht="32" x14ac:dyDescent="0.2">
      <c r="A15" s="193"/>
      <c r="B15" s="164" t="s">
        <v>1035</v>
      </c>
      <c r="C15" s="164" t="s">
        <v>194</v>
      </c>
    </row>
    <row r="16" spans="1:3" ht="32" x14ac:dyDescent="0.2">
      <c r="A16" s="196"/>
      <c r="B16" s="164" t="s">
        <v>1065</v>
      </c>
      <c r="C16" s="164" t="s">
        <v>1066</v>
      </c>
    </row>
    <row r="17" spans="1:3" ht="32" x14ac:dyDescent="0.2">
      <c r="A17" s="195" t="s">
        <v>83</v>
      </c>
      <c r="B17" s="164" t="s">
        <v>199</v>
      </c>
      <c r="C17" s="166" t="s">
        <v>200</v>
      </c>
    </row>
    <row r="18" spans="1:3" ht="32" x14ac:dyDescent="0.2">
      <c r="A18" s="193"/>
      <c r="B18" s="164" t="s">
        <v>202</v>
      </c>
      <c r="C18" s="164" t="s">
        <v>1039</v>
      </c>
    </row>
    <row r="19" spans="1:3" ht="32" x14ac:dyDescent="0.2">
      <c r="A19" s="194"/>
      <c r="B19" s="164" t="s">
        <v>204</v>
      </c>
      <c r="C19" s="164" t="s">
        <v>205</v>
      </c>
    </row>
    <row r="20" spans="1:3" ht="48" x14ac:dyDescent="0.2">
      <c r="A20" s="192" t="s">
        <v>208</v>
      </c>
      <c r="B20" s="164" t="s">
        <v>209</v>
      </c>
      <c r="C20" s="164" t="s">
        <v>210</v>
      </c>
    </row>
    <row r="21" spans="1:3" ht="80" x14ac:dyDescent="0.2">
      <c r="A21" s="193"/>
      <c r="B21" s="164" t="s">
        <v>212</v>
      </c>
      <c r="C21" s="164" t="s">
        <v>213</v>
      </c>
    </row>
    <row r="22" spans="1:3" ht="32" x14ac:dyDescent="0.2">
      <c r="A22" s="193"/>
      <c r="B22" s="164" t="s">
        <v>214</v>
      </c>
      <c r="C22" s="164" t="s">
        <v>215</v>
      </c>
    </row>
    <row r="23" spans="1:3" ht="32" x14ac:dyDescent="0.2">
      <c r="A23" s="193"/>
      <c r="B23" s="164" t="s">
        <v>217</v>
      </c>
      <c r="C23" s="164" t="s">
        <v>218</v>
      </c>
    </row>
    <row r="24" spans="1:3" ht="32" x14ac:dyDescent="0.2">
      <c r="A24" s="193"/>
      <c r="B24" s="164" t="s">
        <v>220</v>
      </c>
      <c r="C24" s="164" t="s">
        <v>221</v>
      </c>
    </row>
    <row r="25" spans="1:3" ht="64" x14ac:dyDescent="0.2">
      <c r="A25" s="194"/>
      <c r="B25" s="164" t="s">
        <v>223</v>
      </c>
      <c r="C25" s="164" t="s">
        <v>224</v>
      </c>
    </row>
    <row r="26" spans="1:3" ht="32" x14ac:dyDescent="0.2">
      <c r="A26" s="192" t="s">
        <v>227</v>
      </c>
      <c r="B26" s="164" t="s">
        <v>228</v>
      </c>
      <c r="C26" s="164" t="s">
        <v>229</v>
      </c>
    </row>
    <row r="27" spans="1:3" ht="32" x14ac:dyDescent="0.2">
      <c r="A27" s="193"/>
      <c r="B27" s="164" t="s">
        <v>231</v>
      </c>
      <c r="C27" s="164" t="s">
        <v>1067</v>
      </c>
    </row>
    <row r="28" spans="1:3" ht="48" x14ac:dyDescent="0.2">
      <c r="A28" s="193"/>
      <c r="B28" s="164" t="s">
        <v>1075</v>
      </c>
      <c r="C28" s="163" t="s">
        <v>1044</v>
      </c>
    </row>
    <row r="29" spans="1:3" ht="32" x14ac:dyDescent="0.2">
      <c r="A29" s="193"/>
      <c r="B29" s="164" t="s">
        <v>1077</v>
      </c>
      <c r="C29" s="167" t="s">
        <v>1047</v>
      </c>
    </row>
    <row r="30" spans="1:3" ht="48" x14ac:dyDescent="0.2">
      <c r="A30" s="194"/>
      <c r="B30" s="164" t="s">
        <v>1076</v>
      </c>
      <c r="C30" s="164" t="s">
        <v>1068</v>
      </c>
    </row>
    <row r="31" spans="1:3" ht="32" x14ac:dyDescent="0.2">
      <c r="A31" s="192" t="s">
        <v>240</v>
      </c>
      <c r="B31" s="164" t="s">
        <v>241</v>
      </c>
      <c r="C31" s="164" t="s">
        <v>242</v>
      </c>
    </row>
    <row r="32" spans="1:3" ht="32" x14ac:dyDescent="0.2">
      <c r="A32" s="194"/>
      <c r="B32" s="164" t="s">
        <v>244</v>
      </c>
      <c r="C32" s="164" t="s">
        <v>245</v>
      </c>
    </row>
  </sheetData>
  <mergeCells count="8">
    <mergeCell ref="A26:A30"/>
    <mergeCell ref="A31:A32"/>
    <mergeCell ref="A2:A3"/>
    <mergeCell ref="A5:A7"/>
    <mergeCell ref="A8:A12"/>
    <mergeCell ref="A13:A16"/>
    <mergeCell ref="A17:A19"/>
    <mergeCell ref="A20:A2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ED926-871B-D444-B992-1DC340CA3317}">
  <dimension ref="A1:B5"/>
  <sheetViews>
    <sheetView workbookViewId="0">
      <selection activeCell="A5" sqref="A5"/>
    </sheetView>
  </sheetViews>
  <sheetFormatPr baseColWidth="10" defaultRowHeight="15" x14ac:dyDescent="0.2"/>
  <cols>
    <col min="1" max="2" width="64.33203125" customWidth="1"/>
  </cols>
  <sheetData>
    <row r="1" spans="1:2" ht="16" x14ac:dyDescent="0.2">
      <c r="A1" s="159" t="s">
        <v>20</v>
      </c>
      <c r="B1" s="160" t="s">
        <v>1020</v>
      </c>
    </row>
    <row r="2" spans="1:2" ht="112" x14ac:dyDescent="0.2">
      <c r="A2" s="161" t="s">
        <v>4</v>
      </c>
      <c r="B2" s="161" t="s">
        <v>259</v>
      </c>
    </row>
    <row r="3" spans="1:2" ht="96" x14ac:dyDescent="0.2">
      <c r="A3" s="162" t="s">
        <v>1013</v>
      </c>
      <c r="B3" s="162" t="s">
        <v>1022</v>
      </c>
    </row>
    <row r="4" spans="1:2" ht="96" x14ac:dyDescent="0.2">
      <c r="A4" s="162" t="s">
        <v>82</v>
      </c>
      <c r="B4" s="162" t="s">
        <v>260</v>
      </c>
    </row>
    <row r="5" spans="1:2" ht="84" customHeight="1" x14ac:dyDescent="0.2">
      <c r="A5" s="162" t="s">
        <v>95</v>
      </c>
      <c r="B5" s="162" t="s">
        <v>1021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942E5-F255-7B45-870C-267525AC04CB}">
  <dimension ref="A1:B7"/>
  <sheetViews>
    <sheetView workbookViewId="0">
      <selection activeCell="A6" sqref="A6"/>
    </sheetView>
  </sheetViews>
  <sheetFormatPr baseColWidth="10" defaultRowHeight="15" x14ac:dyDescent="0.2"/>
  <cols>
    <col min="1" max="1" width="36.83203125" customWidth="1"/>
    <col min="2" max="2" width="111" customWidth="1"/>
  </cols>
  <sheetData>
    <row r="1" spans="1:2" ht="16" x14ac:dyDescent="0.2">
      <c r="A1" s="131" t="s">
        <v>248</v>
      </c>
      <c r="B1" s="131" t="s">
        <v>249</v>
      </c>
    </row>
    <row r="2" spans="1:2" ht="16" x14ac:dyDescent="0.2">
      <c r="A2" s="128" t="s">
        <v>250</v>
      </c>
      <c r="B2" s="132" t="s">
        <v>257</v>
      </c>
    </row>
    <row r="3" spans="1:2" ht="16" x14ac:dyDescent="0.2">
      <c r="A3" s="128" t="s">
        <v>251</v>
      </c>
      <c r="B3" s="158" t="s">
        <v>1052</v>
      </c>
    </row>
    <row r="4" spans="1:2" ht="32" x14ac:dyDescent="0.2">
      <c r="A4" s="128" t="s">
        <v>254</v>
      </c>
      <c r="B4" s="132" t="s">
        <v>1082</v>
      </c>
    </row>
    <row r="5" spans="1:2" ht="16" x14ac:dyDescent="0.2">
      <c r="A5" s="128" t="s">
        <v>252</v>
      </c>
      <c r="B5" s="158" t="s">
        <v>1053</v>
      </c>
    </row>
    <row r="6" spans="1:2" ht="16" x14ac:dyDescent="0.2">
      <c r="A6" s="128" t="s">
        <v>253</v>
      </c>
      <c r="B6" s="132" t="s">
        <v>1054</v>
      </c>
    </row>
    <row r="7" spans="1:2" ht="32" x14ac:dyDescent="0.2">
      <c r="A7" s="128" t="s">
        <v>258</v>
      </c>
      <c r="B7" s="132" t="s">
        <v>1081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CEB02-1C3D-4C48-8388-1C3229C7B960}">
  <sheetPr>
    <tabColor theme="9" tint="0.59999389629810485"/>
  </sheetPr>
  <dimension ref="A1:F4582"/>
  <sheetViews>
    <sheetView zoomScale="160" zoomScaleNormal="160" workbookViewId="0">
      <pane ySplit="1" topLeftCell="A2" activePane="bottomLeft" state="frozen"/>
      <selection pane="bottomLeft" activeCell="A2" sqref="A2:XFD2"/>
    </sheetView>
  </sheetViews>
  <sheetFormatPr baseColWidth="10" defaultColWidth="9" defaultRowHeight="15" x14ac:dyDescent="0.2"/>
  <cols>
    <col min="1" max="1" width="12" style="77" customWidth="1"/>
    <col min="2" max="2" width="34.5" style="87" customWidth="1"/>
    <col min="3" max="3" width="39.5" style="77" customWidth="1"/>
    <col min="4" max="4" width="61" style="77" customWidth="1"/>
    <col min="5" max="5" width="71.33203125" style="77" customWidth="1"/>
    <col min="6" max="6" width="16.6640625" style="77" customWidth="1"/>
    <col min="7" max="16384" width="9" style="79"/>
  </cols>
  <sheetData>
    <row r="1" spans="1:6" s="86" customFormat="1" ht="16" x14ac:dyDescent="0.2">
      <c r="A1" s="85" t="s">
        <v>14</v>
      </c>
      <c r="B1" s="88" t="s">
        <v>656</v>
      </c>
      <c r="C1" s="85" t="s">
        <v>251</v>
      </c>
      <c r="D1" s="85" t="s">
        <v>252</v>
      </c>
      <c r="E1" s="89" t="s">
        <v>253</v>
      </c>
      <c r="F1" s="85" t="s">
        <v>264</v>
      </c>
    </row>
    <row r="2" spans="1:6" ht="248.25" customHeight="1" x14ac:dyDescent="0.2">
      <c r="A2" s="78" t="s">
        <v>725</v>
      </c>
      <c r="B2" s="78" t="s">
        <v>265</v>
      </c>
      <c r="C2" s="78" t="s">
        <v>647</v>
      </c>
      <c r="D2" s="78" t="s">
        <v>648</v>
      </c>
      <c r="E2" s="90" t="s">
        <v>804</v>
      </c>
      <c r="F2" s="78" t="s">
        <v>266</v>
      </c>
    </row>
    <row r="3" spans="1:6" ht="136.5" customHeight="1" x14ac:dyDescent="0.2">
      <c r="A3" s="70" t="s">
        <v>694</v>
      </c>
      <c r="B3" s="78" t="s">
        <v>695</v>
      </c>
      <c r="C3" s="78" t="s">
        <v>696</v>
      </c>
      <c r="D3" s="78" t="s">
        <v>697</v>
      </c>
      <c r="E3" s="90" t="s">
        <v>698</v>
      </c>
      <c r="F3" s="78" t="s">
        <v>266</v>
      </c>
    </row>
    <row r="4" spans="1:6" ht="176" x14ac:dyDescent="0.2">
      <c r="A4" s="70" t="s">
        <v>724</v>
      </c>
      <c r="B4" s="78" t="s">
        <v>267</v>
      </c>
      <c r="C4" s="78" t="s">
        <v>639</v>
      </c>
      <c r="D4" s="78" t="s">
        <v>805</v>
      </c>
      <c r="E4" s="90" t="s">
        <v>268</v>
      </c>
      <c r="F4" s="78" t="s">
        <v>266</v>
      </c>
    </row>
    <row r="5" spans="1:6" ht="222.75" customHeight="1" x14ac:dyDescent="0.2">
      <c r="A5" s="70" t="s">
        <v>786</v>
      </c>
      <c r="B5" s="78" t="s">
        <v>788</v>
      </c>
      <c r="C5" s="78" t="s">
        <v>787</v>
      </c>
      <c r="D5" s="78" t="s">
        <v>789</v>
      </c>
      <c r="E5" s="90" t="s">
        <v>790</v>
      </c>
      <c r="F5" s="78" t="s">
        <v>266</v>
      </c>
    </row>
    <row r="6" spans="1:6" ht="160" x14ac:dyDescent="0.2">
      <c r="A6" s="70" t="s">
        <v>757</v>
      </c>
      <c r="B6" s="76" t="s">
        <v>758</v>
      </c>
      <c r="C6" s="76" t="s">
        <v>759</v>
      </c>
      <c r="D6" s="76" t="s">
        <v>760</v>
      </c>
      <c r="E6" s="76" t="s">
        <v>761</v>
      </c>
      <c r="F6" s="78" t="s">
        <v>266</v>
      </c>
    </row>
    <row r="7" spans="1:6" x14ac:dyDescent="0.2">
      <c r="A7" s="115"/>
      <c r="B7" s="79"/>
      <c r="C7" s="115"/>
      <c r="D7" s="115"/>
      <c r="E7" s="115"/>
      <c r="F7" s="115"/>
    </row>
    <row r="8" spans="1:6" x14ac:dyDescent="0.2">
      <c r="A8" s="115"/>
      <c r="B8" s="79"/>
      <c r="C8" s="115"/>
      <c r="D8" s="115"/>
      <c r="E8" s="115"/>
      <c r="F8" s="115"/>
    </row>
    <row r="9" spans="1:6" x14ac:dyDescent="0.2">
      <c r="A9" s="115"/>
      <c r="B9" s="79"/>
      <c r="C9" s="115"/>
      <c r="D9" s="115"/>
      <c r="E9" s="115"/>
      <c r="F9" s="115"/>
    </row>
    <row r="10" spans="1:6" x14ac:dyDescent="0.2">
      <c r="A10" s="115"/>
      <c r="B10" s="79"/>
      <c r="C10" s="115"/>
      <c r="D10" s="115"/>
      <c r="E10" s="115"/>
      <c r="F10" s="115"/>
    </row>
    <row r="11" spans="1:6" x14ac:dyDescent="0.2">
      <c r="A11" s="115"/>
      <c r="B11" s="79"/>
      <c r="C11" s="115"/>
      <c r="D11" s="115"/>
      <c r="E11" s="115"/>
      <c r="F11" s="115"/>
    </row>
    <row r="12" spans="1:6" x14ac:dyDescent="0.2">
      <c r="A12" s="115"/>
      <c r="B12" s="79"/>
      <c r="C12" s="115"/>
      <c r="D12" s="115"/>
      <c r="E12" s="115"/>
      <c r="F12" s="115"/>
    </row>
    <row r="13" spans="1:6" x14ac:dyDescent="0.2">
      <c r="A13" s="115"/>
      <c r="B13" s="79"/>
      <c r="C13" s="115"/>
      <c r="D13" s="115"/>
      <c r="E13" s="115"/>
      <c r="F13" s="115"/>
    </row>
    <row r="14" spans="1:6" x14ac:dyDescent="0.2">
      <c r="A14" s="115"/>
      <c r="B14" s="79"/>
      <c r="C14" s="115"/>
      <c r="D14" s="115"/>
      <c r="E14" s="115"/>
      <c r="F14" s="115"/>
    </row>
    <row r="15" spans="1:6" x14ac:dyDescent="0.2">
      <c r="A15" s="115"/>
      <c r="B15" s="79"/>
      <c r="C15" s="115"/>
      <c r="D15" s="115"/>
      <c r="E15" s="115"/>
      <c r="F15" s="115"/>
    </row>
    <row r="16" spans="1:6" x14ac:dyDescent="0.2">
      <c r="A16" s="115"/>
      <c r="B16" s="79"/>
      <c r="C16" s="115"/>
      <c r="D16" s="115"/>
      <c r="E16" s="115"/>
      <c r="F16" s="115"/>
    </row>
    <row r="17" spans="1:6" x14ac:dyDescent="0.2">
      <c r="A17" s="115"/>
      <c r="B17" s="79"/>
      <c r="C17" s="115"/>
      <c r="D17" s="115"/>
      <c r="E17" s="115"/>
      <c r="F17" s="115"/>
    </row>
    <row r="18" spans="1:6" x14ac:dyDescent="0.2">
      <c r="A18" s="115"/>
      <c r="B18" s="79"/>
      <c r="C18" s="115"/>
      <c r="D18" s="115"/>
      <c r="E18" s="115"/>
      <c r="F18" s="115"/>
    </row>
    <row r="19" spans="1:6" x14ac:dyDescent="0.2">
      <c r="A19" s="115"/>
      <c r="B19" s="79"/>
      <c r="C19" s="115"/>
      <c r="D19" s="115"/>
      <c r="E19" s="115"/>
      <c r="F19" s="115"/>
    </row>
    <row r="20" spans="1:6" x14ac:dyDescent="0.2">
      <c r="A20" s="115"/>
      <c r="B20" s="79"/>
      <c r="C20" s="115"/>
      <c r="D20" s="115"/>
      <c r="E20" s="115"/>
      <c r="F20" s="115"/>
    </row>
    <row r="21" spans="1:6" x14ac:dyDescent="0.2">
      <c r="A21" s="115"/>
      <c r="B21" s="79"/>
      <c r="C21" s="115"/>
      <c r="D21" s="115"/>
      <c r="E21" s="115"/>
      <c r="F21" s="115"/>
    </row>
    <row r="22" spans="1:6" x14ac:dyDescent="0.2">
      <c r="A22" s="115"/>
      <c r="B22" s="79"/>
      <c r="C22" s="115"/>
      <c r="D22" s="115"/>
      <c r="E22" s="115"/>
      <c r="F22" s="115"/>
    </row>
    <row r="23" spans="1:6" x14ac:dyDescent="0.2">
      <c r="A23" s="115"/>
      <c r="B23" s="79"/>
      <c r="C23" s="115"/>
      <c r="D23" s="115"/>
      <c r="E23" s="115"/>
      <c r="F23" s="115"/>
    </row>
    <row r="24" spans="1:6" x14ac:dyDescent="0.2">
      <c r="A24" s="115"/>
      <c r="B24" s="79"/>
      <c r="C24" s="115"/>
      <c r="D24" s="115"/>
      <c r="E24" s="115"/>
      <c r="F24" s="115"/>
    </row>
    <row r="25" spans="1:6" x14ac:dyDescent="0.2">
      <c r="A25" s="115"/>
      <c r="B25" s="79"/>
      <c r="C25" s="115"/>
      <c r="D25" s="115"/>
      <c r="E25" s="115"/>
      <c r="F25" s="115"/>
    </row>
    <row r="26" spans="1:6" x14ac:dyDescent="0.2">
      <c r="A26" s="115"/>
      <c r="B26" s="79"/>
      <c r="C26" s="115"/>
      <c r="D26" s="115"/>
      <c r="E26" s="115"/>
      <c r="F26" s="115"/>
    </row>
    <row r="27" spans="1:6" x14ac:dyDescent="0.2">
      <c r="A27" s="115"/>
      <c r="B27" s="79"/>
      <c r="C27" s="115"/>
      <c r="D27" s="115"/>
      <c r="E27" s="115"/>
      <c r="F27" s="115"/>
    </row>
    <row r="28" spans="1:6" x14ac:dyDescent="0.2">
      <c r="A28" s="115"/>
      <c r="B28" s="79"/>
      <c r="C28" s="115"/>
      <c r="D28" s="115"/>
      <c r="E28" s="115"/>
      <c r="F28" s="115"/>
    </row>
    <row r="29" spans="1:6" x14ac:dyDescent="0.2">
      <c r="A29" s="115"/>
      <c r="B29" s="79"/>
      <c r="C29" s="115"/>
      <c r="D29" s="115"/>
      <c r="E29" s="115"/>
      <c r="F29" s="115"/>
    </row>
    <row r="30" spans="1:6" x14ac:dyDescent="0.2">
      <c r="A30" s="115"/>
      <c r="B30" s="79"/>
      <c r="C30" s="115"/>
      <c r="D30" s="115"/>
      <c r="E30" s="115"/>
      <c r="F30" s="115"/>
    </row>
    <row r="31" spans="1:6" x14ac:dyDescent="0.2">
      <c r="A31" s="115"/>
      <c r="B31" s="79"/>
      <c r="C31" s="115"/>
      <c r="D31" s="115"/>
      <c r="E31" s="115"/>
      <c r="F31" s="115"/>
    </row>
    <row r="32" spans="1:6" x14ac:dyDescent="0.2">
      <c r="A32" s="115"/>
      <c r="B32" s="79"/>
      <c r="C32" s="115"/>
      <c r="D32" s="115"/>
      <c r="E32" s="115"/>
      <c r="F32" s="115"/>
    </row>
    <row r="33" spans="1:6" x14ac:dyDescent="0.2">
      <c r="A33" s="115"/>
      <c r="B33" s="79"/>
      <c r="C33" s="115"/>
      <c r="D33" s="115"/>
      <c r="E33" s="115"/>
      <c r="F33" s="115"/>
    </row>
    <row r="34" spans="1:6" x14ac:dyDescent="0.2">
      <c r="A34" s="115"/>
      <c r="B34" s="79"/>
      <c r="C34" s="115"/>
      <c r="D34" s="115"/>
      <c r="E34" s="115"/>
      <c r="F34" s="115"/>
    </row>
    <row r="35" spans="1:6" x14ac:dyDescent="0.2">
      <c r="A35" s="115"/>
      <c r="B35" s="79"/>
      <c r="C35" s="115"/>
      <c r="D35" s="115"/>
      <c r="E35" s="115"/>
      <c r="F35" s="115"/>
    </row>
    <row r="36" spans="1:6" x14ac:dyDescent="0.2">
      <c r="A36" s="115"/>
      <c r="B36" s="79"/>
      <c r="C36" s="115"/>
      <c r="D36" s="115"/>
      <c r="E36" s="115"/>
      <c r="F36" s="115"/>
    </row>
    <row r="37" spans="1:6" x14ac:dyDescent="0.2">
      <c r="A37" s="115"/>
      <c r="B37" s="79"/>
      <c r="C37" s="115"/>
      <c r="D37" s="115"/>
      <c r="E37" s="115"/>
      <c r="F37" s="115"/>
    </row>
    <row r="38" spans="1:6" x14ac:dyDescent="0.2">
      <c r="A38" s="115"/>
      <c r="B38" s="79"/>
      <c r="C38" s="115"/>
      <c r="D38" s="115"/>
      <c r="E38" s="115"/>
      <c r="F38" s="115"/>
    </row>
    <row r="39" spans="1:6" x14ac:dyDescent="0.2">
      <c r="A39" s="115"/>
      <c r="B39" s="79"/>
      <c r="C39" s="115"/>
      <c r="D39" s="115"/>
      <c r="E39" s="115"/>
      <c r="F39" s="115"/>
    </row>
    <row r="40" spans="1:6" x14ac:dyDescent="0.2">
      <c r="A40" s="115"/>
      <c r="B40" s="79"/>
      <c r="C40" s="115"/>
      <c r="D40" s="115"/>
      <c r="E40" s="115"/>
      <c r="F40" s="115"/>
    </row>
    <row r="41" spans="1:6" x14ac:dyDescent="0.2">
      <c r="A41" s="115"/>
      <c r="B41" s="79"/>
      <c r="C41" s="115"/>
      <c r="D41" s="115"/>
      <c r="E41" s="115"/>
      <c r="F41" s="115"/>
    </row>
    <row r="42" spans="1:6" x14ac:dyDescent="0.2">
      <c r="A42" s="115"/>
      <c r="B42" s="79"/>
      <c r="C42" s="115"/>
      <c r="D42" s="115"/>
      <c r="E42" s="115"/>
      <c r="F42" s="115"/>
    </row>
    <row r="43" spans="1:6" x14ac:dyDescent="0.2">
      <c r="A43" s="115"/>
      <c r="B43" s="79"/>
      <c r="C43" s="115"/>
      <c r="D43" s="115"/>
      <c r="E43" s="115"/>
      <c r="F43" s="115"/>
    </row>
    <row r="44" spans="1:6" x14ac:dyDescent="0.2">
      <c r="A44" s="115"/>
      <c r="B44" s="79"/>
      <c r="C44" s="115"/>
      <c r="D44" s="115"/>
      <c r="E44" s="115"/>
      <c r="F44" s="115"/>
    </row>
    <row r="45" spans="1:6" x14ac:dyDescent="0.2">
      <c r="A45" s="115"/>
      <c r="B45" s="79"/>
      <c r="C45" s="115"/>
      <c r="D45" s="115"/>
      <c r="E45" s="115"/>
      <c r="F45" s="115"/>
    </row>
    <row r="46" spans="1:6" x14ac:dyDescent="0.2">
      <c r="A46" s="115"/>
      <c r="B46" s="79"/>
      <c r="C46" s="115"/>
      <c r="D46" s="115"/>
      <c r="E46" s="115"/>
      <c r="F46" s="115"/>
    </row>
    <row r="47" spans="1:6" x14ac:dyDescent="0.2">
      <c r="A47" s="115"/>
      <c r="B47" s="79"/>
      <c r="C47" s="115"/>
      <c r="D47" s="115"/>
      <c r="E47" s="115"/>
      <c r="F47" s="115"/>
    </row>
    <row r="48" spans="1:6" x14ac:dyDescent="0.2">
      <c r="A48" s="115"/>
      <c r="B48" s="79"/>
      <c r="C48" s="115"/>
      <c r="D48" s="115"/>
      <c r="E48" s="115"/>
      <c r="F48" s="115"/>
    </row>
    <row r="49" spans="1:6" x14ac:dyDescent="0.2">
      <c r="A49" s="115"/>
      <c r="B49" s="79"/>
      <c r="C49" s="115"/>
      <c r="D49" s="115"/>
      <c r="E49" s="115"/>
      <c r="F49" s="115"/>
    </row>
    <row r="50" spans="1:6" x14ac:dyDescent="0.2">
      <c r="A50" s="115"/>
      <c r="B50" s="79"/>
      <c r="C50" s="115"/>
      <c r="D50" s="115"/>
      <c r="E50" s="115"/>
      <c r="F50" s="115"/>
    </row>
    <row r="51" spans="1:6" x14ac:dyDescent="0.2">
      <c r="A51" s="115"/>
      <c r="B51" s="79"/>
      <c r="C51" s="115"/>
      <c r="D51" s="115"/>
      <c r="E51" s="115"/>
      <c r="F51" s="115"/>
    </row>
    <row r="52" spans="1:6" x14ac:dyDescent="0.2">
      <c r="A52" s="115"/>
      <c r="B52" s="79"/>
      <c r="C52" s="115"/>
      <c r="D52" s="115"/>
      <c r="E52" s="115"/>
      <c r="F52" s="115"/>
    </row>
    <row r="53" spans="1:6" x14ac:dyDescent="0.2">
      <c r="A53" s="115"/>
      <c r="B53" s="79"/>
      <c r="C53" s="115"/>
      <c r="D53" s="115"/>
      <c r="E53" s="115"/>
      <c r="F53" s="115"/>
    </row>
    <row r="54" spans="1:6" x14ac:dyDescent="0.2">
      <c r="A54" s="115"/>
      <c r="B54" s="79"/>
      <c r="C54" s="115"/>
      <c r="D54" s="115"/>
      <c r="E54" s="115"/>
      <c r="F54" s="115"/>
    </row>
    <row r="55" spans="1:6" x14ac:dyDescent="0.2">
      <c r="A55" s="115"/>
      <c r="B55" s="79"/>
      <c r="C55" s="115"/>
      <c r="D55" s="115"/>
      <c r="E55" s="115"/>
      <c r="F55" s="115"/>
    </row>
    <row r="56" spans="1:6" x14ac:dyDescent="0.2">
      <c r="A56" s="115"/>
      <c r="B56" s="79"/>
      <c r="C56" s="115"/>
      <c r="D56" s="115"/>
      <c r="E56" s="115"/>
      <c r="F56" s="115"/>
    </row>
    <row r="57" spans="1:6" x14ac:dyDescent="0.2">
      <c r="A57" s="115"/>
      <c r="B57" s="79"/>
      <c r="C57" s="115"/>
      <c r="D57" s="115"/>
      <c r="E57" s="115"/>
      <c r="F57" s="115"/>
    </row>
    <row r="58" spans="1:6" x14ac:dyDescent="0.2">
      <c r="A58" s="115"/>
      <c r="B58" s="79"/>
      <c r="C58" s="115"/>
      <c r="D58" s="115"/>
      <c r="E58" s="115"/>
      <c r="F58" s="115"/>
    </row>
    <row r="59" spans="1:6" x14ac:dyDescent="0.2">
      <c r="A59" s="115"/>
      <c r="B59" s="79"/>
      <c r="C59" s="115"/>
      <c r="D59" s="115"/>
      <c r="E59" s="115"/>
      <c r="F59" s="115"/>
    </row>
    <row r="60" spans="1:6" x14ac:dyDescent="0.2">
      <c r="A60" s="115"/>
      <c r="B60" s="79"/>
      <c r="C60" s="115"/>
      <c r="D60" s="115"/>
      <c r="E60" s="115"/>
      <c r="F60" s="115"/>
    </row>
    <row r="61" spans="1:6" x14ac:dyDescent="0.2">
      <c r="A61" s="115"/>
      <c r="B61" s="79"/>
      <c r="C61" s="115"/>
      <c r="D61" s="115"/>
      <c r="E61" s="115"/>
      <c r="F61" s="115"/>
    </row>
    <row r="62" spans="1:6" x14ac:dyDescent="0.2">
      <c r="A62" s="115"/>
      <c r="B62" s="79"/>
      <c r="C62" s="115"/>
      <c r="D62" s="115"/>
      <c r="E62" s="115"/>
      <c r="F62" s="115"/>
    </row>
    <row r="63" spans="1:6" x14ac:dyDescent="0.2">
      <c r="A63" s="115"/>
      <c r="B63" s="79"/>
      <c r="C63" s="115"/>
      <c r="D63" s="115"/>
      <c r="E63" s="115"/>
      <c r="F63" s="115"/>
    </row>
    <row r="64" spans="1:6" x14ac:dyDescent="0.2">
      <c r="A64" s="115"/>
      <c r="B64" s="79"/>
      <c r="C64" s="115"/>
      <c r="D64" s="115"/>
      <c r="E64" s="115"/>
      <c r="F64" s="115"/>
    </row>
    <row r="65" spans="1:6" x14ac:dyDescent="0.2">
      <c r="A65" s="115"/>
      <c r="B65" s="79"/>
      <c r="C65" s="115"/>
      <c r="D65" s="115"/>
      <c r="E65" s="115"/>
      <c r="F65" s="115"/>
    </row>
    <row r="66" spans="1:6" x14ac:dyDescent="0.2">
      <c r="A66" s="115"/>
      <c r="B66" s="79"/>
      <c r="C66" s="115"/>
      <c r="D66" s="115"/>
      <c r="E66" s="115"/>
      <c r="F66" s="115"/>
    </row>
    <row r="67" spans="1:6" x14ac:dyDescent="0.2">
      <c r="A67" s="115"/>
      <c r="B67" s="79"/>
      <c r="C67" s="115"/>
      <c r="D67" s="115"/>
      <c r="E67" s="115"/>
      <c r="F67" s="115"/>
    </row>
    <row r="68" spans="1:6" x14ac:dyDescent="0.2">
      <c r="A68" s="115"/>
      <c r="B68" s="79"/>
      <c r="C68" s="115"/>
      <c r="D68" s="115"/>
      <c r="E68" s="115"/>
      <c r="F68" s="115"/>
    </row>
    <row r="69" spans="1:6" x14ac:dyDescent="0.2">
      <c r="A69" s="115"/>
      <c r="B69" s="79"/>
      <c r="C69" s="115"/>
      <c r="D69" s="115"/>
      <c r="E69" s="115"/>
      <c r="F69" s="115"/>
    </row>
    <row r="70" spans="1:6" x14ac:dyDescent="0.2">
      <c r="A70" s="115"/>
      <c r="B70" s="79"/>
      <c r="C70" s="115"/>
      <c r="D70" s="115"/>
      <c r="E70" s="115"/>
      <c r="F70" s="115"/>
    </row>
    <row r="71" spans="1:6" x14ac:dyDescent="0.2">
      <c r="A71" s="115"/>
      <c r="B71" s="79"/>
      <c r="C71" s="115"/>
      <c r="D71" s="115"/>
      <c r="E71" s="115"/>
      <c r="F71" s="115"/>
    </row>
    <row r="72" spans="1:6" x14ac:dyDescent="0.2">
      <c r="A72" s="115"/>
      <c r="B72" s="79"/>
      <c r="C72" s="115"/>
      <c r="D72" s="115"/>
      <c r="E72" s="115"/>
      <c r="F72" s="115"/>
    </row>
    <row r="73" spans="1:6" x14ac:dyDescent="0.2">
      <c r="A73" s="115"/>
      <c r="B73" s="79"/>
      <c r="C73" s="115"/>
      <c r="D73" s="115"/>
      <c r="E73" s="115"/>
      <c r="F73" s="115"/>
    </row>
    <row r="74" spans="1:6" x14ac:dyDescent="0.2">
      <c r="A74" s="115"/>
      <c r="B74" s="79"/>
      <c r="C74" s="115"/>
      <c r="D74" s="115"/>
      <c r="E74" s="115"/>
      <c r="F74" s="115"/>
    </row>
    <row r="75" spans="1:6" x14ac:dyDescent="0.2">
      <c r="A75" s="115"/>
      <c r="B75" s="79"/>
      <c r="C75" s="115"/>
      <c r="D75" s="115"/>
      <c r="E75" s="115"/>
      <c r="F75" s="115"/>
    </row>
    <row r="76" spans="1:6" x14ac:dyDescent="0.2">
      <c r="A76" s="115"/>
      <c r="B76" s="79"/>
      <c r="C76" s="115"/>
      <c r="D76" s="115"/>
      <c r="E76" s="115"/>
      <c r="F76" s="115"/>
    </row>
    <row r="77" spans="1:6" x14ac:dyDescent="0.2">
      <c r="A77" s="115"/>
      <c r="B77" s="79"/>
      <c r="C77" s="115"/>
      <c r="D77" s="115"/>
      <c r="E77" s="115"/>
      <c r="F77" s="115"/>
    </row>
    <row r="78" spans="1:6" x14ac:dyDescent="0.2">
      <c r="A78" s="115"/>
      <c r="B78" s="79"/>
      <c r="C78" s="115"/>
      <c r="D78" s="115"/>
      <c r="E78" s="115"/>
      <c r="F78" s="115"/>
    </row>
    <row r="79" spans="1:6" x14ac:dyDescent="0.2">
      <c r="A79" s="115"/>
      <c r="B79" s="79"/>
      <c r="C79" s="115"/>
      <c r="D79" s="115"/>
      <c r="E79" s="115"/>
      <c r="F79" s="115"/>
    </row>
    <row r="80" spans="1:6" x14ac:dyDescent="0.2">
      <c r="A80" s="115"/>
      <c r="B80" s="79"/>
      <c r="C80" s="115"/>
      <c r="D80" s="115"/>
      <c r="E80" s="115"/>
      <c r="F80" s="115"/>
    </row>
    <row r="81" spans="1:6" x14ac:dyDescent="0.2">
      <c r="A81" s="115"/>
      <c r="B81" s="79"/>
      <c r="C81" s="115"/>
      <c r="D81" s="115"/>
      <c r="E81" s="115"/>
      <c r="F81" s="115"/>
    </row>
    <row r="82" spans="1:6" x14ac:dyDescent="0.2">
      <c r="A82" s="115"/>
      <c r="B82" s="79"/>
      <c r="C82" s="115"/>
      <c r="D82" s="115"/>
      <c r="E82" s="115"/>
      <c r="F82" s="115"/>
    </row>
    <row r="83" spans="1:6" x14ac:dyDescent="0.2">
      <c r="A83" s="115"/>
      <c r="B83" s="79"/>
      <c r="C83" s="115"/>
      <c r="D83" s="115"/>
      <c r="E83" s="115"/>
      <c r="F83" s="115"/>
    </row>
    <row r="84" spans="1:6" x14ac:dyDescent="0.2">
      <c r="A84" s="115"/>
      <c r="B84" s="79"/>
      <c r="C84" s="115"/>
      <c r="D84" s="115"/>
      <c r="E84" s="115"/>
      <c r="F84" s="115"/>
    </row>
    <row r="85" spans="1:6" x14ac:dyDescent="0.2">
      <c r="A85" s="115"/>
      <c r="B85" s="79"/>
      <c r="C85" s="115"/>
      <c r="D85" s="115"/>
      <c r="E85" s="115"/>
      <c r="F85" s="115"/>
    </row>
    <row r="86" spans="1:6" x14ac:dyDescent="0.2">
      <c r="A86" s="115"/>
      <c r="B86" s="79"/>
      <c r="C86" s="115"/>
      <c r="D86" s="115"/>
      <c r="E86" s="115"/>
      <c r="F86" s="115"/>
    </row>
    <row r="87" spans="1:6" x14ac:dyDescent="0.2">
      <c r="A87" s="115"/>
      <c r="B87" s="79"/>
      <c r="C87" s="115"/>
      <c r="D87" s="115"/>
      <c r="E87" s="115"/>
      <c r="F87" s="115"/>
    </row>
    <row r="88" spans="1:6" x14ac:dyDescent="0.2">
      <c r="A88" s="115"/>
      <c r="B88" s="79"/>
      <c r="C88" s="115"/>
      <c r="D88" s="115"/>
      <c r="E88" s="115"/>
      <c r="F88" s="115"/>
    </row>
    <row r="89" spans="1:6" x14ac:dyDescent="0.2">
      <c r="A89" s="115"/>
      <c r="B89" s="79"/>
      <c r="C89" s="115"/>
      <c r="D89" s="115"/>
      <c r="E89" s="115"/>
      <c r="F89" s="115"/>
    </row>
    <row r="90" spans="1:6" x14ac:dyDescent="0.2">
      <c r="A90" s="115"/>
      <c r="B90" s="79"/>
      <c r="C90" s="115"/>
      <c r="D90" s="115"/>
      <c r="E90" s="115"/>
      <c r="F90" s="115"/>
    </row>
    <row r="91" spans="1:6" x14ac:dyDescent="0.2">
      <c r="A91" s="115"/>
      <c r="B91" s="79"/>
      <c r="C91" s="115"/>
      <c r="D91" s="115"/>
      <c r="E91" s="115"/>
      <c r="F91" s="115"/>
    </row>
    <row r="92" spans="1:6" x14ac:dyDescent="0.2">
      <c r="A92" s="115"/>
      <c r="B92" s="79"/>
      <c r="C92" s="115"/>
      <c r="D92" s="115"/>
      <c r="E92" s="115"/>
      <c r="F92" s="115"/>
    </row>
    <row r="93" spans="1:6" x14ac:dyDescent="0.2">
      <c r="A93" s="115"/>
      <c r="B93" s="79"/>
      <c r="C93" s="115"/>
      <c r="D93" s="115"/>
      <c r="E93" s="115"/>
      <c r="F93" s="115"/>
    </row>
    <row r="94" spans="1:6" x14ac:dyDescent="0.2">
      <c r="A94" s="115"/>
      <c r="B94" s="79"/>
      <c r="C94" s="115"/>
      <c r="D94" s="115"/>
      <c r="E94" s="115"/>
      <c r="F94" s="115"/>
    </row>
    <row r="95" spans="1:6" x14ac:dyDescent="0.2">
      <c r="A95" s="115"/>
      <c r="B95" s="79"/>
      <c r="C95" s="115"/>
      <c r="D95" s="115"/>
      <c r="E95" s="115"/>
      <c r="F95" s="115"/>
    </row>
    <row r="96" spans="1:6" x14ac:dyDescent="0.2">
      <c r="A96" s="115"/>
      <c r="B96" s="79"/>
      <c r="C96" s="115"/>
      <c r="D96" s="115"/>
      <c r="E96" s="115"/>
      <c r="F96" s="115"/>
    </row>
    <row r="97" spans="1:6" x14ac:dyDescent="0.2">
      <c r="A97" s="115"/>
      <c r="B97" s="79"/>
      <c r="C97" s="115"/>
      <c r="D97" s="115"/>
      <c r="E97" s="115"/>
      <c r="F97" s="115"/>
    </row>
    <row r="98" spans="1:6" x14ac:dyDescent="0.2">
      <c r="A98" s="115"/>
      <c r="B98" s="79"/>
      <c r="C98" s="115"/>
      <c r="D98" s="115"/>
      <c r="E98" s="115"/>
      <c r="F98" s="115"/>
    </row>
    <row r="99" spans="1:6" x14ac:dyDescent="0.2">
      <c r="A99" s="115"/>
      <c r="B99" s="79"/>
      <c r="C99" s="115"/>
      <c r="D99" s="115"/>
      <c r="E99" s="115"/>
      <c r="F99" s="115"/>
    </row>
    <row r="100" spans="1:6" x14ac:dyDescent="0.2">
      <c r="A100" s="115"/>
      <c r="B100" s="79"/>
      <c r="C100" s="115"/>
      <c r="D100" s="115"/>
      <c r="E100" s="115"/>
      <c r="F100" s="115"/>
    </row>
    <row r="101" spans="1:6" x14ac:dyDescent="0.2">
      <c r="A101" s="115"/>
      <c r="B101" s="79"/>
      <c r="C101" s="115"/>
      <c r="D101" s="115"/>
      <c r="E101" s="115"/>
      <c r="F101" s="115"/>
    </row>
    <row r="102" spans="1:6" x14ac:dyDescent="0.2">
      <c r="A102" s="115"/>
      <c r="B102" s="79"/>
      <c r="C102" s="115"/>
      <c r="D102" s="115"/>
      <c r="E102" s="115"/>
      <c r="F102" s="115"/>
    </row>
    <row r="103" spans="1:6" x14ac:dyDescent="0.2">
      <c r="A103" s="115"/>
      <c r="B103" s="79"/>
      <c r="C103" s="115"/>
      <c r="D103" s="115"/>
      <c r="E103" s="115"/>
      <c r="F103" s="115"/>
    </row>
    <row r="104" spans="1:6" x14ac:dyDescent="0.2">
      <c r="A104" s="115"/>
      <c r="B104" s="79"/>
      <c r="C104" s="115"/>
      <c r="D104" s="115"/>
      <c r="E104" s="115"/>
      <c r="F104" s="115"/>
    </row>
    <row r="105" spans="1:6" x14ac:dyDescent="0.2">
      <c r="A105" s="115"/>
      <c r="B105" s="79"/>
      <c r="C105" s="115"/>
      <c r="D105" s="115"/>
      <c r="E105" s="115"/>
      <c r="F105" s="115"/>
    </row>
    <row r="106" spans="1:6" x14ac:dyDescent="0.2">
      <c r="A106" s="115"/>
      <c r="B106" s="79"/>
      <c r="C106" s="115"/>
      <c r="D106" s="115"/>
      <c r="E106" s="115"/>
      <c r="F106" s="115"/>
    </row>
    <row r="107" spans="1:6" x14ac:dyDescent="0.2">
      <c r="A107" s="115"/>
      <c r="B107" s="79"/>
      <c r="C107" s="115"/>
      <c r="D107" s="115"/>
      <c r="E107" s="115"/>
      <c r="F107" s="115"/>
    </row>
    <row r="108" spans="1:6" x14ac:dyDescent="0.2">
      <c r="A108" s="115"/>
      <c r="B108" s="79"/>
      <c r="C108" s="115"/>
      <c r="D108" s="115"/>
      <c r="E108" s="115"/>
      <c r="F108" s="115"/>
    </row>
    <row r="109" spans="1:6" x14ac:dyDescent="0.2">
      <c r="A109" s="115"/>
      <c r="B109" s="79"/>
      <c r="C109" s="115"/>
      <c r="D109" s="115"/>
      <c r="E109" s="115"/>
      <c r="F109" s="115"/>
    </row>
    <row r="110" spans="1:6" x14ac:dyDescent="0.2">
      <c r="A110" s="115"/>
      <c r="B110" s="79"/>
      <c r="C110" s="115"/>
      <c r="D110" s="115"/>
      <c r="E110" s="115"/>
      <c r="F110" s="115"/>
    </row>
    <row r="111" spans="1:6" x14ac:dyDescent="0.2">
      <c r="A111" s="115"/>
      <c r="B111" s="79"/>
      <c r="C111" s="115"/>
      <c r="D111" s="115"/>
      <c r="E111" s="115"/>
      <c r="F111" s="115"/>
    </row>
    <row r="112" spans="1:6" x14ac:dyDescent="0.2">
      <c r="A112" s="115"/>
      <c r="B112" s="79"/>
      <c r="C112" s="115"/>
      <c r="D112" s="115"/>
      <c r="E112" s="115"/>
      <c r="F112" s="115"/>
    </row>
    <row r="113" spans="1:6" x14ac:dyDescent="0.2">
      <c r="A113" s="115"/>
      <c r="B113" s="79"/>
      <c r="C113" s="115"/>
      <c r="D113" s="115"/>
      <c r="E113" s="115"/>
      <c r="F113" s="115"/>
    </row>
    <row r="114" spans="1:6" x14ac:dyDescent="0.2">
      <c r="A114" s="115"/>
      <c r="B114" s="79"/>
      <c r="C114" s="115"/>
      <c r="D114" s="115"/>
      <c r="E114" s="115"/>
      <c r="F114" s="115"/>
    </row>
    <row r="115" spans="1:6" x14ac:dyDescent="0.2">
      <c r="A115" s="115"/>
      <c r="B115" s="79"/>
      <c r="C115" s="115"/>
      <c r="D115" s="115"/>
      <c r="E115" s="115"/>
      <c r="F115" s="115"/>
    </row>
    <row r="116" spans="1:6" x14ac:dyDescent="0.2">
      <c r="A116" s="115"/>
      <c r="B116" s="79"/>
      <c r="C116" s="115"/>
      <c r="D116" s="115"/>
      <c r="E116" s="115"/>
      <c r="F116" s="115"/>
    </row>
    <row r="117" spans="1:6" x14ac:dyDescent="0.2">
      <c r="A117" s="115"/>
      <c r="B117" s="79"/>
      <c r="C117" s="115"/>
      <c r="D117" s="115"/>
      <c r="E117" s="115"/>
      <c r="F117" s="115"/>
    </row>
    <row r="118" spans="1:6" x14ac:dyDescent="0.2">
      <c r="A118" s="115"/>
      <c r="B118" s="79"/>
      <c r="C118" s="115"/>
      <c r="D118" s="115"/>
      <c r="E118" s="115"/>
      <c r="F118" s="115"/>
    </row>
    <row r="119" spans="1:6" x14ac:dyDescent="0.2">
      <c r="A119" s="115"/>
      <c r="B119" s="79"/>
      <c r="C119" s="115"/>
      <c r="D119" s="115"/>
      <c r="E119" s="115"/>
      <c r="F119" s="115"/>
    </row>
    <row r="120" spans="1:6" x14ac:dyDescent="0.2">
      <c r="A120" s="115"/>
      <c r="B120" s="79"/>
      <c r="C120" s="115"/>
      <c r="D120" s="115"/>
      <c r="E120" s="115"/>
      <c r="F120" s="115"/>
    </row>
    <row r="121" spans="1:6" x14ac:dyDescent="0.2">
      <c r="A121" s="115"/>
      <c r="B121" s="79"/>
      <c r="C121" s="115"/>
      <c r="D121" s="115"/>
      <c r="E121" s="115"/>
      <c r="F121" s="115"/>
    </row>
    <row r="122" spans="1:6" x14ac:dyDescent="0.2">
      <c r="A122" s="115"/>
      <c r="B122" s="79"/>
      <c r="C122" s="115"/>
      <c r="D122" s="115"/>
      <c r="E122" s="115"/>
      <c r="F122" s="115"/>
    </row>
    <row r="123" spans="1:6" x14ac:dyDescent="0.2">
      <c r="A123" s="115"/>
      <c r="B123" s="79"/>
      <c r="C123" s="115"/>
      <c r="D123" s="115"/>
      <c r="E123" s="115"/>
      <c r="F123" s="115"/>
    </row>
    <row r="124" spans="1:6" x14ac:dyDescent="0.2">
      <c r="A124" s="115"/>
      <c r="B124" s="79"/>
      <c r="C124" s="115"/>
      <c r="D124" s="115"/>
      <c r="E124" s="115"/>
      <c r="F124" s="115"/>
    </row>
    <row r="125" spans="1:6" x14ac:dyDescent="0.2">
      <c r="A125" s="115"/>
      <c r="B125" s="79"/>
      <c r="C125" s="115"/>
      <c r="D125" s="115"/>
      <c r="E125" s="115"/>
      <c r="F125" s="115"/>
    </row>
    <row r="126" spans="1:6" x14ac:dyDescent="0.2">
      <c r="A126" s="115"/>
      <c r="B126" s="79"/>
      <c r="C126" s="115"/>
      <c r="D126" s="115"/>
      <c r="E126" s="115"/>
      <c r="F126" s="115"/>
    </row>
    <row r="127" spans="1:6" x14ac:dyDescent="0.2">
      <c r="A127" s="115"/>
      <c r="B127" s="79"/>
      <c r="C127" s="115"/>
      <c r="D127" s="115"/>
      <c r="E127" s="115"/>
      <c r="F127" s="115"/>
    </row>
    <row r="128" spans="1:6" x14ac:dyDescent="0.2">
      <c r="A128" s="115"/>
      <c r="B128" s="79"/>
      <c r="C128" s="115"/>
      <c r="D128" s="115"/>
      <c r="E128" s="115"/>
      <c r="F128" s="115"/>
    </row>
    <row r="129" spans="1:6" x14ac:dyDescent="0.2">
      <c r="A129" s="115"/>
      <c r="B129" s="79"/>
      <c r="C129" s="115"/>
      <c r="D129" s="115"/>
      <c r="E129" s="115"/>
      <c r="F129" s="115"/>
    </row>
    <row r="130" spans="1:6" x14ac:dyDescent="0.2">
      <c r="A130" s="115"/>
      <c r="B130" s="79"/>
      <c r="C130" s="115"/>
      <c r="D130" s="115"/>
      <c r="E130" s="115"/>
      <c r="F130" s="115"/>
    </row>
    <row r="131" spans="1:6" x14ac:dyDescent="0.2">
      <c r="A131" s="115"/>
      <c r="B131" s="79"/>
      <c r="C131" s="115"/>
      <c r="D131" s="115"/>
      <c r="E131" s="115"/>
      <c r="F131" s="115"/>
    </row>
    <row r="132" spans="1:6" x14ac:dyDescent="0.2">
      <c r="A132" s="115"/>
      <c r="B132" s="79"/>
      <c r="C132" s="115"/>
      <c r="D132" s="115"/>
      <c r="E132" s="115"/>
      <c r="F132" s="115"/>
    </row>
    <row r="133" spans="1:6" x14ac:dyDescent="0.2">
      <c r="A133" s="115"/>
      <c r="B133" s="79"/>
      <c r="C133" s="115"/>
      <c r="D133" s="115"/>
      <c r="E133" s="115"/>
      <c r="F133" s="115"/>
    </row>
    <row r="134" spans="1:6" x14ac:dyDescent="0.2">
      <c r="A134" s="115"/>
      <c r="B134" s="79"/>
      <c r="C134" s="115"/>
      <c r="D134" s="115"/>
      <c r="E134" s="115"/>
      <c r="F134" s="115"/>
    </row>
    <row r="135" spans="1:6" x14ac:dyDescent="0.2">
      <c r="A135" s="115"/>
      <c r="B135" s="79"/>
      <c r="C135" s="115"/>
      <c r="D135" s="115"/>
      <c r="E135" s="115"/>
      <c r="F135" s="115"/>
    </row>
    <row r="136" spans="1:6" x14ac:dyDescent="0.2">
      <c r="A136" s="115"/>
      <c r="B136" s="79"/>
      <c r="C136" s="115"/>
      <c r="D136" s="115"/>
      <c r="E136" s="115"/>
      <c r="F136" s="115"/>
    </row>
    <row r="137" spans="1:6" x14ac:dyDescent="0.2">
      <c r="A137" s="115"/>
      <c r="B137" s="79"/>
      <c r="C137" s="115"/>
      <c r="D137" s="115"/>
      <c r="E137" s="115"/>
      <c r="F137" s="115"/>
    </row>
    <row r="138" spans="1:6" x14ac:dyDescent="0.2">
      <c r="A138" s="115"/>
      <c r="B138" s="79"/>
      <c r="C138" s="115"/>
      <c r="D138" s="115"/>
      <c r="E138" s="115"/>
      <c r="F138" s="115"/>
    </row>
    <row r="139" spans="1:6" x14ac:dyDescent="0.2">
      <c r="A139" s="115"/>
      <c r="B139" s="79"/>
      <c r="C139" s="115"/>
      <c r="D139" s="115"/>
      <c r="E139" s="115"/>
      <c r="F139" s="115"/>
    </row>
    <row r="140" spans="1:6" x14ac:dyDescent="0.2">
      <c r="A140" s="115"/>
      <c r="B140" s="79"/>
      <c r="C140" s="115"/>
      <c r="D140" s="115"/>
      <c r="E140" s="115"/>
      <c r="F140" s="115"/>
    </row>
    <row r="141" spans="1:6" x14ac:dyDescent="0.2">
      <c r="A141" s="115"/>
      <c r="B141" s="79"/>
      <c r="C141" s="115"/>
      <c r="D141" s="115"/>
      <c r="E141" s="115"/>
      <c r="F141" s="115"/>
    </row>
    <row r="142" spans="1:6" x14ac:dyDescent="0.2">
      <c r="A142" s="115"/>
      <c r="B142" s="79"/>
      <c r="C142" s="115"/>
      <c r="D142" s="115"/>
      <c r="E142" s="115"/>
      <c r="F142" s="115"/>
    </row>
    <row r="143" spans="1:6" x14ac:dyDescent="0.2">
      <c r="A143" s="115"/>
      <c r="B143" s="79"/>
      <c r="C143" s="115"/>
      <c r="D143" s="115"/>
      <c r="E143" s="115"/>
      <c r="F143" s="115"/>
    </row>
    <row r="144" spans="1:6" x14ac:dyDescent="0.2">
      <c r="A144" s="115"/>
      <c r="B144" s="79"/>
      <c r="C144" s="115"/>
      <c r="D144" s="115"/>
      <c r="E144" s="115"/>
      <c r="F144" s="115"/>
    </row>
    <row r="145" spans="1:6" x14ac:dyDescent="0.2">
      <c r="A145" s="115"/>
      <c r="B145" s="79"/>
      <c r="C145" s="115"/>
      <c r="D145" s="115"/>
      <c r="E145" s="115"/>
      <c r="F145" s="115"/>
    </row>
    <row r="146" spans="1:6" x14ac:dyDescent="0.2">
      <c r="A146" s="115"/>
      <c r="B146" s="79"/>
      <c r="C146" s="115"/>
      <c r="D146" s="115"/>
      <c r="E146" s="115"/>
      <c r="F146" s="115"/>
    </row>
    <row r="147" spans="1:6" x14ac:dyDescent="0.2">
      <c r="A147" s="115"/>
      <c r="B147" s="79"/>
      <c r="C147" s="115"/>
      <c r="D147" s="115"/>
      <c r="E147" s="115"/>
      <c r="F147" s="115"/>
    </row>
    <row r="148" spans="1:6" x14ac:dyDescent="0.2">
      <c r="A148" s="115"/>
      <c r="B148" s="79"/>
      <c r="C148" s="115"/>
      <c r="D148" s="115"/>
      <c r="E148" s="115"/>
      <c r="F148" s="115"/>
    </row>
    <row r="149" spans="1:6" x14ac:dyDescent="0.2">
      <c r="A149" s="115"/>
      <c r="B149" s="79"/>
      <c r="C149" s="115"/>
      <c r="D149" s="115"/>
      <c r="E149" s="115"/>
      <c r="F149" s="115"/>
    </row>
    <row r="150" spans="1:6" x14ac:dyDescent="0.2">
      <c r="A150" s="115"/>
      <c r="B150" s="79"/>
      <c r="C150" s="115"/>
      <c r="D150" s="115"/>
      <c r="E150" s="115"/>
      <c r="F150" s="115"/>
    </row>
    <row r="151" spans="1:6" x14ac:dyDescent="0.2">
      <c r="A151" s="115"/>
      <c r="B151" s="79"/>
      <c r="C151" s="115"/>
      <c r="D151" s="115"/>
      <c r="E151" s="115"/>
      <c r="F151" s="115"/>
    </row>
    <row r="152" spans="1:6" x14ac:dyDescent="0.2">
      <c r="A152" s="115"/>
      <c r="B152" s="79"/>
      <c r="C152" s="115"/>
      <c r="D152" s="115"/>
      <c r="E152" s="115"/>
      <c r="F152" s="115"/>
    </row>
    <row r="153" spans="1:6" x14ac:dyDescent="0.2">
      <c r="A153" s="115"/>
      <c r="B153" s="79"/>
      <c r="C153" s="115"/>
      <c r="D153" s="115"/>
      <c r="E153" s="115"/>
      <c r="F153" s="115"/>
    </row>
    <row r="154" spans="1:6" x14ac:dyDescent="0.2">
      <c r="A154" s="115"/>
      <c r="B154" s="79"/>
      <c r="C154" s="115"/>
      <c r="D154" s="115"/>
      <c r="E154" s="115"/>
      <c r="F154" s="115"/>
    </row>
    <row r="155" spans="1:6" x14ac:dyDescent="0.2">
      <c r="A155" s="115"/>
      <c r="B155" s="79"/>
      <c r="C155" s="115"/>
      <c r="D155" s="115"/>
      <c r="E155" s="115"/>
      <c r="F155" s="115"/>
    </row>
    <row r="156" spans="1:6" x14ac:dyDescent="0.2">
      <c r="A156" s="115"/>
      <c r="B156" s="79"/>
      <c r="C156" s="115"/>
      <c r="D156" s="115"/>
      <c r="E156" s="115"/>
      <c r="F156" s="115"/>
    </row>
    <row r="157" spans="1:6" x14ac:dyDescent="0.2">
      <c r="A157" s="115"/>
      <c r="B157" s="79"/>
      <c r="C157" s="115"/>
      <c r="D157" s="115"/>
      <c r="E157" s="115"/>
      <c r="F157" s="115"/>
    </row>
    <row r="158" spans="1:6" x14ac:dyDescent="0.2">
      <c r="A158" s="115"/>
      <c r="B158" s="79"/>
      <c r="C158" s="115"/>
      <c r="D158" s="115"/>
      <c r="E158" s="115"/>
      <c r="F158" s="115"/>
    </row>
    <row r="159" spans="1:6" x14ac:dyDescent="0.2">
      <c r="A159" s="115"/>
      <c r="B159" s="79"/>
      <c r="C159" s="115"/>
      <c r="D159" s="115"/>
      <c r="E159" s="115"/>
      <c r="F159" s="115"/>
    </row>
    <row r="160" spans="1:6" x14ac:dyDescent="0.2">
      <c r="A160" s="115"/>
      <c r="B160" s="79"/>
      <c r="C160" s="115"/>
      <c r="D160" s="115"/>
      <c r="E160" s="115"/>
      <c r="F160" s="115"/>
    </row>
    <row r="161" spans="1:6" x14ac:dyDescent="0.2">
      <c r="A161" s="115"/>
      <c r="B161" s="79"/>
      <c r="C161" s="115"/>
      <c r="D161" s="115"/>
      <c r="E161" s="115"/>
      <c r="F161" s="115"/>
    </row>
    <row r="162" spans="1:6" x14ac:dyDescent="0.2">
      <c r="A162" s="115"/>
      <c r="B162" s="79"/>
      <c r="C162" s="115"/>
      <c r="D162" s="115"/>
      <c r="E162" s="115"/>
      <c r="F162" s="115"/>
    </row>
    <row r="163" spans="1:6" x14ac:dyDescent="0.2">
      <c r="A163" s="115"/>
      <c r="B163" s="79"/>
      <c r="C163" s="115"/>
      <c r="D163" s="115"/>
      <c r="E163" s="115"/>
      <c r="F163" s="115"/>
    </row>
    <row r="164" spans="1:6" x14ac:dyDescent="0.2">
      <c r="A164" s="115"/>
      <c r="B164" s="79"/>
      <c r="C164" s="115"/>
      <c r="D164" s="115"/>
      <c r="E164" s="115"/>
      <c r="F164" s="115"/>
    </row>
    <row r="165" spans="1:6" x14ac:dyDescent="0.2">
      <c r="A165" s="115"/>
      <c r="B165" s="79"/>
      <c r="C165" s="115"/>
      <c r="D165" s="115"/>
      <c r="E165" s="115"/>
      <c r="F165" s="115"/>
    </row>
    <row r="166" spans="1:6" x14ac:dyDescent="0.2">
      <c r="A166" s="115"/>
      <c r="B166" s="79"/>
      <c r="C166" s="115"/>
      <c r="D166" s="115"/>
      <c r="E166" s="115"/>
      <c r="F166" s="115"/>
    </row>
    <row r="167" spans="1:6" x14ac:dyDescent="0.2">
      <c r="A167" s="115"/>
      <c r="B167" s="79"/>
      <c r="C167" s="115"/>
      <c r="D167" s="115"/>
      <c r="E167" s="115"/>
      <c r="F167" s="115"/>
    </row>
    <row r="168" spans="1:6" x14ac:dyDescent="0.2">
      <c r="A168" s="115"/>
      <c r="B168" s="79"/>
      <c r="C168" s="115"/>
      <c r="D168" s="115"/>
      <c r="E168" s="115"/>
      <c r="F168" s="115"/>
    </row>
    <row r="169" spans="1:6" x14ac:dyDescent="0.2">
      <c r="A169" s="115"/>
      <c r="B169" s="79"/>
      <c r="C169" s="115"/>
      <c r="D169" s="115"/>
      <c r="E169" s="115"/>
      <c r="F169" s="115"/>
    </row>
    <row r="170" spans="1:6" x14ac:dyDescent="0.2">
      <c r="A170" s="115"/>
      <c r="B170" s="79"/>
      <c r="C170" s="115"/>
      <c r="D170" s="115"/>
      <c r="E170" s="115"/>
      <c r="F170" s="115"/>
    </row>
    <row r="171" spans="1:6" x14ac:dyDescent="0.2">
      <c r="A171" s="115"/>
      <c r="B171" s="79"/>
      <c r="C171" s="115"/>
      <c r="D171" s="115"/>
      <c r="E171" s="115"/>
      <c r="F171" s="115"/>
    </row>
    <row r="172" spans="1:6" x14ac:dyDescent="0.2">
      <c r="A172" s="115"/>
      <c r="B172" s="79"/>
      <c r="C172" s="115"/>
      <c r="D172" s="115"/>
      <c r="E172" s="115"/>
      <c r="F172" s="115"/>
    </row>
    <row r="173" spans="1:6" x14ac:dyDescent="0.2">
      <c r="A173" s="115"/>
      <c r="B173" s="79"/>
      <c r="C173" s="115"/>
      <c r="D173" s="115"/>
      <c r="E173" s="115"/>
      <c r="F173" s="115"/>
    </row>
    <row r="174" spans="1:6" x14ac:dyDescent="0.2">
      <c r="A174" s="115"/>
      <c r="B174" s="79"/>
      <c r="C174" s="115"/>
      <c r="D174" s="115"/>
      <c r="E174" s="115"/>
      <c r="F174" s="115"/>
    </row>
    <row r="175" spans="1:6" x14ac:dyDescent="0.2">
      <c r="A175" s="115"/>
      <c r="B175" s="79"/>
      <c r="C175" s="115"/>
      <c r="D175" s="115"/>
      <c r="E175" s="115"/>
      <c r="F175" s="115"/>
    </row>
    <row r="176" spans="1:6" x14ac:dyDescent="0.2">
      <c r="A176" s="115"/>
      <c r="B176" s="79"/>
      <c r="C176" s="115"/>
      <c r="D176" s="115"/>
      <c r="E176" s="115"/>
      <c r="F176" s="115"/>
    </row>
    <row r="177" spans="1:6" x14ac:dyDescent="0.2">
      <c r="A177" s="115"/>
      <c r="B177" s="79"/>
      <c r="C177" s="115"/>
      <c r="D177" s="115"/>
      <c r="E177" s="115"/>
      <c r="F177" s="115"/>
    </row>
    <row r="178" spans="1:6" x14ac:dyDescent="0.2">
      <c r="A178" s="115"/>
      <c r="B178" s="79"/>
      <c r="C178" s="115"/>
      <c r="D178" s="115"/>
      <c r="E178" s="115"/>
      <c r="F178" s="115"/>
    </row>
    <row r="179" spans="1:6" x14ac:dyDescent="0.2">
      <c r="A179" s="115"/>
      <c r="B179" s="79"/>
      <c r="C179" s="115"/>
      <c r="D179" s="115"/>
      <c r="E179" s="115"/>
      <c r="F179" s="115"/>
    </row>
    <row r="180" spans="1:6" x14ac:dyDescent="0.2">
      <c r="A180" s="115"/>
      <c r="B180" s="79"/>
      <c r="C180" s="115"/>
      <c r="D180" s="115"/>
      <c r="E180" s="115"/>
      <c r="F180" s="115"/>
    </row>
    <row r="181" spans="1:6" x14ac:dyDescent="0.2">
      <c r="A181" s="115"/>
      <c r="B181" s="79"/>
      <c r="C181" s="115"/>
      <c r="D181" s="115"/>
      <c r="E181" s="115"/>
      <c r="F181" s="115"/>
    </row>
    <row r="182" spans="1:6" x14ac:dyDescent="0.2">
      <c r="A182" s="115"/>
      <c r="B182" s="79"/>
      <c r="C182" s="115"/>
      <c r="D182" s="115"/>
      <c r="E182" s="115"/>
      <c r="F182" s="115"/>
    </row>
    <row r="183" spans="1:6" x14ac:dyDescent="0.2">
      <c r="A183" s="115"/>
      <c r="B183" s="79"/>
      <c r="C183" s="115"/>
      <c r="D183" s="115"/>
      <c r="E183" s="115"/>
      <c r="F183" s="115"/>
    </row>
    <row r="184" spans="1:6" x14ac:dyDescent="0.2">
      <c r="A184" s="115"/>
      <c r="B184" s="79"/>
      <c r="C184" s="115"/>
      <c r="D184" s="115"/>
      <c r="E184" s="115"/>
      <c r="F184" s="115"/>
    </row>
    <row r="185" spans="1:6" x14ac:dyDescent="0.2">
      <c r="A185" s="115"/>
      <c r="B185" s="79"/>
      <c r="C185" s="115"/>
      <c r="D185" s="115"/>
      <c r="E185" s="115"/>
      <c r="F185" s="115"/>
    </row>
    <row r="186" spans="1:6" x14ac:dyDescent="0.2">
      <c r="A186" s="115"/>
      <c r="B186" s="79"/>
      <c r="C186" s="115"/>
      <c r="D186" s="115"/>
      <c r="E186" s="115"/>
      <c r="F186" s="115"/>
    </row>
    <row r="187" spans="1:6" x14ac:dyDescent="0.2">
      <c r="A187" s="115"/>
      <c r="B187" s="79"/>
      <c r="C187" s="115"/>
      <c r="D187" s="115"/>
      <c r="E187" s="115"/>
      <c r="F187" s="115"/>
    </row>
    <row r="188" spans="1:6" x14ac:dyDescent="0.2">
      <c r="A188" s="115"/>
      <c r="B188" s="79"/>
      <c r="C188" s="115"/>
      <c r="D188" s="115"/>
      <c r="E188" s="115"/>
      <c r="F188" s="115"/>
    </row>
    <row r="189" spans="1:6" x14ac:dyDescent="0.2">
      <c r="A189" s="115"/>
      <c r="B189" s="79"/>
      <c r="C189" s="115"/>
      <c r="D189" s="115"/>
      <c r="E189" s="115"/>
      <c r="F189" s="115"/>
    </row>
    <row r="190" spans="1:6" x14ac:dyDescent="0.2">
      <c r="A190" s="115"/>
      <c r="B190" s="79"/>
      <c r="C190" s="115"/>
      <c r="D190" s="115"/>
      <c r="E190" s="115"/>
      <c r="F190" s="115"/>
    </row>
    <row r="191" spans="1:6" x14ac:dyDescent="0.2">
      <c r="A191" s="115"/>
      <c r="B191" s="79"/>
      <c r="C191" s="115"/>
      <c r="D191" s="115"/>
      <c r="E191" s="115"/>
      <c r="F191" s="115"/>
    </row>
    <row r="192" spans="1:6" x14ac:dyDescent="0.2">
      <c r="A192" s="115"/>
      <c r="B192" s="79"/>
      <c r="C192" s="115"/>
      <c r="D192" s="115"/>
      <c r="E192" s="115"/>
      <c r="F192" s="115"/>
    </row>
    <row r="193" spans="1:6" x14ac:dyDescent="0.2">
      <c r="A193" s="115"/>
      <c r="B193" s="79"/>
      <c r="C193" s="115"/>
      <c r="D193" s="115"/>
      <c r="E193" s="115"/>
      <c r="F193" s="115"/>
    </row>
    <row r="194" spans="1:6" x14ac:dyDescent="0.2">
      <c r="A194" s="115"/>
      <c r="B194" s="79"/>
      <c r="C194" s="115"/>
      <c r="D194" s="115"/>
      <c r="E194" s="115"/>
      <c r="F194" s="115"/>
    </row>
    <row r="195" spans="1:6" x14ac:dyDescent="0.2">
      <c r="A195" s="115"/>
      <c r="B195" s="79"/>
      <c r="C195" s="115"/>
      <c r="D195" s="115"/>
      <c r="E195" s="115"/>
      <c r="F195" s="115"/>
    </row>
    <row r="196" spans="1:6" x14ac:dyDescent="0.2">
      <c r="A196" s="115"/>
      <c r="B196" s="79"/>
      <c r="C196" s="115"/>
      <c r="D196" s="115"/>
      <c r="E196" s="115"/>
      <c r="F196" s="115"/>
    </row>
    <row r="197" spans="1:6" x14ac:dyDescent="0.2">
      <c r="A197" s="115"/>
      <c r="B197" s="79"/>
      <c r="C197" s="115"/>
      <c r="D197" s="115"/>
      <c r="E197" s="115"/>
      <c r="F197" s="115"/>
    </row>
    <row r="198" spans="1:6" x14ac:dyDescent="0.2">
      <c r="A198" s="115"/>
      <c r="B198" s="79"/>
      <c r="C198" s="115"/>
      <c r="D198" s="115"/>
      <c r="E198" s="115"/>
      <c r="F198" s="115"/>
    </row>
    <row r="199" spans="1:6" x14ac:dyDescent="0.2">
      <c r="A199" s="115"/>
      <c r="B199" s="79"/>
      <c r="C199" s="115"/>
      <c r="D199" s="115"/>
      <c r="E199" s="115"/>
      <c r="F199" s="115"/>
    </row>
    <row r="200" spans="1:6" x14ac:dyDescent="0.2">
      <c r="A200" s="115"/>
      <c r="B200" s="79"/>
      <c r="C200" s="115"/>
      <c r="D200" s="115"/>
      <c r="E200" s="115"/>
      <c r="F200" s="115"/>
    </row>
    <row r="201" spans="1:6" x14ac:dyDescent="0.2">
      <c r="A201" s="115"/>
      <c r="B201" s="79"/>
      <c r="C201" s="115"/>
      <c r="D201" s="115"/>
      <c r="E201" s="115"/>
      <c r="F201" s="115"/>
    </row>
    <row r="202" spans="1:6" x14ac:dyDescent="0.2">
      <c r="A202" s="115"/>
      <c r="B202" s="79"/>
      <c r="C202" s="115"/>
      <c r="D202" s="115"/>
      <c r="E202" s="115"/>
      <c r="F202" s="115"/>
    </row>
    <row r="203" spans="1:6" x14ac:dyDescent="0.2">
      <c r="A203" s="115"/>
      <c r="B203" s="79"/>
      <c r="C203" s="115"/>
      <c r="D203" s="115"/>
      <c r="E203" s="115"/>
      <c r="F203" s="115"/>
    </row>
    <row r="204" spans="1:6" x14ac:dyDescent="0.2">
      <c r="A204" s="115"/>
      <c r="B204" s="79"/>
      <c r="C204" s="115"/>
      <c r="D204" s="115"/>
      <c r="E204" s="115"/>
      <c r="F204" s="115"/>
    </row>
    <row r="205" spans="1:6" x14ac:dyDescent="0.2">
      <c r="A205" s="115"/>
      <c r="B205" s="79"/>
      <c r="C205" s="115"/>
      <c r="D205" s="115"/>
      <c r="E205" s="115"/>
      <c r="F205" s="115"/>
    </row>
    <row r="206" spans="1:6" x14ac:dyDescent="0.2">
      <c r="A206" s="115"/>
      <c r="B206" s="79"/>
      <c r="C206" s="115"/>
      <c r="D206" s="115"/>
      <c r="E206" s="115"/>
      <c r="F206" s="115"/>
    </row>
    <row r="207" spans="1:6" x14ac:dyDescent="0.2">
      <c r="A207" s="115"/>
      <c r="B207" s="79"/>
      <c r="C207" s="115"/>
      <c r="D207" s="115"/>
      <c r="E207" s="115"/>
      <c r="F207" s="115"/>
    </row>
    <row r="208" spans="1:6" x14ac:dyDescent="0.2">
      <c r="A208" s="115"/>
      <c r="B208" s="79"/>
      <c r="C208" s="115"/>
      <c r="D208" s="115"/>
      <c r="E208" s="115"/>
      <c r="F208" s="115"/>
    </row>
    <row r="209" spans="1:6" x14ac:dyDescent="0.2">
      <c r="A209" s="115"/>
      <c r="B209" s="79"/>
      <c r="C209" s="115"/>
      <c r="D209" s="115"/>
      <c r="E209" s="115"/>
      <c r="F209" s="115"/>
    </row>
    <row r="210" spans="1:6" x14ac:dyDescent="0.2">
      <c r="A210" s="115"/>
      <c r="B210" s="79"/>
      <c r="C210" s="115"/>
      <c r="D210" s="115"/>
      <c r="E210" s="115"/>
      <c r="F210" s="115"/>
    </row>
    <row r="211" spans="1:6" x14ac:dyDescent="0.2">
      <c r="A211" s="115"/>
      <c r="B211" s="79"/>
      <c r="C211" s="115"/>
      <c r="D211" s="115"/>
      <c r="E211" s="115"/>
      <c r="F211" s="115"/>
    </row>
    <row r="212" spans="1:6" x14ac:dyDescent="0.2">
      <c r="A212" s="115"/>
      <c r="B212" s="79"/>
      <c r="C212" s="115"/>
      <c r="D212" s="115"/>
      <c r="E212" s="115"/>
      <c r="F212" s="115"/>
    </row>
    <row r="213" spans="1:6" x14ac:dyDescent="0.2">
      <c r="A213" s="115"/>
      <c r="B213" s="79"/>
      <c r="C213" s="115"/>
      <c r="D213" s="115"/>
      <c r="E213" s="115"/>
      <c r="F213" s="115"/>
    </row>
    <row r="214" spans="1:6" x14ac:dyDescent="0.2">
      <c r="A214" s="115"/>
      <c r="B214" s="79"/>
      <c r="C214" s="115"/>
      <c r="D214" s="115"/>
      <c r="E214" s="115"/>
      <c r="F214" s="115"/>
    </row>
    <row r="215" spans="1:6" x14ac:dyDescent="0.2">
      <c r="A215" s="115"/>
      <c r="B215" s="79"/>
      <c r="C215" s="115"/>
      <c r="D215" s="115"/>
      <c r="E215" s="115"/>
      <c r="F215" s="115"/>
    </row>
    <row r="216" spans="1:6" x14ac:dyDescent="0.2">
      <c r="A216" s="115"/>
      <c r="B216" s="79"/>
      <c r="C216" s="115"/>
      <c r="D216" s="115"/>
      <c r="E216" s="115"/>
      <c r="F216" s="115"/>
    </row>
    <row r="217" spans="1:6" x14ac:dyDescent="0.2">
      <c r="A217" s="115"/>
      <c r="B217" s="79"/>
      <c r="C217" s="115"/>
      <c r="D217" s="115"/>
      <c r="E217" s="115"/>
      <c r="F217" s="115"/>
    </row>
    <row r="218" spans="1:6" x14ac:dyDescent="0.2">
      <c r="A218" s="115"/>
      <c r="B218" s="79"/>
      <c r="C218" s="115"/>
      <c r="D218" s="115"/>
      <c r="E218" s="115"/>
      <c r="F218" s="115"/>
    </row>
    <row r="219" spans="1:6" x14ac:dyDescent="0.2">
      <c r="A219" s="115"/>
      <c r="B219" s="79"/>
      <c r="C219" s="115"/>
      <c r="D219" s="115"/>
      <c r="E219" s="115"/>
      <c r="F219" s="115"/>
    </row>
    <row r="220" spans="1:6" x14ac:dyDescent="0.2">
      <c r="A220" s="115"/>
      <c r="B220" s="79"/>
      <c r="C220" s="115"/>
      <c r="D220" s="115"/>
      <c r="E220" s="115"/>
      <c r="F220" s="115"/>
    </row>
    <row r="221" spans="1:6" x14ac:dyDescent="0.2">
      <c r="A221" s="115"/>
      <c r="B221" s="79"/>
      <c r="C221" s="115"/>
      <c r="D221" s="115"/>
      <c r="E221" s="115"/>
      <c r="F221" s="115"/>
    </row>
    <row r="222" spans="1:6" x14ac:dyDescent="0.2">
      <c r="A222" s="115"/>
      <c r="B222" s="79"/>
      <c r="C222" s="115"/>
      <c r="D222" s="115"/>
      <c r="E222" s="115"/>
      <c r="F222" s="115"/>
    </row>
    <row r="223" spans="1:6" x14ac:dyDescent="0.2">
      <c r="A223" s="115"/>
      <c r="B223" s="79"/>
      <c r="C223" s="115"/>
      <c r="D223" s="115"/>
      <c r="E223" s="115"/>
      <c r="F223" s="115"/>
    </row>
    <row r="224" spans="1:6" x14ac:dyDescent="0.2">
      <c r="A224" s="115"/>
      <c r="B224" s="79"/>
      <c r="C224" s="115"/>
      <c r="D224" s="115"/>
      <c r="E224" s="115"/>
      <c r="F224" s="115"/>
    </row>
    <row r="225" spans="1:6" x14ac:dyDescent="0.2">
      <c r="A225" s="115"/>
      <c r="B225" s="79"/>
      <c r="C225" s="115"/>
      <c r="D225" s="115"/>
      <c r="E225" s="115"/>
      <c r="F225" s="115"/>
    </row>
    <row r="226" spans="1:6" x14ac:dyDescent="0.2">
      <c r="A226" s="115"/>
      <c r="B226" s="79"/>
      <c r="C226" s="115"/>
      <c r="D226" s="115"/>
      <c r="E226" s="115"/>
      <c r="F226" s="115"/>
    </row>
    <row r="227" spans="1:6" x14ac:dyDescent="0.2">
      <c r="A227" s="115"/>
      <c r="B227" s="79"/>
      <c r="C227" s="115"/>
      <c r="D227" s="115"/>
      <c r="E227" s="115"/>
      <c r="F227" s="115"/>
    </row>
    <row r="228" spans="1:6" x14ac:dyDescent="0.2">
      <c r="A228" s="115"/>
      <c r="B228" s="79"/>
      <c r="C228" s="115"/>
      <c r="D228" s="115"/>
      <c r="E228" s="115"/>
      <c r="F228" s="115"/>
    </row>
    <row r="229" spans="1:6" x14ac:dyDescent="0.2">
      <c r="A229" s="115"/>
      <c r="B229" s="79"/>
      <c r="C229" s="115"/>
      <c r="D229" s="115"/>
      <c r="E229" s="115"/>
      <c r="F229" s="115"/>
    </row>
    <row r="230" spans="1:6" x14ac:dyDescent="0.2">
      <c r="A230" s="115"/>
      <c r="B230" s="79"/>
      <c r="C230" s="115"/>
      <c r="D230" s="115"/>
      <c r="E230" s="115"/>
      <c r="F230" s="115"/>
    </row>
    <row r="231" spans="1:6" x14ac:dyDescent="0.2">
      <c r="A231" s="115"/>
      <c r="B231" s="79"/>
      <c r="C231" s="115"/>
      <c r="D231" s="115"/>
      <c r="E231" s="115"/>
      <c r="F231" s="115"/>
    </row>
    <row r="232" spans="1:6" x14ac:dyDescent="0.2">
      <c r="A232" s="115"/>
      <c r="B232" s="79"/>
      <c r="C232" s="115"/>
      <c r="D232" s="115"/>
      <c r="E232" s="115"/>
      <c r="F232" s="115"/>
    </row>
    <row r="233" spans="1:6" x14ac:dyDescent="0.2">
      <c r="A233" s="115"/>
      <c r="B233" s="79"/>
      <c r="C233" s="115"/>
      <c r="D233" s="115"/>
      <c r="E233" s="115"/>
      <c r="F233" s="115"/>
    </row>
    <row r="234" spans="1:6" x14ac:dyDescent="0.2">
      <c r="A234" s="115"/>
      <c r="B234" s="79"/>
      <c r="C234" s="115"/>
      <c r="D234" s="115"/>
      <c r="E234" s="115"/>
      <c r="F234" s="115"/>
    </row>
    <row r="235" spans="1:6" x14ac:dyDescent="0.2">
      <c r="A235" s="115"/>
      <c r="B235" s="79"/>
      <c r="C235" s="115"/>
      <c r="D235" s="115"/>
      <c r="E235" s="115"/>
      <c r="F235" s="115"/>
    </row>
    <row r="236" spans="1:6" x14ac:dyDescent="0.2">
      <c r="A236" s="115"/>
      <c r="B236" s="79"/>
      <c r="C236" s="115"/>
      <c r="D236" s="115"/>
      <c r="E236" s="115"/>
      <c r="F236" s="115"/>
    </row>
    <row r="237" spans="1:6" x14ac:dyDescent="0.2">
      <c r="A237" s="115"/>
      <c r="B237" s="79"/>
      <c r="C237" s="115"/>
      <c r="D237" s="115"/>
      <c r="E237" s="115"/>
      <c r="F237" s="115"/>
    </row>
    <row r="238" spans="1:6" x14ac:dyDescent="0.2">
      <c r="A238" s="115"/>
      <c r="B238" s="79"/>
      <c r="C238" s="115"/>
      <c r="D238" s="115"/>
      <c r="E238" s="115"/>
      <c r="F238" s="115"/>
    </row>
    <row r="239" spans="1:6" x14ac:dyDescent="0.2">
      <c r="A239" s="115"/>
      <c r="B239" s="79"/>
      <c r="C239" s="115"/>
      <c r="D239" s="115"/>
      <c r="E239" s="115"/>
      <c r="F239" s="115"/>
    </row>
    <row r="240" spans="1:6" x14ac:dyDescent="0.2">
      <c r="A240" s="115"/>
      <c r="B240" s="79"/>
      <c r="C240" s="115"/>
      <c r="D240" s="115"/>
      <c r="E240" s="115"/>
      <c r="F240" s="115"/>
    </row>
    <row r="241" spans="1:6" x14ac:dyDescent="0.2">
      <c r="A241" s="115"/>
      <c r="B241" s="79"/>
      <c r="C241" s="115"/>
      <c r="D241" s="115"/>
      <c r="E241" s="115"/>
      <c r="F241" s="115"/>
    </row>
    <row r="242" spans="1:6" x14ac:dyDescent="0.2">
      <c r="A242" s="115"/>
      <c r="B242" s="79"/>
      <c r="C242" s="115"/>
      <c r="D242" s="115"/>
      <c r="E242" s="115"/>
      <c r="F242" s="115"/>
    </row>
    <row r="243" spans="1:6" x14ac:dyDescent="0.2">
      <c r="A243" s="115"/>
      <c r="B243" s="79"/>
      <c r="C243" s="115"/>
      <c r="D243" s="115"/>
      <c r="E243" s="115"/>
      <c r="F243" s="115"/>
    </row>
    <row r="244" spans="1:6" x14ac:dyDescent="0.2">
      <c r="A244" s="115"/>
      <c r="B244" s="79"/>
      <c r="C244" s="115"/>
      <c r="D244" s="115"/>
      <c r="E244" s="115"/>
      <c r="F244" s="115"/>
    </row>
    <row r="245" spans="1:6" x14ac:dyDescent="0.2">
      <c r="A245" s="115"/>
      <c r="B245" s="79"/>
      <c r="C245" s="115"/>
      <c r="D245" s="115"/>
      <c r="E245" s="115"/>
      <c r="F245" s="115"/>
    </row>
    <row r="246" spans="1:6" x14ac:dyDescent="0.2">
      <c r="A246" s="115"/>
      <c r="B246" s="79"/>
      <c r="C246" s="115"/>
      <c r="D246" s="115"/>
      <c r="E246" s="115"/>
      <c r="F246" s="115"/>
    </row>
    <row r="247" spans="1:6" x14ac:dyDescent="0.2">
      <c r="A247" s="115"/>
      <c r="B247" s="79"/>
      <c r="C247" s="115"/>
      <c r="D247" s="115"/>
      <c r="E247" s="115"/>
      <c r="F247" s="115"/>
    </row>
    <row r="248" spans="1:6" x14ac:dyDescent="0.2">
      <c r="A248" s="115"/>
      <c r="B248" s="79"/>
      <c r="C248" s="115"/>
      <c r="D248" s="115"/>
      <c r="E248" s="115"/>
      <c r="F248" s="115"/>
    </row>
    <row r="249" spans="1:6" x14ac:dyDescent="0.2">
      <c r="A249" s="115"/>
      <c r="B249" s="79"/>
      <c r="C249" s="115"/>
      <c r="D249" s="115"/>
      <c r="E249" s="115"/>
      <c r="F249" s="115"/>
    </row>
    <row r="250" spans="1:6" x14ac:dyDescent="0.2">
      <c r="A250" s="115"/>
      <c r="B250" s="79"/>
      <c r="C250" s="115"/>
      <c r="D250" s="115"/>
      <c r="E250" s="115"/>
      <c r="F250" s="115"/>
    </row>
    <row r="251" spans="1:6" x14ac:dyDescent="0.2">
      <c r="A251" s="115"/>
      <c r="B251" s="79"/>
      <c r="C251" s="115"/>
      <c r="D251" s="115"/>
      <c r="E251" s="115"/>
      <c r="F251" s="115"/>
    </row>
    <row r="252" spans="1:6" x14ac:dyDescent="0.2">
      <c r="A252" s="115"/>
      <c r="B252" s="79"/>
      <c r="C252" s="115"/>
      <c r="D252" s="115"/>
      <c r="E252" s="115"/>
      <c r="F252" s="115"/>
    </row>
    <row r="253" spans="1:6" x14ac:dyDescent="0.2">
      <c r="A253" s="115"/>
      <c r="B253" s="79"/>
      <c r="C253" s="115"/>
      <c r="D253" s="115"/>
      <c r="E253" s="115"/>
      <c r="F253" s="115"/>
    </row>
    <row r="254" spans="1:6" x14ac:dyDescent="0.2">
      <c r="A254" s="115"/>
      <c r="B254" s="79"/>
      <c r="C254" s="115"/>
      <c r="D254" s="115"/>
      <c r="E254" s="115"/>
      <c r="F254" s="115"/>
    </row>
    <row r="255" spans="1:6" x14ac:dyDescent="0.2">
      <c r="A255" s="115"/>
      <c r="B255" s="79"/>
      <c r="C255" s="115"/>
      <c r="D255" s="115"/>
      <c r="E255" s="115"/>
      <c r="F255" s="115"/>
    </row>
    <row r="256" spans="1:6" x14ac:dyDescent="0.2">
      <c r="A256" s="115"/>
      <c r="B256" s="79"/>
      <c r="C256" s="115"/>
      <c r="D256" s="115"/>
      <c r="E256" s="115"/>
      <c r="F256" s="115"/>
    </row>
    <row r="257" spans="1:6" x14ac:dyDescent="0.2">
      <c r="A257" s="115"/>
      <c r="B257" s="79"/>
      <c r="C257" s="115"/>
      <c r="D257" s="115"/>
      <c r="E257" s="115"/>
      <c r="F257" s="115"/>
    </row>
    <row r="258" spans="1:6" x14ac:dyDescent="0.2">
      <c r="A258" s="115"/>
      <c r="B258" s="79"/>
      <c r="C258" s="115"/>
      <c r="D258" s="115"/>
      <c r="E258" s="115"/>
      <c r="F258" s="115"/>
    </row>
    <row r="259" spans="1:6" x14ac:dyDescent="0.2">
      <c r="A259" s="115"/>
      <c r="B259" s="79"/>
      <c r="C259" s="115"/>
      <c r="D259" s="115"/>
      <c r="E259" s="115"/>
      <c r="F259" s="115"/>
    </row>
    <row r="260" spans="1:6" x14ac:dyDescent="0.2">
      <c r="A260" s="115"/>
      <c r="B260" s="79"/>
      <c r="C260" s="115"/>
      <c r="D260" s="115"/>
      <c r="E260" s="115"/>
      <c r="F260" s="115"/>
    </row>
    <row r="261" spans="1:6" x14ac:dyDescent="0.2">
      <c r="A261" s="115"/>
      <c r="B261" s="79"/>
      <c r="C261" s="115"/>
      <c r="D261" s="115"/>
      <c r="E261" s="115"/>
      <c r="F261" s="115"/>
    </row>
    <row r="262" spans="1:6" x14ac:dyDescent="0.2">
      <c r="A262" s="115"/>
      <c r="B262" s="79"/>
      <c r="C262" s="115"/>
      <c r="D262" s="115"/>
      <c r="E262" s="115"/>
      <c r="F262" s="115"/>
    </row>
    <row r="263" spans="1:6" x14ac:dyDescent="0.2">
      <c r="A263" s="115"/>
      <c r="B263" s="79"/>
      <c r="C263" s="115"/>
      <c r="D263" s="115"/>
      <c r="E263" s="115"/>
      <c r="F263" s="115"/>
    </row>
    <row r="264" spans="1:6" x14ac:dyDescent="0.2">
      <c r="A264" s="115"/>
      <c r="B264" s="79"/>
      <c r="C264" s="115"/>
      <c r="D264" s="115"/>
      <c r="E264" s="115"/>
      <c r="F264" s="115"/>
    </row>
    <row r="265" spans="1:6" x14ac:dyDescent="0.2">
      <c r="A265" s="115"/>
      <c r="B265" s="79"/>
      <c r="C265" s="115"/>
      <c r="D265" s="115"/>
      <c r="E265" s="115"/>
      <c r="F265" s="115"/>
    </row>
    <row r="266" spans="1:6" x14ac:dyDescent="0.2">
      <c r="A266" s="115"/>
      <c r="B266" s="79"/>
      <c r="C266" s="115"/>
      <c r="D266" s="115"/>
      <c r="E266" s="115"/>
      <c r="F266" s="115"/>
    </row>
    <row r="267" spans="1:6" x14ac:dyDescent="0.2">
      <c r="A267" s="115"/>
      <c r="B267" s="79"/>
      <c r="C267" s="115"/>
      <c r="D267" s="115"/>
      <c r="E267" s="115"/>
      <c r="F267" s="115"/>
    </row>
    <row r="268" spans="1:6" x14ac:dyDescent="0.2">
      <c r="A268" s="115"/>
      <c r="B268" s="79"/>
      <c r="C268" s="115"/>
      <c r="D268" s="115"/>
      <c r="E268" s="115"/>
      <c r="F268" s="115"/>
    </row>
    <row r="269" spans="1:6" x14ac:dyDescent="0.2">
      <c r="A269" s="115"/>
      <c r="B269" s="79"/>
      <c r="C269" s="115"/>
      <c r="D269" s="115"/>
      <c r="E269" s="115"/>
      <c r="F269" s="115"/>
    </row>
    <row r="270" spans="1:6" x14ac:dyDescent="0.2">
      <c r="A270" s="115"/>
      <c r="B270" s="79"/>
      <c r="C270" s="115"/>
      <c r="D270" s="115"/>
      <c r="E270" s="115"/>
      <c r="F270" s="115"/>
    </row>
    <row r="271" spans="1:6" x14ac:dyDescent="0.2">
      <c r="A271" s="115"/>
      <c r="B271" s="79"/>
      <c r="C271" s="115"/>
      <c r="D271" s="115"/>
      <c r="E271" s="115"/>
      <c r="F271" s="115"/>
    </row>
    <row r="272" spans="1:6" x14ac:dyDescent="0.2">
      <c r="A272" s="115"/>
      <c r="B272" s="79"/>
      <c r="C272" s="115"/>
      <c r="D272" s="115"/>
      <c r="E272" s="115"/>
      <c r="F272" s="115"/>
    </row>
    <row r="273" spans="1:6" x14ac:dyDescent="0.2">
      <c r="A273" s="115"/>
      <c r="B273" s="79"/>
      <c r="C273" s="115"/>
      <c r="D273" s="115"/>
      <c r="E273" s="115"/>
      <c r="F273" s="115"/>
    </row>
    <row r="274" spans="1:6" x14ac:dyDescent="0.2">
      <c r="A274" s="115"/>
      <c r="B274" s="79"/>
      <c r="C274" s="115"/>
      <c r="D274" s="115"/>
      <c r="E274" s="115"/>
      <c r="F274" s="115"/>
    </row>
    <row r="275" spans="1:6" x14ac:dyDescent="0.2">
      <c r="A275" s="115"/>
      <c r="B275" s="79"/>
      <c r="C275" s="115"/>
      <c r="D275" s="115"/>
      <c r="E275" s="115"/>
      <c r="F275" s="115"/>
    </row>
    <row r="276" spans="1:6" x14ac:dyDescent="0.2">
      <c r="A276" s="115"/>
      <c r="B276" s="79"/>
      <c r="C276" s="115"/>
      <c r="D276" s="115"/>
      <c r="E276" s="115"/>
      <c r="F276" s="115"/>
    </row>
    <row r="277" spans="1:6" x14ac:dyDescent="0.2">
      <c r="A277" s="115"/>
      <c r="B277" s="79"/>
      <c r="C277" s="115"/>
      <c r="D277" s="115"/>
      <c r="E277" s="115"/>
      <c r="F277" s="115"/>
    </row>
    <row r="278" spans="1:6" x14ac:dyDescent="0.2">
      <c r="A278" s="115"/>
      <c r="B278" s="79"/>
      <c r="C278" s="115"/>
      <c r="D278" s="115"/>
      <c r="E278" s="115"/>
      <c r="F278" s="115"/>
    </row>
    <row r="279" spans="1:6" x14ac:dyDescent="0.2">
      <c r="A279" s="115"/>
      <c r="B279" s="79"/>
      <c r="C279" s="115"/>
      <c r="D279" s="115"/>
      <c r="E279" s="115"/>
      <c r="F279" s="115"/>
    </row>
    <row r="280" spans="1:6" x14ac:dyDescent="0.2">
      <c r="A280" s="115"/>
      <c r="B280" s="79"/>
      <c r="C280" s="115"/>
      <c r="D280" s="115"/>
      <c r="E280" s="115"/>
      <c r="F280" s="115"/>
    </row>
    <row r="281" spans="1:6" x14ac:dyDescent="0.2">
      <c r="A281" s="115"/>
      <c r="B281" s="79"/>
      <c r="C281" s="115"/>
      <c r="D281" s="115"/>
      <c r="E281" s="115"/>
      <c r="F281" s="115"/>
    </row>
    <row r="282" spans="1:6" x14ac:dyDescent="0.2">
      <c r="A282" s="115"/>
      <c r="B282" s="79"/>
      <c r="C282" s="115"/>
      <c r="D282" s="115"/>
      <c r="E282" s="115"/>
      <c r="F282" s="115"/>
    </row>
    <row r="283" spans="1:6" x14ac:dyDescent="0.2">
      <c r="A283" s="115"/>
      <c r="B283" s="79"/>
      <c r="C283" s="115"/>
      <c r="D283" s="115"/>
      <c r="E283" s="115"/>
      <c r="F283" s="115"/>
    </row>
    <row r="284" spans="1:6" x14ac:dyDescent="0.2">
      <c r="A284" s="115"/>
      <c r="B284" s="79"/>
      <c r="C284" s="115"/>
      <c r="D284" s="115"/>
      <c r="E284" s="115"/>
      <c r="F284" s="115"/>
    </row>
    <row r="285" spans="1:6" x14ac:dyDescent="0.2">
      <c r="A285" s="115"/>
      <c r="B285" s="79"/>
      <c r="C285" s="115"/>
      <c r="D285" s="115"/>
      <c r="E285" s="115"/>
      <c r="F285" s="115"/>
    </row>
    <row r="286" spans="1:6" x14ac:dyDescent="0.2">
      <c r="A286" s="115"/>
      <c r="B286" s="79"/>
      <c r="C286" s="115"/>
      <c r="D286" s="115"/>
      <c r="E286" s="115"/>
      <c r="F286" s="115"/>
    </row>
    <row r="287" spans="1:6" x14ac:dyDescent="0.2">
      <c r="A287" s="115"/>
      <c r="B287" s="79"/>
      <c r="C287" s="115"/>
      <c r="D287" s="115"/>
      <c r="E287" s="115"/>
      <c r="F287" s="115"/>
    </row>
    <row r="288" spans="1:6" x14ac:dyDescent="0.2">
      <c r="A288" s="115"/>
      <c r="B288" s="79"/>
      <c r="C288" s="115"/>
      <c r="D288" s="115"/>
      <c r="E288" s="115"/>
      <c r="F288" s="115"/>
    </row>
    <row r="289" spans="1:6" x14ac:dyDescent="0.2">
      <c r="A289" s="115"/>
      <c r="B289" s="79"/>
      <c r="C289" s="115"/>
      <c r="D289" s="115"/>
      <c r="E289" s="115"/>
      <c r="F289" s="115"/>
    </row>
    <row r="290" spans="1:6" x14ac:dyDescent="0.2">
      <c r="A290" s="115"/>
      <c r="B290" s="79"/>
      <c r="C290" s="115"/>
      <c r="D290" s="115"/>
      <c r="E290" s="115"/>
      <c r="F290" s="115"/>
    </row>
    <row r="291" spans="1:6" x14ac:dyDescent="0.2">
      <c r="A291" s="115"/>
      <c r="B291" s="79"/>
      <c r="C291" s="115"/>
      <c r="D291" s="115"/>
      <c r="E291" s="115"/>
      <c r="F291" s="115"/>
    </row>
    <row r="292" spans="1:6" x14ac:dyDescent="0.2">
      <c r="A292" s="115"/>
      <c r="B292" s="79"/>
      <c r="C292" s="115"/>
      <c r="D292" s="115"/>
      <c r="E292" s="115"/>
      <c r="F292" s="115"/>
    </row>
    <row r="293" spans="1:6" x14ac:dyDescent="0.2">
      <c r="A293" s="115"/>
      <c r="B293" s="79"/>
      <c r="C293" s="115"/>
      <c r="D293" s="115"/>
      <c r="E293" s="115"/>
      <c r="F293" s="115"/>
    </row>
    <row r="294" spans="1:6" x14ac:dyDescent="0.2">
      <c r="A294" s="115"/>
      <c r="B294" s="79"/>
      <c r="C294" s="115"/>
      <c r="D294" s="115"/>
      <c r="E294" s="115"/>
      <c r="F294" s="115"/>
    </row>
    <row r="295" spans="1:6" x14ac:dyDescent="0.2">
      <c r="A295" s="115"/>
      <c r="B295" s="79"/>
      <c r="C295" s="115"/>
      <c r="D295" s="115"/>
      <c r="E295" s="115"/>
      <c r="F295" s="115"/>
    </row>
    <row r="296" spans="1:6" x14ac:dyDescent="0.2">
      <c r="A296" s="115"/>
      <c r="B296" s="79"/>
      <c r="C296" s="115"/>
      <c r="D296" s="115"/>
      <c r="E296" s="115"/>
      <c r="F296" s="115"/>
    </row>
    <row r="297" spans="1:6" x14ac:dyDescent="0.2">
      <c r="A297" s="115"/>
      <c r="B297" s="79"/>
      <c r="C297" s="115"/>
      <c r="D297" s="115"/>
      <c r="E297" s="115"/>
      <c r="F297" s="115"/>
    </row>
    <row r="298" spans="1:6" x14ac:dyDescent="0.2">
      <c r="A298" s="115"/>
      <c r="B298" s="79"/>
      <c r="C298" s="115"/>
      <c r="D298" s="115"/>
      <c r="E298" s="115"/>
      <c r="F298" s="115"/>
    </row>
    <row r="299" spans="1:6" x14ac:dyDescent="0.2">
      <c r="A299" s="115"/>
      <c r="B299" s="79"/>
      <c r="C299" s="115"/>
      <c r="D299" s="115"/>
      <c r="E299" s="115"/>
      <c r="F299" s="115"/>
    </row>
    <row r="300" spans="1:6" x14ac:dyDescent="0.2">
      <c r="A300" s="115"/>
      <c r="B300" s="79"/>
      <c r="C300" s="115"/>
      <c r="D300" s="115"/>
      <c r="E300" s="115"/>
      <c r="F300" s="115"/>
    </row>
    <row r="301" spans="1:6" x14ac:dyDescent="0.2">
      <c r="A301" s="115"/>
      <c r="B301" s="79"/>
      <c r="C301" s="115"/>
      <c r="D301" s="115"/>
      <c r="E301" s="115"/>
      <c r="F301" s="115"/>
    </row>
    <row r="302" spans="1:6" x14ac:dyDescent="0.2">
      <c r="A302" s="115"/>
      <c r="B302" s="79"/>
      <c r="C302" s="115"/>
      <c r="D302" s="115"/>
      <c r="E302" s="115"/>
      <c r="F302" s="115"/>
    </row>
    <row r="303" spans="1:6" x14ac:dyDescent="0.2">
      <c r="A303" s="115"/>
      <c r="B303" s="79"/>
      <c r="C303" s="115"/>
      <c r="D303" s="115"/>
      <c r="E303" s="115"/>
      <c r="F303" s="115"/>
    </row>
    <row r="304" spans="1:6" x14ac:dyDescent="0.2">
      <c r="A304" s="115"/>
      <c r="B304" s="79"/>
      <c r="C304" s="115"/>
      <c r="D304" s="115"/>
      <c r="E304" s="115"/>
      <c r="F304" s="115"/>
    </row>
    <row r="305" spans="1:6" x14ac:dyDescent="0.2">
      <c r="A305" s="115"/>
      <c r="B305" s="79"/>
      <c r="C305" s="115"/>
      <c r="D305" s="115"/>
      <c r="E305" s="115"/>
      <c r="F305" s="115"/>
    </row>
    <row r="306" spans="1:6" x14ac:dyDescent="0.2">
      <c r="A306" s="115"/>
      <c r="B306" s="79"/>
      <c r="C306" s="115"/>
      <c r="D306" s="115"/>
      <c r="E306" s="115"/>
      <c r="F306" s="115"/>
    </row>
    <row r="307" spans="1:6" x14ac:dyDescent="0.2">
      <c r="A307" s="115"/>
      <c r="B307" s="79"/>
      <c r="C307" s="115"/>
      <c r="D307" s="115"/>
      <c r="E307" s="115"/>
      <c r="F307" s="115"/>
    </row>
    <row r="308" spans="1:6" x14ac:dyDescent="0.2">
      <c r="A308" s="115"/>
      <c r="B308" s="79"/>
      <c r="C308" s="115"/>
      <c r="D308" s="115"/>
      <c r="E308" s="115"/>
      <c r="F308" s="115"/>
    </row>
    <row r="309" spans="1:6" x14ac:dyDescent="0.2">
      <c r="A309" s="115"/>
      <c r="B309" s="79"/>
      <c r="C309" s="115"/>
      <c r="D309" s="115"/>
      <c r="E309" s="115"/>
      <c r="F309" s="115"/>
    </row>
    <row r="310" spans="1:6" x14ac:dyDescent="0.2">
      <c r="A310" s="115"/>
      <c r="B310" s="79"/>
      <c r="C310" s="115"/>
      <c r="D310" s="115"/>
      <c r="E310" s="115"/>
      <c r="F310" s="115"/>
    </row>
    <row r="311" spans="1:6" x14ac:dyDescent="0.2">
      <c r="A311" s="115"/>
      <c r="B311" s="79"/>
      <c r="C311" s="115"/>
      <c r="D311" s="115"/>
      <c r="E311" s="115"/>
      <c r="F311" s="115"/>
    </row>
    <row r="312" spans="1:6" x14ac:dyDescent="0.2">
      <c r="A312" s="115"/>
      <c r="B312" s="79"/>
      <c r="C312" s="115"/>
      <c r="D312" s="115"/>
      <c r="E312" s="115"/>
      <c r="F312" s="115"/>
    </row>
    <row r="313" spans="1:6" x14ac:dyDescent="0.2">
      <c r="A313" s="115"/>
      <c r="B313" s="79"/>
      <c r="C313" s="115"/>
      <c r="D313" s="115"/>
      <c r="E313" s="115"/>
      <c r="F313" s="115"/>
    </row>
    <row r="314" spans="1:6" x14ac:dyDescent="0.2">
      <c r="A314" s="115"/>
      <c r="B314" s="79"/>
      <c r="C314" s="115"/>
      <c r="D314" s="115"/>
      <c r="E314" s="115"/>
      <c r="F314" s="115"/>
    </row>
    <row r="315" spans="1:6" x14ac:dyDescent="0.2">
      <c r="A315" s="115"/>
      <c r="B315" s="79"/>
      <c r="C315" s="115"/>
      <c r="D315" s="115"/>
      <c r="E315" s="115"/>
      <c r="F315" s="115"/>
    </row>
    <row r="316" spans="1:6" x14ac:dyDescent="0.2">
      <c r="A316" s="115"/>
      <c r="B316" s="79"/>
      <c r="C316" s="115"/>
      <c r="D316" s="115"/>
      <c r="E316" s="115"/>
      <c r="F316" s="115"/>
    </row>
    <row r="317" spans="1:6" x14ac:dyDescent="0.2">
      <c r="A317" s="115"/>
      <c r="B317" s="79"/>
      <c r="C317" s="115"/>
      <c r="D317" s="115"/>
      <c r="E317" s="115"/>
      <c r="F317" s="115"/>
    </row>
    <row r="318" spans="1:6" x14ac:dyDescent="0.2">
      <c r="A318" s="115"/>
      <c r="B318" s="79"/>
      <c r="C318" s="115"/>
      <c r="D318" s="115"/>
      <c r="E318" s="115"/>
      <c r="F318" s="115"/>
    </row>
    <row r="319" spans="1:6" x14ac:dyDescent="0.2">
      <c r="A319" s="115"/>
      <c r="B319" s="79"/>
      <c r="C319" s="115"/>
      <c r="D319" s="115"/>
      <c r="E319" s="115"/>
      <c r="F319" s="115"/>
    </row>
    <row r="320" spans="1:6" x14ac:dyDescent="0.2">
      <c r="A320" s="115"/>
      <c r="B320" s="79"/>
      <c r="C320" s="115"/>
      <c r="D320" s="115"/>
      <c r="E320" s="115"/>
      <c r="F320" s="115"/>
    </row>
    <row r="321" spans="1:6" x14ac:dyDescent="0.2">
      <c r="A321" s="115"/>
      <c r="B321" s="79"/>
      <c r="C321" s="115"/>
      <c r="D321" s="115"/>
      <c r="E321" s="115"/>
      <c r="F321" s="115"/>
    </row>
    <row r="322" spans="1:6" x14ac:dyDescent="0.2">
      <c r="A322" s="115"/>
      <c r="B322" s="79"/>
      <c r="C322" s="115"/>
      <c r="D322" s="115"/>
      <c r="E322" s="115"/>
      <c r="F322" s="115"/>
    </row>
    <row r="323" spans="1:6" x14ac:dyDescent="0.2">
      <c r="A323" s="115"/>
      <c r="B323" s="79"/>
      <c r="C323" s="115"/>
      <c r="D323" s="115"/>
      <c r="E323" s="115"/>
      <c r="F323" s="115"/>
    </row>
    <row r="324" spans="1:6" x14ac:dyDescent="0.2">
      <c r="A324" s="115"/>
      <c r="B324" s="79"/>
      <c r="C324" s="115"/>
      <c r="D324" s="115"/>
      <c r="E324" s="115"/>
      <c r="F324" s="115"/>
    </row>
    <row r="325" spans="1:6" x14ac:dyDescent="0.2">
      <c r="A325" s="115"/>
      <c r="B325" s="79"/>
      <c r="C325" s="115"/>
      <c r="D325" s="115"/>
      <c r="E325" s="115"/>
      <c r="F325" s="115"/>
    </row>
    <row r="326" spans="1:6" x14ac:dyDescent="0.2">
      <c r="A326" s="115"/>
      <c r="B326" s="79"/>
      <c r="C326" s="115"/>
      <c r="D326" s="115"/>
      <c r="E326" s="115"/>
      <c r="F326" s="115"/>
    </row>
    <row r="327" spans="1:6" x14ac:dyDescent="0.2">
      <c r="A327" s="115"/>
      <c r="B327" s="79"/>
      <c r="C327" s="115"/>
      <c r="D327" s="115"/>
      <c r="E327" s="115"/>
      <c r="F327" s="115"/>
    </row>
    <row r="328" spans="1:6" x14ac:dyDescent="0.2">
      <c r="A328" s="115"/>
      <c r="B328" s="79"/>
      <c r="C328" s="115"/>
      <c r="D328" s="115"/>
      <c r="E328" s="115"/>
      <c r="F328" s="115"/>
    </row>
    <row r="329" spans="1:6" x14ac:dyDescent="0.2">
      <c r="A329" s="115"/>
      <c r="B329" s="79"/>
      <c r="C329" s="115"/>
      <c r="D329" s="115"/>
      <c r="E329" s="115"/>
      <c r="F329" s="115"/>
    </row>
    <row r="330" spans="1:6" x14ac:dyDescent="0.2">
      <c r="A330" s="115"/>
      <c r="B330" s="79"/>
      <c r="C330" s="115"/>
      <c r="D330" s="115"/>
      <c r="E330" s="115"/>
      <c r="F330" s="115"/>
    </row>
    <row r="331" spans="1:6" x14ac:dyDescent="0.2">
      <c r="A331" s="115"/>
      <c r="B331" s="79"/>
      <c r="C331" s="115"/>
      <c r="D331" s="115"/>
      <c r="E331" s="115"/>
      <c r="F331" s="115"/>
    </row>
    <row r="332" spans="1:6" x14ac:dyDescent="0.2">
      <c r="A332" s="115"/>
      <c r="B332" s="79"/>
      <c r="C332" s="115"/>
      <c r="D332" s="115"/>
      <c r="E332" s="115"/>
      <c r="F332" s="115"/>
    </row>
    <row r="333" spans="1:6" x14ac:dyDescent="0.2">
      <c r="A333" s="115"/>
      <c r="B333" s="79"/>
      <c r="C333" s="115"/>
      <c r="D333" s="115"/>
      <c r="E333" s="115"/>
      <c r="F333" s="115"/>
    </row>
    <row r="334" spans="1:6" x14ac:dyDescent="0.2">
      <c r="A334" s="115"/>
      <c r="B334" s="79"/>
      <c r="C334" s="115"/>
      <c r="D334" s="115"/>
      <c r="E334" s="115"/>
      <c r="F334" s="115"/>
    </row>
    <row r="335" spans="1:6" x14ac:dyDescent="0.2">
      <c r="A335" s="115"/>
      <c r="B335" s="79"/>
      <c r="C335" s="115"/>
      <c r="D335" s="115"/>
      <c r="E335" s="115"/>
      <c r="F335" s="115"/>
    </row>
    <row r="336" spans="1:6" x14ac:dyDescent="0.2">
      <c r="A336" s="115"/>
      <c r="B336" s="79"/>
      <c r="C336" s="115"/>
      <c r="D336" s="115"/>
      <c r="E336" s="115"/>
      <c r="F336" s="115"/>
    </row>
    <row r="337" spans="1:6" x14ac:dyDescent="0.2">
      <c r="A337" s="115"/>
      <c r="B337" s="79"/>
      <c r="C337" s="115"/>
      <c r="D337" s="115"/>
      <c r="E337" s="115"/>
      <c r="F337" s="115"/>
    </row>
    <row r="338" spans="1:6" x14ac:dyDescent="0.2">
      <c r="A338" s="115"/>
      <c r="B338" s="79"/>
      <c r="C338" s="115"/>
      <c r="D338" s="115"/>
      <c r="E338" s="115"/>
      <c r="F338" s="115"/>
    </row>
    <row r="339" spans="1:6" x14ac:dyDescent="0.2">
      <c r="A339" s="115"/>
      <c r="B339" s="79"/>
      <c r="C339" s="115"/>
      <c r="D339" s="115"/>
      <c r="E339" s="115"/>
      <c r="F339" s="115"/>
    </row>
    <row r="340" spans="1:6" x14ac:dyDescent="0.2">
      <c r="A340" s="115"/>
      <c r="B340" s="79"/>
      <c r="C340" s="115"/>
      <c r="D340" s="115"/>
      <c r="E340" s="115"/>
      <c r="F340" s="115"/>
    </row>
    <row r="341" spans="1:6" x14ac:dyDescent="0.2">
      <c r="A341" s="115"/>
      <c r="B341" s="79"/>
      <c r="C341" s="115"/>
      <c r="D341" s="115"/>
      <c r="E341" s="115"/>
      <c r="F341" s="115"/>
    </row>
    <row r="342" spans="1:6" x14ac:dyDescent="0.2">
      <c r="A342" s="115"/>
      <c r="B342" s="79"/>
      <c r="C342" s="115"/>
      <c r="D342" s="115"/>
      <c r="E342" s="115"/>
      <c r="F342" s="115"/>
    </row>
    <row r="343" spans="1:6" x14ac:dyDescent="0.2">
      <c r="A343" s="115"/>
      <c r="B343" s="79"/>
      <c r="C343" s="115"/>
      <c r="D343" s="115"/>
      <c r="E343" s="115"/>
      <c r="F343" s="115"/>
    </row>
    <row r="344" spans="1:6" x14ac:dyDescent="0.2">
      <c r="A344" s="115"/>
      <c r="B344" s="79"/>
      <c r="C344" s="115"/>
      <c r="D344" s="115"/>
      <c r="E344" s="115"/>
      <c r="F344" s="115"/>
    </row>
    <row r="345" spans="1:6" x14ac:dyDescent="0.2">
      <c r="A345" s="115"/>
      <c r="B345" s="79"/>
      <c r="C345" s="115"/>
      <c r="D345" s="115"/>
      <c r="E345" s="115"/>
      <c r="F345" s="115"/>
    </row>
    <row r="346" spans="1:6" x14ac:dyDescent="0.2">
      <c r="A346" s="115"/>
      <c r="B346" s="79"/>
      <c r="C346" s="115"/>
      <c r="D346" s="115"/>
      <c r="E346" s="115"/>
      <c r="F346" s="115"/>
    </row>
    <row r="347" spans="1:6" x14ac:dyDescent="0.2">
      <c r="A347" s="115"/>
      <c r="B347" s="79"/>
      <c r="C347" s="115"/>
      <c r="D347" s="115"/>
      <c r="E347" s="115"/>
      <c r="F347" s="115"/>
    </row>
    <row r="348" spans="1:6" x14ac:dyDescent="0.2">
      <c r="A348" s="115"/>
      <c r="B348" s="79"/>
      <c r="C348" s="115"/>
      <c r="D348" s="115"/>
      <c r="E348" s="115"/>
      <c r="F348" s="115"/>
    </row>
    <row r="349" spans="1:6" x14ac:dyDescent="0.2">
      <c r="A349" s="115"/>
      <c r="B349" s="79"/>
      <c r="C349" s="115"/>
      <c r="D349" s="115"/>
      <c r="E349" s="115"/>
      <c r="F349" s="115"/>
    </row>
    <row r="350" spans="1:6" x14ac:dyDescent="0.2">
      <c r="A350" s="115"/>
      <c r="B350" s="79"/>
      <c r="C350" s="115"/>
      <c r="D350" s="115"/>
      <c r="E350" s="115"/>
      <c r="F350" s="115"/>
    </row>
    <row r="351" spans="1:6" x14ac:dyDescent="0.2">
      <c r="A351" s="115"/>
      <c r="B351" s="79"/>
      <c r="C351" s="115"/>
      <c r="D351" s="115"/>
      <c r="E351" s="115"/>
      <c r="F351" s="115"/>
    </row>
    <row r="352" spans="1:6" x14ac:dyDescent="0.2">
      <c r="A352" s="115"/>
      <c r="B352" s="79"/>
      <c r="C352" s="115"/>
      <c r="D352" s="115"/>
      <c r="E352" s="115"/>
      <c r="F352" s="115"/>
    </row>
    <row r="353" spans="1:6" x14ac:dyDescent="0.2">
      <c r="A353" s="115"/>
      <c r="B353" s="79"/>
      <c r="C353" s="115"/>
      <c r="D353" s="115"/>
      <c r="E353" s="115"/>
      <c r="F353" s="115"/>
    </row>
    <row r="354" spans="1:6" x14ac:dyDescent="0.2">
      <c r="A354" s="115"/>
      <c r="B354" s="79"/>
      <c r="C354" s="115"/>
      <c r="D354" s="115"/>
      <c r="E354" s="115"/>
      <c r="F354" s="115"/>
    </row>
    <row r="355" spans="1:6" x14ac:dyDescent="0.2">
      <c r="A355" s="115"/>
      <c r="B355" s="79"/>
      <c r="C355" s="115"/>
      <c r="D355" s="115"/>
      <c r="E355" s="115"/>
      <c r="F355" s="115"/>
    </row>
    <row r="356" spans="1:6" x14ac:dyDescent="0.2">
      <c r="A356" s="115"/>
      <c r="B356" s="79"/>
      <c r="C356" s="115"/>
      <c r="D356" s="115"/>
      <c r="E356" s="115"/>
      <c r="F356" s="115"/>
    </row>
    <row r="357" spans="1:6" x14ac:dyDescent="0.2">
      <c r="A357" s="115"/>
      <c r="B357" s="79"/>
      <c r="C357" s="115"/>
      <c r="D357" s="115"/>
      <c r="E357" s="115"/>
      <c r="F357" s="115"/>
    </row>
    <row r="358" spans="1:6" x14ac:dyDescent="0.2">
      <c r="A358" s="115"/>
      <c r="B358" s="79"/>
      <c r="C358" s="115"/>
      <c r="D358" s="115"/>
      <c r="E358" s="115"/>
      <c r="F358" s="115"/>
    </row>
    <row r="359" spans="1:6" x14ac:dyDescent="0.2">
      <c r="A359" s="115"/>
      <c r="B359" s="79"/>
      <c r="C359" s="115"/>
      <c r="D359" s="115"/>
      <c r="E359" s="115"/>
      <c r="F359" s="115"/>
    </row>
    <row r="360" spans="1:6" x14ac:dyDescent="0.2">
      <c r="A360" s="115"/>
      <c r="B360" s="79"/>
      <c r="C360" s="115"/>
      <c r="D360" s="115"/>
      <c r="E360" s="115"/>
      <c r="F360" s="115"/>
    </row>
    <row r="361" spans="1:6" x14ac:dyDescent="0.2">
      <c r="A361" s="115"/>
      <c r="B361" s="79"/>
      <c r="C361" s="115"/>
      <c r="D361" s="115"/>
      <c r="E361" s="115"/>
      <c r="F361" s="115"/>
    </row>
    <row r="362" spans="1:6" x14ac:dyDescent="0.2">
      <c r="A362" s="115"/>
      <c r="B362" s="79"/>
      <c r="C362" s="115"/>
      <c r="D362" s="115"/>
      <c r="E362" s="115"/>
      <c r="F362" s="115"/>
    </row>
    <row r="363" spans="1:6" x14ac:dyDescent="0.2">
      <c r="A363" s="115"/>
      <c r="B363" s="79"/>
      <c r="C363" s="115"/>
      <c r="D363" s="115"/>
      <c r="E363" s="115"/>
      <c r="F363" s="115"/>
    </row>
    <row r="364" spans="1:6" x14ac:dyDescent="0.2">
      <c r="A364" s="115"/>
      <c r="B364" s="79"/>
      <c r="C364" s="115"/>
      <c r="D364" s="115"/>
      <c r="E364" s="115"/>
      <c r="F364" s="115"/>
    </row>
    <row r="365" spans="1:6" x14ac:dyDescent="0.2">
      <c r="A365" s="115"/>
      <c r="B365" s="79"/>
      <c r="C365" s="115"/>
      <c r="D365" s="115"/>
      <c r="E365" s="115"/>
      <c r="F365" s="115"/>
    </row>
    <row r="366" spans="1:6" x14ac:dyDescent="0.2">
      <c r="A366" s="115"/>
      <c r="B366" s="79"/>
      <c r="C366" s="115"/>
      <c r="D366" s="115"/>
      <c r="E366" s="115"/>
      <c r="F366" s="115"/>
    </row>
    <row r="367" spans="1:6" x14ac:dyDescent="0.2">
      <c r="A367" s="115"/>
      <c r="B367" s="79"/>
      <c r="C367" s="115"/>
      <c r="D367" s="115"/>
      <c r="E367" s="115"/>
      <c r="F367" s="115"/>
    </row>
    <row r="368" spans="1:6" x14ac:dyDescent="0.2">
      <c r="A368" s="115"/>
      <c r="B368" s="79"/>
      <c r="C368" s="115"/>
      <c r="D368" s="115"/>
      <c r="E368" s="115"/>
      <c r="F368" s="115"/>
    </row>
    <row r="369" spans="1:6" x14ac:dyDescent="0.2">
      <c r="A369" s="115"/>
      <c r="B369" s="79"/>
      <c r="C369" s="115"/>
      <c r="D369" s="115"/>
      <c r="E369" s="115"/>
      <c r="F369" s="115"/>
    </row>
    <row r="370" spans="1:6" x14ac:dyDescent="0.2">
      <c r="A370" s="115"/>
      <c r="B370" s="79"/>
      <c r="C370" s="115"/>
      <c r="D370" s="115"/>
      <c r="E370" s="115"/>
      <c r="F370" s="115"/>
    </row>
    <row r="371" spans="1:6" x14ac:dyDescent="0.2">
      <c r="A371" s="115"/>
      <c r="B371" s="79"/>
      <c r="C371" s="115"/>
      <c r="D371" s="115"/>
      <c r="E371" s="115"/>
      <c r="F371" s="115"/>
    </row>
    <row r="372" spans="1:6" x14ac:dyDescent="0.2">
      <c r="A372" s="115"/>
      <c r="B372" s="79"/>
      <c r="C372" s="115"/>
      <c r="D372" s="115"/>
      <c r="E372" s="115"/>
      <c r="F372" s="115"/>
    </row>
    <row r="373" spans="1:6" x14ac:dyDescent="0.2">
      <c r="A373" s="115"/>
      <c r="B373" s="79"/>
      <c r="C373" s="115"/>
      <c r="D373" s="115"/>
      <c r="E373" s="115"/>
      <c r="F373" s="115"/>
    </row>
    <row r="374" spans="1:6" x14ac:dyDescent="0.2">
      <c r="A374" s="115"/>
      <c r="B374" s="79"/>
      <c r="C374" s="115"/>
      <c r="D374" s="115"/>
      <c r="E374" s="115"/>
      <c r="F374" s="115"/>
    </row>
    <row r="375" spans="1:6" x14ac:dyDescent="0.2">
      <c r="A375" s="115"/>
      <c r="B375" s="79"/>
      <c r="C375" s="115"/>
      <c r="D375" s="115"/>
      <c r="E375" s="115"/>
      <c r="F375" s="115"/>
    </row>
    <row r="376" spans="1:6" x14ac:dyDescent="0.2">
      <c r="A376" s="115"/>
      <c r="B376" s="79"/>
      <c r="C376" s="115"/>
      <c r="D376" s="115"/>
      <c r="E376" s="115"/>
      <c r="F376" s="115"/>
    </row>
    <row r="377" spans="1:6" x14ac:dyDescent="0.2">
      <c r="A377" s="115"/>
      <c r="B377" s="79"/>
      <c r="C377" s="115"/>
      <c r="D377" s="115"/>
      <c r="E377" s="115"/>
      <c r="F377" s="115"/>
    </row>
    <row r="378" spans="1:6" x14ac:dyDescent="0.2">
      <c r="A378" s="115"/>
      <c r="B378" s="79"/>
      <c r="C378" s="115"/>
      <c r="D378" s="115"/>
      <c r="E378" s="115"/>
      <c r="F378" s="115"/>
    </row>
    <row r="379" spans="1:6" x14ac:dyDescent="0.2">
      <c r="A379" s="115"/>
      <c r="B379" s="79"/>
      <c r="C379" s="115"/>
      <c r="D379" s="115"/>
      <c r="E379" s="115"/>
      <c r="F379" s="115"/>
    </row>
    <row r="380" spans="1:6" x14ac:dyDescent="0.2">
      <c r="A380" s="115"/>
      <c r="B380" s="79"/>
      <c r="C380" s="115"/>
      <c r="D380" s="115"/>
      <c r="E380" s="115"/>
      <c r="F380" s="115"/>
    </row>
    <row r="381" spans="1:6" x14ac:dyDescent="0.2">
      <c r="A381" s="115"/>
      <c r="B381" s="79"/>
      <c r="C381" s="115"/>
      <c r="D381" s="115"/>
      <c r="E381" s="115"/>
      <c r="F381" s="115"/>
    </row>
    <row r="382" spans="1:6" x14ac:dyDescent="0.2">
      <c r="A382" s="115"/>
      <c r="B382" s="79"/>
      <c r="C382" s="115"/>
      <c r="D382" s="115"/>
      <c r="E382" s="115"/>
      <c r="F382" s="115"/>
    </row>
    <row r="383" spans="1:6" x14ac:dyDescent="0.2">
      <c r="A383" s="115"/>
      <c r="B383" s="79"/>
      <c r="C383" s="115"/>
      <c r="D383" s="115"/>
      <c r="E383" s="115"/>
      <c r="F383" s="115"/>
    </row>
    <row r="384" spans="1:6" x14ac:dyDescent="0.2">
      <c r="A384" s="115"/>
      <c r="B384" s="79"/>
      <c r="C384" s="115"/>
      <c r="D384" s="115"/>
      <c r="E384" s="115"/>
      <c r="F384" s="115"/>
    </row>
    <row r="385" spans="1:6" x14ac:dyDescent="0.2">
      <c r="A385" s="115"/>
      <c r="B385" s="79"/>
      <c r="C385" s="115"/>
      <c r="D385" s="115"/>
      <c r="E385" s="115"/>
      <c r="F385" s="115"/>
    </row>
    <row r="386" spans="1:6" x14ac:dyDescent="0.2">
      <c r="A386" s="115"/>
      <c r="B386" s="79"/>
      <c r="C386" s="115"/>
      <c r="D386" s="115"/>
      <c r="E386" s="115"/>
      <c r="F386" s="115"/>
    </row>
    <row r="387" spans="1:6" x14ac:dyDescent="0.2">
      <c r="A387" s="115"/>
      <c r="B387" s="79"/>
      <c r="C387" s="115"/>
      <c r="D387" s="115"/>
      <c r="E387" s="115"/>
      <c r="F387" s="115"/>
    </row>
    <row r="388" spans="1:6" x14ac:dyDescent="0.2">
      <c r="A388" s="115"/>
      <c r="B388" s="79"/>
      <c r="C388" s="115"/>
      <c r="D388" s="115"/>
      <c r="E388" s="115"/>
      <c r="F388" s="115"/>
    </row>
    <row r="389" spans="1:6" x14ac:dyDescent="0.2">
      <c r="A389" s="115"/>
      <c r="B389" s="79"/>
      <c r="C389" s="115"/>
      <c r="D389" s="115"/>
      <c r="E389" s="115"/>
      <c r="F389" s="115"/>
    </row>
    <row r="390" spans="1:6" x14ac:dyDescent="0.2">
      <c r="A390" s="115"/>
      <c r="B390" s="79"/>
      <c r="C390" s="115"/>
      <c r="D390" s="115"/>
      <c r="E390" s="115"/>
      <c r="F390" s="115"/>
    </row>
    <row r="391" spans="1:6" x14ac:dyDescent="0.2">
      <c r="A391" s="115"/>
      <c r="B391" s="79"/>
      <c r="C391" s="115"/>
      <c r="D391" s="115"/>
      <c r="E391" s="115"/>
      <c r="F391" s="115"/>
    </row>
    <row r="392" spans="1:6" x14ac:dyDescent="0.2">
      <c r="A392" s="115"/>
      <c r="B392" s="79"/>
      <c r="C392" s="115"/>
      <c r="D392" s="115"/>
      <c r="E392" s="115"/>
      <c r="F392" s="115"/>
    </row>
    <row r="393" spans="1:6" x14ac:dyDescent="0.2">
      <c r="A393" s="115"/>
      <c r="B393" s="79"/>
      <c r="C393" s="115"/>
      <c r="D393" s="115"/>
      <c r="E393" s="115"/>
      <c r="F393" s="115"/>
    </row>
    <row r="394" spans="1:6" x14ac:dyDescent="0.2">
      <c r="A394" s="115"/>
      <c r="B394" s="79"/>
      <c r="C394" s="115"/>
      <c r="D394" s="115"/>
      <c r="E394" s="115"/>
      <c r="F394" s="115"/>
    </row>
    <row r="395" spans="1:6" x14ac:dyDescent="0.2">
      <c r="A395" s="115"/>
      <c r="B395" s="79"/>
      <c r="C395" s="115"/>
      <c r="D395" s="115"/>
      <c r="E395" s="115"/>
      <c r="F395" s="115"/>
    </row>
    <row r="396" spans="1:6" x14ac:dyDescent="0.2">
      <c r="A396" s="115"/>
      <c r="B396" s="79"/>
      <c r="C396" s="115"/>
      <c r="D396" s="115"/>
      <c r="E396" s="115"/>
      <c r="F396" s="115"/>
    </row>
    <row r="397" spans="1:6" x14ac:dyDescent="0.2">
      <c r="A397" s="115"/>
      <c r="B397" s="79"/>
      <c r="C397" s="115"/>
      <c r="D397" s="115"/>
      <c r="E397" s="115"/>
      <c r="F397" s="115"/>
    </row>
    <row r="398" spans="1:6" x14ac:dyDescent="0.2">
      <c r="A398" s="115"/>
      <c r="B398" s="79"/>
      <c r="C398" s="115"/>
      <c r="D398" s="115"/>
      <c r="E398" s="115"/>
      <c r="F398" s="115"/>
    </row>
    <row r="399" spans="1:6" x14ac:dyDescent="0.2">
      <c r="A399" s="115"/>
      <c r="B399" s="79"/>
      <c r="C399" s="115"/>
      <c r="D399" s="115"/>
      <c r="E399" s="115"/>
      <c r="F399" s="115"/>
    </row>
    <row r="400" spans="1:6" x14ac:dyDescent="0.2">
      <c r="A400" s="115"/>
      <c r="B400" s="79"/>
      <c r="C400" s="115"/>
      <c r="D400" s="115"/>
      <c r="E400" s="115"/>
      <c r="F400" s="115"/>
    </row>
    <row r="401" spans="1:6" x14ac:dyDescent="0.2">
      <c r="A401" s="115"/>
      <c r="B401" s="79"/>
      <c r="C401" s="115"/>
      <c r="D401" s="115"/>
      <c r="E401" s="115"/>
      <c r="F401" s="115"/>
    </row>
    <row r="402" spans="1:6" x14ac:dyDescent="0.2">
      <c r="A402" s="115"/>
      <c r="B402" s="79"/>
      <c r="C402" s="115"/>
      <c r="D402" s="115"/>
      <c r="E402" s="115"/>
      <c r="F402" s="115"/>
    </row>
    <row r="403" spans="1:6" x14ac:dyDescent="0.2">
      <c r="A403" s="115"/>
      <c r="B403" s="79"/>
      <c r="C403" s="115"/>
      <c r="D403" s="115"/>
      <c r="E403" s="115"/>
      <c r="F403" s="115"/>
    </row>
    <row r="404" spans="1:6" x14ac:dyDescent="0.2">
      <c r="A404" s="115"/>
      <c r="B404" s="79"/>
      <c r="C404" s="115"/>
      <c r="D404" s="115"/>
      <c r="E404" s="115"/>
      <c r="F404" s="115"/>
    </row>
    <row r="405" spans="1:6" x14ac:dyDescent="0.2">
      <c r="A405" s="115"/>
      <c r="B405" s="79"/>
      <c r="C405" s="115"/>
      <c r="D405" s="115"/>
      <c r="E405" s="115"/>
      <c r="F405" s="115"/>
    </row>
    <row r="406" spans="1:6" x14ac:dyDescent="0.2">
      <c r="A406" s="115"/>
      <c r="B406" s="79"/>
      <c r="C406" s="115"/>
      <c r="D406" s="115"/>
      <c r="E406" s="115"/>
      <c r="F406" s="115"/>
    </row>
    <row r="407" spans="1:6" x14ac:dyDescent="0.2">
      <c r="A407" s="115"/>
      <c r="B407" s="79"/>
      <c r="C407" s="115"/>
      <c r="D407" s="115"/>
      <c r="E407" s="115"/>
      <c r="F407" s="115"/>
    </row>
    <row r="408" spans="1:6" x14ac:dyDescent="0.2">
      <c r="A408" s="115"/>
      <c r="B408" s="79"/>
      <c r="C408" s="115"/>
      <c r="D408" s="115"/>
      <c r="E408" s="115"/>
      <c r="F408" s="115"/>
    </row>
    <row r="409" spans="1:6" x14ac:dyDescent="0.2">
      <c r="A409" s="115"/>
      <c r="B409" s="79"/>
      <c r="C409" s="115"/>
      <c r="D409" s="115"/>
      <c r="E409" s="115"/>
      <c r="F409" s="115"/>
    </row>
    <row r="410" spans="1:6" x14ac:dyDescent="0.2">
      <c r="A410" s="115"/>
      <c r="B410" s="79"/>
      <c r="C410" s="115"/>
      <c r="D410" s="115"/>
      <c r="E410" s="115"/>
      <c r="F410" s="115"/>
    </row>
    <row r="411" spans="1:6" x14ac:dyDescent="0.2">
      <c r="A411" s="115"/>
      <c r="B411" s="79"/>
      <c r="C411" s="115"/>
      <c r="D411" s="115"/>
      <c r="E411" s="115"/>
      <c r="F411" s="115"/>
    </row>
    <row r="412" spans="1:6" x14ac:dyDescent="0.2">
      <c r="A412" s="115"/>
      <c r="B412" s="79"/>
      <c r="C412" s="115"/>
      <c r="D412" s="115"/>
      <c r="E412" s="115"/>
      <c r="F412" s="115"/>
    </row>
    <row r="413" spans="1:6" x14ac:dyDescent="0.2">
      <c r="A413" s="115"/>
      <c r="B413" s="79"/>
      <c r="C413" s="115"/>
      <c r="D413" s="115"/>
      <c r="E413" s="115"/>
      <c r="F413" s="115"/>
    </row>
    <row r="414" spans="1:6" x14ac:dyDescent="0.2">
      <c r="A414" s="115"/>
      <c r="B414" s="79"/>
      <c r="C414" s="115"/>
      <c r="D414" s="115"/>
      <c r="E414" s="115"/>
      <c r="F414" s="115"/>
    </row>
    <row r="415" spans="1:6" x14ac:dyDescent="0.2">
      <c r="A415" s="115"/>
      <c r="B415" s="79"/>
      <c r="C415" s="115"/>
      <c r="D415" s="115"/>
      <c r="E415" s="115"/>
      <c r="F415" s="115"/>
    </row>
    <row r="416" spans="1:6" x14ac:dyDescent="0.2">
      <c r="A416" s="115"/>
      <c r="B416" s="79"/>
      <c r="C416" s="115"/>
      <c r="D416" s="115"/>
      <c r="E416" s="115"/>
      <c r="F416" s="115"/>
    </row>
    <row r="417" spans="1:6" x14ac:dyDescent="0.2">
      <c r="A417" s="115"/>
      <c r="B417" s="79"/>
      <c r="C417" s="115"/>
      <c r="D417" s="115"/>
      <c r="E417" s="115"/>
      <c r="F417" s="115"/>
    </row>
    <row r="418" spans="1:6" x14ac:dyDescent="0.2">
      <c r="A418" s="115"/>
      <c r="B418" s="79"/>
      <c r="C418" s="115"/>
      <c r="D418" s="115"/>
      <c r="E418" s="115"/>
      <c r="F418" s="115"/>
    </row>
    <row r="419" spans="1:6" x14ac:dyDescent="0.2">
      <c r="A419" s="115"/>
      <c r="B419" s="79"/>
      <c r="C419" s="115"/>
      <c r="D419" s="115"/>
      <c r="E419" s="115"/>
      <c r="F419" s="115"/>
    </row>
    <row r="420" spans="1:6" x14ac:dyDescent="0.2">
      <c r="A420" s="115"/>
      <c r="B420" s="79"/>
      <c r="C420" s="115"/>
      <c r="D420" s="115"/>
      <c r="E420" s="115"/>
      <c r="F420" s="115"/>
    </row>
    <row r="421" spans="1:6" x14ac:dyDescent="0.2">
      <c r="A421" s="115"/>
      <c r="B421" s="79"/>
      <c r="C421" s="115"/>
      <c r="D421" s="115"/>
      <c r="E421" s="115"/>
      <c r="F421" s="115"/>
    </row>
    <row r="422" spans="1:6" x14ac:dyDescent="0.2">
      <c r="A422" s="115"/>
      <c r="B422" s="79"/>
      <c r="C422" s="115"/>
      <c r="D422" s="115"/>
      <c r="E422" s="115"/>
      <c r="F422" s="115"/>
    </row>
    <row r="423" spans="1:6" x14ac:dyDescent="0.2">
      <c r="A423" s="115"/>
      <c r="B423" s="79"/>
      <c r="C423" s="115"/>
      <c r="D423" s="115"/>
      <c r="E423" s="115"/>
      <c r="F423" s="115"/>
    </row>
    <row r="424" spans="1:6" x14ac:dyDescent="0.2">
      <c r="A424" s="115"/>
      <c r="B424" s="79"/>
      <c r="C424" s="115"/>
      <c r="D424" s="115"/>
      <c r="E424" s="115"/>
      <c r="F424" s="115"/>
    </row>
    <row r="425" spans="1:6" x14ac:dyDescent="0.2">
      <c r="A425" s="115"/>
      <c r="B425" s="79"/>
      <c r="C425" s="115"/>
      <c r="D425" s="115"/>
      <c r="E425" s="115"/>
      <c r="F425" s="115"/>
    </row>
    <row r="426" spans="1:6" x14ac:dyDescent="0.2">
      <c r="A426" s="115"/>
      <c r="B426" s="79"/>
      <c r="C426" s="115"/>
      <c r="D426" s="115"/>
      <c r="E426" s="115"/>
      <c r="F426" s="115"/>
    </row>
    <row r="427" spans="1:6" x14ac:dyDescent="0.2">
      <c r="A427" s="115"/>
      <c r="B427" s="79"/>
      <c r="C427" s="115"/>
      <c r="D427" s="115"/>
      <c r="E427" s="115"/>
      <c r="F427" s="115"/>
    </row>
    <row r="428" spans="1:6" x14ac:dyDescent="0.2">
      <c r="A428" s="115"/>
      <c r="B428" s="79"/>
      <c r="C428" s="115"/>
      <c r="D428" s="115"/>
      <c r="E428" s="115"/>
      <c r="F428" s="115"/>
    </row>
    <row r="429" spans="1:6" x14ac:dyDescent="0.2">
      <c r="A429" s="115"/>
      <c r="B429" s="79"/>
      <c r="C429" s="115"/>
      <c r="D429" s="115"/>
      <c r="E429" s="115"/>
      <c r="F429" s="115"/>
    </row>
    <row r="430" spans="1:6" x14ac:dyDescent="0.2">
      <c r="A430" s="115"/>
      <c r="B430" s="79"/>
      <c r="C430" s="115"/>
      <c r="D430" s="115"/>
      <c r="E430" s="115"/>
      <c r="F430" s="115"/>
    </row>
    <row r="431" spans="1:6" x14ac:dyDescent="0.2">
      <c r="A431" s="115"/>
      <c r="B431" s="79"/>
      <c r="C431" s="115"/>
      <c r="D431" s="115"/>
      <c r="E431" s="115"/>
      <c r="F431" s="115"/>
    </row>
    <row r="432" spans="1:6" x14ac:dyDescent="0.2">
      <c r="A432" s="115"/>
      <c r="B432" s="79"/>
      <c r="C432" s="115"/>
      <c r="D432" s="115"/>
      <c r="E432" s="115"/>
      <c r="F432" s="115"/>
    </row>
    <row r="433" spans="1:6" x14ac:dyDescent="0.2">
      <c r="A433" s="115"/>
      <c r="B433" s="79"/>
      <c r="C433" s="115"/>
      <c r="D433" s="115"/>
      <c r="E433" s="115"/>
      <c r="F433" s="115"/>
    </row>
    <row r="434" spans="1:6" x14ac:dyDescent="0.2">
      <c r="A434" s="115"/>
      <c r="B434" s="79"/>
      <c r="C434" s="115"/>
      <c r="D434" s="115"/>
      <c r="E434" s="115"/>
      <c r="F434" s="115"/>
    </row>
    <row r="435" spans="1:6" x14ac:dyDescent="0.2">
      <c r="A435" s="115"/>
      <c r="B435" s="79"/>
      <c r="C435" s="115"/>
      <c r="D435" s="115"/>
      <c r="E435" s="115"/>
      <c r="F435" s="115"/>
    </row>
    <row r="436" spans="1:6" x14ac:dyDescent="0.2">
      <c r="A436" s="115"/>
      <c r="B436" s="79"/>
      <c r="C436" s="115"/>
      <c r="D436" s="115"/>
      <c r="E436" s="115"/>
      <c r="F436" s="115"/>
    </row>
    <row r="437" spans="1:6" x14ac:dyDescent="0.2">
      <c r="A437" s="115"/>
      <c r="B437" s="79"/>
      <c r="C437" s="115"/>
      <c r="D437" s="115"/>
      <c r="E437" s="115"/>
      <c r="F437" s="115"/>
    </row>
    <row r="438" spans="1:6" x14ac:dyDescent="0.2">
      <c r="A438" s="115"/>
      <c r="B438" s="79"/>
      <c r="C438" s="115"/>
      <c r="D438" s="115"/>
      <c r="E438" s="115"/>
      <c r="F438" s="115"/>
    </row>
    <row r="439" spans="1:6" x14ac:dyDescent="0.2">
      <c r="A439" s="115"/>
      <c r="B439" s="79"/>
      <c r="C439" s="115"/>
      <c r="D439" s="115"/>
      <c r="E439" s="115"/>
      <c r="F439" s="115"/>
    </row>
    <row r="440" spans="1:6" x14ac:dyDescent="0.2">
      <c r="A440" s="115"/>
      <c r="B440" s="79"/>
      <c r="C440" s="115"/>
      <c r="D440" s="115"/>
      <c r="E440" s="115"/>
      <c r="F440" s="115"/>
    </row>
    <row r="441" spans="1:6" x14ac:dyDescent="0.2">
      <c r="A441" s="115"/>
      <c r="B441" s="79"/>
      <c r="C441" s="115"/>
      <c r="D441" s="115"/>
      <c r="E441" s="115"/>
      <c r="F441" s="115"/>
    </row>
    <row r="442" spans="1:6" x14ac:dyDescent="0.2">
      <c r="A442" s="115"/>
      <c r="B442" s="79"/>
      <c r="C442" s="115"/>
      <c r="D442" s="115"/>
      <c r="E442" s="115"/>
      <c r="F442" s="115"/>
    </row>
    <row r="443" spans="1:6" x14ac:dyDescent="0.2">
      <c r="A443" s="115"/>
      <c r="B443" s="79"/>
      <c r="C443" s="115"/>
      <c r="D443" s="115"/>
      <c r="E443" s="115"/>
      <c r="F443" s="115"/>
    </row>
    <row r="444" spans="1:6" x14ac:dyDescent="0.2">
      <c r="A444" s="115"/>
      <c r="B444" s="79"/>
      <c r="C444" s="115"/>
      <c r="D444" s="115"/>
      <c r="E444" s="115"/>
      <c r="F444" s="115"/>
    </row>
    <row r="445" spans="1:6" x14ac:dyDescent="0.2">
      <c r="A445" s="115"/>
      <c r="B445" s="79"/>
      <c r="C445" s="115"/>
      <c r="D445" s="115"/>
      <c r="E445" s="115"/>
      <c r="F445" s="115"/>
    </row>
    <row r="446" spans="1:6" x14ac:dyDescent="0.2">
      <c r="A446" s="115"/>
      <c r="B446" s="79"/>
      <c r="C446" s="115"/>
      <c r="D446" s="115"/>
      <c r="E446" s="115"/>
      <c r="F446" s="115"/>
    </row>
    <row r="447" spans="1:6" x14ac:dyDescent="0.2">
      <c r="A447" s="115"/>
      <c r="B447" s="79"/>
      <c r="C447" s="115"/>
      <c r="D447" s="115"/>
      <c r="E447" s="115"/>
      <c r="F447" s="115"/>
    </row>
    <row r="448" spans="1:6" x14ac:dyDescent="0.2">
      <c r="A448" s="115"/>
      <c r="B448" s="79"/>
      <c r="C448" s="115"/>
      <c r="D448" s="115"/>
      <c r="E448" s="115"/>
      <c r="F448" s="115"/>
    </row>
    <row r="449" spans="1:6" x14ac:dyDescent="0.2">
      <c r="A449" s="115"/>
      <c r="B449" s="79"/>
      <c r="C449" s="115"/>
      <c r="D449" s="115"/>
      <c r="E449" s="115"/>
      <c r="F449" s="115"/>
    </row>
    <row r="450" spans="1:6" x14ac:dyDescent="0.2">
      <c r="A450" s="115"/>
      <c r="B450" s="79"/>
      <c r="C450" s="115"/>
      <c r="D450" s="115"/>
      <c r="E450" s="115"/>
      <c r="F450" s="115"/>
    </row>
    <row r="451" spans="1:6" x14ac:dyDescent="0.2">
      <c r="A451" s="115"/>
      <c r="B451" s="79"/>
      <c r="C451" s="115"/>
      <c r="D451" s="115"/>
      <c r="E451" s="115"/>
      <c r="F451" s="115"/>
    </row>
    <row r="452" spans="1:6" x14ac:dyDescent="0.2">
      <c r="A452" s="115"/>
      <c r="B452" s="79"/>
      <c r="C452" s="115"/>
      <c r="D452" s="115"/>
      <c r="E452" s="115"/>
      <c r="F452" s="115"/>
    </row>
    <row r="453" spans="1:6" x14ac:dyDescent="0.2">
      <c r="A453" s="115"/>
      <c r="B453" s="79"/>
      <c r="C453" s="115"/>
      <c r="D453" s="115"/>
      <c r="E453" s="115"/>
      <c r="F453" s="115"/>
    </row>
    <row r="454" spans="1:6" x14ac:dyDescent="0.2">
      <c r="A454" s="115"/>
      <c r="B454" s="79"/>
      <c r="C454" s="115"/>
      <c r="D454" s="115"/>
      <c r="E454" s="115"/>
      <c r="F454" s="115"/>
    </row>
    <row r="455" spans="1:6" x14ac:dyDescent="0.2">
      <c r="A455" s="115"/>
      <c r="B455" s="79"/>
      <c r="C455" s="115"/>
      <c r="D455" s="115"/>
      <c r="E455" s="115"/>
      <c r="F455" s="115"/>
    </row>
    <row r="456" spans="1:6" x14ac:dyDescent="0.2">
      <c r="A456" s="115"/>
      <c r="B456" s="79"/>
      <c r="C456" s="115"/>
      <c r="D456" s="115"/>
      <c r="E456" s="115"/>
      <c r="F456" s="115"/>
    </row>
    <row r="457" spans="1:6" x14ac:dyDescent="0.2">
      <c r="A457" s="115"/>
      <c r="B457" s="79"/>
      <c r="C457" s="115"/>
      <c r="D457" s="115"/>
      <c r="E457" s="115"/>
      <c r="F457" s="115"/>
    </row>
    <row r="458" spans="1:6" x14ac:dyDescent="0.2">
      <c r="A458" s="115"/>
      <c r="B458" s="79"/>
      <c r="C458" s="115"/>
      <c r="D458" s="115"/>
      <c r="E458" s="115"/>
      <c r="F458" s="115"/>
    </row>
    <row r="459" spans="1:6" x14ac:dyDescent="0.2">
      <c r="A459" s="115"/>
      <c r="B459" s="79"/>
      <c r="C459" s="115"/>
      <c r="D459" s="115"/>
      <c r="E459" s="115"/>
      <c r="F459" s="115"/>
    </row>
    <row r="460" spans="1:6" x14ac:dyDescent="0.2">
      <c r="A460" s="115"/>
      <c r="B460" s="79"/>
      <c r="C460" s="115"/>
      <c r="D460" s="115"/>
      <c r="E460" s="115"/>
      <c r="F460" s="115"/>
    </row>
    <row r="461" spans="1:6" x14ac:dyDescent="0.2">
      <c r="A461" s="115"/>
      <c r="B461" s="79"/>
      <c r="C461" s="115"/>
      <c r="D461" s="115"/>
      <c r="E461" s="115"/>
      <c r="F461" s="115"/>
    </row>
    <row r="462" spans="1:6" x14ac:dyDescent="0.2">
      <c r="A462" s="115"/>
      <c r="B462" s="79"/>
      <c r="C462" s="115"/>
      <c r="D462" s="115"/>
      <c r="E462" s="115"/>
      <c r="F462" s="115"/>
    </row>
    <row r="463" spans="1:6" x14ac:dyDescent="0.2">
      <c r="A463" s="115"/>
      <c r="B463" s="79"/>
      <c r="C463" s="115"/>
      <c r="D463" s="115"/>
      <c r="E463" s="115"/>
      <c r="F463" s="115"/>
    </row>
    <row r="464" spans="1:6" x14ac:dyDescent="0.2">
      <c r="A464" s="115"/>
      <c r="B464" s="79"/>
      <c r="C464" s="115"/>
      <c r="D464" s="115"/>
      <c r="E464" s="115"/>
      <c r="F464" s="115"/>
    </row>
    <row r="465" spans="1:6" x14ac:dyDescent="0.2">
      <c r="A465" s="115"/>
      <c r="B465" s="79"/>
      <c r="C465" s="115"/>
      <c r="D465" s="115"/>
      <c r="E465" s="115"/>
      <c r="F465" s="115"/>
    </row>
    <row r="466" spans="1:6" x14ac:dyDescent="0.2">
      <c r="A466" s="115"/>
      <c r="B466" s="79"/>
      <c r="C466" s="115"/>
      <c r="D466" s="115"/>
      <c r="E466" s="115"/>
      <c r="F466" s="115"/>
    </row>
    <row r="467" spans="1:6" x14ac:dyDescent="0.2">
      <c r="A467" s="115"/>
      <c r="B467" s="79"/>
      <c r="C467" s="115"/>
      <c r="D467" s="115"/>
      <c r="E467" s="115"/>
      <c r="F467" s="115"/>
    </row>
    <row r="468" spans="1:6" x14ac:dyDescent="0.2">
      <c r="A468" s="115"/>
      <c r="B468" s="79"/>
      <c r="C468" s="115"/>
      <c r="D468" s="115"/>
      <c r="E468" s="115"/>
      <c r="F468" s="115"/>
    </row>
    <row r="469" spans="1:6" x14ac:dyDescent="0.2">
      <c r="A469" s="115"/>
      <c r="B469" s="79"/>
      <c r="C469" s="115"/>
      <c r="D469" s="115"/>
      <c r="E469" s="115"/>
      <c r="F469" s="115"/>
    </row>
    <row r="470" spans="1:6" x14ac:dyDescent="0.2">
      <c r="A470" s="115"/>
      <c r="B470" s="79"/>
      <c r="C470" s="115"/>
      <c r="D470" s="115"/>
      <c r="E470" s="115"/>
      <c r="F470" s="115"/>
    </row>
    <row r="471" spans="1:6" x14ac:dyDescent="0.2">
      <c r="A471" s="115"/>
      <c r="B471" s="79"/>
      <c r="C471" s="115"/>
      <c r="D471" s="115"/>
      <c r="E471" s="115"/>
      <c r="F471" s="115"/>
    </row>
    <row r="472" spans="1:6" x14ac:dyDescent="0.2">
      <c r="A472" s="115"/>
      <c r="B472" s="79"/>
      <c r="C472" s="115"/>
      <c r="D472" s="115"/>
      <c r="E472" s="115"/>
      <c r="F472" s="115"/>
    </row>
    <row r="473" spans="1:6" x14ac:dyDescent="0.2">
      <c r="A473" s="115"/>
      <c r="B473" s="79"/>
      <c r="C473" s="115"/>
      <c r="D473" s="115"/>
      <c r="E473" s="115"/>
      <c r="F473" s="115"/>
    </row>
    <row r="474" spans="1:6" x14ac:dyDescent="0.2">
      <c r="A474" s="115"/>
      <c r="B474" s="79"/>
      <c r="C474" s="115"/>
      <c r="D474" s="115"/>
      <c r="E474" s="115"/>
      <c r="F474" s="115"/>
    </row>
    <row r="475" spans="1:6" x14ac:dyDescent="0.2">
      <c r="A475" s="115"/>
      <c r="B475" s="79"/>
      <c r="C475" s="115"/>
      <c r="D475" s="115"/>
      <c r="E475" s="115"/>
      <c r="F475" s="115"/>
    </row>
    <row r="476" spans="1:6" x14ac:dyDescent="0.2">
      <c r="A476" s="115"/>
      <c r="B476" s="79"/>
      <c r="C476" s="115"/>
      <c r="D476" s="115"/>
      <c r="E476" s="115"/>
      <c r="F476" s="115"/>
    </row>
    <row r="477" spans="1:6" x14ac:dyDescent="0.2">
      <c r="A477" s="115"/>
      <c r="B477" s="79"/>
      <c r="C477" s="115"/>
      <c r="D477" s="115"/>
      <c r="E477" s="115"/>
      <c r="F477" s="115"/>
    </row>
    <row r="478" spans="1:6" x14ac:dyDescent="0.2">
      <c r="A478" s="115"/>
      <c r="B478" s="79"/>
      <c r="C478" s="115"/>
      <c r="D478" s="115"/>
      <c r="E478" s="115"/>
      <c r="F478" s="115"/>
    </row>
    <row r="479" spans="1:6" x14ac:dyDescent="0.2">
      <c r="A479" s="115"/>
      <c r="B479" s="79"/>
      <c r="C479" s="115"/>
      <c r="D479" s="115"/>
      <c r="E479" s="115"/>
      <c r="F479" s="115"/>
    </row>
    <row r="480" spans="1:6" x14ac:dyDescent="0.2">
      <c r="A480" s="115"/>
      <c r="B480" s="79"/>
      <c r="C480" s="115"/>
      <c r="D480" s="115"/>
      <c r="E480" s="115"/>
      <c r="F480" s="115"/>
    </row>
    <row r="481" spans="1:6" x14ac:dyDescent="0.2">
      <c r="A481" s="115"/>
      <c r="B481" s="79"/>
      <c r="C481" s="115"/>
      <c r="D481" s="115"/>
      <c r="E481" s="115"/>
      <c r="F481" s="115"/>
    </row>
    <row r="482" spans="1:6" x14ac:dyDescent="0.2">
      <c r="A482" s="115"/>
      <c r="B482" s="79"/>
      <c r="C482" s="115"/>
      <c r="D482" s="115"/>
      <c r="E482" s="115"/>
      <c r="F482" s="115"/>
    </row>
    <row r="483" spans="1:6" x14ac:dyDescent="0.2">
      <c r="A483" s="115"/>
      <c r="B483" s="79"/>
      <c r="C483" s="115"/>
      <c r="D483" s="115"/>
      <c r="E483" s="115"/>
      <c r="F483" s="115"/>
    </row>
    <row r="484" spans="1:6" x14ac:dyDescent="0.2">
      <c r="A484" s="115"/>
      <c r="B484" s="79"/>
      <c r="C484" s="115"/>
      <c r="D484" s="115"/>
      <c r="E484" s="115"/>
      <c r="F484" s="115"/>
    </row>
    <row r="485" spans="1:6" x14ac:dyDescent="0.2">
      <c r="A485" s="115"/>
      <c r="B485" s="79"/>
      <c r="C485" s="115"/>
      <c r="D485" s="115"/>
      <c r="E485" s="115"/>
      <c r="F485" s="115"/>
    </row>
    <row r="486" spans="1:6" x14ac:dyDescent="0.2">
      <c r="A486" s="115"/>
      <c r="B486" s="79"/>
      <c r="C486" s="115"/>
      <c r="D486" s="115"/>
      <c r="E486" s="115"/>
      <c r="F486" s="115"/>
    </row>
    <row r="487" spans="1:6" x14ac:dyDescent="0.2">
      <c r="A487" s="115"/>
      <c r="B487" s="79"/>
      <c r="C487" s="115"/>
      <c r="D487" s="115"/>
      <c r="E487" s="115"/>
      <c r="F487" s="115"/>
    </row>
    <row r="488" spans="1:6" x14ac:dyDescent="0.2">
      <c r="A488" s="115"/>
      <c r="B488" s="79"/>
      <c r="C488" s="115"/>
      <c r="D488" s="115"/>
      <c r="E488" s="115"/>
      <c r="F488" s="115"/>
    </row>
    <row r="489" spans="1:6" x14ac:dyDescent="0.2">
      <c r="A489" s="115"/>
      <c r="B489" s="79"/>
      <c r="C489" s="115"/>
      <c r="D489" s="115"/>
      <c r="E489" s="115"/>
      <c r="F489" s="115"/>
    </row>
    <row r="490" spans="1:6" x14ac:dyDescent="0.2">
      <c r="A490" s="115"/>
      <c r="B490" s="79"/>
      <c r="C490" s="115"/>
      <c r="D490" s="115"/>
      <c r="E490" s="115"/>
      <c r="F490" s="115"/>
    </row>
    <row r="491" spans="1:6" x14ac:dyDescent="0.2">
      <c r="A491" s="115"/>
      <c r="B491" s="79"/>
      <c r="C491" s="115"/>
      <c r="D491" s="115"/>
      <c r="E491" s="115"/>
      <c r="F491" s="115"/>
    </row>
    <row r="492" spans="1:6" x14ac:dyDescent="0.2">
      <c r="A492" s="115"/>
      <c r="B492" s="79"/>
      <c r="C492" s="115"/>
      <c r="D492" s="115"/>
      <c r="E492" s="115"/>
      <c r="F492" s="115"/>
    </row>
    <row r="493" spans="1:6" x14ac:dyDescent="0.2">
      <c r="A493" s="115"/>
      <c r="B493" s="79"/>
      <c r="C493" s="115"/>
      <c r="D493" s="115"/>
      <c r="E493" s="115"/>
      <c r="F493" s="115"/>
    </row>
    <row r="494" spans="1:6" x14ac:dyDescent="0.2">
      <c r="A494" s="115"/>
      <c r="B494" s="79"/>
      <c r="C494" s="115"/>
      <c r="D494" s="115"/>
      <c r="E494" s="115"/>
      <c r="F494" s="115"/>
    </row>
    <row r="495" spans="1:6" x14ac:dyDescent="0.2">
      <c r="A495" s="115"/>
      <c r="B495" s="79"/>
      <c r="C495" s="115"/>
      <c r="D495" s="115"/>
      <c r="E495" s="115"/>
      <c r="F495" s="115"/>
    </row>
    <row r="496" spans="1:6" x14ac:dyDescent="0.2">
      <c r="A496" s="115"/>
      <c r="B496" s="79"/>
      <c r="C496" s="115"/>
      <c r="D496" s="115"/>
      <c r="E496" s="115"/>
      <c r="F496" s="115"/>
    </row>
    <row r="497" spans="1:6" x14ac:dyDescent="0.2">
      <c r="A497" s="115"/>
      <c r="B497" s="79"/>
      <c r="C497" s="115"/>
      <c r="D497" s="115"/>
      <c r="E497" s="115"/>
      <c r="F497" s="115"/>
    </row>
    <row r="498" spans="1:6" x14ac:dyDescent="0.2">
      <c r="A498" s="115"/>
      <c r="B498" s="79"/>
      <c r="C498" s="115"/>
      <c r="D498" s="115"/>
      <c r="E498" s="115"/>
      <c r="F498" s="115"/>
    </row>
    <row r="499" spans="1:6" x14ac:dyDescent="0.2">
      <c r="A499" s="115"/>
      <c r="B499" s="79"/>
      <c r="C499" s="115"/>
      <c r="D499" s="115"/>
      <c r="E499" s="115"/>
      <c r="F499" s="115"/>
    </row>
    <row r="500" spans="1:6" x14ac:dyDescent="0.2">
      <c r="A500" s="115"/>
      <c r="B500" s="79"/>
      <c r="C500" s="115"/>
      <c r="D500" s="115"/>
      <c r="E500" s="115"/>
      <c r="F500" s="115"/>
    </row>
    <row r="501" spans="1:6" x14ac:dyDescent="0.2">
      <c r="A501" s="115"/>
      <c r="B501" s="79"/>
      <c r="C501" s="115"/>
      <c r="D501" s="115"/>
      <c r="E501" s="115"/>
      <c r="F501" s="115"/>
    </row>
    <row r="502" spans="1:6" x14ac:dyDescent="0.2">
      <c r="A502" s="115"/>
      <c r="B502" s="79"/>
      <c r="C502" s="115"/>
      <c r="D502" s="115"/>
      <c r="E502" s="115"/>
      <c r="F502" s="115"/>
    </row>
    <row r="503" spans="1:6" x14ac:dyDescent="0.2">
      <c r="A503" s="115"/>
      <c r="B503" s="79"/>
      <c r="C503" s="115"/>
      <c r="D503" s="115"/>
      <c r="E503" s="115"/>
      <c r="F503" s="115"/>
    </row>
    <row r="504" spans="1:6" x14ac:dyDescent="0.2">
      <c r="A504" s="115"/>
      <c r="B504" s="79"/>
      <c r="C504" s="115"/>
      <c r="D504" s="115"/>
      <c r="E504" s="115"/>
      <c r="F504" s="115"/>
    </row>
    <row r="505" spans="1:6" x14ac:dyDescent="0.2">
      <c r="A505" s="115"/>
      <c r="B505" s="79"/>
      <c r="C505" s="115"/>
      <c r="D505" s="115"/>
      <c r="E505" s="115"/>
      <c r="F505" s="115"/>
    </row>
    <row r="506" spans="1:6" x14ac:dyDescent="0.2">
      <c r="A506" s="115"/>
      <c r="B506" s="79"/>
      <c r="C506" s="115"/>
      <c r="D506" s="115"/>
      <c r="E506" s="115"/>
      <c r="F506" s="115"/>
    </row>
    <row r="507" spans="1:6" x14ac:dyDescent="0.2">
      <c r="A507" s="115"/>
      <c r="B507" s="79"/>
      <c r="C507" s="115"/>
      <c r="D507" s="115"/>
      <c r="E507" s="115"/>
      <c r="F507" s="115"/>
    </row>
    <row r="508" spans="1:6" x14ac:dyDescent="0.2">
      <c r="A508" s="115"/>
      <c r="B508" s="79"/>
      <c r="C508" s="115"/>
      <c r="D508" s="115"/>
      <c r="E508" s="115"/>
      <c r="F508" s="115"/>
    </row>
    <row r="509" spans="1:6" x14ac:dyDescent="0.2">
      <c r="A509" s="115"/>
      <c r="B509" s="79"/>
      <c r="C509" s="115"/>
      <c r="D509" s="115"/>
      <c r="E509" s="115"/>
      <c r="F509" s="115"/>
    </row>
    <row r="510" spans="1:6" x14ac:dyDescent="0.2">
      <c r="A510" s="115"/>
      <c r="B510" s="79"/>
      <c r="C510" s="115"/>
      <c r="D510" s="115"/>
      <c r="E510" s="115"/>
      <c r="F510" s="115"/>
    </row>
    <row r="511" spans="1:6" x14ac:dyDescent="0.2">
      <c r="A511" s="115"/>
      <c r="B511" s="79"/>
      <c r="C511" s="115"/>
      <c r="D511" s="115"/>
      <c r="E511" s="115"/>
      <c r="F511" s="115"/>
    </row>
    <row r="512" spans="1:6" x14ac:dyDescent="0.2">
      <c r="A512" s="115"/>
      <c r="B512" s="79"/>
      <c r="C512" s="115"/>
      <c r="D512" s="115"/>
      <c r="E512" s="115"/>
      <c r="F512" s="115"/>
    </row>
    <row r="513" spans="1:6" x14ac:dyDescent="0.2">
      <c r="A513" s="115"/>
      <c r="B513" s="79"/>
      <c r="C513" s="115"/>
      <c r="D513" s="115"/>
      <c r="E513" s="115"/>
      <c r="F513" s="115"/>
    </row>
    <row r="514" spans="1:6" x14ac:dyDescent="0.2">
      <c r="A514" s="115"/>
      <c r="B514" s="79"/>
      <c r="C514" s="115"/>
      <c r="D514" s="115"/>
      <c r="E514" s="115"/>
      <c r="F514" s="115"/>
    </row>
    <row r="515" spans="1:6" x14ac:dyDescent="0.2">
      <c r="A515" s="115"/>
      <c r="B515" s="79"/>
      <c r="C515" s="115"/>
      <c r="D515" s="115"/>
      <c r="E515" s="115"/>
      <c r="F515" s="115"/>
    </row>
    <row r="516" spans="1:6" x14ac:dyDescent="0.2">
      <c r="A516" s="115"/>
      <c r="B516" s="79"/>
      <c r="C516" s="115"/>
      <c r="D516" s="115"/>
      <c r="E516" s="115"/>
      <c r="F516" s="115"/>
    </row>
    <row r="517" spans="1:6" x14ac:dyDescent="0.2">
      <c r="A517" s="115"/>
      <c r="B517" s="79"/>
      <c r="C517" s="115"/>
      <c r="D517" s="115"/>
      <c r="E517" s="115"/>
      <c r="F517" s="115"/>
    </row>
    <row r="518" spans="1:6" x14ac:dyDescent="0.2">
      <c r="A518" s="115"/>
      <c r="B518" s="79"/>
      <c r="C518" s="115"/>
      <c r="D518" s="115"/>
      <c r="E518" s="115"/>
      <c r="F518" s="115"/>
    </row>
    <row r="519" spans="1:6" x14ac:dyDescent="0.2">
      <c r="A519" s="115"/>
      <c r="B519" s="79"/>
      <c r="C519" s="115"/>
      <c r="D519" s="115"/>
      <c r="E519" s="115"/>
      <c r="F519" s="115"/>
    </row>
    <row r="520" spans="1:6" x14ac:dyDescent="0.2">
      <c r="A520" s="115"/>
      <c r="B520" s="79"/>
      <c r="C520" s="115"/>
      <c r="D520" s="115"/>
      <c r="E520" s="115"/>
      <c r="F520" s="115"/>
    </row>
    <row r="521" spans="1:6" x14ac:dyDescent="0.2">
      <c r="A521" s="115"/>
      <c r="B521" s="79"/>
      <c r="C521" s="115"/>
      <c r="D521" s="115"/>
      <c r="E521" s="115"/>
      <c r="F521" s="115"/>
    </row>
    <row r="522" spans="1:6" x14ac:dyDescent="0.2">
      <c r="A522" s="115"/>
      <c r="B522" s="79"/>
      <c r="C522" s="115"/>
      <c r="D522" s="115"/>
      <c r="E522" s="115"/>
      <c r="F522" s="115"/>
    </row>
    <row r="523" spans="1:6" x14ac:dyDescent="0.2">
      <c r="A523" s="115"/>
      <c r="B523" s="79"/>
      <c r="C523" s="115"/>
      <c r="D523" s="115"/>
      <c r="E523" s="115"/>
      <c r="F523" s="115"/>
    </row>
    <row r="524" spans="1:6" x14ac:dyDescent="0.2">
      <c r="A524" s="115"/>
      <c r="B524" s="79"/>
      <c r="C524" s="115"/>
      <c r="D524" s="115"/>
      <c r="E524" s="115"/>
      <c r="F524" s="115"/>
    </row>
    <row r="525" spans="1:6" x14ac:dyDescent="0.2">
      <c r="A525" s="115"/>
      <c r="B525" s="79"/>
      <c r="C525" s="115"/>
      <c r="D525" s="115"/>
      <c r="E525" s="115"/>
      <c r="F525" s="115"/>
    </row>
    <row r="526" spans="1:6" x14ac:dyDescent="0.2">
      <c r="A526" s="115"/>
      <c r="B526" s="79"/>
      <c r="C526" s="115"/>
      <c r="D526" s="115"/>
      <c r="E526" s="115"/>
      <c r="F526" s="115"/>
    </row>
    <row r="527" spans="1:6" x14ac:dyDescent="0.2">
      <c r="A527" s="115"/>
      <c r="B527" s="79"/>
      <c r="C527" s="115"/>
      <c r="D527" s="115"/>
      <c r="E527" s="115"/>
      <c r="F527" s="115"/>
    </row>
    <row r="528" spans="1:6" x14ac:dyDescent="0.2">
      <c r="A528" s="115"/>
      <c r="B528" s="79"/>
      <c r="C528" s="115"/>
      <c r="D528" s="115"/>
      <c r="E528" s="115"/>
      <c r="F528" s="115"/>
    </row>
    <row r="529" spans="1:6" x14ac:dyDescent="0.2">
      <c r="A529" s="115"/>
      <c r="B529" s="79"/>
      <c r="C529" s="115"/>
      <c r="D529" s="115"/>
      <c r="E529" s="115"/>
      <c r="F529" s="115"/>
    </row>
    <row r="530" spans="1:6" x14ac:dyDescent="0.2">
      <c r="A530" s="115"/>
      <c r="B530" s="79"/>
      <c r="C530" s="115"/>
      <c r="D530" s="115"/>
      <c r="E530" s="115"/>
      <c r="F530" s="115"/>
    </row>
    <row r="531" spans="1:6" x14ac:dyDescent="0.2">
      <c r="A531" s="115"/>
      <c r="B531" s="79"/>
      <c r="C531" s="115"/>
      <c r="D531" s="115"/>
      <c r="E531" s="115"/>
      <c r="F531" s="115"/>
    </row>
    <row r="532" spans="1:6" x14ac:dyDescent="0.2">
      <c r="A532" s="115"/>
      <c r="B532" s="79"/>
      <c r="C532" s="115"/>
      <c r="D532" s="115"/>
      <c r="E532" s="115"/>
      <c r="F532" s="115"/>
    </row>
    <row r="533" spans="1:6" x14ac:dyDescent="0.2">
      <c r="A533" s="115"/>
      <c r="B533" s="79"/>
      <c r="C533" s="115"/>
      <c r="D533" s="115"/>
      <c r="E533" s="115"/>
      <c r="F533" s="115"/>
    </row>
    <row r="534" spans="1:6" x14ac:dyDescent="0.2">
      <c r="A534" s="115"/>
      <c r="B534" s="79"/>
      <c r="C534" s="115"/>
      <c r="D534" s="115"/>
      <c r="E534" s="115"/>
      <c r="F534" s="115"/>
    </row>
    <row r="535" spans="1:6" x14ac:dyDescent="0.2">
      <c r="A535" s="115"/>
      <c r="B535" s="79"/>
      <c r="C535" s="115"/>
      <c r="D535" s="115"/>
      <c r="E535" s="115"/>
      <c r="F535" s="115"/>
    </row>
    <row r="536" spans="1:6" x14ac:dyDescent="0.2">
      <c r="A536" s="115"/>
      <c r="B536" s="79"/>
      <c r="C536" s="115"/>
      <c r="D536" s="115"/>
      <c r="E536" s="115"/>
      <c r="F536" s="115"/>
    </row>
    <row r="537" spans="1:6" x14ac:dyDescent="0.2">
      <c r="A537" s="115"/>
      <c r="B537" s="79"/>
      <c r="C537" s="115"/>
      <c r="D537" s="115"/>
      <c r="E537" s="115"/>
      <c r="F537" s="115"/>
    </row>
    <row r="538" spans="1:6" x14ac:dyDescent="0.2">
      <c r="A538" s="115"/>
      <c r="B538" s="79"/>
      <c r="C538" s="115"/>
      <c r="D538" s="115"/>
      <c r="E538" s="115"/>
      <c r="F538" s="115"/>
    </row>
    <row r="539" spans="1:6" x14ac:dyDescent="0.2">
      <c r="A539" s="115"/>
      <c r="B539" s="79"/>
      <c r="C539" s="115"/>
      <c r="D539" s="115"/>
      <c r="E539" s="115"/>
      <c r="F539" s="115"/>
    </row>
    <row r="540" spans="1:6" x14ac:dyDescent="0.2">
      <c r="A540" s="115"/>
      <c r="B540" s="79"/>
      <c r="C540" s="115"/>
      <c r="D540" s="115"/>
      <c r="E540" s="115"/>
      <c r="F540" s="115"/>
    </row>
    <row r="541" spans="1:6" x14ac:dyDescent="0.2">
      <c r="A541" s="115"/>
      <c r="B541" s="79"/>
      <c r="C541" s="115"/>
      <c r="D541" s="115"/>
      <c r="E541" s="115"/>
      <c r="F541" s="115"/>
    </row>
    <row r="542" spans="1:6" x14ac:dyDescent="0.2">
      <c r="A542" s="115"/>
      <c r="B542" s="79"/>
      <c r="C542" s="115"/>
      <c r="D542" s="115"/>
      <c r="E542" s="115"/>
      <c r="F542" s="115"/>
    </row>
    <row r="543" spans="1:6" x14ac:dyDescent="0.2">
      <c r="A543" s="115"/>
      <c r="B543" s="79"/>
      <c r="C543" s="115"/>
      <c r="D543" s="115"/>
      <c r="E543" s="115"/>
      <c r="F543" s="115"/>
    </row>
    <row r="544" spans="1:6" x14ac:dyDescent="0.2">
      <c r="A544" s="115"/>
      <c r="B544" s="79"/>
      <c r="C544" s="115"/>
      <c r="D544" s="115"/>
      <c r="E544" s="115"/>
      <c r="F544" s="115"/>
    </row>
    <row r="545" spans="1:6" x14ac:dyDescent="0.2">
      <c r="A545" s="115"/>
      <c r="B545" s="79"/>
      <c r="C545" s="115"/>
      <c r="D545" s="115"/>
      <c r="E545" s="115"/>
      <c r="F545" s="115"/>
    </row>
    <row r="546" spans="1:6" x14ac:dyDescent="0.2">
      <c r="A546" s="115"/>
      <c r="B546" s="79"/>
      <c r="C546" s="115"/>
      <c r="D546" s="115"/>
      <c r="E546" s="115"/>
      <c r="F546" s="115"/>
    </row>
    <row r="547" spans="1:6" x14ac:dyDescent="0.2">
      <c r="A547" s="115"/>
      <c r="B547" s="79"/>
      <c r="C547" s="115"/>
      <c r="D547" s="115"/>
      <c r="E547" s="115"/>
      <c r="F547" s="115"/>
    </row>
    <row r="548" spans="1:6" x14ac:dyDescent="0.2">
      <c r="A548" s="115"/>
      <c r="B548" s="79"/>
      <c r="C548" s="115"/>
      <c r="D548" s="115"/>
      <c r="E548" s="115"/>
      <c r="F548" s="115"/>
    </row>
    <row r="549" spans="1:6" x14ac:dyDescent="0.2">
      <c r="A549" s="115"/>
      <c r="B549" s="79"/>
      <c r="C549" s="115"/>
      <c r="D549" s="115"/>
      <c r="E549" s="115"/>
      <c r="F549" s="115"/>
    </row>
    <row r="550" spans="1:6" x14ac:dyDescent="0.2">
      <c r="A550" s="115"/>
      <c r="B550" s="79"/>
      <c r="C550" s="115"/>
      <c r="D550" s="115"/>
      <c r="E550" s="115"/>
      <c r="F550" s="115"/>
    </row>
    <row r="551" spans="1:6" x14ac:dyDescent="0.2">
      <c r="A551" s="115"/>
      <c r="B551" s="79"/>
      <c r="C551" s="115"/>
      <c r="D551" s="115"/>
      <c r="E551" s="115"/>
      <c r="F551" s="115"/>
    </row>
    <row r="552" spans="1:6" x14ac:dyDescent="0.2">
      <c r="A552" s="115"/>
      <c r="B552" s="79"/>
      <c r="C552" s="115"/>
      <c r="D552" s="115"/>
      <c r="E552" s="115"/>
      <c r="F552" s="115"/>
    </row>
    <row r="553" spans="1:6" x14ac:dyDescent="0.2">
      <c r="A553" s="115"/>
      <c r="B553" s="79"/>
      <c r="C553" s="115"/>
      <c r="D553" s="115"/>
      <c r="E553" s="115"/>
      <c r="F553" s="115"/>
    </row>
    <row r="554" spans="1:6" x14ac:dyDescent="0.2">
      <c r="A554" s="115"/>
      <c r="B554" s="79"/>
      <c r="C554" s="115"/>
      <c r="D554" s="115"/>
      <c r="E554" s="115"/>
      <c r="F554" s="115"/>
    </row>
    <row r="555" spans="1:6" x14ac:dyDescent="0.2">
      <c r="A555" s="115"/>
      <c r="B555" s="79"/>
      <c r="C555" s="115"/>
      <c r="D555" s="115"/>
      <c r="E555" s="115"/>
      <c r="F555" s="115"/>
    </row>
    <row r="556" spans="1:6" x14ac:dyDescent="0.2">
      <c r="A556" s="115"/>
      <c r="B556" s="79"/>
      <c r="C556" s="115"/>
      <c r="D556" s="115"/>
      <c r="E556" s="115"/>
      <c r="F556" s="115"/>
    </row>
    <row r="557" spans="1:6" x14ac:dyDescent="0.2">
      <c r="A557" s="115"/>
      <c r="B557" s="79"/>
      <c r="C557" s="115"/>
      <c r="D557" s="115"/>
      <c r="E557" s="115"/>
      <c r="F557" s="115"/>
    </row>
    <row r="558" spans="1:6" x14ac:dyDescent="0.2">
      <c r="A558" s="115"/>
      <c r="B558" s="79"/>
      <c r="C558" s="115"/>
      <c r="D558" s="115"/>
      <c r="E558" s="115"/>
      <c r="F558" s="115"/>
    </row>
    <row r="559" spans="1:6" x14ac:dyDescent="0.2">
      <c r="A559" s="115"/>
      <c r="B559" s="79"/>
      <c r="C559" s="115"/>
      <c r="D559" s="115"/>
      <c r="E559" s="115"/>
      <c r="F559" s="115"/>
    </row>
    <row r="560" spans="1:6" x14ac:dyDescent="0.2">
      <c r="A560" s="115"/>
      <c r="B560" s="79"/>
      <c r="C560" s="115"/>
      <c r="D560" s="115"/>
      <c r="E560" s="115"/>
      <c r="F560" s="115"/>
    </row>
    <row r="561" spans="1:6" x14ac:dyDescent="0.2">
      <c r="A561" s="115"/>
      <c r="B561" s="79"/>
      <c r="C561" s="115"/>
      <c r="D561" s="115"/>
      <c r="E561" s="115"/>
      <c r="F561" s="115"/>
    </row>
    <row r="562" spans="1:6" x14ac:dyDescent="0.2">
      <c r="A562" s="115"/>
      <c r="B562" s="79"/>
      <c r="C562" s="115"/>
      <c r="D562" s="115"/>
      <c r="E562" s="115"/>
      <c r="F562" s="115"/>
    </row>
    <row r="563" spans="1:6" x14ac:dyDescent="0.2">
      <c r="A563" s="115"/>
      <c r="B563" s="79"/>
      <c r="C563" s="115"/>
      <c r="D563" s="115"/>
      <c r="E563" s="115"/>
      <c r="F563" s="115"/>
    </row>
    <row r="564" spans="1:6" x14ac:dyDescent="0.2">
      <c r="A564" s="115"/>
      <c r="B564" s="79"/>
      <c r="C564" s="115"/>
      <c r="D564" s="115"/>
      <c r="E564" s="115"/>
      <c r="F564" s="115"/>
    </row>
    <row r="565" spans="1:6" x14ac:dyDescent="0.2">
      <c r="A565" s="115"/>
      <c r="B565" s="79"/>
      <c r="C565" s="115"/>
      <c r="D565" s="115"/>
      <c r="E565" s="115"/>
      <c r="F565" s="115"/>
    </row>
    <row r="566" spans="1:6" x14ac:dyDescent="0.2">
      <c r="A566" s="115"/>
      <c r="B566" s="79"/>
      <c r="C566" s="115"/>
      <c r="D566" s="115"/>
      <c r="E566" s="115"/>
      <c r="F566" s="115"/>
    </row>
    <row r="567" spans="1:6" x14ac:dyDescent="0.2">
      <c r="A567" s="115"/>
      <c r="B567" s="79"/>
      <c r="C567" s="115"/>
      <c r="D567" s="115"/>
      <c r="E567" s="115"/>
      <c r="F567" s="115"/>
    </row>
    <row r="568" spans="1:6" x14ac:dyDescent="0.2">
      <c r="A568" s="115"/>
      <c r="B568" s="79"/>
      <c r="C568" s="115"/>
      <c r="D568" s="115"/>
      <c r="E568" s="115"/>
      <c r="F568" s="115"/>
    </row>
    <row r="569" spans="1:6" x14ac:dyDescent="0.2">
      <c r="A569" s="115"/>
      <c r="B569" s="79"/>
      <c r="C569" s="115"/>
      <c r="D569" s="115"/>
      <c r="E569" s="115"/>
      <c r="F569" s="115"/>
    </row>
    <row r="570" spans="1:6" x14ac:dyDescent="0.2">
      <c r="A570" s="115"/>
      <c r="B570" s="79"/>
      <c r="C570" s="115"/>
      <c r="D570" s="115"/>
      <c r="E570" s="115"/>
      <c r="F570" s="115"/>
    </row>
    <row r="571" spans="1:6" x14ac:dyDescent="0.2">
      <c r="A571" s="115"/>
      <c r="B571" s="79"/>
      <c r="C571" s="115"/>
      <c r="D571" s="115"/>
      <c r="E571" s="115"/>
      <c r="F571" s="115"/>
    </row>
    <row r="572" spans="1:6" x14ac:dyDescent="0.2">
      <c r="A572" s="115"/>
      <c r="B572" s="79"/>
      <c r="C572" s="115"/>
      <c r="D572" s="115"/>
      <c r="E572" s="115"/>
      <c r="F572" s="115"/>
    </row>
    <row r="573" spans="1:6" x14ac:dyDescent="0.2">
      <c r="A573" s="115"/>
      <c r="B573" s="79"/>
      <c r="C573" s="115"/>
      <c r="D573" s="115"/>
      <c r="E573" s="115"/>
      <c r="F573" s="115"/>
    </row>
    <row r="574" spans="1:6" x14ac:dyDescent="0.2">
      <c r="A574" s="115"/>
      <c r="B574" s="79"/>
      <c r="C574" s="115"/>
      <c r="D574" s="115"/>
      <c r="E574" s="115"/>
      <c r="F574" s="115"/>
    </row>
    <row r="575" spans="1:6" x14ac:dyDescent="0.2">
      <c r="A575" s="115"/>
      <c r="B575" s="79"/>
      <c r="C575" s="115"/>
      <c r="D575" s="115"/>
      <c r="E575" s="115"/>
      <c r="F575" s="115"/>
    </row>
    <row r="576" spans="1:6" x14ac:dyDescent="0.2">
      <c r="A576" s="115"/>
      <c r="B576" s="79"/>
      <c r="C576" s="115"/>
      <c r="D576" s="115"/>
      <c r="E576" s="115"/>
      <c r="F576" s="115"/>
    </row>
    <row r="577" spans="1:6" x14ac:dyDescent="0.2">
      <c r="A577" s="115"/>
      <c r="B577" s="79"/>
      <c r="C577" s="115"/>
      <c r="D577" s="115"/>
      <c r="E577" s="115"/>
      <c r="F577" s="115"/>
    </row>
    <row r="578" spans="1:6" x14ac:dyDescent="0.2">
      <c r="A578" s="115"/>
      <c r="B578" s="79"/>
      <c r="C578" s="115"/>
      <c r="D578" s="115"/>
      <c r="E578" s="115"/>
      <c r="F578" s="115"/>
    </row>
    <row r="579" spans="1:6" x14ac:dyDescent="0.2">
      <c r="A579" s="115"/>
      <c r="B579" s="79"/>
      <c r="C579" s="115"/>
      <c r="D579" s="115"/>
      <c r="E579" s="115"/>
      <c r="F579" s="115"/>
    </row>
    <row r="580" spans="1:6" x14ac:dyDescent="0.2">
      <c r="A580" s="115"/>
      <c r="B580" s="79"/>
      <c r="C580" s="115"/>
      <c r="D580" s="115"/>
      <c r="E580" s="115"/>
      <c r="F580" s="115"/>
    </row>
    <row r="581" spans="1:6" x14ac:dyDescent="0.2">
      <c r="A581" s="115"/>
      <c r="B581" s="79"/>
      <c r="C581" s="115"/>
      <c r="D581" s="115"/>
      <c r="E581" s="115"/>
      <c r="F581" s="115"/>
    </row>
    <row r="582" spans="1:6" x14ac:dyDescent="0.2">
      <c r="A582" s="115"/>
      <c r="B582" s="79"/>
      <c r="C582" s="115"/>
      <c r="D582" s="115"/>
      <c r="E582" s="115"/>
      <c r="F582" s="115"/>
    </row>
    <row r="583" spans="1:6" x14ac:dyDescent="0.2">
      <c r="A583" s="115"/>
      <c r="B583" s="79"/>
      <c r="C583" s="115"/>
      <c r="D583" s="115"/>
      <c r="E583" s="115"/>
      <c r="F583" s="115"/>
    </row>
    <row r="584" spans="1:6" x14ac:dyDescent="0.2">
      <c r="A584" s="115"/>
      <c r="B584" s="79"/>
      <c r="C584" s="115"/>
      <c r="D584" s="115"/>
      <c r="E584" s="115"/>
      <c r="F584" s="115"/>
    </row>
    <row r="585" spans="1:6" x14ac:dyDescent="0.2">
      <c r="A585" s="115"/>
      <c r="B585" s="79"/>
      <c r="C585" s="115"/>
      <c r="D585" s="115"/>
      <c r="E585" s="115"/>
      <c r="F585" s="115"/>
    </row>
    <row r="586" spans="1:6" x14ac:dyDescent="0.2">
      <c r="A586" s="115"/>
      <c r="B586" s="79"/>
      <c r="C586" s="115"/>
      <c r="D586" s="115"/>
      <c r="E586" s="115"/>
      <c r="F586" s="115"/>
    </row>
    <row r="587" spans="1:6" x14ac:dyDescent="0.2">
      <c r="A587" s="115"/>
      <c r="B587" s="79"/>
      <c r="C587" s="115"/>
      <c r="D587" s="115"/>
      <c r="E587" s="115"/>
      <c r="F587" s="115"/>
    </row>
    <row r="588" spans="1:6" x14ac:dyDescent="0.2">
      <c r="A588" s="115"/>
      <c r="B588" s="79"/>
      <c r="C588" s="115"/>
      <c r="D588" s="115"/>
      <c r="E588" s="115"/>
      <c r="F588" s="115"/>
    </row>
    <row r="589" spans="1:6" x14ac:dyDescent="0.2">
      <c r="A589" s="115"/>
      <c r="B589" s="79"/>
      <c r="C589" s="115"/>
      <c r="D589" s="115"/>
      <c r="E589" s="115"/>
      <c r="F589" s="115"/>
    </row>
    <row r="590" spans="1:6" x14ac:dyDescent="0.2">
      <c r="A590" s="115"/>
      <c r="B590" s="79"/>
      <c r="C590" s="115"/>
      <c r="D590" s="115"/>
      <c r="E590" s="115"/>
      <c r="F590" s="115"/>
    </row>
    <row r="591" spans="1:6" x14ac:dyDescent="0.2">
      <c r="A591" s="115"/>
      <c r="B591" s="79"/>
      <c r="C591" s="115"/>
      <c r="D591" s="115"/>
      <c r="E591" s="115"/>
      <c r="F591" s="115"/>
    </row>
    <row r="592" spans="1:6" x14ac:dyDescent="0.2">
      <c r="A592" s="115"/>
      <c r="B592" s="79"/>
      <c r="C592" s="115"/>
      <c r="D592" s="115"/>
      <c r="E592" s="115"/>
      <c r="F592" s="115"/>
    </row>
    <row r="593" spans="1:6" x14ac:dyDescent="0.2">
      <c r="A593" s="115"/>
      <c r="B593" s="79"/>
      <c r="C593" s="115"/>
      <c r="D593" s="115"/>
      <c r="E593" s="115"/>
      <c r="F593" s="115"/>
    </row>
    <row r="594" spans="1:6" x14ac:dyDescent="0.2">
      <c r="A594" s="115"/>
      <c r="B594" s="79"/>
      <c r="C594" s="115"/>
      <c r="D594" s="115"/>
      <c r="E594" s="115"/>
      <c r="F594" s="115"/>
    </row>
    <row r="595" spans="1:6" x14ac:dyDescent="0.2">
      <c r="A595" s="115"/>
      <c r="B595" s="79"/>
      <c r="C595" s="115"/>
      <c r="D595" s="115"/>
      <c r="E595" s="115"/>
      <c r="F595" s="115"/>
    </row>
    <row r="596" spans="1:6" x14ac:dyDescent="0.2">
      <c r="A596" s="115"/>
      <c r="B596" s="79"/>
      <c r="C596" s="115"/>
      <c r="D596" s="115"/>
      <c r="E596" s="115"/>
      <c r="F596" s="115"/>
    </row>
    <row r="597" spans="1:6" x14ac:dyDescent="0.2">
      <c r="A597" s="115"/>
      <c r="B597" s="79"/>
      <c r="C597" s="115"/>
      <c r="D597" s="115"/>
      <c r="E597" s="115"/>
      <c r="F597" s="115"/>
    </row>
    <row r="598" spans="1:6" x14ac:dyDescent="0.2">
      <c r="A598" s="115"/>
      <c r="B598" s="79"/>
      <c r="C598" s="115"/>
      <c r="D598" s="115"/>
      <c r="E598" s="115"/>
      <c r="F598" s="115"/>
    </row>
    <row r="599" spans="1:6" x14ac:dyDescent="0.2">
      <c r="A599" s="115"/>
      <c r="B599" s="79"/>
      <c r="C599" s="115"/>
      <c r="D599" s="115"/>
      <c r="E599" s="115"/>
      <c r="F599" s="115"/>
    </row>
    <row r="600" spans="1:6" x14ac:dyDescent="0.2">
      <c r="A600" s="115"/>
      <c r="B600" s="79"/>
      <c r="C600" s="115"/>
      <c r="D600" s="115"/>
      <c r="E600" s="115"/>
      <c r="F600" s="115"/>
    </row>
    <row r="601" spans="1:6" x14ac:dyDescent="0.2">
      <c r="A601" s="115"/>
      <c r="B601" s="79"/>
      <c r="C601" s="115"/>
      <c r="D601" s="115"/>
      <c r="E601" s="115"/>
      <c r="F601" s="115"/>
    </row>
    <row r="602" spans="1:6" x14ac:dyDescent="0.2">
      <c r="A602" s="115"/>
      <c r="B602" s="79"/>
      <c r="C602" s="115"/>
      <c r="D602" s="115"/>
      <c r="E602" s="115"/>
      <c r="F602" s="115"/>
    </row>
    <row r="603" spans="1:6" x14ac:dyDescent="0.2">
      <c r="A603" s="115"/>
      <c r="B603" s="79"/>
      <c r="C603" s="115"/>
      <c r="D603" s="115"/>
      <c r="E603" s="115"/>
      <c r="F603" s="115"/>
    </row>
    <row r="604" spans="1:6" x14ac:dyDescent="0.2">
      <c r="A604" s="115"/>
      <c r="B604" s="79"/>
      <c r="C604" s="115"/>
      <c r="D604" s="115"/>
      <c r="E604" s="115"/>
      <c r="F604" s="115"/>
    </row>
    <row r="605" spans="1:6" x14ac:dyDescent="0.2">
      <c r="A605" s="115"/>
      <c r="B605" s="79"/>
      <c r="C605" s="115"/>
      <c r="D605" s="115"/>
      <c r="E605" s="115"/>
      <c r="F605" s="115"/>
    </row>
    <row r="606" spans="1:6" x14ac:dyDescent="0.2">
      <c r="A606" s="115"/>
      <c r="B606" s="79"/>
      <c r="C606" s="115"/>
      <c r="D606" s="115"/>
      <c r="E606" s="115"/>
      <c r="F606" s="115"/>
    </row>
    <row r="607" spans="1:6" x14ac:dyDescent="0.2">
      <c r="A607" s="115"/>
      <c r="B607" s="79"/>
      <c r="C607" s="115"/>
      <c r="D607" s="115"/>
      <c r="E607" s="115"/>
      <c r="F607" s="115"/>
    </row>
    <row r="608" spans="1:6" x14ac:dyDescent="0.2">
      <c r="A608" s="115"/>
      <c r="B608" s="79"/>
      <c r="C608" s="115"/>
      <c r="D608" s="115"/>
      <c r="E608" s="115"/>
      <c r="F608" s="115"/>
    </row>
    <row r="609" spans="1:6" x14ac:dyDescent="0.2">
      <c r="A609" s="115"/>
      <c r="B609" s="79"/>
      <c r="C609" s="115"/>
      <c r="D609" s="115"/>
      <c r="E609" s="115"/>
      <c r="F609" s="115"/>
    </row>
    <row r="610" spans="1:6" x14ac:dyDescent="0.2">
      <c r="A610" s="115"/>
      <c r="B610" s="79"/>
      <c r="C610" s="115"/>
      <c r="D610" s="115"/>
      <c r="E610" s="115"/>
      <c r="F610" s="115"/>
    </row>
    <row r="611" spans="1:6" x14ac:dyDescent="0.2">
      <c r="A611" s="115"/>
      <c r="B611" s="79"/>
      <c r="C611" s="115"/>
      <c r="D611" s="115"/>
      <c r="E611" s="115"/>
      <c r="F611" s="115"/>
    </row>
    <row r="612" spans="1:6" x14ac:dyDescent="0.2">
      <c r="A612" s="115"/>
      <c r="B612" s="79"/>
      <c r="C612" s="115"/>
      <c r="D612" s="115"/>
      <c r="E612" s="115"/>
      <c r="F612" s="115"/>
    </row>
    <row r="613" spans="1:6" x14ac:dyDescent="0.2">
      <c r="A613" s="115"/>
      <c r="B613" s="79"/>
      <c r="C613" s="115"/>
      <c r="D613" s="115"/>
      <c r="E613" s="115"/>
      <c r="F613" s="115"/>
    </row>
    <row r="614" spans="1:6" x14ac:dyDescent="0.2">
      <c r="A614" s="115"/>
      <c r="B614" s="79"/>
      <c r="C614" s="115"/>
      <c r="D614" s="115"/>
      <c r="E614" s="115"/>
      <c r="F614" s="115"/>
    </row>
    <row r="615" spans="1:6" x14ac:dyDescent="0.2">
      <c r="A615" s="115"/>
      <c r="B615" s="79"/>
      <c r="C615" s="115"/>
      <c r="D615" s="115"/>
      <c r="E615" s="115"/>
      <c r="F615" s="115"/>
    </row>
    <row r="616" spans="1:6" x14ac:dyDescent="0.2">
      <c r="A616" s="115"/>
      <c r="B616" s="79"/>
      <c r="C616" s="115"/>
      <c r="D616" s="115"/>
      <c r="E616" s="115"/>
      <c r="F616" s="115"/>
    </row>
    <row r="617" spans="1:6" x14ac:dyDescent="0.2">
      <c r="A617" s="115"/>
      <c r="B617" s="79"/>
      <c r="C617" s="115"/>
      <c r="D617" s="115"/>
      <c r="E617" s="115"/>
      <c r="F617" s="115"/>
    </row>
    <row r="618" spans="1:6" x14ac:dyDescent="0.2">
      <c r="A618" s="115"/>
      <c r="B618" s="79"/>
      <c r="C618" s="115"/>
      <c r="D618" s="115"/>
      <c r="E618" s="115"/>
      <c r="F618" s="115"/>
    </row>
    <row r="619" spans="1:6" x14ac:dyDescent="0.2">
      <c r="A619" s="115"/>
      <c r="B619" s="79"/>
      <c r="C619" s="115"/>
      <c r="D619" s="115"/>
      <c r="E619" s="115"/>
      <c r="F619" s="115"/>
    </row>
    <row r="620" spans="1:6" x14ac:dyDescent="0.2">
      <c r="A620" s="115"/>
      <c r="B620" s="79"/>
      <c r="C620" s="115"/>
      <c r="D620" s="115"/>
      <c r="E620" s="115"/>
      <c r="F620" s="115"/>
    </row>
    <row r="621" spans="1:6" x14ac:dyDescent="0.2">
      <c r="A621" s="115"/>
      <c r="B621" s="79"/>
      <c r="C621" s="115"/>
      <c r="D621" s="115"/>
      <c r="E621" s="115"/>
      <c r="F621" s="115"/>
    </row>
    <row r="622" spans="1:6" x14ac:dyDescent="0.2">
      <c r="A622" s="115"/>
      <c r="B622" s="79"/>
      <c r="C622" s="115"/>
      <c r="D622" s="115"/>
      <c r="E622" s="115"/>
      <c r="F622" s="115"/>
    </row>
    <row r="623" spans="1:6" x14ac:dyDescent="0.2">
      <c r="A623" s="115"/>
      <c r="B623" s="79"/>
      <c r="C623" s="115"/>
      <c r="D623" s="115"/>
      <c r="E623" s="115"/>
      <c r="F623" s="115"/>
    </row>
    <row r="624" spans="1:6" x14ac:dyDescent="0.2">
      <c r="A624" s="115"/>
      <c r="B624" s="79"/>
      <c r="C624" s="115"/>
      <c r="D624" s="115"/>
      <c r="E624" s="115"/>
      <c r="F624" s="115"/>
    </row>
    <row r="625" spans="1:6" x14ac:dyDescent="0.2">
      <c r="A625" s="115"/>
      <c r="B625" s="79"/>
      <c r="C625" s="115"/>
      <c r="D625" s="115"/>
      <c r="E625" s="115"/>
      <c r="F625" s="115"/>
    </row>
    <row r="626" spans="1:6" x14ac:dyDescent="0.2">
      <c r="A626" s="115"/>
      <c r="B626" s="79"/>
      <c r="C626" s="115"/>
      <c r="D626" s="115"/>
      <c r="E626" s="115"/>
      <c r="F626" s="115"/>
    </row>
    <row r="627" spans="1:6" x14ac:dyDescent="0.2">
      <c r="A627" s="115"/>
      <c r="B627" s="79"/>
      <c r="C627" s="115"/>
      <c r="D627" s="115"/>
      <c r="E627" s="115"/>
      <c r="F627" s="115"/>
    </row>
    <row r="628" spans="1:6" x14ac:dyDescent="0.2">
      <c r="A628" s="115"/>
      <c r="B628" s="79"/>
      <c r="C628" s="115"/>
      <c r="D628" s="115"/>
      <c r="E628" s="115"/>
      <c r="F628" s="115"/>
    </row>
    <row r="629" spans="1:6" x14ac:dyDescent="0.2">
      <c r="A629" s="115"/>
      <c r="B629" s="79"/>
      <c r="C629" s="115"/>
      <c r="D629" s="115"/>
      <c r="E629" s="115"/>
      <c r="F629" s="115"/>
    </row>
    <row r="630" spans="1:6" x14ac:dyDescent="0.2">
      <c r="A630" s="115"/>
      <c r="B630" s="79"/>
      <c r="C630" s="115"/>
      <c r="D630" s="115"/>
      <c r="E630" s="115"/>
      <c r="F630" s="115"/>
    </row>
    <row r="631" spans="1:6" x14ac:dyDescent="0.2">
      <c r="A631" s="115"/>
      <c r="B631" s="79"/>
      <c r="C631" s="115"/>
      <c r="D631" s="115"/>
      <c r="E631" s="115"/>
      <c r="F631" s="115"/>
    </row>
    <row r="632" spans="1:6" x14ac:dyDescent="0.2">
      <c r="A632" s="115"/>
      <c r="B632" s="79"/>
      <c r="C632" s="115"/>
      <c r="D632" s="115"/>
      <c r="E632" s="115"/>
      <c r="F632" s="115"/>
    </row>
    <row r="633" spans="1:6" x14ac:dyDescent="0.2">
      <c r="A633" s="115"/>
      <c r="B633" s="79"/>
      <c r="C633" s="115"/>
      <c r="D633" s="115"/>
      <c r="E633" s="115"/>
      <c r="F633" s="115"/>
    </row>
    <row r="634" spans="1:6" x14ac:dyDescent="0.2">
      <c r="A634" s="115"/>
      <c r="B634" s="79"/>
      <c r="C634" s="115"/>
      <c r="D634" s="115"/>
      <c r="E634" s="115"/>
      <c r="F634" s="115"/>
    </row>
    <row r="635" spans="1:6" x14ac:dyDescent="0.2">
      <c r="A635" s="115"/>
      <c r="B635" s="79"/>
      <c r="C635" s="115"/>
      <c r="D635" s="115"/>
      <c r="E635" s="115"/>
      <c r="F635" s="115"/>
    </row>
    <row r="636" spans="1:6" x14ac:dyDescent="0.2">
      <c r="A636" s="115"/>
      <c r="B636" s="79"/>
      <c r="C636" s="115"/>
      <c r="D636" s="115"/>
      <c r="E636" s="115"/>
      <c r="F636" s="115"/>
    </row>
    <row r="637" spans="1:6" x14ac:dyDescent="0.2">
      <c r="A637" s="115"/>
      <c r="B637" s="79"/>
      <c r="C637" s="115"/>
      <c r="D637" s="115"/>
      <c r="E637" s="115"/>
      <c r="F637" s="115"/>
    </row>
    <row r="638" spans="1:6" x14ac:dyDescent="0.2">
      <c r="A638" s="115"/>
      <c r="B638" s="79"/>
      <c r="C638" s="115"/>
      <c r="D638" s="115"/>
      <c r="E638" s="115"/>
      <c r="F638" s="115"/>
    </row>
    <row r="639" spans="1:6" x14ac:dyDescent="0.2">
      <c r="A639" s="115"/>
      <c r="B639" s="79"/>
      <c r="C639" s="115"/>
      <c r="D639" s="115"/>
      <c r="E639" s="115"/>
      <c r="F639" s="115"/>
    </row>
    <row r="640" spans="1:6" x14ac:dyDescent="0.2">
      <c r="A640" s="115"/>
      <c r="B640" s="79"/>
      <c r="C640" s="115"/>
      <c r="D640" s="115"/>
      <c r="E640" s="115"/>
      <c r="F640" s="115"/>
    </row>
    <row r="641" spans="1:6" x14ac:dyDescent="0.2">
      <c r="A641" s="115"/>
      <c r="B641" s="79"/>
      <c r="C641" s="115"/>
      <c r="D641" s="115"/>
      <c r="E641" s="115"/>
      <c r="F641" s="115"/>
    </row>
    <row r="642" spans="1:6" x14ac:dyDescent="0.2">
      <c r="A642" s="115"/>
      <c r="B642" s="79"/>
      <c r="C642" s="115"/>
      <c r="D642" s="115"/>
      <c r="E642" s="115"/>
      <c r="F642" s="115"/>
    </row>
    <row r="643" spans="1:6" x14ac:dyDescent="0.2">
      <c r="A643" s="115"/>
      <c r="B643" s="79"/>
      <c r="C643" s="115"/>
      <c r="D643" s="115"/>
      <c r="E643" s="115"/>
      <c r="F643" s="115"/>
    </row>
    <row r="644" spans="1:6" x14ac:dyDescent="0.2">
      <c r="A644" s="115"/>
      <c r="B644" s="79"/>
      <c r="C644" s="115"/>
      <c r="D644" s="115"/>
      <c r="E644" s="115"/>
      <c r="F644" s="115"/>
    </row>
    <row r="645" spans="1:6" x14ac:dyDescent="0.2">
      <c r="A645" s="115"/>
      <c r="B645" s="79"/>
      <c r="C645" s="115"/>
      <c r="D645" s="115"/>
      <c r="E645" s="115"/>
      <c r="F645" s="115"/>
    </row>
    <row r="646" spans="1:6" x14ac:dyDescent="0.2">
      <c r="A646" s="115"/>
      <c r="B646" s="79"/>
      <c r="C646" s="115"/>
      <c r="D646" s="115"/>
      <c r="E646" s="115"/>
      <c r="F646" s="115"/>
    </row>
    <row r="647" spans="1:6" x14ac:dyDescent="0.2">
      <c r="A647" s="115"/>
      <c r="B647" s="79"/>
      <c r="C647" s="115"/>
      <c r="D647" s="115"/>
      <c r="E647" s="115"/>
      <c r="F647" s="115"/>
    </row>
    <row r="648" spans="1:6" x14ac:dyDescent="0.2">
      <c r="A648" s="115"/>
      <c r="B648" s="79"/>
      <c r="C648" s="115"/>
      <c r="D648" s="115"/>
      <c r="E648" s="115"/>
      <c r="F648" s="115"/>
    </row>
    <row r="649" spans="1:6" x14ac:dyDescent="0.2">
      <c r="A649" s="115"/>
      <c r="B649" s="79"/>
      <c r="C649" s="115"/>
      <c r="D649" s="115"/>
      <c r="E649" s="115"/>
      <c r="F649" s="115"/>
    </row>
    <row r="650" spans="1:6" x14ac:dyDescent="0.2">
      <c r="A650" s="115"/>
      <c r="B650" s="79"/>
      <c r="C650" s="115"/>
      <c r="D650" s="115"/>
      <c r="E650" s="115"/>
      <c r="F650" s="115"/>
    </row>
    <row r="651" spans="1:6" x14ac:dyDescent="0.2">
      <c r="A651" s="115"/>
      <c r="B651" s="79"/>
      <c r="C651" s="115"/>
      <c r="D651" s="115"/>
      <c r="E651" s="115"/>
      <c r="F651" s="115"/>
    </row>
    <row r="652" spans="1:6" x14ac:dyDescent="0.2">
      <c r="A652" s="115"/>
      <c r="B652" s="79"/>
      <c r="C652" s="115"/>
      <c r="D652" s="115"/>
      <c r="E652" s="115"/>
      <c r="F652" s="115"/>
    </row>
    <row r="653" spans="1:6" x14ac:dyDescent="0.2">
      <c r="A653" s="115"/>
      <c r="B653" s="79"/>
      <c r="C653" s="115"/>
      <c r="D653" s="115"/>
      <c r="E653" s="115"/>
      <c r="F653" s="115"/>
    </row>
    <row r="654" spans="1:6" x14ac:dyDescent="0.2">
      <c r="A654" s="115"/>
      <c r="B654" s="79"/>
      <c r="C654" s="115"/>
      <c r="D654" s="115"/>
      <c r="E654" s="115"/>
      <c r="F654" s="115"/>
    </row>
    <row r="655" spans="1:6" x14ac:dyDescent="0.2">
      <c r="A655" s="115"/>
      <c r="B655" s="79"/>
      <c r="C655" s="115"/>
      <c r="D655" s="115"/>
      <c r="E655" s="115"/>
      <c r="F655" s="115"/>
    </row>
    <row r="656" spans="1:6" x14ac:dyDescent="0.2">
      <c r="A656" s="115"/>
      <c r="B656" s="79"/>
      <c r="C656" s="115"/>
      <c r="D656" s="115"/>
      <c r="E656" s="115"/>
      <c r="F656" s="115"/>
    </row>
    <row r="657" spans="1:6" x14ac:dyDescent="0.2">
      <c r="A657" s="115"/>
      <c r="B657" s="79"/>
      <c r="C657" s="115"/>
      <c r="D657" s="115"/>
      <c r="E657" s="115"/>
      <c r="F657" s="115"/>
    </row>
    <row r="658" spans="1:6" x14ac:dyDescent="0.2">
      <c r="A658" s="115"/>
      <c r="B658" s="79"/>
      <c r="C658" s="115"/>
      <c r="D658" s="115"/>
      <c r="E658" s="115"/>
      <c r="F658" s="115"/>
    </row>
    <row r="659" spans="1:6" x14ac:dyDescent="0.2">
      <c r="A659" s="115"/>
      <c r="B659" s="79"/>
      <c r="C659" s="115"/>
      <c r="D659" s="115"/>
      <c r="E659" s="115"/>
      <c r="F659" s="115"/>
    </row>
    <row r="660" spans="1:6" x14ac:dyDescent="0.2">
      <c r="A660" s="115"/>
      <c r="B660" s="79"/>
      <c r="C660" s="115"/>
      <c r="D660" s="115"/>
      <c r="E660" s="115"/>
      <c r="F660" s="115"/>
    </row>
    <row r="661" spans="1:6" x14ac:dyDescent="0.2">
      <c r="A661" s="115"/>
      <c r="B661" s="79"/>
      <c r="C661" s="115"/>
      <c r="D661" s="115"/>
      <c r="E661" s="115"/>
      <c r="F661" s="115"/>
    </row>
    <row r="662" spans="1:6" x14ac:dyDescent="0.2">
      <c r="A662" s="115"/>
      <c r="B662" s="79"/>
      <c r="C662" s="115"/>
      <c r="D662" s="115"/>
      <c r="E662" s="115"/>
      <c r="F662" s="115"/>
    </row>
    <row r="663" spans="1:6" x14ac:dyDescent="0.2">
      <c r="A663" s="115"/>
      <c r="B663" s="79"/>
      <c r="C663" s="115"/>
      <c r="D663" s="115"/>
      <c r="E663" s="115"/>
      <c r="F663" s="115"/>
    </row>
    <row r="664" spans="1:6" x14ac:dyDescent="0.2">
      <c r="A664" s="115"/>
      <c r="B664" s="79"/>
      <c r="C664" s="115"/>
      <c r="D664" s="115"/>
      <c r="E664" s="115"/>
      <c r="F664" s="115"/>
    </row>
    <row r="665" spans="1:6" x14ac:dyDescent="0.2">
      <c r="A665" s="115"/>
      <c r="B665" s="79"/>
      <c r="C665" s="115"/>
      <c r="D665" s="115"/>
      <c r="E665" s="115"/>
      <c r="F665" s="115"/>
    </row>
    <row r="666" spans="1:6" x14ac:dyDescent="0.2">
      <c r="A666" s="115"/>
      <c r="B666" s="79"/>
      <c r="C666" s="115"/>
      <c r="D666" s="115"/>
      <c r="E666" s="115"/>
      <c r="F666" s="115"/>
    </row>
    <row r="667" spans="1:6" x14ac:dyDescent="0.2">
      <c r="A667" s="115"/>
      <c r="B667" s="79"/>
      <c r="C667" s="115"/>
      <c r="D667" s="115"/>
      <c r="E667" s="115"/>
      <c r="F667" s="115"/>
    </row>
    <row r="668" spans="1:6" x14ac:dyDescent="0.2">
      <c r="A668" s="115"/>
      <c r="B668" s="79"/>
      <c r="C668" s="115"/>
      <c r="D668" s="115"/>
      <c r="E668" s="115"/>
      <c r="F668" s="115"/>
    </row>
    <row r="669" spans="1:6" x14ac:dyDescent="0.2">
      <c r="A669" s="115"/>
      <c r="B669" s="79"/>
      <c r="C669" s="115"/>
      <c r="D669" s="115"/>
      <c r="E669" s="115"/>
      <c r="F669" s="115"/>
    </row>
    <row r="670" spans="1:6" x14ac:dyDescent="0.2">
      <c r="A670" s="115"/>
      <c r="B670" s="79"/>
      <c r="C670" s="115"/>
      <c r="D670" s="115"/>
      <c r="E670" s="115"/>
      <c r="F670" s="115"/>
    </row>
    <row r="671" spans="1:6" x14ac:dyDescent="0.2">
      <c r="A671" s="115"/>
      <c r="B671" s="79"/>
      <c r="C671" s="115"/>
      <c r="D671" s="115"/>
      <c r="E671" s="115"/>
      <c r="F671" s="115"/>
    </row>
    <row r="672" spans="1:6" x14ac:dyDescent="0.2">
      <c r="A672" s="115"/>
      <c r="B672" s="79"/>
      <c r="C672" s="115"/>
      <c r="D672" s="115"/>
      <c r="E672" s="115"/>
      <c r="F672" s="115"/>
    </row>
    <row r="673" spans="1:6" x14ac:dyDescent="0.2">
      <c r="A673" s="115"/>
      <c r="B673" s="79"/>
      <c r="C673" s="115"/>
      <c r="D673" s="115"/>
      <c r="E673" s="115"/>
      <c r="F673" s="115"/>
    </row>
    <row r="674" spans="1:6" x14ac:dyDescent="0.2">
      <c r="A674" s="115"/>
      <c r="B674" s="79"/>
      <c r="C674" s="115"/>
      <c r="D674" s="115"/>
      <c r="E674" s="115"/>
      <c r="F674" s="115"/>
    </row>
    <row r="675" spans="1:6" x14ac:dyDescent="0.2">
      <c r="A675" s="115"/>
      <c r="B675" s="79"/>
      <c r="C675" s="115"/>
      <c r="D675" s="115"/>
      <c r="E675" s="115"/>
      <c r="F675" s="115"/>
    </row>
    <row r="676" spans="1:6" x14ac:dyDescent="0.2">
      <c r="A676" s="115"/>
      <c r="B676" s="79"/>
      <c r="C676" s="115"/>
      <c r="D676" s="115"/>
      <c r="E676" s="115"/>
      <c r="F676" s="115"/>
    </row>
    <row r="677" spans="1:6" x14ac:dyDescent="0.2">
      <c r="A677" s="115"/>
      <c r="B677" s="79"/>
      <c r="C677" s="115"/>
      <c r="D677" s="115"/>
      <c r="E677" s="115"/>
      <c r="F677" s="115"/>
    </row>
    <row r="678" spans="1:6" x14ac:dyDescent="0.2">
      <c r="A678" s="115"/>
      <c r="B678" s="79"/>
      <c r="C678" s="115"/>
      <c r="D678" s="115"/>
      <c r="E678" s="115"/>
      <c r="F678" s="115"/>
    </row>
    <row r="679" spans="1:6" x14ac:dyDescent="0.2">
      <c r="A679" s="115"/>
      <c r="B679" s="79"/>
      <c r="C679" s="115"/>
      <c r="D679" s="115"/>
      <c r="E679" s="115"/>
      <c r="F679" s="115"/>
    </row>
    <row r="680" spans="1:6" x14ac:dyDescent="0.2">
      <c r="A680" s="115"/>
      <c r="B680" s="79"/>
      <c r="C680" s="115"/>
      <c r="D680" s="115"/>
      <c r="E680" s="115"/>
      <c r="F680" s="115"/>
    </row>
    <row r="681" spans="1:6" x14ac:dyDescent="0.2">
      <c r="A681" s="115"/>
      <c r="B681" s="79"/>
      <c r="C681" s="115"/>
      <c r="D681" s="115"/>
      <c r="E681" s="115"/>
      <c r="F681" s="115"/>
    </row>
    <row r="682" spans="1:6" x14ac:dyDescent="0.2">
      <c r="A682" s="115"/>
      <c r="B682" s="79"/>
      <c r="C682" s="115"/>
      <c r="D682" s="115"/>
      <c r="E682" s="115"/>
      <c r="F682" s="115"/>
    </row>
    <row r="683" spans="1:6" x14ac:dyDescent="0.2">
      <c r="A683" s="115"/>
      <c r="B683" s="79"/>
      <c r="C683" s="115"/>
      <c r="D683" s="115"/>
      <c r="E683" s="115"/>
      <c r="F683" s="115"/>
    </row>
    <row r="684" spans="1:6" x14ac:dyDescent="0.2">
      <c r="A684" s="115"/>
      <c r="B684" s="79"/>
      <c r="C684" s="115"/>
      <c r="D684" s="115"/>
      <c r="E684" s="115"/>
      <c r="F684" s="115"/>
    </row>
    <row r="685" spans="1:6" x14ac:dyDescent="0.2">
      <c r="A685" s="115"/>
      <c r="B685" s="79"/>
      <c r="C685" s="115"/>
      <c r="D685" s="115"/>
      <c r="E685" s="115"/>
      <c r="F685" s="115"/>
    </row>
    <row r="686" spans="1:6" x14ac:dyDescent="0.2">
      <c r="A686" s="115"/>
      <c r="B686" s="79"/>
      <c r="C686" s="115"/>
      <c r="D686" s="115"/>
      <c r="E686" s="115"/>
      <c r="F686" s="115"/>
    </row>
    <row r="687" spans="1:6" x14ac:dyDescent="0.2">
      <c r="A687" s="115"/>
      <c r="B687" s="79"/>
      <c r="C687" s="115"/>
      <c r="D687" s="115"/>
      <c r="E687" s="115"/>
      <c r="F687" s="115"/>
    </row>
    <row r="688" spans="1:6" x14ac:dyDescent="0.2">
      <c r="A688" s="115"/>
      <c r="B688" s="79"/>
      <c r="C688" s="115"/>
      <c r="D688" s="115"/>
      <c r="E688" s="115"/>
      <c r="F688" s="115"/>
    </row>
    <row r="689" spans="1:6" x14ac:dyDescent="0.2">
      <c r="A689" s="115"/>
      <c r="B689" s="79"/>
      <c r="C689" s="115"/>
      <c r="D689" s="115"/>
      <c r="E689" s="115"/>
      <c r="F689" s="115"/>
    </row>
    <row r="690" spans="1:6" x14ac:dyDescent="0.2">
      <c r="A690" s="115"/>
      <c r="B690" s="79"/>
      <c r="C690" s="115"/>
      <c r="D690" s="115"/>
      <c r="E690" s="115"/>
      <c r="F690" s="115"/>
    </row>
    <row r="691" spans="1:6" x14ac:dyDescent="0.2">
      <c r="A691" s="115"/>
      <c r="B691" s="79"/>
      <c r="C691" s="115"/>
      <c r="D691" s="115"/>
      <c r="E691" s="115"/>
      <c r="F691" s="115"/>
    </row>
    <row r="692" spans="1:6" x14ac:dyDescent="0.2">
      <c r="A692" s="115"/>
      <c r="B692" s="79"/>
      <c r="C692" s="115"/>
      <c r="D692" s="115"/>
      <c r="E692" s="115"/>
      <c r="F692" s="115"/>
    </row>
    <row r="693" spans="1:6" x14ac:dyDescent="0.2">
      <c r="A693" s="115"/>
      <c r="B693" s="79"/>
      <c r="C693" s="115"/>
      <c r="D693" s="115"/>
      <c r="E693" s="115"/>
      <c r="F693" s="115"/>
    </row>
    <row r="694" spans="1:6" x14ac:dyDescent="0.2">
      <c r="A694" s="115"/>
      <c r="B694" s="79"/>
      <c r="C694" s="115"/>
      <c r="D694" s="115"/>
      <c r="E694" s="115"/>
      <c r="F694" s="115"/>
    </row>
    <row r="695" spans="1:6" x14ac:dyDescent="0.2">
      <c r="A695" s="115"/>
      <c r="B695" s="79"/>
      <c r="C695" s="115"/>
      <c r="D695" s="115"/>
      <c r="E695" s="115"/>
      <c r="F695" s="115"/>
    </row>
    <row r="696" spans="1:6" x14ac:dyDescent="0.2">
      <c r="A696" s="115"/>
      <c r="B696" s="79"/>
      <c r="C696" s="115"/>
      <c r="D696" s="115"/>
      <c r="E696" s="115"/>
      <c r="F696" s="115"/>
    </row>
    <row r="697" spans="1:6" x14ac:dyDescent="0.2">
      <c r="A697" s="115"/>
      <c r="B697" s="79"/>
      <c r="C697" s="115"/>
      <c r="D697" s="115"/>
      <c r="E697" s="115"/>
      <c r="F697" s="115"/>
    </row>
    <row r="698" spans="1:6" x14ac:dyDescent="0.2">
      <c r="A698" s="115"/>
      <c r="B698" s="79"/>
      <c r="C698" s="115"/>
      <c r="D698" s="115"/>
      <c r="E698" s="115"/>
      <c r="F698" s="115"/>
    </row>
    <row r="699" spans="1:6" x14ac:dyDescent="0.2">
      <c r="A699" s="115"/>
      <c r="B699" s="79"/>
      <c r="C699" s="115"/>
      <c r="D699" s="115"/>
      <c r="E699" s="115"/>
      <c r="F699" s="115"/>
    </row>
    <row r="700" spans="1:6" x14ac:dyDescent="0.2">
      <c r="A700" s="115"/>
      <c r="B700" s="79"/>
      <c r="C700" s="115"/>
      <c r="D700" s="115"/>
      <c r="E700" s="115"/>
      <c r="F700" s="115"/>
    </row>
    <row r="701" spans="1:6" x14ac:dyDescent="0.2">
      <c r="A701" s="115"/>
      <c r="B701" s="79"/>
      <c r="C701" s="115"/>
      <c r="D701" s="115"/>
      <c r="E701" s="115"/>
      <c r="F701" s="115"/>
    </row>
    <row r="702" spans="1:6" x14ac:dyDescent="0.2">
      <c r="A702" s="115"/>
      <c r="B702" s="79"/>
      <c r="C702" s="115"/>
      <c r="D702" s="115"/>
      <c r="E702" s="115"/>
      <c r="F702" s="115"/>
    </row>
    <row r="703" spans="1:6" x14ac:dyDescent="0.2">
      <c r="A703" s="115"/>
      <c r="B703" s="79"/>
      <c r="C703" s="115"/>
      <c r="D703" s="115"/>
      <c r="E703" s="115"/>
      <c r="F703" s="115"/>
    </row>
    <row r="704" spans="1:6" x14ac:dyDescent="0.2">
      <c r="A704" s="115"/>
      <c r="B704" s="79"/>
      <c r="C704" s="115"/>
      <c r="D704" s="115"/>
      <c r="E704" s="115"/>
      <c r="F704" s="115"/>
    </row>
    <row r="705" spans="1:6" x14ac:dyDescent="0.2">
      <c r="A705" s="115"/>
      <c r="B705" s="79"/>
      <c r="C705" s="115"/>
      <c r="D705" s="115"/>
      <c r="E705" s="115"/>
      <c r="F705" s="115"/>
    </row>
    <row r="706" spans="1:6" x14ac:dyDescent="0.2">
      <c r="A706" s="115"/>
      <c r="B706" s="79"/>
      <c r="C706" s="115"/>
      <c r="D706" s="115"/>
      <c r="E706" s="115"/>
      <c r="F706" s="115"/>
    </row>
    <row r="707" spans="1:6" x14ac:dyDescent="0.2">
      <c r="A707" s="115"/>
      <c r="B707" s="79"/>
      <c r="C707" s="115"/>
      <c r="D707" s="115"/>
      <c r="E707" s="115"/>
      <c r="F707" s="115"/>
    </row>
    <row r="708" spans="1:6" x14ac:dyDescent="0.2">
      <c r="A708" s="115"/>
      <c r="B708" s="79"/>
      <c r="C708" s="115"/>
      <c r="D708" s="115"/>
      <c r="E708" s="115"/>
      <c r="F708" s="115"/>
    </row>
    <row r="709" spans="1:6" x14ac:dyDescent="0.2">
      <c r="A709" s="115"/>
      <c r="B709" s="79"/>
      <c r="C709" s="115"/>
      <c r="D709" s="115"/>
      <c r="E709" s="115"/>
      <c r="F709" s="115"/>
    </row>
    <row r="710" spans="1:6" x14ac:dyDescent="0.2">
      <c r="A710" s="115"/>
      <c r="B710" s="79"/>
      <c r="C710" s="115"/>
      <c r="D710" s="115"/>
      <c r="E710" s="115"/>
      <c r="F710" s="115"/>
    </row>
    <row r="711" spans="1:6" x14ac:dyDescent="0.2">
      <c r="A711" s="115"/>
      <c r="B711" s="79"/>
      <c r="C711" s="115"/>
      <c r="D711" s="115"/>
      <c r="E711" s="115"/>
      <c r="F711" s="115"/>
    </row>
    <row r="712" spans="1:6" x14ac:dyDescent="0.2">
      <c r="A712" s="115"/>
      <c r="B712" s="79"/>
      <c r="C712" s="115"/>
      <c r="D712" s="115"/>
      <c r="E712" s="115"/>
      <c r="F712" s="115"/>
    </row>
    <row r="713" spans="1:6" x14ac:dyDescent="0.2">
      <c r="A713" s="115"/>
      <c r="B713" s="79"/>
      <c r="C713" s="115"/>
      <c r="D713" s="115"/>
      <c r="E713" s="115"/>
      <c r="F713" s="115"/>
    </row>
    <row r="714" spans="1:6" x14ac:dyDescent="0.2">
      <c r="A714" s="115"/>
      <c r="B714" s="79"/>
      <c r="C714" s="115"/>
      <c r="D714" s="115"/>
      <c r="E714" s="115"/>
      <c r="F714" s="115"/>
    </row>
    <row r="715" spans="1:6" x14ac:dyDescent="0.2">
      <c r="A715" s="115"/>
      <c r="B715" s="79"/>
      <c r="C715" s="115"/>
      <c r="D715" s="115"/>
      <c r="E715" s="115"/>
      <c r="F715" s="115"/>
    </row>
    <row r="716" spans="1:6" x14ac:dyDescent="0.2">
      <c r="A716" s="115"/>
      <c r="B716" s="79"/>
      <c r="C716" s="115"/>
      <c r="D716" s="115"/>
      <c r="E716" s="115"/>
      <c r="F716" s="115"/>
    </row>
    <row r="717" spans="1:6" x14ac:dyDescent="0.2">
      <c r="A717" s="115"/>
      <c r="B717" s="79"/>
      <c r="C717" s="115"/>
      <c r="D717" s="115"/>
      <c r="E717" s="115"/>
      <c r="F717" s="115"/>
    </row>
    <row r="718" spans="1:6" x14ac:dyDescent="0.2">
      <c r="A718" s="115"/>
      <c r="B718" s="79"/>
      <c r="C718" s="115"/>
      <c r="D718" s="115"/>
      <c r="E718" s="115"/>
      <c r="F718" s="115"/>
    </row>
    <row r="719" spans="1:6" x14ac:dyDescent="0.2">
      <c r="A719" s="115"/>
      <c r="B719" s="79"/>
      <c r="C719" s="115"/>
      <c r="D719" s="115"/>
      <c r="E719" s="115"/>
      <c r="F719" s="115"/>
    </row>
    <row r="720" spans="1:6" x14ac:dyDescent="0.2">
      <c r="A720" s="115"/>
      <c r="B720" s="79"/>
      <c r="C720" s="115"/>
      <c r="D720" s="115"/>
      <c r="E720" s="115"/>
      <c r="F720" s="115"/>
    </row>
    <row r="721" spans="1:6" x14ac:dyDescent="0.2">
      <c r="A721" s="115"/>
      <c r="B721" s="79"/>
      <c r="C721" s="115"/>
      <c r="D721" s="115"/>
      <c r="E721" s="115"/>
      <c r="F721" s="115"/>
    </row>
    <row r="722" spans="1:6" x14ac:dyDescent="0.2">
      <c r="A722" s="115"/>
      <c r="B722" s="79"/>
      <c r="C722" s="115"/>
      <c r="D722" s="115"/>
      <c r="E722" s="115"/>
      <c r="F722" s="115"/>
    </row>
    <row r="723" spans="1:6" x14ac:dyDescent="0.2">
      <c r="A723" s="115"/>
      <c r="B723" s="79"/>
      <c r="C723" s="115"/>
      <c r="D723" s="115"/>
      <c r="E723" s="115"/>
      <c r="F723" s="115"/>
    </row>
    <row r="724" spans="1:6" x14ac:dyDescent="0.2">
      <c r="A724" s="115"/>
      <c r="B724" s="79"/>
      <c r="C724" s="115"/>
      <c r="D724" s="115"/>
      <c r="E724" s="115"/>
      <c r="F724" s="115"/>
    </row>
    <row r="725" spans="1:6" x14ac:dyDescent="0.2">
      <c r="A725" s="115"/>
      <c r="B725" s="79"/>
      <c r="C725" s="115"/>
      <c r="D725" s="115"/>
      <c r="E725" s="115"/>
      <c r="F725" s="115"/>
    </row>
    <row r="726" spans="1:6" x14ac:dyDescent="0.2">
      <c r="A726" s="115"/>
      <c r="B726" s="79"/>
      <c r="C726" s="115"/>
      <c r="D726" s="115"/>
      <c r="E726" s="115"/>
      <c r="F726" s="115"/>
    </row>
    <row r="727" spans="1:6" x14ac:dyDescent="0.2">
      <c r="A727" s="115"/>
      <c r="B727" s="79"/>
      <c r="C727" s="115"/>
      <c r="D727" s="115"/>
      <c r="E727" s="115"/>
      <c r="F727" s="115"/>
    </row>
    <row r="728" spans="1:6" x14ac:dyDescent="0.2">
      <c r="A728" s="115"/>
      <c r="B728" s="79"/>
      <c r="C728" s="115"/>
      <c r="D728" s="115"/>
      <c r="E728" s="115"/>
      <c r="F728" s="115"/>
    </row>
    <row r="729" spans="1:6" x14ac:dyDescent="0.2">
      <c r="A729" s="115"/>
      <c r="B729" s="79"/>
      <c r="C729" s="115"/>
      <c r="D729" s="115"/>
      <c r="E729" s="115"/>
      <c r="F729" s="115"/>
    </row>
    <row r="730" spans="1:6" x14ac:dyDescent="0.2">
      <c r="A730" s="115"/>
      <c r="B730" s="79"/>
      <c r="C730" s="115"/>
      <c r="D730" s="115"/>
      <c r="E730" s="115"/>
      <c r="F730" s="115"/>
    </row>
    <row r="731" spans="1:6" x14ac:dyDescent="0.2">
      <c r="A731" s="115"/>
      <c r="B731" s="79"/>
      <c r="C731" s="115"/>
      <c r="D731" s="115"/>
      <c r="E731" s="115"/>
      <c r="F731" s="115"/>
    </row>
    <row r="732" spans="1:6" x14ac:dyDescent="0.2">
      <c r="A732" s="115"/>
      <c r="B732" s="79"/>
      <c r="C732" s="115"/>
      <c r="D732" s="115"/>
      <c r="E732" s="115"/>
      <c r="F732" s="115"/>
    </row>
    <row r="733" spans="1:6" x14ac:dyDescent="0.2">
      <c r="A733" s="115"/>
      <c r="B733" s="79"/>
      <c r="C733" s="115"/>
      <c r="D733" s="115"/>
      <c r="E733" s="115"/>
      <c r="F733" s="115"/>
    </row>
    <row r="734" spans="1:6" x14ac:dyDescent="0.2">
      <c r="A734" s="115"/>
      <c r="B734" s="79"/>
      <c r="C734" s="115"/>
      <c r="D734" s="115"/>
      <c r="E734" s="115"/>
      <c r="F734" s="115"/>
    </row>
    <row r="735" spans="1:6" x14ac:dyDescent="0.2">
      <c r="A735" s="115"/>
      <c r="B735" s="79"/>
      <c r="C735" s="115"/>
      <c r="D735" s="115"/>
      <c r="E735" s="115"/>
      <c r="F735" s="115"/>
    </row>
    <row r="736" spans="1:6" x14ac:dyDescent="0.2">
      <c r="A736" s="115"/>
      <c r="B736" s="79"/>
      <c r="C736" s="115"/>
      <c r="D736" s="115"/>
      <c r="E736" s="115"/>
      <c r="F736" s="115"/>
    </row>
    <row r="737" spans="1:6" x14ac:dyDescent="0.2">
      <c r="A737" s="115"/>
      <c r="B737" s="79"/>
      <c r="C737" s="115"/>
      <c r="D737" s="115"/>
      <c r="E737" s="115"/>
      <c r="F737" s="115"/>
    </row>
    <row r="738" spans="1:6" x14ac:dyDescent="0.2">
      <c r="A738" s="115"/>
      <c r="B738" s="79"/>
      <c r="C738" s="115"/>
      <c r="D738" s="115"/>
      <c r="E738" s="115"/>
      <c r="F738" s="115"/>
    </row>
    <row r="739" spans="1:6" x14ac:dyDescent="0.2">
      <c r="A739" s="115"/>
      <c r="B739" s="79"/>
      <c r="C739" s="115"/>
      <c r="D739" s="115"/>
      <c r="E739" s="115"/>
      <c r="F739" s="115"/>
    </row>
    <row r="740" spans="1:6" x14ac:dyDescent="0.2">
      <c r="A740" s="115"/>
      <c r="B740" s="79"/>
      <c r="C740" s="115"/>
      <c r="D740" s="115"/>
      <c r="E740" s="115"/>
      <c r="F740" s="115"/>
    </row>
    <row r="741" spans="1:6" x14ac:dyDescent="0.2">
      <c r="A741" s="115"/>
      <c r="B741" s="79"/>
      <c r="C741" s="115"/>
      <c r="D741" s="115"/>
      <c r="E741" s="115"/>
      <c r="F741" s="115"/>
    </row>
    <row r="742" spans="1:6" x14ac:dyDescent="0.2">
      <c r="A742" s="115"/>
      <c r="B742" s="79"/>
      <c r="C742" s="115"/>
      <c r="D742" s="115"/>
      <c r="E742" s="115"/>
      <c r="F742" s="115"/>
    </row>
    <row r="743" spans="1:6" x14ac:dyDescent="0.2">
      <c r="A743" s="115"/>
      <c r="B743" s="79"/>
      <c r="C743" s="115"/>
      <c r="D743" s="115"/>
      <c r="E743" s="115"/>
      <c r="F743" s="115"/>
    </row>
    <row r="744" spans="1:6" x14ac:dyDescent="0.2">
      <c r="A744" s="115"/>
      <c r="B744" s="79"/>
      <c r="C744" s="115"/>
      <c r="D744" s="115"/>
      <c r="E744" s="115"/>
      <c r="F744" s="115"/>
    </row>
    <row r="745" spans="1:6" x14ac:dyDescent="0.2">
      <c r="A745" s="115"/>
      <c r="B745" s="79"/>
      <c r="C745" s="115"/>
      <c r="D745" s="115"/>
      <c r="E745" s="115"/>
      <c r="F745" s="115"/>
    </row>
    <row r="746" spans="1:6" x14ac:dyDescent="0.2">
      <c r="A746" s="115"/>
      <c r="B746" s="79"/>
      <c r="C746" s="115"/>
      <c r="D746" s="115"/>
      <c r="E746" s="115"/>
      <c r="F746" s="115"/>
    </row>
    <row r="747" spans="1:6" x14ac:dyDescent="0.2">
      <c r="A747" s="115"/>
      <c r="B747" s="79"/>
      <c r="C747" s="115"/>
      <c r="D747" s="115"/>
      <c r="E747" s="115"/>
      <c r="F747" s="115"/>
    </row>
    <row r="748" spans="1:6" x14ac:dyDescent="0.2">
      <c r="A748" s="115"/>
      <c r="B748" s="79"/>
      <c r="C748" s="115"/>
      <c r="D748" s="115"/>
      <c r="E748" s="115"/>
      <c r="F748" s="115"/>
    </row>
    <row r="749" spans="1:6" x14ac:dyDescent="0.2">
      <c r="A749" s="115"/>
      <c r="B749" s="79"/>
      <c r="C749" s="115"/>
      <c r="D749" s="115"/>
      <c r="E749" s="115"/>
      <c r="F749" s="115"/>
    </row>
    <row r="750" spans="1:6" x14ac:dyDescent="0.2">
      <c r="A750" s="115"/>
      <c r="B750" s="79"/>
      <c r="C750" s="115"/>
      <c r="D750" s="115"/>
      <c r="E750" s="115"/>
      <c r="F750" s="115"/>
    </row>
    <row r="751" spans="1:6" x14ac:dyDescent="0.2">
      <c r="A751" s="115"/>
      <c r="B751" s="79"/>
      <c r="C751" s="115"/>
      <c r="D751" s="115"/>
      <c r="E751" s="115"/>
      <c r="F751" s="115"/>
    </row>
    <row r="752" spans="1:6" x14ac:dyDescent="0.2">
      <c r="A752" s="115"/>
      <c r="B752" s="79"/>
      <c r="C752" s="115"/>
      <c r="D752" s="115"/>
      <c r="E752" s="115"/>
      <c r="F752" s="115"/>
    </row>
    <row r="753" spans="1:6" x14ac:dyDescent="0.2">
      <c r="A753" s="115"/>
      <c r="B753" s="79"/>
      <c r="C753" s="115"/>
      <c r="D753" s="115"/>
      <c r="E753" s="115"/>
      <c r="F753" s="115"/>
    </row>
    <row r="754" spans="1:6" x14ac:dyDescent="0.2">
      <c r="A754" s="115"/>
      <c r="B754" s="79"/>
      <c r="C754" s="115"/>
      <c r="D754" s="115"/>
      <c r="E754" s="115"/>
      <c r="F754" s="115"/>
    </row>
    <row r="755" spans="1:6" x14ac:dyDescent="0.2">
      <c r="A755" s="115"/>
      <c r="B755" s="79"/>
      <c r="C755" s="115"/>
      <c r="D755" s="115"/>
      <c r="E755" s="115"/>
      <c r="F755" s="115"/>
    </row>
    <row r="756" spans="1:6" x14ac:dyDescent="0.2">
      <c r="A756" s="115"/>
      <c r="B756" s="79"/>
      <c r="C756" s="115"/>
      <c r="D756" s="115"/>
      <c r="E756" s="115"/>
      <c r="F756" s="115"/>
    </row>
    <row r="757" spans="1:6" x14ac:dyDescent="0.2">
      <c r="A757" s="115"/>
      <c r="B757" s="79"/>
      <c r="C757" s="115"/>
      <c r="D757" s="115"/>
      <c r="E757" s="115"/>
      <c r="F757" s="115"/>
    </row>
    <row r="758" spans="1:6" x14ac:dyDescent="0.2">
      <c r="A758" s="115"/>
      <c r="B758" s="79"/>
      <c r="C758" s="115"/>
      <c r="D758" s="115"/>
      <c r="E758" s="115"/>
      <c r="F758" s="115"/>
    </row>
    <row r="759" spans="1:6" x14ac:dyDescent="0.2">
      <c r="A759" s="115"/>
      <c r="B759" s="79"/>
      <c r="C759" s="115"/>
      <c r="D759" s="115"/>
      <c r="E759" s="115"/>
      <c r="F759" s="115"/>
    </row>
    <row r="760" spans="1:6" x14ac:dyDescent="0.2">
      <c r="A760" s="115"/>
      <c r="B760" s="79"/>
      <c r="C760" s="115"/>
      <c r="D760" s="115"/>
      <c r="E760" s="115"/>
      <c r="F760" s="115"/>
    </row>
    <row r="761" spans="1:6" x14ac:dyDescent="0.2">
      <c r="A761" s="115"/>
      <c r="B761" s="79"/>
      <c r="C761" s="115"/>
      <c r="D761" s="115"/>
      <c r="E761" s="115"/>
      <c r="F761" s="115"/>
    </row>
    <row r="762" spans="1:6" x14ac:dyDescent="0.2">
      <c r="A762" s="115"/>
      <c r="B762" s="79"/>
      <c r="C762" s="115"/>
      <c r="D762" s="115"/>
      <c r="E762" s="115"/>
      <c r="F762" s="115"/>
    </row>
    <row r="763" spans="1:6" x14ac:dyDescent="0.2">
      <c r="A763" s="115"/>
      <c r="B763" s="79"/>
      <c r="C763" s="115"/>
      <c r="D763" s="115"/>
      <c r="E763" s="115"/>
      <c r="F763" s="115"/>
    </row>
    <row r="764" spans="1:6" x14ac:dyDescent="0.2">
      <c r="A764" s="115"/>
      <c r="B764" s="79"/>
      <c r="C764" s="115"/>
      <c r="D764" s="115"/>
      <c r="E764" s="115"/>
      <c r="F764" s="115"/>
    </row>
    <row r="765" spans="1:6" x14ac:dyDescent="0.2">
      <c r="A765" s="115"/>
      <c r="B765" s="79"/>
      <c r="C765" s="115"/>
      <c r="D765" s="115"/>
      <c r="E765" s="115"/>
      <c r="F765" s="115"/>
    </row>
    <row r="766" spans="1:6" x14ac:dyDescent="0.2">
      <c r="A766" s="115"/>
      <c r="B766" s="79"/>
      <c r="C766" s="115"/>
      <c r="D766" s="115"/>
      <c r="E766" s="115"/>
      <c r="F766" s="115"/>
    </row>
    <row r="767" spans="1:6" x14ac:dyDescent="0.2">
      <c r="A767" s="115"/>
      <c r="B767" s="79"/>
      <c r="C767" s="115"/>
      <c r="D767" s="115"/>
      <c r="E767" s="115"/>
      <c r="F767" s="115"/>
    </row>
    <row r="768" spans="1:6" x14ac:dyDescent="0.2">
      <c r="A768" s="115"/>
      <c r="B768" s="79"/>
      <c r="C768" s="115"/>
      <c r="D768" s="115"/>
      <c r="E768" s="115"/>
      <c r="F768" s="115"/>
    </row>
    <row r="769" spans="1:6" x14ac:dyDescent="0.2">
      <c r="A769" s="115"/>
      <c r="B769" s="79"/>
      <c r="C769" s="115"/>
      <c r="D769" s="115"/>
      <c r="E769" s="115"/>
      <c r="F769" s="115"/>
    </row>
    <row r="770" spans="1:6" x14ac:dyDescent="0.2">
      <c r="A770" s="115"/>
      <c r="B770" s="79"/>
      <c r="C770" s="115"/>
      <c r="D770" s="115"/>
      <c r="E770" s="115"/>
      <c r="F770" s="115"/>
    </row>
    <row r="771" spans="1:6" x14ac:dyDescent="0.2">
      <c r="A771" s="115"/>
      <c r="B771" s="79"/>
      <c r="C771" s="115"/>
      <c r="D771" s="115"/>
      <c r="E771" s="115"/>
      <c r="F771" s="115"/>
    </row>
    <row r="772" spans="1:6" x14ac:dyDescent="0.2">
      <c r="A772" s="115"/>
      <c r="B772" s="79"/>
      <c r="C772" s="115"/>
      <c r="D772" s="115"/>
      <c r="E772" s="115"/>
      <c r="F772" s="115"/>
    </row>
    <row r="773" spans="1:6" x14ac:dyDescent="0.2">
      <c r="A773" s="115"/>
      <c r="B773" s="79"/>
      <c r="C773" s="115"/>
      <c r="D773" s="115"/>
      <c r="E773" s="115"/>
      <c r="F773" s="115"/>
    </row>
    <row r="774" spans="1:6" x14ac:dyDescent="0.2">
      <c r="A774" s="115"/>
      <c r="B774" s="79"/>
      <c r="C774" s="115"/>
      <c r="D774" s="115"/>
      <c r="E774" s="115"/>
      <c r="F774" s="115"/>
    </row>
    <row r="775" spans="1:6" x14ac:dyDescent="0.2">
      <c r="A775" s="115"/>
      <c r="B775" s="79"/>
      <c r="C775" s="115"/>
      <c r="D775" s="115"/>
      <c r="E775" s="115"/>
      <c r="F775" s="115"/>
    </row>
    <row r="776" spans="1:6" x14ac:dyDescent="0.2">
      <c r="A776" s="115"/>
      <c r="B776" s="79"/>
      <c r="C776" s="115"/>
      <c r="D776" s="115"/>
      <c r="E776" s="115"/>
      <c r="F776" s="115"/>
    </row>
    <row r="777" spans="1:6" x14ac:dyDescent="0.2">
      <c r="A777" s="115"/>
      <c r="B777" s="79"/>
      <c r="C777" s="115"/>
      <c r="D777" s="115"/>
      <c r="E777" s="115"/>
      <c r="F777" s="115"/>
    </row>
    <row r="778" spans="1:6" x14ac:dyDescent="0.2">
      <c r="A778" s="115"/>
      <c r="B778" s="79"/>
      <c r="C778" s="115"/>
      <c r="D778" s="115"/>
      <c r="E778" s="115"/>
      <c r="F778" s="115"/>
    </row>
    <row r="779" spans="1:6" x14ac:dyDescent="0.2">
      <c r="A779" s="115"/>
      <c r="B779" s="79"/>
      <c r="C779" s="115"/>
      <c r="D779" s="115"/>
      <c r="E779" s="115"/>
      <c r="F779" s="115"/>
    </row>
    <row r="780" spans="1:6" x14ac:dyDescent="0.2">
      <c r="A780" s="115"/>
      <c r="B780" s="79"/>
      <c r="C780" s="115"/>
      <c r="D780" s="115"/>
      <c r="E780" s="115"/>
      <c r="F780" s="115"/>
    </row>
    <row r="781" spans="1:6" x14ac:dyDescent="0.2">
      <c r="A781" s="115"/>
      <c r="B781" s="79"/>
      <c r="C781" s="115"/>
      <c r="D781" s="115"/>
      <c r="E781" s="115"/>
      <c r="F781" s="115"/>
    </row>
    <row r="782" spans="1:6" x14ac:dyDescent="0.2">
      <c r="A782" s="115"/>
      <c r="B782" s="79"/>
      <c r="C782" s="115"/>
      <c r="D782" s="115"/>
      <c r="E782" s="115"/>
      <c r="F782" s="115"/>
    </row>
    <row r="783" spans="1:6" x14ac:dyDescent="0.2">
      <c r="A783" s="115"/>
      <c r="B783" s="79"/>
      <c r="C783" s="115"/>
      <c r="D783" s="115"/>
      <c r="E783" s="115"/>
      <c r="F783" s="115"/>
    </row>
    <row r="784" spans="1:6" x14ac:dyDescent="0.2">
      <c r="A784" s="115"/>
      <c r="B784" s="79"/>
      <c r="C784" s="115"/>
      <c r="D784" s="115"/>
      <c r="E784" s="115"/>
      <c r="F784" s="115"/>
    </row>
    <row r="785" spans="1:6" x14ac:dyDescent="0.2">
      <c r="A785" s="115"/>
      <c r="B785" s="79"/>
      <c r="C785" s="115"/>
      <c r="D785" s="115"/>
      <c r="E785" s="115"/>
      <c r="F785" s="115"/>
    </row>
    <row r="786" spans="1:6" x14ac:dyDescent="0.2">
      <c r="A786" s="115"/>
      <c r="B786" s="79"/>
      <c r="C786" s="115"/>
      <c r="D786" s="115"/>
      <c r="E786" s="115"/>
      <c r="F786" s="115"/>
    </row>
    <row r="787" spans="1:6" x14ac:dyDescent="0.2">
      <c r="A787" s="115"/>
      <c r="B787" s="79"/>
      <c r="C787" s="115"/>
      <c r="D787" s="115"/>
      <c r="E787" s="115"/>
      <c r="F787" s="115"/>
    </row>
    <row r="788" spans="1:6" x14ac:dyDescent="0.2">
      <c r="A788" s="115"/>
      <c r="B788" s="79"/>
      <c r="C788" s="115"/>
      <c r="D788" s="115"/>
      <c r="E788" s="115"/>
      <c r="F788" s="115"/>
    </row>
    <row r="789" spans="1:6" x14ac:dyDescent="0.2">
      <c r="A789" s="115"/>
      <c r="B789" s="79"/>
      <c r="C789" s="115"/>
      <c r="D789" s="115"/>
      <c r="E789" s="115"/>
      <c r="F789" s="115"/>
    </row>
    <row r="790" spans="1:6" x14ac:dyDescent="0.2">
      <c r="A790" s="115"/>
      <c r="B790" s="79"/>
      <c r="C790" s="115"/>
      <c r="D790" s="115"/>
      <c r="E790" s="115"/>
      <c r="F790" s="115"/>
    </row>
    <row r="791" spans="1:6" x14ac:dyDescent="0.2">
      <c r="A791" s="115"/>
      <c r="B791" s="79"/>
      <c r="C791" s="115"/>
      <c r="D791" s="115"/>
      <c r="E791" s="115"/>
      <c r="F791" s="115"/>
    </row>
    <row r="792" spans="1:6" x14ac:dyDescent="0.2">
      <c r="A792" s="115"/>
      <c r="B792" s="79"/>
      <c r="C792" s="115"/>
      <c r="D792" s="115"/>
      <c r="E792" s="115"/>
      <c r="F792" s="115"/>
    </row>
    <row r="793" spans="1:6" x14ac:dyDescent="0.2">
      <c r="A793" s="115"/>
      <c r="B793" s="79"/>
      <c r="C793" s="115"/>
      <c r="D793" s="115"/>
      <c r="E793" s="115"/>
      <c r="F793" s="115"/>
    </row>
    <row r="794" spans="1:6" x14ac:dyDescent="0.2">
      <c r="A794" s="115"/>
      <c r="B794" s="79"/>
      <c r="C794" s="115"/>
      <c r="D794" s="115"/>
      <c r="E794" s="115"/>
      <c r="F794" s="115"/>
    </row>
    <row r="795" spans="1:6" x14ac:dyDescent="0.2">
      <c r="A795" s="115"/>
      <c r="B795" s="79"/>
      <c r="C795" s="115"/>
      <c r="D795" s="115"/>
      <c r="E795" s="115"/>
      <c r="F795" s="115"/>
    </row>
    <row r="796" spans="1:6" x14ac:dyDescent="0.2">
      <c r="A796" s="115"/>
      <c r="B796" s="79"/>
      <c r="C796" s="115"/>
      <c r="D796" s="115"/>
      <c r="E796" s="115"/>
      <c r="F796" s="115"/>
    </row>
    <row r="797" spans="1:6" x14ac:dyDescent="0.2">
      <c r="A797" s="115"/>
      <c r="B797" s="79"/>
      <c r="C797" s="115"/>
      <c r="D797" s="115"/>
      <c r="E797" s="115"/>
      <c r="F797" s="115"/>
    </row>
    <row r="798" spans="1:6" x14ac:dyDescent="0.2">
      <c r="A798" s="115"/>
      <c r="B798" s="79"/>
      <c r="C798" s="115"/>
      <c r="D798" s="115"/>
      <c r="E798" s="115"/>
      <c r="F798" s="115"/>
    </row>
    <row r="799" spans="1:6" x14ac:dyDescent="0.2">
      <c r="A799" s="115"/>
      <c r="B799" s="79"/>
      <c r="C799" s="115"/>
      <c r="D799" s="115"/>
      <c r="E799" s="115"/>
      <c r="F799" s="115"/>
    </row>
    <row r="800" spans="1:6" x14ac:dyDescent="0.2">
      <c r="A800" s="115"/>
      <c r="B800" s="79"/>
      <c r="C800" s="115"/>
      <c r="D800" s="115"/>
      <c r="E800" s="115"/>
      <c r="F800" s="115"/>
    </row>
    <row r="801" spans="1:6" x14ac:dyDescent="0.2">
      <c r="A801" s="115"/>
      <c r="B801" s="79"/>
      <c r="C801" s="115"/>
      <c r="D801" s="115"/>
      <c r="E801" s="115"/>
      <c r="F801" s="115"/>
    </row>
    <row r="802" spans="1:6" x14ac:dyDescent="0.2">
      <c r="A802" s="115"/>
      <c r="B802" s="79"/>
      <c r="C802" s="115"/>
      <c r="D802" s="115"/>
      <c r="E802" s="115"/>
      <c r="F802" s="115"/>
    </row>
    <row r="803" spans="1:6" x14ac:dyDescent="0.2">
      <c r="A803" s="115"/>
      <c r="B803" s="79"/>
      <c r="C803" s="115"/>
      <c r="D803" s="115"/>
      <c r="E803" s="115"/>
      <c r="F803" s="115"/>
    </row>
    <row r="804" spans="1:6" x14ac:dyDescent="0.2">
      <c r="A804" s="115"/>
      <c r="B804" s="79"/>
      <c r="C804" s="115"/>
      <c r="D804" s="115"/>
      <c r="E804" s="115"/>
      <c r="F804" s="115"/>
    </row>
    <row r="805" spans="1:6" x14ac:dyDescent="0.2">
      <c r="A805" s="115"/>
      <c r="B805" s="79"/>
      <c r="C805" s="115"/>
      <c r="D805" s="115"/>
      <c r="E805" s="115"/>
      <c r="F805" s="115"/>
    </row>
    <row r="806" spans="1:6" x14ac:dyDescent="0.2">
      <c r="A806" s="115"/>
      <c r="B806" s="79"/>
      <c r="C806" s="115"/>
      <c r="D806" s="115"/>
      <c r="E806" s="115"/>
      <c r="F806" s="115"/>
    </row>
    <row r="807" spans="1:6" x14ac:dyDescent="0.2">
      <c r="A807" s="115"/>
      <c r="B807" s="79"/>
      <c r="C807" s="115"/>
      <c r="D807" s="115"/>
      <c r="E807" s="115"/>
      <c r="F807" s="115"/>
    </row>
    <row r="808" spans="1:6" x14ac:dyDescent="0.2">
      <c r="A808" s="115"/>
      <c r="B808" s="79"/>
      <c r="C808" s="115"/>
      <c r="D808" s="115"/>
      <c r="E808" s="115"/>
      <c r="F808" s="115"/>
    </row>
    <row r="809" spans="1:6" x14ac:dyDescent="0.2">
      <c r="A809" s="115"/>
      <c r="B809" s="79"/>
      <c r="C809" s="115"/>
      <c r="D809" s="115"/>
      <c r="E809" s="115"/>
      <c r="F809" s="115"/>
    </row>
    <row r="810" spans="1:6" x14ac:dyDescent="0.2">
      <c r="A810" s="115"/>
      <c r="B810" s="79"/>
      <c r="C810" s="115"/>
      <c r="D810" s="115"/>
      <c r="E810" s="115"/>
      <c r="F810" s="115"/>
    </row>
    <row r="811" spans="1:6" x14ac:dyDescent="0.2">
      <c r="A811" s="115"/>
      <c r="B811" s="79"/>
      <c r="C811" s="115"/>
      <c r="D811" s="115"/>
      <c r="E811" s="115"/>
      <c r="F811" s="115"/>
    </row>
    <row r="812" spans="1:6" x14ac:dyDescent="0.2">
      <c r="A812" s="115"/>
      <c r="B812" s="79"/>
      <c r="C812" s="115"/>
      <c r="D812" s="115"/>
      <c r="E812" s="115"/>
      <c r="F812" s="115"/>
    </row>
    <row r="813" spans="1:6" x14ac:dyDescent="0.2">
      <c r="A813" s="115"/>
      <c r="B813" s="79"/>
      <c r="C813" s="115"/>
      <c r="D813" s="115"/>
      <c r="E813" s="115"/>
      <c r="F813" s="115"/>
    </row>
    <row r="814" spans="1:6" x14ac:dyDescent="0.2">
      <c r="A814" s="115"/>
      <c r="B814" s="79"/>
      <c r="C814" s="115"/>
      <c r="D814" s="115"/>
      <c r="E814" s="115"/>
      <c r="F814" s="115"/>
    </row>
    <row r="815" spans="1:6" x14ac:dyDescent="0.2">
      <c r="A815" s="115"/>
      <c r="B815" s="79"/>
      <c r="C815" s="115"/>
      <c r="D815" s="115"/>
      <c r="E815" s="115"/>
      <c r="F815" s="115"/>
    </row>
    <row r="816" spans="1:6" x14ac:dyDescent="0.2">
      <c r="A816" s="115"/>
      <c r="B816" s="79"/>
      <c r="C816" s="115"/>
      <c r="D816" s="115"/>
      <c r="E816" s="115"/>
      <c r="F816" s="115"/>
    </row>
    <row r="817" spans="1:6" x14ac:dyDescent="0.2">
      <c r="A817" s="115"/>
      <c r="B817" s="79"/>
      <c r="C817" s="115"/>
      <c r="D817" s="115"/>
      <c r="E817" s="115"/>
      <c r="F817" s="115"/>
    </row>
    <row r="818" spans="1:6" x14ac:dyDescent="0.2">
      <c r="A818" s="115"/>
      <c r="B818" s="79"/>
      <c r="C818" s="115"/>
      <c r="D818" s="115"/>
      <c r="E818" s="115"/>
      <c r="F818" s="115"/>
    </row>
    <row r="819" spans="1:6" x14ac:dyDescent="0.2">
      <c r="A819" s="115"/>
      <c r="B819" s="79"/>
      <c r="C819" s="115"/>
      <c r="D819" s="115"/>
      <c r="E819" s="115"/>
      <c r="F819" s="115"/>
    </row>
    <row r="820" spans="1:6" x14ac:dyDescent="0.2">
      <c r="A820" s="115"/>
      <c r="B820" s="79"/>
      <c r="C820" s="115"/>
      <c r="D820" s="115"/>
      <c r="E820" s="115"/>
      <c r="F820" s="115"/>
    </row>
    <row r="821" spans="1:6" x14ac:dyDescent="0.2">
      <c r="A821" s="115"/>
      <c r="B821" s="79"/>
      <c r="C821" s="115"/>
      <c r="D821" s="115"/>
      <c r="E821" s="115"/>
      <c r="F821" s="115"/>
    </row>
    <row r="822" spans="1:6" x14ac:dyDescent="0.2">
      <c r="A822" s="115"/>
      <c r="B822" s="79"/>
      <c r="C822" s="115"/>
      <c r="D822" s="115"/>
      <c r="E822" s="115"/>
      <c r="F822" s="115"/>
    </row>
    <row r="823" spans="1:6" x14ac:dyDescent="0.2">
      <c r="A823" s="115"/>
      <c r="B823" s="79"/>
      <c r="C823" s="115"/>
      <c r="D823" s="115"/>
      <c r="E823" s="115"/>
      <c r="F823" s="115"/>
    </row>
    <row r="824" spans="1:6" x14ac:dyDescent="0.2">
      <c r="A824" s="115"/>
      <c r="B824" s="79"/>
      <c r="C824" s="115"/>
      <c r="D824" s="115"/>
      <c r="E824" s="115"/>
      <c r="F824" s="115"/>
    </row>
    <row r="825" spans="1:6" x14ac:dyDescent="0.2">
      <c r="A825" s="115"/>
      <c r="B825" s="79"/>
      <c r="C825" s="115"/>
      <c r="D825" s="115"/>
      <c r="E825" s="115"/>
      <c r="F825" s="115"/>
    </row>
    <row r="826" spans="1:6" x14ac:dyDescent="0.2">
      <c r="A826" s="115"/>
      <c r="B826" s="79"/>
      <c r="C826" s="115"/>
      <c r="D826" s="115"/>
      <c r="E826" s="115"/>
      <c r="F826" s="115"/>
    </row>
    <row r="827" spans="1:6" x14ac:dyDescent="0.2">
      <c r="A827" s="115"/>
      <c r="B827" s="79"/>
      <c r="C827" s="115"/>
      <c r="D827" s="115"/>
      <c r="E827" s="115"/>
      <c r="F827" s="115"/>
    </row>
    <row r="828" spans="1:6" x14ac:dyDescent="0.2">
      <c r="A828" s="115"/>
      <c r="B828" s="79"/>
      <c r="C828" s="115"/>
      <c r="D828" s="115"/>
      <c r="E828" s="115"/>
      <c r="F828" s="115"/>
    </row>
    <row r="829" spans="1:6" x14ac:dyDescent="0.2">
      <c r="A829" s="115"/>
      <c r="B829" s="79"/>
      <c r="C829" s="115"/>
      <c r="D829" s="115"/>
      <c r="E829" s="115"/>
      <c r="F829" s="115"/>
    </row>
    <row r="830" spans="1:6" x14ac:dyDescent="0.2">
      <c r="A830" s="115"/>
      <c r="B830" s="79"/>
      <c r="C830" s="115"/>
      <c r="D830" s="115"/>
      <c r="E830" s="115"/>
      <c r="F830" s="115"/>
    </row>
    <row r="831" spans="1:6" x14ac:dyDescent="0.2">
      <c r="A831" s="115"/>
      <c r="B831" s="79"/>
      <c r="C831" s="115"/>
      <c r="D831" s="115"/>
      <c r="E831" s="115"/>
      <c r="F831" s="115"/>
    </row>
    <row r="832" spans="1:6" x14ac:dyDescent="0.2">
      <c r="A832" s="115"/>
      <c r="B832" s="79"/>
      <c r="C832" s="115"/>
      <c r="D832" s="115"/>
      <c r="E832" s="115"/>
      <c r="F832" s="115"/>
    </row>
    <row r="833" spans="1:6" x14ac:dyDescent="0.2">
      <c r="A833" s="115"/>
      <c r="B833" s="79"/>
      <c r="C833" s="115"/>
      <c r="D833" s="115"/>
      <c r="E833" s="115"/>
      <c r="F833" s="115"/>
    </row>
    <row r="834" spans="1:6" x14ac:dyDescent="0.2">
      <c r="A834" s="115"/>
      <c r="B834" s="79"/>
      <c r="C834" s="115"/>
      <c r="D834" s="115"/>
      <c r="E834" s="115"/>
      <c r="F834" s="115"/>
    </row>
    <row r="835" spans="1:6" x14ac:dyDescent="0.2">
      <c r="A835" s="115"/>
      <c r="B835" s="79"/>
      <c r="C835" s="115"/>
      <c r="D835" s="115"/>
      <c r="E835" s="115"/>
      <c r="F835" s="115"/>
    </row>
    <row r="836" spans="1:6" x14ac:dyDescent="0.2">
      <c r="A836" s="115"/>
      <c r="B836" s="79"/>
      <c r="C836" s="115"/>
      <c r="D836" s="115"/>
      <c r="E836" s="115"/>
      <c r="F836" s="115"/>
    </row>
    <row r="837" spans="1:6" x14ac:dyDescent="0.2">
      <c r="A837" s="115"/>
      <c r="B837" s="79"/>
      <c r="C837" s="115"/>
      <c r="D837" s="115"/>
      <c r="E837" s="115"/>
      <c r="F837" s="115"/>
    </row>
    <row r="838" spans="1:6" x14ac:dyDescent="0.2">
      <c r="A838" s="115"/>
      <c r="B838" s="79"/>
      <c r="C838" s="115"/>
      <c r="D838" s="115"/>
      <c r="E838" s="115"/>
      <c r="F838" s="115"/>
    </row>
    <row r="839" spans="1:6" x14ac:dyDescent="0.2">
      <c r="A839" s="115"/>
      <c r="B839" s="79"/>
      <c r="C839" s="115"/>
      <c r="D839" s="115"/>
      <c r="E839" s="115"/>
      <c r="F839" s="115"/>
    </row>
    <row r="840" spans="1:6" x14ac:dyDescent="0.2">
      <c r="A840" s="115"/>
      <c r="B840" s="79"/>
      <c r="C840" s="115"/>
      <c r="D840" s="115"/>
      <c r="E840" s="115"/>
      <c r="F840" s="115"/>
    </row>
    <row r="841" spans="1:6" x14ac:dyDescent="0.2">
      <c r="A841" s="115"/>
      <c r="B841" s="79"/>
      <c r="C841" s="115"/>
      <c r="D841" s="115"/>
      <c r="E841" s="115"/>
      <c r="F841" s="115"/>
    </row>
    <row r="842" spans="1:6" x14ac:dyDescent="0.2">
      <c r="A842" s="115"/>
      <c r="B842" s="79"/>
      <c r="C842" s="115"/>
      <c r="D842" s="115"/>
      <c r="E842" s="115"/>
      <c r="F842" s="115"/>
    </row>
    <row r="843" spans="1:6" x14ac:dyDescent="0.2">
      <c r="A843" s="115"/>
      <c r="B843" s="79"/>
      <c r="C843" s="115"/>
      <c r="D843" s="115"/>
      <c r="E843" s="115"/>
      <c r="F843" s="115"/>
    </row>
    <row r="844" spans="1:6" x14ac:dyDescent="0.2">
      <c r="A844" s="115"/>
      <c r="B844" s="79"/>
      <c r="C844" s="115"/>
      <c r="D844" s="115"/>
      <c r="E844" s="115"/>
      <c r="F844" s="115"/>
    </row>
    <row r="845" spans="1:6" x14ac:dyDescent="0.2">
      <c r="A845" s="115"/>
      <c r="B845" s="79"/>
      <c r="C845" s="115"/>
      <c r="D845" s="115"/>
      <c r="E845" s="115"/>
      <c r="F845" s="115"/>
    </row>
    <row r="846" spans="1:6" x14ac:dyDescent="0.2">
      <c r="A846" s="115"/>
      <c r="B846" s="79"/>
      <c r="C846" s="115"/>
      <c r="D846" s="115"/>
      <c r="E846" s="115"/>
      <c r="F846" s="115"/>
    </row>
    <row r="847" spans="1:6" x14ac:dyDescent="0.2">
      <c r="A847" s="115"/>
      <c r="B847" s="79"/>
      <c r="C847" s="115"/>
      <c r="D847" s="115"/>
      <c r="E847" s="115"/>
      <c r="F847" s="115"/>
    </row>
    <row r="848" spans="1:6" x14ac:dyDescent="0.2">
      <c r="A848" s="115"/>
      <c r="B848" s="79"/>
      <c r="C848" s="115"/>
      <c r="D848" s="115"/>
      <c r="E848" s="115"/>
      <c r="F848" s="115"/>
    </row>
    <row r="849" spans="1:6" x14ac:dyDescent="0.2">
      <c r="A849" s="115"/>
      <c r="B849" s="79"/>
      <c r="C849" s="115"/>
      <c r="D849" s="115"/>
      <c r="E849" s="115"/>
      <c r="F849" s="115"/>
    </row>
    <row r="850" spans="1:6" x14ac:dyDescent="0.2">
      <c r="A850" s="115"/>
      <c r="B850" s="79"/>
      <c r="C850" s="115"/>
      <c r="D850" s="115"/>
      <c r="E850" s="115"/>
      <c r="F850" s="115"/>
    </row>
    <row r="851" spans="1:6" x14ac:dyDescent="0.2">
      <c r="A851" s="115"/>
      <c r="B851" s="79"/>
      <c r="C851" s="115"/>
      <c r="D851" s="115"/>
      <c r="E851" s="115"/>
      <c r="F851" s="115"/>
    </row>
    <row r="852" spans="1:6" x14ac:dyDescent="0.2">
      <c r="A852" s="115"/>
      <c r="B852" s="79"/>
      <c r="C852" s="115"/>
      <c r="D852" s="115"/>
      <c r="E852" s="115"/>
      <c r="F852" s="115"/>
    </row>
    <row r="853" spans="1:6" x14ac:dyDescent="0.2">
      <c r="A853" s="115"/>
      <c r="B853" s="79"/>
      <c r="C853" s="115"/>
      <c r="D853" s="115"/>
      <c r="E853" s="115"/>
      <c r="F853" s="115"/>
    </row>
    <row r="854" spans="1:6" x14ac:dyDescent="0.2">
      <c r="A854" s="115"/>
      <c r="B854" s="79"/>
      <c r="C854" s="115"/>
      <c r="D854" s="115"/>
      <c r="E854" s="115"/>
      <c r="F854" s="115"/>
    </row>
    <row r="855" spans="1:6" x14ac:dyDescent="0.2">
      <c r="A855" s="115"/>
      <c r="B855" s="79"/>
      <c r="C855" s="115"/>
      <c r="D855" s="115"/>
      <c r="E855" s="115"/>
      <c r="F855" s="115"/>
    </row>
    <row r="856" spans="1:6" x14ac:dyDescent="0.2">
      <c r="A856" s="115"/>
      <c r="B856" s="79"/>
      <c r="C856" s="115"/>
      <c r="D856" s="115"/>
      <c r="E856" s="115"/>
      <c r="F856" s="115"/>
    </row>
    <row r="857" spans="1:6" x14ac:dyDescent="0.2">
      <c r="A857" s="115"/>
      <c r="B857" s="79"/>
      <c r="C857" s="115"/>
      <c r="D857" s="115"/>
      <c r="E857" s="115"/>
      <c r="F857" s="115"/>
    </row>
    <row r="858" spans="1:6" x14ac:dyDescent="0.2">
      <c r="A858" s="115"/>
      <c r="B858" s="79"/>
      <c r="C858" s="115"/>
      <c r="D858" s="115"/>
      <c r="E858" s="115"/>
      <c r="F858" s="115"/>
    </row>
    <row r="859" spans="1:6" x14ac:dyDescent="0.2">
      <c r="A859" s="115"/>
      <c r="B859" s="79"/>
      <c r="C859" s="115"/>
      <c r="D859" s="115"/>
      <c r="E859" s="115"/>
      <c r="F859" s="115"/>
    </row>
    <row r="860" spans="1:6" x14ac:dyDescent="0.2">
      <c r="A860" s="115"/>
      <c r="B860" s="79"/>
      <c r="C860" s="115"/>
      <c r="D860" s="115"/>
      <c r="E860" s="115"/>
      <c r="F860" s="115"/>
    </row>
    <row r="861" spans="1:6" x14ac:dyDescent="0.2">
      <c r="A861" s="115"/>
      <c r="B861" s="79"/>
      <c r="C861" s="115"/>
      <c r="D861" s="115"/>
      <c r="E861" s="115"/>
      <c r="F861" s="115"/>
    </row>
    <row r="862" spans="1:6" x14ac:dyDescent="0.2">
      <c r="A862" s="115"/>
      <c r="B862" s="79"/>
      <c r="C862" s="115"/>
      <c r="D862" s="115"/>
      <c r="E862" s="115"/>
      <c r="F862" s="115"/>
    </row>
    <row r="863" spans="1:6" x14ac:dyDescent="0.2">
      <c r="A863" s="115"/>
      <c r="B863" s="79"/>
      <c r="C863" s="115"/>
      <c r="D863" s="115"/>
      <c r="E863" s="115"/>
      <c r="F863" s="115"/>
    </row>
    <row r="864" spans="1:6" x14ac:dyDescent="0.2">
      <c r="A864" s="115"/>
      <c r="B864" s="79"/>
      <c r="C864" s="115"/>
      <c r="D864" s="115"/>
      <c r="E864" s="115"/>
      <c r="F864" s="115"/>
    </row>
    <row r="865" spans="1:6" x14ac:dyDescent="0.2">
      <c r="A865" s="115"/>
      <c r="B865" s="79"/>
      <c r="C865" s="115"/>
      <c r="D865" s="115"/>
      <c r="E865" s="115"/>
      <c r="F865" s="115"/>
    </row>
    <row r="866" spans="1:6" x14ac:dyDescent="0.2">
      <c r="A866" s="115"/>
      <c r="B866" s="79"/>
      <c r="C866" s="115"/>
      <c r="D866" s="115"/>
      <c r="E866" s="115"/>
      <c r="F866" s="115"/>
    </row>
    <row r="867" spans="1:6" x14ac:dyDescent="0.2">
      <c r="A867" s="115"/>
      <c r="B867" s="79"/>
      <c r="C867" s="115"/>
      <c r="D867" s="115"/>
      <c r="E867" s="115"/>
      <c r="F867" s="115"/>
    </row>
    <row r="868" spans="1:6" x14ac:dyDescent="0.2">
      <c r="A868" s="115"/>
      <c r="B868" s="79"/>
      <c r="C868" s="115"/>
      <c r="D868" s="115"/>
      <c r="E868" s="115"/>
      <c r="F868" s="115"/>
    </row>
    <row r="869" spans="1:6" x14ac:dyDescent="0.2">
      <c r="A869" s="115"/>
      <c r="B869" s="79"/>
      <c r="C869" s="115"/>
      <c r="D869" s="115"/>
      <c r="E869" s="115"/>
      <c r="F869" s="115"/>
    </row>
    <row r="870" spans="1:6" x14ac:dyDescent="0.2">
      <c r="A870" s="115"/>
      <c r="B870" s="79"/>
      <c r="C870" s="115"/>
      <c r="D870" s="115"/>
      <c r="E870" s="115"/>
      <c r="F870" s="115"/>
    </row>
    <row r="871" spans="1:6" x14ac:dyDescent="0.2">
      <c r="A871" s="115"/>
      <c r="B871" s="79"/>
      <c r="C871" s="115"/>
      <c r="D871" s="115"/>
      <c r="E871" s="115"/>
      <c r="F871" s="115"/>
    </row>
    <row r="872" spans="1:6" x14ac:dyDescent="0.2">
      <c r="A872" s="115"/>
      <c r="B872" s="79"/>
      <c r="C872" s="115"/>
      <c r="D872" s="115"/>
      <c r="E872" s="115"/>
      <c r="F872" s="115"/>
    </row>
    <row r="873" spans="1:6" x14ac:dyDescent="0.2">
      <c r="A873" s="115"/>
      <c r="B873" s="79"/>
      <c r="C873" s="115"/>
      <c r="D873" s="115"/>
      <c r="E873" s="115"/>
      <c r="F873" s="115"/>
    </row>
    <row r="874" spans="1:6" x14ac:dyDescent="0.2">
      <c r="A874" s="115"/>
      <c r="B874" s="79"/>
      <c r="C874" s="115"/>
      <c r="D874" s="115"/>
      <c r="E874" s="115"/>
      <c r="F874" s="115"/>
    </row>
    <row r="875" spans="1:6" x14ac:dyDescent="0.2">
      <c r="A875" s="115"/>
      <c r="B875" s="79"/>
      <c r="C875" s="115"/>
      <c r="D875" s="115"/>
      <c r="E875" s="115"/>
      <c r="F875" s="115"/>
    </row>
    <row r="876" spans="1:6" x14ac:dyDescent="0.2">
      <c r="A876" s="115"/>
      <c r="B876" s="79"/>
      <c r="C876" s="115"/>
      <c r="D876" s="115"/>
      <c r="E876" s="115"/>
      <c r="F876" s="115"/>
    </row>
    <row r="877" spans="1:6" x14ac:dyDescent="0.2">
      <c r="A877" s="115"/>
      <c r="B877" s="79"/>
      <c r="C877" s="115"/>
      <c r="D877" s="115"/>
      <c r="E877" s="115"/>
      <c r="F877" s="115"/>
    </row>
    <row r="878" spans="1:6" x14ac:dyDescent="0.2">
      <c r="A878" s="115"/>
      <c r="B878" s="79"/>
      <c r="C878" s="115"/>
      <c r="D878" s="115"/>
      <c r="E878" s="115"/>
      <c r="F878" s="115"/>
    </row>
    <row r="879" spans="1:6" x14ac:dyDescent="0.2">
      <c r="A879" s="115"/>
      <c r="B879" s="79"/>
      <c r="C879" s="115"/>
      <c r="D879" s="115"/>
      <c r="E879" s="115"/>
      <c r="F879" s="115"/>
    </row>
    <row r="880" spans="1:6" x14ac:dyDescent="0.2">
      <c r="A880" s="115"/>
      <c r="B880" s="79"/>
      <c r="C880" s="115"/>
      <c r="D880" s="115"/>
      <c r="E880" s="115"/>
      <c r="F880" s="115"/>
    </row>
    <row r="881" spans="1:6" x14ac:dyDescent="0.2">
      <c r="A881" s="115"/>
      <c r="B881" s="79"/>
      <c r="C881" s="115"/>
      <c r="D881" s="115"/>
      <c r="E881" s="115"/>
      <c r="F881" s="115"/>
    </row>
    <row r="882" spans="1:6" x14ac:dyDescent="0.2">
      <c r="A882" s="115"/>
      <c r="B882" s="79"/>
      <c r="C882" s="115"/>
      <c r="D882" s="115"/>
      <c r="E882" s="115"/>
      <c r="F882" s="115"/>
    </row>
    <row r="883" spans="1:6" x14ac:dyDescent="0.2">
      <c r="A883" s="115"/>
      <c r="B883" s="79"/>
      <c r="C883" s="115"/>
      <c r="D883" s="115"/>
      <c r="E883" s="115"/>
      <c r="F883" s="115"/>
    </row>
    <row r="884" spans="1:6" x14ac:dyDescent="0.2">
      <c r="A884" s="115"/>
      <c r="B884" s="79"/>
      <c r="C884" s="115"/>
      <c r="D884" s="115"/>
      <c r="E884" s="115"/>
      <c r="F884" s="115"/>
    </row>
    <row r="885" spans="1:6" x14ac:dyDescent="0.2">
      <c r="A885" s="115"/>
      <c r="B885" s="79"/>
      <c r="C885" s="115"/>
      <c r="D885" s="115"/>
      <c r="E885" s="115"/>
      <c r="F885" s="115"/>
    </row>
    <row r="886" spans="1:6" x14ac:dyDescent="0.2">
      <c r="A886" s="115"/>
      <c r="B886" s="79"/>
      <c r="C886" s="115"/>
      <c r="D886" s="115"/>
      <c r="E886" s="115"/>
      <c r="F886" s="115"/>
    </row>
    <row r="887" spans="1:6" x14ac:dyDescent="0.2">
      <c r="A887" s="115"/>
      <c r="B887" s="79"/>
      <c r="C887" s="115"/>
      <c r="D887" s="115"/>
      <c r="E887" s="115"/>
      <c r="F887" s="115"/>
    </row>
    <row r="888" spans="1:6" x14ac:dyDescent="0.2">
      <c r="A888" s="115"/>
      <c r="B888" s="79"/>
      <c r="C888" s="115"/>
      <c r="D888" s="115"/>
      <c r="E888" s="115"/>
      <c r="F888" s="115"/>
    </row>
    <row r="889" spans="1:6" x14ac:dyDescent="0.2">
      <c r="A889" s="115"/>
      <c r="B889" s="79"/>
      <c r="C889" s="115"/>
      <c r="D889" s="115"/>
      <c r="E889" s="115"/>
      <c r="F889" s="115"/>
    </row>
    <row r="890" spans="1:6" x14ac:dyDescent="0.2">
      <c r="A890" s="115"/>
      <c r="B890" s="79"/>
      <c r="C890" s="115"/>
      <c r="D890" s="115"/>
      <c r="E890" s="115"/>
      <c r="F890" s="115"/>
    </row>
    <row r="891" spans="1:6" x14ac:dyDescent="0.2">
      <c r="A891" s="115"/>
      <c r="B891" s="79"/>
      <c r="C891" s="115"/>
      <c r="D891" s="115"/>
      <c r="E891" s="115"/>
      <c r="F891" s="115"/>
    </row>
    <row r="892" spans="1:6" x14ac:dyDescent="0.2">
      <c r="A892" s="115"/>
      <c r="B892" s="79"/>
      <c r="C892" s="115"/>
      <c r="D892" s="115"/>
      <c r="E892" s="115"/>
      <c r="F892" s="115"/>
    </row>
    <row r="893" spans="1:6" x14ac:dyDescent="0.2">
      <c r="A893" s="115"/>
      <c r="B893" s="79"/>
      <c r="C893" s="115"/>
      <c r="D893" s="115"/>
      <c r="E893" s="115"/>
      <c r="F893" s="115"/>
    </row>
    <row r="894" spans="1:6" x14ac:dyDescent="0.2">
      <c r="A894" s="115"/>
      <c r="B894" s="79"/>
      <c r="C894" s="115"/>
      <c r="D894" s="115"/>
      <c r="E894" s="115"/>
      <c r="F894" s="115"/>
    </row>
    <row r="895" spans="1:6" x14ac:dyDescent="0.2">
      <c r="A895" s="115"/>
      <c r="B895" s="79"/>
      <c r="C895" s="115"/>
      <c r="D895" s="115"/>
      <c r="E895" s="115"/>
      <c r="F895" s="115"/>
    </row>
    <row r="896" spans="1:6" x14ac:dyDescent="0.2">
      <c r="A896" s="115"/>
      <c r="B896" s="79"/>
      <c r="C896" s="115"/>
      <c r="D896" s="115"/>
      <c r="E896" s="115"/>
      <c r="F896" s="115"/>
    </row>
    <row r="897" spans="1:6" x14ac:dyDescent="0.2">
      <c r="A897" s="115"/>
      <c r="B897" s="79"/>
      <c r="C897" s="115"/>
      <c r="D897" s="115"/>
      <c r="E897" s="115"/>
      <c r="F897" s="115"/>
    </row>
    <row r="898" spans="1:6" x14ac:dyDescent="0.2">
      <c r="A898" s="115"/>
      <c r="B898" s="79"/>
      <c r="C898" s="115"/>
      <c r="D898" s="115"/>
      <c r="E898" s="115"/>
      <c r="F898" s="115"/>
    </row>
    <row r="899" spans="1:6" x14ac:dyDescent="0.2">
      <c r="A899" s="115"/>
      <c r="B899" s="79"/>
      <c r="C899" s="115"/>
      <c r="D899" s="115"/>
      <c r="E899" s="115"/>
      <c r="F899" s="115"/>
    </row>
    <row r="900" spans="1:6" x14ac:dyDescent="0.2">
      <c r="A900" s="115"/>
      <c r="B900" s="79"/>
      <c r="C900" s="115"/>
      <c r="D900" s="115"/>
      <c r="E900" s="115"/>
      <c r="F900" s="115"/>
    </row>
    <row r="901" spans="1:6" x14ac:dyDescent="0.2">
      <c r="A901" s="115"/>
      <c r="B901" s="79"/>
      <c r="C901" s="115"/>
      <c r="D901" s="115"/>
      <c r="E901" s="115"/>
      <c r="F901" s="115"/>
    </row>
    <row r="902" spans="1:6" x14ac:dyDescent="0.2">
      <c r="A902" s="115"/>
      <c r="B902" s="79"/>
      <c r="C902" s="115"/>
      <c r="D902" s="115"/>
      <c r="E902" s="115"/>
      <c r="F902" s="115"/>
    </row>
    <row r="903" spans="1:6" x14ac:dyDescent="0.2">
      <c r="A903" s="115"/>
      <c r="B903" s="79"/>
      <c r="C903" s="115"/>
      <c r="D903" s="115"/>
      <c r="E903" s="115"/>
      <c r="F903" s="115"/>
    </row>
    <row r="904" spans="1:6" x14ac:dyDescent="0.2">
      <c r="A904" s="115"/>
      <c r="B904" s="79"/>
      <c r="C904" s="115"/>
      <c r="D904" s="115"/>
      <c r="E904" s="115"/>
      <c r="F904" s="115"/>
    </row>
    <row r="905" spans="1:6" x14ac:dyDescent="0.2">
      <c r="A905" s="115"/>
      <c r="B905" s="79"/>
      <c r="C905" s="115"/>
      <c r="D905" s="115"/>
      <c r="E905" s="115"/>
      <c r="F905" s="115"/>
    </row>
    <row r="906" spans="1:6" x14ac:dyDescent="0.2">
      <c r="A906" s="115"/>
      <c r="B906" s="79"/>
      <c r="C906" s="115"/>
      <c r="D906" s="115"/>
      <c r="E906" s="115"/>
      <c r="F906" s="115"/>
    </row>
    <row r="907" spans="1:6" x14ac:dyDescent="0.2">
      <c r="A907" s="115"/>
      <c r="B907" s="79"/>
      <c r="C907" s="115"/>
      <c r="D907" s="115"/>
      <c r="E907" s="115"/>
      <c r="F907" s="115"/>
    </row>
    <row r="908" spans="1:6" x14ac:dyDescent="0.2">
      <c r="A908" s="115"/>
      <c r="B908" s="79"/>
      <c r="C908" s="115"/>
      <c r="D908" s="115"/>
      <c r="E908" s="115"/>
      <c r="F908" s="115"/>
    </row>
    <row r="909" spans="1:6" x14ac:dyDescent="0.2">
      <c r="A909" s="115"/>
      <c r="B909" s="79"/>
      <c r="C909" s="115"/>
      <c r="D909" s="115"/>
      <c r="E909" s="115"/>
      <c r="F909" s="115"/>
    </row>
    <row r="910" spans="1:6" x14ac:dyDescent="0.2">
      <c r="A910" s="115"/>
      <c r="B910" s="79"/>
      <c r="C910" s="115"/>
      <c r="D910" s="115"/>
      <c r="E910" s="115"/>
      <c r="F910" s="115"/>
    </row>
    <row r="911" spans="1:6" x14ac:dyDescent="0.2">
      <c r="A911" s="115"/>
      <c r="B911" s="79"/>
      <c r="C911" s="115"/>
      <c r="D911" s="115"/>
      <c r="E911" s="115"/>
      <c r="F911" s="115"/>
    </row>
    <row r="912" spans="1:6" x14ac:dyDescent="0.2">
      <c r="A912" s="115"/>
      <c r="B912" s="79"/>
      <c r="C912" s="115"/>
      <c r="D912" s="115"/>
      <c r="E912" s="115"/>
      <c r="F912" s="115"/>
    </row>
    <row r="913" spans="1:6" x14ac:dyDescent="0.2">
      <c r="A913" s="115"/>
      <c r="B913" s="79"/>
      <c r="C913" s="115"/>
      <c r="D913" s="115"/>
      <c r="E913" s="115"/>
      <c r="F913" s="115"/>
    </row>
    <row r="914" spans="1:6" x14ac:dyDescent="0.2">
      <c r="A914" s="115"/>
      <c r="B914" s="79"/>
      <c r="C914" s="115"/>
      <c r="D914" s="115"/>
      <c r="E914" s="115"/>
      <c r="F914" s="115"/>
    </row>
    <row r="915" spans="1:6" x14ac:dyDescent="0.2">
      <c r="A915" s="115"/>
      <c r="B915" s="79"/>
      <c r="C915" s="115"/>
      <c r="D915" s="115"/>
      <c r="E915" s="115"/>
      <c r="F915" s="115"/>
    </row>
    <row r="916" spans="1:6" x14ac:dyDescent="0.2">
      <c r="A916" s="115"/>
      <c r="B916" s="79"/>
      <c r="C916" s="115"/>
      <c r="D916" s="115"/>
      <c r="E916" s="115"/>
      <c r="F916" s="115"/>
    </row>
    <row r="917" spans="1:6" x14ac:dyDescent="0.2">
      <c r="A917" s="115"/>
      <c r="B917" s="79"/>
      <c r="C917" s="115"/>
      <c r="D917" s="115"/>
      <c r="E917" s="115"/>
      <c r="F917" s="115"/>
    </row>
    <row r="918" spans="1:6" x14ac:dyDescent="0.2">
      <c r="A918" s="115"/>
      <c r="B918" s="79"/>
      <c r="C918" s="115"/>
      <c r="D918" s="115"/>
      <c r="E918" s="115"/>
      <c r="F918" s="115"/>
    </row>
    <row r="919" spans="1:6" x14ac:dyDescent="0.2">
      <c r="A919" s="115"/>
      <c r="B919" s="79"/>
      <c r="C919" s="115"/>
      <c r="D919" s="115"/>
      <c r="E919" s="115"/>
      <c r="F919" s="115"/>
    </row>
    <row r="920" spans="1:6" x14ac:dyDescent="0.2">
      <c r="A920" s="115"/>
      <c r="B920" s="79"/>
      <c r="C920" s="115"/>
      <c r="D920" s="115"/>
      <c r="E920" s="115"/>
      <c r="F920" s="115"/>
    </row>
    <row r="921" spans="1:6" x14ac:dyDescent="0.2">
      <c r="A921" s="115"/>
      <c r="B921" s="79"/>
      <c r="C921" s="115"/>
      <c r="D921" s="115"/>
      <c r="E921" s="115"/>
      <c r="F921" s="115"/>
    </row>
    <row r="922" spans="1:6" x14ac:dyDescent="0.2">
      <c r="A922" s="115"/>
      <c r="B922" s="79"/>
      <c r="C922" s="115"/>
      <c r="D922" s="115"/>
      <c r="E922" s="115"/>
      <c r="F922" s="115"/>
    </row>
    <row r="923" spans="1:6" x14ac:dyDescent="0.2">
      <c r="A923" s="115"/>
      <c r="B923" s="79"/>
      <c r="C923" s="115"/>
      <c r="D923" s="115"/>
      <c r="E923" s="115"/>
      <c r="F923" s="115"/>
    </row>
    <row r="924" spans="1:6" x14ac:dyDescent="0.2">
      <c r="A924" s="115"/>
      <c r="B924" s="79"/>
      <c r="C924" s="115"/>
      <c r="D924" s="115"/>
      <c r="E924" s="115"/>
      <c r="F924" s="115"/>
    </row>
    <row r="925" spans="1:6" x14ac:dyDescent="0.2">
      <c r="A925" s="115"/>
      <c r="B925" s="79"/>
      <c r="C925" s="115"/>
      <c r="D925" s="115"/>
      <c r="E925" s="115"/>
      <c r="F925" s="115"/>
    </row>
    <row r="926" spans="1:6" x14ac:dyDescent="0.2">
      <c r="A926" s="115"/>
      <c r="B926" s="79"/>
      <c r="C926" s="115"/>
      <c r="D926" s="115"/>
      <c r="E926" s="115"/>
      <c r="F926" s="115"/>
    </row>
    <row r="927" spans="1:6" x14ac:dyDescent="0.2">
      <c r="A927" s="115"/>
      <c r="B927" s="79"/>
      <c r="C927" s="115"/>
      <c r="D927" s="115"/>
      <c r="E927" s="115"/>
      <c r="F927" s="115"/>
    </row>
    <row r="928" spans="1:6" x14ac:dyDescent="0.2">
      <c r="A928" s="115"/>
      <c r="B928" s="79"/>
      <c r="C928" s="115"/>
      <c r="D928" s="115"/>
      <c r="E928" s="115"/>
      <c r="F928" s="115"/>
    </row>
    <row r="929" spans="1:6" x14ac:dyDescent="0.2">
      <c r="A929" s="115"/>
      <c r="B929" s="79"/>
      <c r="C929" s="115"/>
      <c r="D929" s="115"/>
      <c r="E929" s="115"/>
      <c r="F929" s="115"/>
    </row>
    <row r="930" spans="1:6" x14ac:dyDescent="0.2">
      <c r="A930" s="115"/>
      <c r="B930" s="79"/>
      <c r="C930" s="115"/>
      <c r="D930" s="115"/>
      <c r="E930" s="115"/>
      <c r="F930" s="115"/>
    </row>
    <row r="931" spans="1:6" x14ac:dyDescent="0.2">
      <c r="A931" s="115"/>
      <c r="B931" s="79"/>
      <c r="C931" s="115"/>
      <c r="D931" s="115"/>
      <c r="E931" s="115"/>
      <c r="F931" s="115"/>
    </row>
    <row r="932" spans="1:6" x14ac:dyDescent="0.2">
      <c r="A932" s="115"/>
      <c r="B932" s="79"/>
      <c r="C932" s="115"/>
      <c r="D932" s="115"/>
      <c r="E932" s="115"/>
      <c r="F932" s="115"/>
    </row>
    <row r="933" spans="1:6" x14ac:dyDescent="0.2">
      <c r="A933" s="115"/>
      <c r="B933" s="79"/>
      <c r="C933" s="115"/>
      <c r="D933" s="115"/>
      <c r="E933" s="115"/>
      <c r="F933" s="115"/>
    </row>
    <row r="934" spans="1:6" x14ac:dyDescent="0.2">
      <c r="A934" s="115"/>
      <c r="B934" s="79"/>
      <c r="C934" s="115"/>
      <c r="D934" s="115"/>
      <c r="E934" s="115"/>
      <c r="F934" s="115"/>
    </row>
    <row r="935" spans="1:6" x14ac:dyDescent="0.2">
      <c r="A935" s="115"/>
      <c r="B935" s="79"/>
      <c r="C935" s="115"/>
      <c r="D935" s="115"/>
      <c r="E935" s="115"/>
      <c r="F935" s="115"/>
    </row>
    <row r="936" spans="1:6" x14ac:dyDescent="0.2">
      <c r="A936" s="115"/>
      <c r="B936" s="79"/>
      <c r="C936" s="115"/>
      <c r="D936" s="115"/>
      <c r="E936" s="115"/>
      <c r="F936" s="115"/>
    </row>
    <row r="937" spans="1:6" x14ac:dyDescent="0.2">
      <c r="A937" s="115"/>
      <c r="B937" s="79"/>
      <c r="C937" s="115"/>
      <c r="D937" s="115"/>
      <c r="E937" s="115"/>
      <c r="F937" s="115"/>
    </row>
    <row r="938" spans="1:6" x14ac:dyDescent="0.2">
      <c r="A938" s="115"/>
      <c r="B938" s="79"/>
      <c r="C938" s="115"/>
      <c r="D938" s="115"/>
      <c r="E938" s="115"/>
      <c r="F938" s="115"/>
    </row>
    <row r="939" spans="1:6" x14ac:dyDescent="0.2">
      <c r="A939" s="115"/>
      <c r="B939" s="79"/>
      <c r="C939" s="115"/>
      <c r="D939" s="115"/>
      <c r="E939" s="115"/>
      <c r="F939" s="115"/>
    </row>
    <row r="940" spans="1:6" x14ac:dyDescent="0.2">
      <c r="A940" s="115"/>
      <c r="B940" s="79"/>
      <c r="C940" s="115"/>
      <c r="D940" s="115"/>
      <c r="E940" s="115"/>
      <c r="F940" s="115"/>
    </row>
    <row r="941" spans="1:6" x14ac:dyDescent="0.2">
      <c r="A941" s="115"/>
      <c r="B941" s="79"/>
      <c r="C941" s="115"/>
      <c r="D941" s="115"/>
      <c r="E941" s="115"/>
      <c r="F941" s="115"/>
    </row>
    <row r="942" spans="1:6" x14ac:dyDescent="0.2">
      <c r="A942" s="115"/>
      <c r="B942" s="79"/>
      <c r="C942" s="115"/>
      <c r="D942" s="115"/>
      <c r="E942" s="115"/>
      <c r="F942" s="115"/>
    </row>
    <row r="943" spans="1:6" x14ac:dyDescent="0.2">
      <c r="A943" s="115"/>
      <c r="B943" s="79"/>
      <c r="C943" s="115"/>
      <c r="D943" s="115"/>
      <c r="E943" s="115"/>
      <c r="F943" s="115"/>
    </row>
    <row r="944" spans="1:6" x14ac:dyDescent="0.2">
      <c r="A944" s="115"/>
      <c r="B944" s="79"/>
      <c r="C944" s="115"/>
      <c r="D944" s="115"/>
      <c r="E944" s="115"/>
      <c r="F944" s="115"/>
    </row>
    <row r="945" spans="1:6" x14ac:dyDescent="0.2">
      <c r="A945" s="115"/>
      <c r="B945" s="79"/>
      <c r="C945" s="115"/>
      <c r="D945" s="115"/>
      <c r="E945" s="115"/>
      <c r="F945" s="115"/>
    </row>
    <row r="946" spans="1:6" x14ac:dyDescent="0.2">
      <c r="A946" s="115"/>
      <c r="B946" s="79"/>
      <c r="C946" s="115"/>
      <c r="D946" s="115"/>
      <c r="E946" s="115"/>
      <c r="F946" s="115"/>
    </row>
    <row r="947" spans="1:6" x14ac:dyDescent="0.2">
      <c r="A947" s="115"/>
      <c r="B947" s="79"/>
      <c r="C947" s="115"/>
      <c r="D947" s="115"/>
      <c r="E947" s="115"/>
      <c r="F947" s="115"/>
    </row>
    <row r="948" spans="1:6" x14ac:dyDescent="0.2">
      <c r="A948" s="115"/>
      <c r="B948" s="79"/>
      <c r="C948" s="115"/>
      <c r="D948" s="115"/>
      <c r="E948" s="115"/>
      <c r="F948" s="115"/>
    </row>
    <row r="949" spans="1:6" x14ac:dyDescent="0.2">
      <c r="A949" s="115"/>
      <c r="B949" s="79"/>
      <c r="C949" s="115"/>
      <c r="D949" s="115"/>
      <c r="E949" s="115"/>
      <c r="F949" s="115"/>
    </row>
    <row r="950" spans="1:6" x14ac:dyDescent="0.2">
      <c r="A950" s="115"/>
      <c r="B950" s="79"/>
      <c r="C950" s="115"/>
      <c r="D950" s="115"/>
      <c r="E950" s="115"/>
      <c r="F950" s="115"/>
    </row>
    <row r="951" spans="1:6" x14ac:dyDescent="0.2">
      <c r="A951" s="115"/>
      <c r="B951" s="79"/>
      <c r="C951" s="115"/>
      <c r="D951" s="115"/>
      <c r="E951" s="115"/>
      <c r="F951" s="115"/>
    </row>
    <row r="952" spans="1:6" x14ac:dyDescent="0.2">
      <c r="A952" s="115"/>
      <c r="B952" s="79"/>
      <c r="C952" s="115"/>
      <c r="D952" s="115"/>
      <c r="E952" s="115"/>
      <c r="F952" s="115"/>
    </row>
    <row r="953" spans="1:6" x14ac:dyDescent="0.2">
      <c r="A953" s="115"/>
      <c r="B953" s="79"/>
      <c r="C953" s="115"/>
      <c r="D953" s="115"/>
      <c r="E953" s="115"/>
      <c r="F953" s="115"/>
    </row>
    <row r="954" spans="1:6" x14ac:dyDescent="0.2">
      <c r="A954" s="115"/>
      <c r="B954" s="79"/>
      <c r="C954" s="115"/>
      <c r="D954" s="115"/>
      <c r="E954" s="115"/>
      <c r="F954" s="115"/>
    </row>
    <row r="955" spans="1:6" x14ac:dyDescent="0.2">
      <c r="A955" s="115"/>
      <c r="B955" s="79"/>
      <c r="C955" s="115"/>
      <c r="D955" s="115"/>
      <c r="E955" s="115"/>
      <c r="F955" s="115"/>
    </row>
    <row r="956" spans="1:6" x14ac:dyDescent="0.2">
      <c r="A956" s="115"/>
      <c r="B956" s="79"/>
      <c r="C956" s="115"/>
      <c r="D956" s="115"/>
      <c r="E956" s="115"/>
      <c r="F956" s="115"/>
    </row>
    <row r="957" spans="1:6" x14ac:dyDescent="0.2">
      <c r="A957" s="115"/>
      <c r="B957" s="79"/>
      <c r="C957" s="115"/>
      <c r="D957" s="115"/>
      <c r="E957" s="115"/>
      <c r="F957" s="115"/>
    </row>
    <row r="958" spans="1:6" x14ac:dyDescent="0.2">
      <c r="A958" s="115"/>
      <c r="B958" s="79"/>
      <c r="C958" s="115"/>
      <c r="D958" s="115"/>
      <c r="E958" s="115"/>
      <c r="F958" s="115"/>
    </row>
    <row r="959" spans="1:6" x14ac:dyDescent="0.2">
      <c r="A959" s="115"/>
      <c r="B959" s="79"/>
      <c r="C959" s="115"/>
      <c r="D959" s="115"/>
      <c r="E959" s="115"/>
      <c r="F959" s="115"/>
    </row>
    <row r="960" spans="1:6" x14ac:dyDescent="0.2">
      <c r="A960" s="115"/>
      <c r="B960" s="79"/>
      <c r="C960" s="115"/>
      <c r="D960" s="115"/>
      <c r="E960" s="115"/>
      <c r="F960" s="115"/>
    </row>
    <row r="961" spans="1:6" x14ac:dyDescent="0.2">
      <c r="A961" s="115"/>
      <c r="B961" s="79"/>
      <c r="C961" s="115"/>
      <c r="D961" s="115"/>
      <c r="E961" s="115"/>
      <c r="F961" s="115"/>
    </row>
    <row r="962" spans="1:6" x14ac:dyDescent="0.2">
      <c r="A962" s="115"/>
      <c r="B962" s="79"/>
      <c r="C962" s="115"/>
      <c r="D962" s="115"/>
      <c r="E962" s="115"/>
      <c r="F962" s="115"/>
    </row>
    <row r="963" spans="1:6" x14ac:dyDescent="0.2">
      <c r="A963" s="115"/>
      <c r="B963" s="79"/>
      <c r="C963" s="115"/>
      <c r="D963" s="115"/>
      <c r="E963" s="115"/>
      <c r="F963" s="115"/>
    </row>
    <row r="964" spans="1:6" x14ac:dyDescent="0.2">
      <c r="A964" s="115"/>
      <c r="B964" s="79"/>
      <c r="C964" s="115"/>
      <c r="D964" s="115"/>
      <c r="E964" s="115"/>
      <c r="F964" s="115"/>
    </row>
    <row r="965" spans="1:6" x14ac:dyDescent="0.2">
      <c r="A965" s="115"/>
      <c r="B965" s="79"/>
      <c r="C965" s="115"/>
      <c r="D965" s="115"/>
      <c r="E965" s="115"/>
      <c r="F965" s="115"/>
    </row>
    <row r="966" spans="1:6" x14ac:dyDescent="0.2">
      <c r="A966" s="115"/>
      <c r="B966" s="79"/>
      <c r="C966" s="115"/>
      <c r="D966" s="115"/>
      <c r="E966" s="115"/>
      <c r="F966" s="115"/>
    </row>
    <row r="967" spans="1:6" x14ac:dyDescent="0.2">
      <c r="A967" s="115"/>
      <c r="B967" s="79"/>
      <c r="C967" s="115"/>
      <c r="D967" s="115"/>
      <c r="E967" s="115"/>
      <c r="F967" s="115"/>
    </row>
    <row r="968" spans="1:6" x14ac:dyDescent="0.2">
      <c r="A968" s="115"/>
      <c r="B968" s="79"/>
      <c r="C968" s="115"/>
      <c r="D968" s="115"/>
      <c r="E968" s="115"/>
      <c r="F968" s="115"/>
    </row>
    <row r="969" spans="1:6" x14ac:dyDescent="0.2">
      <c r="A969" s="115"/>
      <c r="B969" s="79"/>
      <c r="C969" s="115"/>
      <c r="D969" s="115"/>
      <c r="E969" s="115"/>
      <c r="F969" s="115"/>
    </row>
    <row r="970" spans="1:6" x14ac:dyDescent="0.2">
      <c r="A970" s="115"/>
      <c r="B970" s="79"/>
      <c r="C970" s="115"/>
      <c r="D970" s="115"/>
      <c r="E970" s="115"/>
      <c r="F970" s="115"/>
    </row>
    <row r="971" spans="1:6" x14ac:dyDescent="0.2">
      <c r="A971" s="115"/>
      <c r="B971" s="79"/>
      <c r="C971" s="115"/>
      <c r="D971" s="115"/>
      <c r="E971" s="115"/>
      <c r="F971" s="115"/>
    </row>
    <row r="972" spans="1:6" x14ac:dyDescent="0.2">
      <c r="A972" s="115"/>
      <c r="B972" s="79"/>
      <c r="C972" s="115"/>
      <c r="D972" s="115"/>
      <c r="E972" s="115"/>
      <c r="F972" s="115"/>
    </row>
    <row r="973" spans="1:6" x14ac:dyDescent="0.2">
      <c r="A973" s="115"/>
      <c r="B973" s="79"/>
      <c r="C973" s="115"/>
      <c r="D973" s="115"/>
      <c r="E973" s="115"/>
      <c r="F973" s="115"/>
    </row>
    <row r="974" spans="1:6" x14ac:dyDescent="0.2">
      <c r="A974" s="115"/>
      <c r="B974" s="79"/>
      <c r="C974" s="115"/>
      <c r="D974" s="115"/>
      <c r="E974" s="115"/>
      <c r="F974" s="115"/>
    </row>
    <row r="975" spans="1:6" x14ac:dyDescent="0.2">
      <c r="A975" s="115"/>
      <c r="B975" s="79"/>
      <c r="C975" s="115"/>
      <c r="D975" s="115"/>
      <c r="E975" s="115"/>
      <c r="F975" s="115"/>
    </row>
    <row r="976" spans="1:6" x14ac:dyDescent="0.2">
      <c r="A976" s="115"/>
      <c r="B976" s="79"/>
      <c r="C976" s="115"/>
      <c r="D976" s="115"/>
      <c r="E976" s="115"/>
      <c r="F976" s="115"/>
    </row>
    <row r="977" spans="1:6" x14ac:dyDescent="0.2">
      <c r="A977" s="115"/>
      <c r="B977" s="79"/>
      <c r="C977" s="115"/>
      <c r="D977" s="115"/>
      <c r="E977" s="115"/>
      <c r="F977" s="115"/>
    </row>
    <row r="978" spans="1:6" x14ac:dyDescent="0.2">
      <c r="A978" s="115"/>
      <c r="B978" s="79"/>
      <c r="C978" s="115"/>
      <c r="D978" s="115"/>
      <c r="E978" s="115"/>
      <c r="F978" s="115"/>
    </row>
    <row r="979" spans="1:6" x14ac:dyDescent="0.2">
      <c r="A979" s="115"/>
      <c r="B979" s="79"/>
      <c r="C979" s="115"/>
      <c r="D979" s="115"/>
      <c r="E979" s="115"/>
      <c r="F979" s="115"/>
    </row>
    <row r="980" spans="1:6" x14ac:dyDescent="0.2">
      <c r="A980" s="115"/>
      <c r="B980" s="79"/>
      <c r="C980" s="115"/>
      <c r="D980" s="115"/>
      <c r="E980" s="115"/>
      <c r="F980" s="115"/>
    </row>
    <row r="981" spans="1:6" x14ac:dyDescent="0.2">
      <c r="A981" s="115"/>
      <c r="B981" s="79"/>
      <c r="C981" s="115"/>
      <c r="D981" s="115"/>
      <c r="E981" s="115"/>
      <c r="F981" s="115"/>
    </row>
    <row r="982" spans="1:6" x14ac:dyDescent="0.2">
      <c r="A982" s="115"/>
      <c r="B982" s="79"/>
      <c r="C982" s="115"/>
      <c r="D982" s="115"/>
      <c r="E982" s="115"/>
      <c r="F982" s="115"/>
    </row>
    <row r="983" spans="1:6" x14ac:dyDescent="0.2">
      <c r="A983" s="115"/>
      <c r="B983" s="79"/>
      <c r="C983" s="115"/>
      <c r="D983" s="115"/>
      <c r="E983" s="115"/>
      <c r="F983" s="115"/>
    </row>
    <row r="984" spans="1:6" x14ac:dyDescent="0.2">
      <c r="A984" s="115"/>
      <c r="B984" s="79"/>
      <c r="C984" s="115"/>
      <c r="D984" s="115"/>
      <c r="E984" s="115"/>
      <c r="F984" s="115"/>
    </row>
    <row r="985" spans="1:6" x14ac:dyDescent="0.2">
      <c r="A985" s="115"/>
      <c r="B985" s="79"/>
      <c r="C985" s="115"/>
      <c r="D985" s="115"/>
      <c r="E985" s="115"/>
      <c r="F985" s="115"/>
    </row>
    <row r="986" spans="1:6" x14ac:dyDescent="0.2">
      <c r="A986" s="115"/>
      <c r="B986" s="79"/>
      <c r="C986" s="115"/>
      <c r="D986" s="115"/>
      <c r="E986" s="115"/>
      <c r="F986" s="115"/>
    </row>
    <row r="987" spans="1:6" x14ac:dyDescent="0.2">
      <c r="A987" s="115"/>
      <c r="B987" s="79"/>
      <c r="C987" s="115"/>
      <c r="D987" s="115"/>
      <c r="E987" s="115"/>
      <c r="F987" s="115"/>
    </row>
    <row r="988" spans="1:6" x14ac:dyDescent="0.2">
      <c r="A988" s="115"/>
      <c r="B988" s="79"/>
      <c r="C988" s="115"/>
      <c r="D988" s="115"/>
      <c r="E988" s="115"/>
      <c r="F988" s="115"/>
    </row>
    <row r="989" spans="1:6" x14ac:dyDescent="0.2">
      <c r="A989" s="115"/>
      <c r="B989" s="79"/>
      <c r="C989" s="115"/>
      <c r="D989" s="115"/>
      <c r="E989" s="115"/>
      <c r="F989" s="115"/>
    </row>
    <row r="990" spans="1:6" x14ac:dyDescent="0.2">
      <c r="A990" s="115"/>
      <c r="B990" s="79"/>
      <c r="C990" s="115"/>
      <c r="D990" s="115"/>
      <c r="E990" s="115"/>
      <c r="F990" s="115"/>
    </row>
    <row r="991" spans="1:6" x14ac:dyDescent="0.2">
      <c r="A991" s="115"/>
      <c r="B991" s="79"/>
      <c r="C991" s="115"/>
      <c r="D991" s="115"/>
      <c r="E991" s="115"/>
      <c r="F991" s="115"/>
    </row>
    <row r="992" spans="1:6" x14ac:dyDescent="0.2">
      <c r="A992" s="115"/>
      <c r="B992" s="79"/>
      <c r="C992" s="115"/>
      <c r="D992" s="115"/>
      <c r="E992" s="115"/>
      <c r="F992" s="115"/>
    </row>
    <row r="993" spans="1:6" x14ac:dyDescent="0.2">
      <c r="A993" s="115"/>
      <c r="B993" s="79"/>
      <c r="C993" s="115"/>
      <c r="D993" s="115"/>
      <c r="E993" s="115"/>
      <c r="F993" s="115"/>
    </row>
    <row r="994" spans="1:6" x14ac:dyDescent="0.2">
      <c r="A994" s="115"/>
      <c r="B994" s="79"/>
      <c r="C994" s="115"/>
      <c r="D994" s="115"/>
      <c r="E994" s="115"/>
      <c r="F994" s="115"/>
    </row>
    <row r="995" spans="1:6" x14ac:dyDescent="0.2">
      <c r="A995" s="115"/>
      <c r="B995" s="79"/>
      <c r="C995" s="115"/>
      <c r="D995" s="115"/>
      <c r="E995" s="115"/>
      <c r="F995" s="115"/>
    </row>
    <row r="996" spans="1:6" x14ac:dyDescent="0.2">
      <c r="A996" s="115"/>
      <c r="B996" s="79"/>
      <c r="C996" s="115"/>
      <c r="D996" s="115"/>
      <c r="E996" s="115"/>
      <c r="F996" s="115"/>
    </row>
    <row r="997" spans="1:6" x14ac:dyDescent="0.2">
      <c r="A997" s="115"/>
      <c r="B997" s="79"/>
      <c r="C997" s="115"/>
      <c r="D997" s="115"/>
      <c r="E997" s="115"/>
      <c r="F997" s="115"/>
    </row>
    <row r="998" spans="1:6" x14ac:dyDescent="0.2">
      <c r="A998" s="115"/>
      <c r="B998" s="79"/>
      <c r="C998" s="115"/>
      <c r="D998" s="115"/>
      <c r="E998" s="115"/>
      <c r="F998" s="115"/>
    </row>
    <row r="999" spans="1:6" x14ac:dyDescent="0.2">
      <c r="A999" s="115"/>
      <c r="B999" s="79"/>
      <c r="C999" s="115"/>
      <c r="D999" s="115"/>
      <c r="E999" s="115"/>
      <c r="F999" s="115"/>
    </row>
    <row r="1000" spans="1:6" x14ac:dyDescent="0.2">
      <c r="A1000" s="115"/>
      <c r="B1000" s="79"/>
      <c r="C1000" s="115"/>
      <c r="D1000" s="115"/>
      <c r="E1000" s="115"/>
      <c r="F1000" s="115"/>
    </row>
    <row r="1001" spans="1:6" x14ac:dyDescent="0.2">
      <c r="A1001" s="115"/>
      <c r="B1001" s="79"/>
      <c r="C1001" s="115"/>
      <c r="D1001" s="115"/>
      <c r="E1001" s="115"/>
      <c r="F1001" s="115"/>
    </row>
    <row r="1002" spans="1:6" x14ac:dyDescent="0.2">
      <c r="A1002" s="115"/>
      <c r="B1002" s="79"/>
      <c r="C1002" s="115"/>
      <c r="D1002" s="115"/>
      <c r="E1002" s="115"/>
      <c r="F1002" s="115"/>
    </row>
    <row r="1003" spans="1:6" x14ac:dyDescent="0.2">
      <c r="A1003" s="115"/>
      <c r="B1003" s="79"/>
      <c r="C1003" s="115"/>
      <c r="D1003" s="115"/>
      <c r="E1003" s="115"/>
      <c r="F1003" s="115"/>
    </row>
    <row r="1004" spans="1:6" x14ac:dyDescent="0.2">
      <c r="A1004" s="115"/>
      <c r="B1004" s="79"/>
      <c r="C1004" s="115"/>
      <c r="D1004" s="115"/>
      <c r="E1004" s="115"/>
      <c r="F1004" s="115"/>
    </row>
    <row r="1005" spans="1:6" x14ac:dyDescent="0.2">
      <c r="A1005" s="115"/>
      <c r="B1005" s="79"/>
      <c r="C1005" s="115"/>
      <c r="D1005" s="115"/>
      <c r="E1005" s="115"/>
      <c r="F1005" s="115"/>
    </row>
    <row r="1006" spans="1:6" x14ac:dyDescent="0.2">
      <c r="A1006" s="115"/>
      <c r="B1006" s="79"/>
      <c r="C1006" s="115"/>
      <c r="D1006" s="115"/>
      <c r="E1006" s="115"/>
      <c r="F1006" s="115"/>
    </row>
    <row r="1007" spans="1:6" x14ac:dyDescent="0.2">
      <c r="A1007" s="115"/>
      <c r="B1007" s="79"/>
      <c r="C1007" s="115"/>
      <c r="D1007" s="115"/>
      <c r="E1007" s="115"/>
      <c r="F1007" s="115"/>
    </row>
    <row r="1008" spans="1:6" x14ac:dyDescent="0.2">
      <c r="A1008" s="115"/>
      <c r="B1008" s="79"/>
      <c r="C1008" s="115"/>
      <c r="D1008" s="115"/>
      <c r="E1008" s="115"/>
      <c r="F1008" s="115"/>
    </row>
    <row r="1009" spans="1:6" x14ac:dyDescent="0.2">
      <c r="A1009" s="115"/>
      <c r="B1009" s="79"/>
      <c r="C1009" s="115"/>
      <c r="D1009" s="115"/>
      <c r="E1009" s="115"/>
      <c r="F1009" s="115"/>
    </row>
    <row r="1010" spans="1:6" x14ac:dyDescent="0.2">
      <c r="A1010" s="115"/>
      <c r="B1010" s="79"/>
      <c r="C1010" s="115"/>
      <c r="D1010" s="115"/>
      <c r="E1010" s="115"/>
      <c r="F1010" s="115"/>
    </row>
    <row r="1011" spans="1:6" x14ac:dyDescent="0.2">
      <c r="A1011" s="115"/>
      <c r="B1011" s="79"/>
      <c r="C1011" s="115"/>
      <c r="D1011" s="115"/>
      <c r="E1011" s="115"/>
      <c r="F1011" s="115"/>
    </row>
    <row r="1012" spans="1:6" x14ac:dyDescent="0.2">
      <c r="A1012" s="115"/>
      <c r="B1012" s="79"/>
      <c r="C1012" s="115"/>
      <c r="D1012" s="115"/>
      <c r="E1012" s="115"/>
      <c r="F1012" s="115"/>
    </row>
    <row r="1013" spans="1:6" x14ac:dyDescent="0.2">
      <c r="A1013" s="115"/>
      <c r="B1013" s="79"/>
      <c r="C1013" s="115"/>
      <c r="D1013" s="115"/>
      <c r="E1013" s="115"/>
      <c r="F1013" s="115"/>
    </row>
    <row r="1014" spans="1:6" x14ac:dyDescent="0.2">
      <c r="A1014" s="115"/>
      <c r="B1014" s="79"/>
      <c r="C1014" s="115"/>
      <c r="D1014" s="115"/>
      <c r="E1014" s="115"/>
      <c r="F1014" s="115"/>
    </row>
    <row r="1015" spans="1:6" x14ac:dyDescent="0.2">
      <c r="A1015" s="115"/>
      <c r="B1015" s="79"/>
      <c r="C1015" s="115"/>
      <c r="D1015" s="115"/>
      <c r="E1015" s="115"/>
      <c r="F1015" s="115"/>
    </row>
    <row r="1016" spans="1:6" x14ac:dyDescent="0.2">
      <c r="A1016" s="115"/>
      <c r="B1016" s="79"/>
      <c r="C1016" s="115"/>
      <c r="D1016" s="115"/>
      <c r="E1016" s="115"/>
      <c r="F1016" s="115"/>
    </row>
    <row r="1017" spans="1:6" x14ac:dyDescent="0.2">
      <c r="A1017" s="115"/>
      <c r="B1017" s="79"/>
      <c r="C1017" s="115"/>
      <c r="D1017" s="115"/>
      <c r="E1017" s="115"/>
      <c r="F1017" s="115"/>
    </row>
    <row r="1018" spans="1:6" x14ac:dyDescent="0.2">
      <c r="A1018" s="115"/>
      <c r="B1018" s="79"/>
      <c r="C1018" s="115"/>
      <c r="D1018" s="115"/>
      <c r="E1018" s="115"/>
      <c r="F1018" s="115"/>
    </row>
    <row r="1019" spans="1:6" x14ac:dyDescent="0.2">
      <c r="A1019" s="115"/>
      <c r="B1019" s="79"/>
      <c r="C1019" s="115"/>
      <c r="D1019" s="115"/>
      <c r="E1019" s="115"/>
      <c r="F1019" s="115"/>
    </row>
    <row r="1020" spans="1:6" x14ac:dyDescent="0.2">
      <c r="A1020" s="115"/>
      <c r="B1020" s="79"/>
      <c r="C1020" s="115"/>
      <c r="D1020" s="115"/>
      <c r="E1020" s="115"/>
      <c r="F1020" s="115"/>
    </row>
    <row r="1021" spans="1:6" x14ac:dyDescent="0.2">
      <c r="A1021" s="115"/>
      <c r="B1021" s="79"/>
      <c r="C1021" s="115"/>
      <c r="D1021" s="115"/>
      <c r="E1021" s="115"/>
      <c r="F1021" s="115"/>
    </row>
    <row r="1022" spans="1:6" x14ac:dyDescent="0.2">
      <c r="A1022" s="115"/>
      <c r="B1022" s="79"/>
      <c r="C1022" s="115"/>
      <c r="D1022" s="115"/>
      <c r="E1022" s="115"/>
      <c r="F1022" s="115"/>
    </row>
    <row r="1023" spans="1:6" x14ac:dyDescent="0.2">
      <c r="A1023" s="115"/>
      <c r="B1023" s="79"/>
      <c r="C1023" s="115"/>
      <c r="D1023" s="115"/>
      <c r="E1023" s="115"/>
      <c r="F1023" s="115"/>
    </row>
    <row r="1024" spans="1:6" x14ac:dyDescent="0.2">
      <c r="A1024" s="115"/>
      <c r="B1024" s="79"/>
      <c r="C1024" s="115"/>
      <c r="D1024" s="115"/>
      <c r="E1024" s="115"/>
      <c r="F1024" s="115"/>
    </row>
    <row r="1025" spans="1:6" x14ac:dyDescent="0.2">
      <c r="A1025" s="115"/>
      <c r="B1025" s="79"/>
      <c r="C1025" s="115"/>
      <c r="D1025" s="115"/>
      <c r="E1025" s="115"/>
      <c r="F1025" s="115"/>
    </row>
    <row r="1026" spans="1:6" x14ac:dyDescent="0.2">
      <c r="A1026" s="115"/>
      <c r="B1026" s="79"/>
      <c r="C1026" s="115"/>
      <c r="D1026" s="115"/>
      <c r="E1026" s="115"/>
      <c r="F1026" s="115"/>
    </row>
    <row r="1027" spans="1:6" x14ac:dyDescent="0.2">
      <c r="A1027" s="115"/>
      <c r="B1027" s="79"/>
      <c r="C1027" s="115"/>
      <c r="D1027" s="115"/>
      <c r="E1027" s="115"/>
      <c r="F1027" s="115"/>
    </row>
    <row r="1028" spans="1:6" x14ac:dyDescent="0.2">
      <c r="A1028" s="115"/>
      <c r="B1028" s="79"/>
      <c r="C1028" s="115"/>
      <c r="D1028" s="115"/>
      <c r="E1028" s="115"/>
      <c r="F1028" s="115"/>
    </row>
    <row r="1029" spans="1:6" x14ac:dyDescent="0.2">
      <c r="A1029" s="115"/>
      <c r="B1029" s="79"/>
      <c r="C1029" s="115"/>
      <c r="D1029" s="115"/>
      <c r="E1029" s="115"/>
      <c r="F1029" s="115"/>
    </row>
    <row r="1030" spans="1:6" x14ac:dyDescent="0.2">
      <c r="A1030" s="115"/>
      <c r="B1030" s="79"/>
      <c r="C1030" s="115"/>
      <c r="D1030" s="115"/>
      <c r="E1030" s="115"/>
      <c r="F1030" s="115"/>
    </row>
    <row r="1031" spans="1:6" x14ac:dyDescent="0.2">
      <c r="A1031" s="115"/>
      <c r="B1031" s="79"/>
      <c r="C1031" s="115"/>
      <c r="D1031" s="115"/>
      <c r="E1031" s="115"/>
      <c r="F1031" s="115"/>
    </row>
    <row r="1032" spans="1:6" x14ac:dyDescent="0.2">
      <c r="A1032" s="115"/>
      <c r="B1032" s="79"/>
      <c r="C1032" s="115"/>
      <c r="D1032" s="115"/>
      <c r="E1032" s="115"/>
      <c r="F1032" s="115"/>
    </row>
    <row r="1033" spans="1:6" x14ac:dyDescent="0.2">
      <c r="A1033" s="115"/>
      <c r="B1033" s="79"/>
      <c r="C1033" s="115"/>
      <c r="D1033" s="115"/>
      <c r="E1033" s="115"/>
      <c r="F1033" s="115"/>
    </row>
    <row r="1034" spans="1:6" x14ac:dyDescent="0.2">
      <c r="A1034" s="115"/>
      <c r="B1034" s="79"/>
      <c r="C1034" s="115"/>
      <c r="D1034" s="115"/>
      <c r="E1034" s="115"/>
      <c r="F1034" s="115"/>
    </row>
    <row r="1035" spans="1:6" x14ac:dyDescent="0.2">
      <c r="A1035" s="115"/>
      <c r="B1035" s="79"/>
      <c r="C1035" s="115"/>
      <c r="D1035" s="115"/>
      <c r="E1035" s="115"/>
      <c r="F1035" s="115"/>
    </row>
    <row r="1036" spans="1:6" x14ac:dyDescent="0.2">
      <c r="A1036" s="115"/>
      <c r="B1036" s="79"/>
      <c r="C1036" s="115"/>
      <c r="D1036" s="115"/>
      <c r="E1036" s="115"/>
      <c r="F1036" s="115"/>
    </row>
    <row r="1037" spans="1:6" x14ac:dyDescent="0.2">
      <c r="A1037" s="115"/>
      <c r="B1037" s="79"/>
      <c r="C1037" s="115"/>
      <c r="D1037" s="115"/>
      <c r="E1037" s="115"/>
      <c r="F1037" s="115"/>
    </row>
    <row r="1038" spans="1:6" x14ac:dyDescent="0.2">
      <c r="A1038" s="115"/>
      <c r="B1038" s="79"/>
      <c r="C1038" s="115"/>
      <c r="D1038" s="115"/>
      <c r="E1038" s="115"/>
      <c r="F1038" s="115"/>
    </row>
    <row r="1039" spans="1:6" x14ac:dyDescent="0.2">
      <c r="A1039" s="115"/>
      <c r="B1039" s="79"/>
      <c r="C1039" s="115"/>
      <c r="D1039" s="115"/>
      <c r="E1039" s="115"/>
      <c r="F1039" s="115"/>
    </row>
    <row r="1040" spans="1:6" x14ac:dyDescent="0.2">
      <c r="A1040" s="115"/>
      <c r="B1040" s="79"/>
      <c r="C1040" s="115"/>
      <c r="D1040" s="115"/>
      <c r="E1040" s="115"/>
      <c r="F1040" s="115"/>
    </row>
    <row r="1041" spans="1:6" x14ac:dyDescent="0.2">
      <c r="A1041" s="115"/>
      <c r="B1041" s="79"/>
      <c r="C1041" s="115"/>
      <c r="D1041" s="115"/>
      <c r="E1041" s="115"/>
      <c r="F1041" s="115"/>
    </row>
    <row r="1042" spans="1:6" x14ac:dyDescent="0.2">
      <c r="A1042" s="115"/>
      <c r="B1042" s="79"/>
      <c r="C1042" s="115"/>
      <c r="D1042" s="115"/>
      <c r="E1042" s="115"/>
      <c r="F1042" s="115"/>
    </row>
    <row r="1043" spans="1:6" x14ac:dyDescent="0.2">
      <c r="A1043" s="115"/>
      <c r="B1043" s="79"/>
      <c r="C1043" s="115"/>
      <c r="D1043" s="115"/>
      <c r="E1043" s="115"/>
      <c r="F1043" s="115"/>
    </row>
    <row r="1044" spans="1:6" x14ac:dyDescent="0.2">
      <c r="A1044" s="115"/>
      <c r="B1044" s="79"/>
      <c r="C1044" s="115"/>
      <c r="D1044" s="115"/>
      <c r="E1044" s="115"/>
      <c r="F1044" s="115"/>
    </row>
    <row r="1045" spans="1:6" x14ac:dyDescent="0.2">
      <c r="A1045" s="115"/>
      <c r="B1045" s="79"/>
      <c r="C1045" s="115"/>
      <c r="D1045" s="115"/>
      <c r="E1045" s="115"/>
      <c r="F1045" s="115"/>
    </row>
    <row r="1046" spans="1:6" x14ac:dyDescent="0.2">
      <c r="A1046" s="115"/>
      <c r="B1046" s="79"/>
      <c r="C1046" s="115"/>
      <c r="D1046" s="115"/>
      <c r="E1046" s="115"/>
      <c r="F1046" s="115"/>
    </row>
    <row r="1047" spans="1:6" x14ac:dyDescent="0.2">
      <c r="A1047" s="115"/>
      <c r="B1047" s="79"/>
      <c r="C1047" s="115"/>
      <c r="D1047" s="115"/>
      <c r="E1047" s="115"/>
      <c r="F1047" s="115"/>
    </row>
    <row r="1048" spans="1:6" x14ac:dyDescent="0.2">
      <c r="A1048" s="115"/>
      <c r="B1048" s="79"/>
      <c r="C1048" s="115"/>
      <c r="D1048" s="115"/>
      <c r="E1048" s="115"/>
      <c r="F1048" s="115"/>
    </row>
    <row r="1049" spans="1:6" x14ac:dyDescent="0.2">
      <c r="A1049" s="115"/>
      <c r="B1049" s="79"/>
      <c r="C1049" s="115"/>
      <c r="D1049" s="115"/>
      <c r="E1049" s="115"/>
      <c r="F1049" s="115"/>
    </row>
    <row r="1050" spans="1:6" x14ac:dyDescent="0.2">
      <c r="A1050" s="115"/>
      <c r="B1050" s="79"/>
      <c r="C1050" s="115"/>
      <c r="D1050" s="115"/>
      <c r="E1050" s="115"/>
      <c r="F1050" s="115"/>
    </row>
    <row r="1051" spans="1:6" x14ac:dyDescent="0.2">
      <c r="A1051" s="115"/>
      <c r="B1051" s="79"/>
      <c r="C1051" s="115"/>
      <c r="D1051" s="115"/>
      <c r="E1051" s="115"/>
      <c r="F1051" s="115"/>
    </row>
    <row r="1052" spans="1:6" x14ac:dyDescent="0.2">
      <c r="A1052" s="115"/>
      <c r="B1052" s="79"/>
      <c r="C1052" s="115"/>
      <c r="D1052" s="115"/>
      <c r="E1052" s="115"/>
      <c r="F1052" s="115"/>
    </row>
    <row r="1053" spans="1:6" x14ac:dyDescent="0.2">
      <c r="A1053" s="115"/>
      <c r="B1053" s="79"/>
      <c r="C1053" s="115"/>
      <c r="D1053" s="115"/>
      <c r="E1053" s="115"/>
      <c r="F1053" s="115"/>
    </row>
    <row r="1054" spans="1:6" x14ac:dyDescent="0.2">
      <c r="A1054" s="115"/>
      <c r="B1054" s="79"/>
      <c r="C1054" s="115"/>
      <c r="D1054" s="115"/>
      <c r="E1054" s="115"/>
      <c r="F1054" s="115"/>
    </row>
    <row r="1055" spans="1:6" x14ac:dyDescent="0.2">
      <c r="A1055" s="115"/>
      <c r="B1055" s="79"/>
      <c r="C1055" s="115"/>
      <c r="D1055" s="115"/>
      <c r="E1055" s="115"/>
      <c r="F1055" s="115"/>
    </row>
    <row r="1056" spans="1:6" x14ac:dyDescent="0.2">
      <c r="A1056" s="115"/>
      <c r="B1056" s="79"/>
      <c r="C1056" s="115"/>
      <c r="D1056" s="115"/>
      <c r="E1056" s="115"/>
      <c r="F1056" s="115"/>
    </row>
    <row r="1057" spans="1:6" x14ac:dyDescent="0.2">
      <c r="A1057" s="115"/>
      <c r="B1057" s="79"/>
      <c r="C1057" s="115"/>
      <c r="D1057" s="115"/>
      <c r="E1057" s="115"/>
      <c r="F1057" s="115"/>
    </row>
    <row r="1058" spans="1:6" x14ac:dyDescent="0.2">
      <c r="A1058" s="115"/>
      <c r="B1058" s="79"/>
      <c r="C1058" s="115"/>
      <c r="D1058" s="115"/>
      <c r="E1058" s="115"/>
      <c r="F1058" s="115"/>
    </row>
    <row r="1059" spans="1:6" x14ac:dyDescent="0.2">
      <c r="A1059" s="115"/>
      <c r="B1059" s="79"/>
      <c r="C1059" s="115"/>
      <c r="D1059" s="115"/>
      <c r="E1059" s="115"/>
      <c r="F1059" s="115"/>
    </row>
    <row r="1060" spans="1:6" x14ac:dyDescent="0.2">
      <c r="A1060" s="115"/>
      <c r="B1060" s="79"/>
      <c r="C1060" s="115"/>
      <c r="D1060" s="115"/>
      <c r="E1060" s="115"/>
      <c r="F1060" s="115"/>
    </row>
    <row r="1061" spans="1:6" x14ac:dyDescent="0.2">
      <c r="A1061" s="115"/>
      <c r="B1061" s="79"/>
      <c r="C1061" s="115"/>
      <c r="D1061" s="115"/>
      <c r="E1061" s="115"/>
      <c r="F1061" s="115"/>
    </row>
    <row r="1062" spans="1:6" x14ac:dyDescent="0.2">
      <c r="A1062" s="115"/>
      <c r="B1062" s="79"/>
      <c r="C1062" s="115"/>
      <c r="D1062" s="115"/>
      <c r="E1062" s="115"/>
      <c r="F1062" s="115"/>
    </row>
    <row r="1063" spans="1:6" x14ac:dyDescent="0.2">
      <c r="A1063" s="115"/>
      <c r="B1063" s="79"/>
      <c r="C1063" s="115"/>
      <c r="D1063" s="115"/>
      <c r="E1063" s="115"/>
      <c r="F1063" s="115"/>
    </row>
    <row r="1064" spans="1:6" x14ac:dyDescent="0.2">
      <c r="A1064" s="115"/>
      <c r="B1064" s="79"/>
      <c r="C1064" s="115"/>
      <c r="D1064" s="115"/>
      <c r="E1064" s="115"/>
      <c r="F1064" s="115"/>
    </row>
    <row r="1065" spans="1:6" x14ac:dyDescent="0.2">
      <c r="A1065" s="115"/>
      <c r="B1065" s="79"/>
      <c r="C1065" s="115"/>
      <c r="D1065" s="115"/>
      <c r="E1065" s="115"/>
      <c r="F1065" s="115"/>
    </row>
    <row r="1066" spans="1:6" x14ac:dyDescent="0.2">
      <c r="A1066" s="115"/>
      <c r="B1066" s="79"/>
      <c r="C1066" s="115"/>
      <c r="D1066" s="115"/>
      <c r="E1066" s="115"/>
      <c r="F1066" s="115"/>
    </row>
    <row r="1067" spans="1:6" x14ac:dyDescent="0.2">
      <c r="A1067" s="115"/>
      <c r="B1067" s="79"/>
      <c r="C1067" s="115"/>
      <c r="D1067" s="115"/>
      <c r="E1067" s="115"/>
      <c r="F1067" s="115"/>
    </row>
    <row r="1068" spans="1:6" x14ac:dyDescent="0.2">
      <c r="A1068" s="115"/>
      <c r="B1068" s="79"/>
      <c r="C1068" s="115"/>
      <c r="D1068" s="115"/>
      <c r="E1068" s="115"/>
      <c r="F1068" s="115"/>
    </row>
    <row r="1069" spans="1:6" x14ac:dyDescent="0.2">
      <c r="A1069" s="115"/>
      <c r="B1069" s="79"/>
      <c r="C1069" s="115"/>
      <c r="D1069" s="115"/>
      <c r="E1069" s="115"/>
      <c r="F1069" s="115"/>
    </row>
    <row r="1070" spans="1:6" x14ac:dyDescent="0.2">
      <c r="A1070" s="115"/>
      <c r="B1070" s="79"/>
      <c r="C1070" s="115"/>
      <c r="D1070" s="115"/>
      <c r="E1070" s="115"/>
      <c r="F1070" s="115"/>
    </row>
    <row r="1071" spans="1:6" x14ac:dyDescent="0.2">
      <c r="A1071" s="115"/>
      <c r="B1071" s="79"/>
      <c r="C1071" s="115"/>
      <c r="D1071" s="115"/>
      <c r="E1071" s="115"/>
      <c r="F1071" s="115"/>
    </row>
    <row r="1072" spans="1:6" x14ac:dyDescent="0.2">
      <c r="A1072" s="115"/>
      <c r="B1072" s="79"/>
      <c r="C1072" s="115"/>
      <c r="D1072" s="115"/>
      <c r="E1072" s="115"/>
      <c r="F1072" s="115"/>
    </row>
    <row r="1073" spans="1:6" x14ac:dyDescent="0.2">
      <c r="A1073" s="115"/>
      <c r="B1073" s="79"/>
      <c r="C1073" s="115"/>
      <c r="D1073" s="115"/>
      <c r="E1073" s="115"/>
      <c r="F1073" s="115"/>
    </row>
    <row r="1074" spans="1:6" x14ac:dyDescent="0.2">
      <c r="A1074" s="115"/>
      <c r="B1074" s="79"/>
      <c r="C1074" s="115"/>
      <c r="D1074" s="115"/>
      <c r="E1074" s="115"/>
      <c r="F1074" s="115"/>
    </row>
    <row r="1075" spans="1:6" x14ac:dyDescent="0.2">
      <c r="A1075" s="115"/>
      <c r="B1075" s="79"/>
      <c r="C1075" s="115"/>
      <c r="D1075" s="115"/>
      <c r="E1075" s="115"/>
      <c r="F1075" s="115"/>
    </row>
    <row r="1076" spans="1:6" x14ac:dyDescent="0.2">
      <c r="A1076" s="115"/>
      <c r="B1076" s="79"/>
      <c r="C1076" s="115"/>
      <c r="D1076" s="115"/>
      <c r="E1076" s="115"/>
      <c r="F1076" s="115"/>
    </row>
    <row r="1077" spans="1:6" x14ac:dyDescent="0.2">
      <c r="A1077" s="115"/>
      <c r="B1077" s="79"/>
      <c r="C1077" s="115"/>
      <c r="D1077" s="115"/>
      <c r="E1077" s="115"/>
      <c r="F1077" s="115"/>
    </row>
    <row r="1078" spans="1:6" x14ac:dyDescent="0.2">
      <c r="A1078" s="115"/>
      <c r="B1078" s="79"/>
      <c r="C1078" s="115"/>
      <c r="D1078" s="115"/>
      <c r="E1078" s="115"/>
      <c r="F1078" s="115"/>
    </row>
    <row r="1079" spans="1:6" x14ac:dyDescent="0.2">
      <c r="A1079" s="115"/>
      <c r="B1079" s="79"/>
      <c r="C1079" s="115"/>
      <c r="D1079" s="115"/>
      <c r="E1079" s="115"/>
      <c r="F1079" s="115"/>
    </row>
    <row r="1080" spans="1:6" x14ac:dyDescent="0.2">
      <c r="A1080" s="115"/>
      <c r="B1080" s="79"/>
      <c r="C1080" s="115"/>
      <c r="D1080" s="115"/>
      <c r="E1080" s="115"/>
      <c r="F1080" s="115"/>
    </row>
    <row r="1081" spans="1:6" x14ac:dyDescent="0.2">
      <c r="A1081" s="115"/>
      <c r="B1081" s="79"/>
      <c r="C1081" s="115"/>
      <c r="D1081" s="115"/>
      <c r="E1081" s="115"/>
      <c r="F1081" s="115"/>
    </row>
    <row r="1082" spans="1:6" x14ac:dyDescent="0.2">
      <c r="A1082" s="115"/>
      <c r="B1082" s="79"/>
      <c r="C1082" s="115"/>
      <c r="D1082" s="115"/>
      <c r="E1082" s="115"/>
      <c r="F1082" s="115"/>
    </row>
    <row r="1083" spans="1:6" x14ac:dyDescent="0.2">
      <c r="A1083" s="115"/>
      <c r="B1083" s="79"/>
      <c r="C1083" s="115"/>
      <c r="D1083" s="115"/>
      <c r="E1083" s="115"/>
      <c r="F1083" s="115"/>
    </row>
    <row r="1084" spans="1:6" x14ac:dyDescent="0.2">
      <c r="A1084" s="115"/>
      <c r="B1084" s="79"/>
      <c r="C1084" s="115"/>
      <c r="D1084" s="115"/>
      <c r="E1084" s="115"/>
      <c r="F1084" s="115"/>
    </row>
    <row r="1085" spans="1:6" x14ac:dyDescent="0.2">
      <c r="A1085" s="115"/>
      <c r="B1085" s="79"/>
      <c r="C1085" s="115"/>
      <c r="D1085" s="115"/>
      <c r="E1085" s="115"/>
      <c r="F1085" s="115"/>
    </row>
    <row r="1086" spans="1:6" x14ac:dyDescent="0.2">
      <c r="A1086" s="115"/>
      <c r="B1086" s="79"/>
      <c r="C1086" s="115"/>
      <c r="D1086" s="115"/>
      <c r="E1086" s="115"/>
      <c r="F1086" s="115"/>
    </row>
    <row r="1087" spans="1:6" x14ac:dyDescent="0.2">
      <c r="A1087" s="115"/>
      <c r="B1087" s="79"/>
      <c r="C1087" s="115"/>
      <c r="D1087" s="115"/>
      <c r="E1087" s="115"/>
      <c r="F1087" s="115"/>
    </row>
    <row r="1088" spans="1:6" x14ac:dyDescent="0.2">
      <c r="A1088" s="115"/>
      <c r="B1088" s="79"/>
      <c r="C1088" s="115"/>
      <c r="D1088" s="115"/>
      <c r="E1088" s="115"/>
      <c r="F1088" s="115"/>
    </row>
    <row r="1089" spans="1:6" x14ac:dyDescent="0.2">
      <c r="A1089" s="115"/>
      <c r="B1089" s="79"/>
      <c r="C1089" s="115"/>
      <c r="D1089" s="115"/>
      <c r="E1089" s="115"/>
      <c r="F1089" s="115"/>
    </row>
    <row r="1090" spans="1:6" x14ac:dyDescent="0.2">
      <c r="A1090" s="115"/>
      <c r="B1090" s="79"/>
      <c r="C1090" s="115"/>
      <c r="D1090" s="115"/>
      <c r="E1090" s="115"/>
      <c r="F1090" s="115"/>
    </row>
    <row r="1091" spans="1:6" x14ac:dyDescent="0.2">
      <c r="A1091" s="115"/>
      <c r="B1091" s="79"/>
      <c r="C1091" s="115"/>
      <c r="D1091" s="115"/>
      <c r="E1091" s="115"/>
      <c r="F1091" s="115"/>
    </row>
    <row r="1092" spans="1:6" x14ac:dyDescent="0.2">
      <c r="A1092" s="115"/>
      <c r="B1092" s="79"/>
      <c r="C1092" s="115"/>
      <c r="D1092" s="115"/>
      <c r="E1092" s="115"/>
      <c r="F1092" s="115"/>
    </row>
    <row r="1093" spans="1:6" x14ac:dyDescent="0.2">
      <c r="A1093" s="115"/>
      <c r="B1093" s="79"/>
      <c r="C1093" s="115"/>
      <c r="D1093" s="115"/>
      <c r="E1093" s="115"/>
      <c r="F1093" s="115"/>
    </row>
    <row r="1094" spans="1:6" x14ac:dyDescent="0.2">
      <c r="A1094" s="115"/>
      <c r="B1094" s="79"/>
      <c r="C1094" s="115"/>
      <c r="D1094" s="115"/>
      <c r="E1094" s="115"/>
      <c r="F1094" s="115"/>
    </row>
    <row r="1095" spans="1:6" x14ac:dyDescent="0.2">
      <c r="A1095" s="115"/>
      <c r="B1095" s="79"/>
      <c r="C1095" s="115"/>
      <c r="D1095" s="115"/>
      <c r="E1095" s="115"/>
      <c r="F1095" s="115"/>
    </row>
    <row r="1096" spans="1:6" x14ac:dyDescent="0.2">
      <c r="A1096" s="115"/>
      <c r="B1096" s="79"/>
      <c r="C1096" s="115"/>
      <c r="D1096" s="115"/>
      <c r="E1096" s="115"/>
      <c r="F1096" s="115"/>
    </row>
    <row r="1097" spans="1:6" x14ac:dyDescent="0.2">
      <c r="A1097" s="115"/>
      <c r="B1097" s="79"/>
      <c r="C1097" s="115"/>
      <c r="D1097" s="115"/>
      <c r="E1097" s="115"/>
      <c r="F1097" s="115"/>
    </row>
    <row r="1098" spans="1:6" x14ac:dyDescent="0.2">
      <c r="A1098" s="115"/>
      <c r="B1098" s="79"/>
      <c r="C1098" s="115"/>
      <c r="D1098" s="115"/>
      <c r="E1098" s="115"/>
      <c r="F1098" s="115"/>
    </row>
    <row r="1099" spans="1:6" x14ac:dyDescent="0.2">
      <c r="A1099" s="115"/>
      <c r="B1099" s="79"/>
      <c r="C1099" s="115"/>
      <c r="D1099" s="115"/>
      <c r="E1099" s="115"/>
      <c r="F1099" s="115"/>
    </row>
    <row r="1100" spans="1:6" x14ac:dyDescent="0.2">
      <c r="A1100" s="115"/>
      <c r="B1100" s="79"/>
      <c r="C1100" s="115"/>
      <c r="D1100" s="115"/>
      <c r="E1100" s="115"/>
      <c r="F1100" s="115"/>
    </row>
    <row r="1101" spans="1:6" x14ac:dyDescent="0.2">
      <c r="A1101" s="115"/>
      <c r="B1101" s="79"/>
      <c r="C1101" s="115"/>
      <c r="D1101" s="115"/>
      <c r="E1101" s="115"/>
      <c r="F1101" s="115"/>
    </row>
    <row r="1102" spans="1:6" x14ac:dyDescent="0.2">
      <c r="A1102" s="115"/>
      <c r="B1102" s="79"/>
      <c r="C1102" s="115"/>
      <c r="D1102" s="115"/>
      <c r="E1102" s="115"/>
      <c r="F1102" s="115"/>
    </row>
    <row r="1103" spans="1:6" x14ac:dyDescent="0.2">
      <c r="A1103" s="115"/>
      <c r="B1103" s="79"/>
      <c r="C1103" s="115"/>
      <c r="D1103" s="115"/>
      <c r="E1103" s="115"/>
      <c r="F1103" s="115"/>
    </row>
    <row r="1104" spans="1:6" x14ac:dyDescent="0.2">
      <c r="A1104" s="115"/>
      <c r="B1104" s="79"/>
      <c r="C1104" s="115"/>
      <c r="D1104" s="115"/>
      <c r="E1104" s="115"/>
      <c r="F1104" s="115"/>
    </row>
    <row r="1105" spans="1:6" x14ac:dyDescent="0.2">
      <c r="A1105" s="115"/>
      <c r="B1105" s="79"/>
      <c r="C1105" s="115"/>
      <c r="D1105" s="115"/>
      <c r="E1105" s="115"/>
      <c r="F1105" s="115"/>
    </row>
    <row r="1106" spans="1:6" x14ac:dyDescent="0.2">
      <c r="A1106" s="115"/>
      <c r="B1106" s="79"/>
      <c r="C1106" s="115"/>
      <c r="D1106" s="115"/>
      <c r="E1106" s="115"/>
      <c r="F1106" s="115"/>
    </row>
    <row r="1107" spans="1:6" x14ac:dyDescent="0.2">
      <c r="A1107" s="115"/>
      <c r="B1107" s="79"/>
      <c r="C1107" s="115"/>
      <c r="D1107" s="115"/>
      <c r="E1107" s="115"/>
      <c r="F1107" s="115"/>
    </row>
    <row r="1108" spans="1:6" x14ac:dyDescent="0.2">
      <c r="A1108" s="115"/>
      <c r="B1108" s="79"/>
      <c r="C1108" s="115"/>
      <c r="D1108" s="115"/>
      <c r="E1108" s="115"/>
      <c r="F1108" s="115"/>
    </row>
    <row r="1109" spans="1:6" x14ac:dyDescent="0.2">
      <c r="A1109" s="115"/>
      <c r="B1109" s="79"/>
      <c r="C1109" s="115"/>
      <c r="D1109" s="115"/>
      <c r="E1109" s="115"/>
      <c r="F1109" s="115"/>
    </row>
    <row r="1110" spans="1:6" x14ac:dyDescent="0.2">
      <c r="A1110" s="115"/>
      <c r="B1110" s="79"/>
      <c r="C1110" s="115"/>
      <c r="D1110" s="115"/>
      <c r="E1110" s="115"/>
      <c r="F1110" s="115"/>
    </row>
    <row r="1111" spans="1:6" x14ac:dyDescent="0.2">
      <c r="A1111" s="115"/>
      <c r="B1111" s="79"/>
      <c r="C1111" s="115"/>
      <c r="D1111" s="115"/>
      <c r="E1111" s="115"/>
      <c r="F1111" s="115"/>
    </row>
    <row r="1112" spans="1:6" x14ac:dyDescent="0.2">
      <c r="A1112" s="115"/>
      <c r="B1112" s="79"/>
      <c r="C1112" s="115"/>
      <c r="D1112" s="115"/>
      <c r="E1112" s="115"/>
      <c r="F1112" s="115"/>
    </row>
    <row r="1113" spans="1:6" x14ac:dyDescent="0.2">
      <c r="A1113" s="115"/>
      <c r="B1113" s="79"/>
      <c r="C1113" s="115"/>
      <c r="D1113" s="115"/>
      <c r="E1113" s="115"/>
      <c r="F1113" s="115"/>
    </row>
    <row r="1114" spans="1:6" x14ac:dyDescent="0.2">
      <c r="A1114" s="115"/>
      <c r="B1114" s="79"/>
      <c r="C1114" s="115"/>
      <c r="D1114" s="115"/>
      <c r="E1114" s="115"/>
      <c r="F1114" s="115"/>
    </row>
    <row r="1115" spans="1:6" x14ac:dyDescent="0.2">
      <c r="A1115" s="115"/>
      <c r="B1115" s="79"/>
      <c r="C1115" s="115"/>
      <c r="D1115" s="115"/>
      <c r="E1115" s="115"/>
      <c r="F1115" s="115"/>
    </row>
    <row r="1116" spans="1:6" x14ac:dyDescent="0.2">
      <c r="A1116" s="115"/>
      <c r="B1116" s="79"/>
      <c r="C1116" s="115"/>
      <c r="D1116" s="115"/>
      <c r="E1116" s="115"/>
      <c r="F1116" s="115"/>
    </row>
    <row r="1117" spans="1:6" x14ac:dyDescent="0.2">
      <c r="A1117" s="115"/>
      <c r="B1117" s="79"/>
      <c r="C1117" s="115"/>
      <c r="D1117" s="115"/>
      <c r="E1117" s="115"/>
      <c r="F1117" s="115"/>
    </row>
    <row r="1118" spans="1:6" x14ac:dyDescent="0.2">
      <c r="A1118" s="115"/>
      <c r="B1118" s="79"/>
      <c r="C1118" s="115"/>
      <c r="D1118" s="115"/>
      <c r="E1118" s="115"/>
      <c r="F1118" s="115"/>
    </row>
    <row r="1119" spans="1:6" x14ac:dyDescent="0.2">
      <c r="A1119" s="115"/>
      <c r="B1119" s="79"/>
      <c r="C1119" s="115"/>
      <c r="D1119" s="115"/>
      <c r="E1119" s="115"/>
      <c r="F1119" s="115"/>
    </row>
    <row r="1120" spans="1:6" x14ac:dyDescent="0.2">
      <c r="A1120" s="115"/>
      <c r="B1120" s="79"/>
      <c r="C1120" s="115"/>
      <c r="D1120" s="115"/>
      <c r="E1120" s="115"/>
      <c r="F1120" s="115"/>
    </row>
    <row r="1121" spans="1:6" x14ac:dyDescent="0.2">
      <c r="A1121" s="115"/>
      <c r="B1121" s="79"/>
      <c r="C1121" s="115"/>
      <c r="D1121" s="115"/>
      <c r="E1121" s="115"/>
      <c r="F1121" s="115"/>
    </row>
    <row r="1122" spans="1:6" x14ac:dyDescent="0.2">
      <c r="A1122" s="115"/>
      <c r="B1122" s="79"/>
      <c r="C1122" s="115"/>
      <c r="D1122" s="115"/>
      <c r="E1122" s="115"/>
      <c r="F1122" s="115"/>
    </row>
    <row r="1123" spans="1:6" x14ac:dyDescent="0.2">
      <c r="A1123" s="115"/>
      <c r="B1123" s="79"/>
      <c r="C1123" s="115"/>
      <c r="D1123" s="115"/>
      <c r="E1123" s="115"/>
      <c r="F1123" s="115"/>
    </row>
    <row r="1124" spans="1:6" x14ac:dyDescent="0.2">
      <c r="A1124" s="115"/>
      <c r="B1124" s="79"/>
      <c r="C1124" s="115"/>
      <c r="D1124" s="115"/>
      <c r="E1124" s="115"/>
      <c r="F1124" s="115"/>
    </row>
    <row r="1125" spans="1:6" x14ac:dyDescent="0.2">
      <c r="A1125" s="115"/>
      <c r="B1125" s="79"/>
      <c r="C1125" s="115"/>
      <c r="D1125" s="115"/>
      <c r="E1125" s="115"/>
      <c r="F1125" s="115"/>
    </row>
    <row r="1126" spans="1:6" x14ac:dyDescent="0.2">
      <c r="A1126" s="115"/>
      <c r="B1126" s="79"/>
      <c r="C1126" s="115"/>
      <c r="D1126" s="115"/>
      <c r="E1126" s="115"/>
      <c r="F1126" s="115"/>
    </row>
    <row r="1127" spans="1:6" x14ac:dyDescent="0.2">
      <c r="A1127" s="115"/>
      <c r="B1127" s="79"/>
      <c r="C1127" s="115"/>
      <c r="D1127" s="115"/>
      <c r="E1127" s="115"/>
      <c r="F1127" s="115"/>
    </row>
    <row r="1128" spans="1:6" x14ac:dyDescent="0.2">
      <c r="A1128" s="115"/>
      <c r="B1128" s="79"/>
      <c r="C1128" s="115"/>
      <c r="D1128" s="115"/>
      <c r="E1128" s="115"/>
      <c r="F1128" s="115"/>
    </row>
    <row r="1129" spans="1:6" x14ac:dyDescent="0.2">
      <c r="A1129" s="115"/>
      <c r="B1129" s="79"/>
      <c r="C1129" s="115"/>
      <c r="D1129" s="115"/>
      <c r="E1129" s="115"/>
      <c r="F1129" s="115"/>
    </row>
    <row r="1130" spans="1:6" x14ac:dyDescent="0.2">
      <c r="A1130" s="115"/>
      <c r="B1130" s="79"/>
      <c r="C1130" s="115"/>
      <c r="D1130" s="115"/>
      <c r="E1130" s="115"/>
      <c r="F1130" s="115"/>
    </row>
    <row r="1131" spans="1:6" x14ac:dyDescent="0.2">
      <c r="A1131" s="115"/>
      <c r="B1131" s="79"/>
      <c r="C1131" s="115"/>
      <c r="D1131" s="115"/>
      <c r="E1131" s="115"/>
      <c r="F1131" s="115"/>
    </row>
    <row r="1132" spans="1:6" x14ac:dyDescent="0.2">
      <c r="A1132" s="115"/>
      <c r="B1132" s="79"/>
      <c r="C1132" s="115"/>
      <c r="D1132" s="115"/>
      <c r="E1132" s="115"/>
      <c r="F1132" s="115"/>
    </row>
    <row r="1133" spans="1:6" x14ac:dyDescent="0.2">
      <c r="A1133" s="115"/>
      <c r="B1133" s="79"/>
      <c r="C1133" s="115"/>
      <c r="D1133" s="115"/>
      <c r="E1133" s="115"/>
      <c r="F1133" s="115"/>
    </row>
    <row r="1134" spans="1:6" x14ac:dyDescent="0.2">
      <c r="A1134" s="115"/>
      <c r="B1134" s="79"/>
      <c r="C1134" s="115"/>
      <c r="D1134" s="115"/>
      <c r="E1134" s="115"/>
      <c r="F1134" s="115"/>
    </row>
    <row r="1135" spans="1:6" x14ac:dyDescent="0.2">
      <c r="A1135" s="115"/>
      <c r="B1135" s="79"/>
      <c r="C1135" s="115"/>
      <c r="D1135" s="115"/>
      <c r="E1135" s="115"/>
      <c r="F1135" s="115"/>
    </row>
    <row r="1136" spans="1:6" x14ac:dyDescent="0.2">
      <c r="A1136" s="115"/>
      <c r="B1136" s="79"/>
      <c r="C1136" s="115"/>
      <c r="D1136" s="115"/>
      <c r="E1136" s="115"/>
      <c r="F1136" s="115"/>
    </row>
    <row r="1137" spans="1:6" x14ac:dyDescent="0.2">
      <c r="A1137" s="115"/>
      <c r="B1137" s="79"/>
      <c r="C1137" s="115"/>
      <c r="D1137" s="115"/>
      <c r="E1137" s="115"/>
      <c r="F1137" s="115"/>
    </row>
    <row r="1138" spans="1:6" x14ac:dyDescent="0.2">
      <c r="A1138" s="115"/>
      <c r="B1138" s="79"/>
      <c r="C1138" s="115"/>
      <c r="D1138" s="115"/>
      <c r="E1138" s="115"/>
      <c r="F1138" s="115"/>
    </row>
    <row r="1139" spans="1:6" x14ac:dyDescent="0.2">
      <c r="A1139" s="115"/>
      <c r="B1139" s="79"/>
      <c r="C1139" s="115"/>
      <c r="D1139" s="115"/>
      <c r="E1139" s="115"/>
      <c r="F1139" s="115"/>
    </row>
    <row r="1140" spans="1:6" x14ac:dyDescent="0.2">
      <c r="A1140" s="115"/>
      <c r="B1140" s="79"/>
      <c r="C1140" s="115"/>
      <c r="D1140" s="115"/>
      <c r="E1140" s="115"/>
      <c r="F1140" s="115"/>
    </row>
    <row r="1141" spans="1:6" x14ac:dyDescent="0.2">
      <c r="A1141" s="115"/>
      <c r="B1141" s="79"/>
      <c r="C1141" s="115"/>
      <c r="D1141" s="115"/>
      <c r="E1141" s="115"/>
      <c r="F1141" s="115"/>
    </row>
    <row r="1142" spans="1:6" x14ac:dyDescent="0.2">
      <c r="A1142" s="115"/>
      <c r="B1142" s="79"/>
      <c r="C1142" s="115"/>
      <c r="D1142" s="115"/>
      <c r="E1142" s="115"/>
      <c r="F1142" s="115"/>
    </row>
    <row r="1143" spans="1:6" x14ac:dyDescent="0.2">
      <c r="A1143" s="115"/>
      <c r="B1143" s="79"/>
      <c r="C1143" s="115"/>
      <c r="D1143" s="115"/>
      <c r="E1143" s="115"/>
      <c r="F1143" s="115"/>
    </row>
    <row r="1144" spans="1:6" x14ac:dyDescent="0.2">
      <c r="A1144" s="115"/>
      <c r="B1144" s="79"/>
      <c r="C1144" s="115"/>
      <c r="D1144" s="115"/>
      <c r="E1144" s="115"/>
      <c r="F1144" s="115"/>
    </row>
    <row r="1145" spans="1:6" x14ac:dyDescent="0.2">
      <c r="A1145" s="115"/>
      <c r="B1145" s="79"/>
      <c r="C1145" s="115"/>
      <c r="D1145" s="115"/>
      <c r="E1145" s="115"/>
      <c r="F1145" s="115"/>
    </row>
    <row r="1146" spans="1:6" x14ac:dyDescent="0.2">
      <c r="A1146" s="115"/>
      <c r="B1146" s="79"/>
      <c r="C1146" s="115"/>
      <c r="D1146" s="115"/>
      <c r="E1146" s="115"/>
      <c r="F1146" s="115"/>
    </row>
    <row r="1147" spans="1:6" x14ac:dyDescent="0.2">
      <c r="A1147" s="115"/>
      <c r="B1147" s="79"/>
      <c r="C1147" s="115"/>
      <c r="D1147" s="115"/>
      <c r="E1147" s="115"/>
      <c r="F1147" s="115"/>
    </row>
    <row r="1148" spans="1:6" x14ac:dyDescent="0.2">
      <c r="A1148" s="115"/>
      <c r="B1148" s="79"/>
      <c r="C1148" s="115"/>
      <c r="D1148" s="115"/>
      <c r="E1148" s="115"/>
      <c r="F1148" s="115"/>
    </row>
    <row r="1149" spans="1:6" x14ac:dyDescent="0.2">
      <c r="A1149" s="115"/>
      <c r="B1149" s="79"/>
      <c r="C1149" s="115"/>
      <c r="D1149" s="115"/>
      <c r="E1149" s="115"/>
      <c r="F1149" s="115"/>
    </row>
    <row r="1150" spans="1:6" x14ac:dyDescent="0.2">
      <c r="A1150" s="115"/>
      <c r="B1150" s="79"/>
      <c r="C1150" s="115"/>
      <c r="D1150" s="115"/>
      <c r="E1150" s="115"/>
      <c r="F1150" s="115"/>
    </row>
    <row r="1151" spans="1:6" x14ac:dyDescent="0.2">
      <c r="A1151" s="115"/>
      <c r="B1151" s="79"/>
      <c r="C1151" s="115"/>
      <c r="D1151" s="115"/>
      <c r="E1151" s="115"/>
      <c r="F1151" s="115"/>
    </row>
    <row r="1152" spans="1:6" x14ac:dyDescent="0.2">
      <c r="A1152" s="115"/>
      <c r="B1152" s="79"/>
      <c r="C1152" s="115"/>
      <c r="D1152" s="115"/>
      <c r="E1152" s="115"/>
      <c r="F1152" s="115"/>
    </row>
    <row r="1153" spans="1:6" x14ac:dyDescent="0.2">
      <c r="A1153" s="115"/>
      <c r="B1153" s="79"/>
      <c r="C1153" s="115"/>
      <c r="D1153" s="115"/>
      <c r="E1153" s="115"/>
      <c r="F1153" s="115"/>
    </row>
    <row r="1154" spans="1:6" x14ac:dyDescent="0.2">
      <c r="A1154" s="115"/>
      <c r="B1154" s="79"/>
      <c r="C1154" s="115"/>
      <c r="D1154" s="115"/>
      <c r="E1154" s="115"/>
      <c r="F1154" s="115"/>
    </row>
    <row r="1155" spans="1:6" x14ac:dyDescent="0.2">
      <c r="A1155" s="115"/>
      <c r="B1155" s="79"/>
      <c r="C1155" s="115"/>
      <c r="D1155" s="115"/>
      <c r="E1155" s="115"/>
      <c r="F1155" s="115"/>
    </row>
    <row r="1156" spans="1:6" x14ac:dyDescent="0.2">
      <c r="A1156" s="115"/>
      <c r="B1156" s="79"/>
      <c r="C1156" s="115"/>
      <c r="D1156" s="115"/>
      <c r="E1156" s="115"/>
      <c r="F1156" s="115"/>
    </row>
    <row r="1157" spans="1:6" x14ac:dyDescent="0.2">
      <c r="A1157" s="115"/>
      <c r="B1157" s="79"/>
      <c r="C1157" s="115"/>
      <c r="D1157" s="115"/>
      <c r="E1157" s="115"/>
      <c r="F1157" s="115"/>
    </row>
    <row r="1158" spans="1:6" x14ac:dyDescent="0.2">
      <c r="A1158" s="115"/>
      <c r="B1158" s="79"/>
      <c r="C1158" s="115"/>
      <c r="D1158" s="115"/>
      <c r="E1158" s="115"/>
      <c r="F1158" s="115"/>
    </row>
    <row r="1159" spans="1:6" x14ac:dyDescent="0.2">
      <c r="A1159" s="115"/>
      <c r="B1159" s="79"/>
      <c r="C1159" s="115"/>
      <c r="D1159" s="115"/>
      <c r="E1159" s="115"/>
      <c r="F1159" s="115"/>
    </row>
    <row r="1160" spans="1:6" x14ac:dyDescent="0.2">
      <c r="A1160" s="115"/>
      <c r="B1160" s="79"/>
      <c r="C1160" s="115"/>
      <c r="D1160" s="115"/>
      <c r="E1160" s="115"/>
      <c r="F1160" s="115"/>
    </row>
    <row r="1161" spans="1:6" x14ac:dyDescent="0.2">
      <c r="A1161" s="115"/>
      <c r="B1161" s="79"/>
      <c r="C1161" s="115"/>
      <c r="D1161" s="115"/>
      <c r="E1161" s="115"/>
      <c r="F1161" s="115"/>
    </row>
    <row r="1162" spans="1:6" x14ac:dyDescent="0.2">
      <c r="A1162" s="115"/>
      <c r="B1162" s="79"/>
      <c r="C1162" s="115"/>
      <c r="D1162" s="115"/>
      <c r="E1162" s="115"/>
      <c r="F1162" s="115"/>
    </row>
    <row r="1163" spans="1:6" x14ac:dyDescent="0.2">
      <c r="A1163" s="115"/>
      <c r="B1163" s="79"/>
      <c r="C1163" s="115"/>
      <c r="D1163" s="115"/>
      <c r="E1163" s="115"/>
      <c r="F1163" s="115"/>
    </row>
    <row r="1164" spans="1:6" x14ac:dyDescent="0.2">
      <c r="A1164" s="115"/>
      <c r="B1164" s="79"/>
      <c r="C1164" s="115"/>
      <c r="D1164" s="115"/>
      <c r="E1164" s="115"/>
      <c r="F1164" s="115"/>
    </row>
    <row r="1165" spans="1:6" x14ac:dyDescent="0.2">
      <c r="A1165" s="115"/>
      <c r="B1165" s="79"/>
      <c r="C1165" s="115"/>
      <c r="D1165" s="115"/>
      <c r="E1165" s="115"/>
      <c r="F1165" s="115"/>
    </row>
    <row r="1166" spans="1:6" x14ac:dyDescent="0.2">
      <c r="A1166" s="115"/>
      <c r="B1166" s="79"/>
      <c r="C1166" s="115"/>
      <c r="D1166" s="115"/>
      <c r="E1166" s="115"/>
      <c r="F1166" s="115"/>
    </row>
    <row r="1167" spans="1:6" x14ac:dyDescent="0.2">
      <c r="A1167" s="115"/>
      <c r="B1167" s="79"/>
      <c r="C1167" s="115"/>
      <c r="D1167" s="115"/>
      <c r="E1167" s="115"/>
      <c r="F1167" s="115"/>
    </row>
    <row r="1168" spans="1:6" x14ac:dyDescent="0.2">
      <c r="A1168" s="115"/>
      <c r="B1168" s="79"/>
      <c r="C1168" s="115"/>
      <c r="D1168" s="115"/>
      <c r="E1168" s="115"/>
      <c r="F1168" s="115"/>
    </row>
    <row r="1169" spans="1:6" x14ac:dyDescent="0.2">
      <c r="A1169" s="115"/>
      <c r="B1169" s="79"/>
      <c r="C1169" s="115"/>
      <c r="D1169" s="115"/>
      <c r="E1169" s="115"/>
      <c r="F1169" s="115"/>
    </row>
    <row r="1170" spans="1:6" x14ac:dyDescent="0.2">
      <c r="A1170" s="115"/>
      <c r="B1170" s="79"/>
      <c r="C1170" s="115"/>
      <c r="D1170" s="115"/>
      <c r="E1170" s="115"/>
      <c r="F1170" s="115"/>
    </row>
    <row r="1171" spans="1:6" x14ac:dyDescent="0.2">
      <c r="A1171" s="115"/>
      <c r="B1171" s="79"/>
      <c r="C1171" s="115"/>
      <c r="D1171" s="115"/>
      <c r="E1171" s="115"/>
      <c r="F1171" s="115"/>
    </row>
    <row r="1172" spans="1:6" x14ac:dyDescent="0.2">
      <c r="A1172" s="115"/>
      <c r="B1172" s="79"/>
      <c r="C1172" s="115"/>
      <c r="D1172" s="115"/>
      <c r="E1172" s="115"/>
      <c r="F1172" s="115"/>
    </row>
    <row r="1173" spans="1:6" x14ac:dyDescent="0.2">
      <c r="A1173" s="115"/>
      <c r="B1173" s="79"/>
      <c r="C1173" s="115"/>
      <c r="D1173" s="115"/>
      <c r="E1173" s="115"/>
      <c r="F1173" s="115"/>
    </row>
    <row r="1174" spans="1:6" x14ac:dyDescent="0.2">
      <c r="A1174" s="115"/>
      <c r="B1174" s="79"/>
      <c r="C1174" s="115"/>
      <c r="D1174" s="115"/>
      <c r="E1174" s="115"/>
      <c r="F1174" s="115"/>
    </row>
    <row r="1175" spans="1:6" x14ac:dyDescent="0.2">
      <c r="A1175" s="115"/>
      <c r="B1175" s="79"/>
      <c r="C1175" s="115"/>
      <c r="D1175" s="115"/>
      <c r="E1175" s="115"/>
      <c r="F1175" s="115"/>
    </row>
    <row r="1176" spans="1:6" x14ac:dyDescent="0.2">
      <c r="A1176" s="115"/>
      <c r="B1176" s="79"/>
      <c r="C1176" s="115"/>
      <c r="D1176" s="115"/>
      <c r="E1176" s="115"/>
      <c r="F1176" s="115"/>
    </row>
    <row r="1177" spans="1:6" x14ac:dyDescent="0.2">
      <c r="A1177" s="115"/>
      <c r="B1177" s="79"/>
      <c r="C1177" s="115"/>
      <c r="D1177" s="115"/>
      <c r="E1177" s="115"/>
      <c r="F1177" s="115"/>
    </row>
    <row r="1178" spans="1:6" x14ac:dyDescent="0.2">
      <c r="A1178" s="115"/>
      <c r="B1178" s="79"/>
      <c r="C1178" s="115"/>
      <c r="D1178" s="115"/>
      <c r="E1178" s="115"/>
      <c r="F1178" s="115"/>
    </row>
    <row r="1179" spans="1:6" x14ac:dyDescent="0.2">
      <c r="A1179" s="115"/>
      <c r="B1179" s="79"/>
      <c r="C1179" s="115"/>
      <c r="D1179" s="115"/>
      <c r="E1179" s="115"/>
      <c r="F1179" s="115"/>
    </row>
    <row r="1180" spans="1:6" x14ac:dyDescent="0.2">
      <c r="A1180" s="115"/>
      <c r="B1180" s="79"/>
      <c r="C1180" s="115"/>
      <c r="D1180" s="115"/>
      <c r="E1180" s="115"/>
      <c r="F1180" s="115"/>
    </row>
    <row r="1181" spans="1:6" x14ac:dyDescent="0.2">
      <c r="A1181" s="115"/>
      <c r="B1181" s="79"/>
      <c r="C1181" s="115"/>
      <c r="D1181" s="115"/>
      <c r="E1181" s="115"/>
      <c r="F1181" s="115"/>
    </row>
    <row r="1182" spans="1:6" x14ac:dyDescent="0.2">
      <c r="A1182" s="115"/>
      <c r="B1182" s="79"/>
      <c r="C1182" s="115"/>
      <c r="D1182" s="115"/>
      <c r="E1182" s="115"/>
      <c r="F1182" s="115"/>
    </row>
    <row r="1183" spans="1:6" x14ac:dyDescent="0.2">
      <c r="A1183" s="115"/>
      <c r="B1183" s="79"/>
      <c r="C1183" s="115"/>
      <c r="D1183" s="115"/>
      <c r="E1183" s="115"/>
      <c r="F1183" s="115"/>
    </row>
    <row r="1184" spans="1:6" x14ac:dyDescent="0.2">
      <c r="A1184" s="115"/>
      <c r="B1184" s="79"/>
      <c r="C1184" s="115"/>
      <c r="D1184" s="115"/>
      <c r="E1184" s="115"/>
      <c r="F1184" s="115"/>
    </row>
    <row r="1185" spans="1:6" x14ac:dyDescent="0.2">
      <c r="A1185" s="115"/>
      <c r="B1185" s="79"/>
      <c r="C1185" s="115"/>
      <c r="D1185" s="115"/>
      <c r="E1185" s="115"/>
      <c r="F1185" s="115"/>
    </row>
    <row r="1186" spans="1:6" x14ac:dyDescent="0.2">
      <c r="A1186" s="115"/>
      <c r="B1186" s="79"/>
      <c r="C1186" s="115"/>
      <c r="D1186" s="115"/>
      <c r="E1186" s="115"/>
      <c r="F1186" s="115"/>
    </row>
    <row r="1187" spans="1:6" x14ac:dyDescent="0.2">
      <c r="A1187" s="115"/>
      <c r="B1187" s="79"/>
      <c r="C1187" s="115"/>
      <c r="D1187" s="115"/>
      <c r="E1187" s="115"/>
      <c r="F1187" s="115"/>
    </row>
    <row r="1188" spans="1:6" x14ac:dyDescent="0.2">
      <c r="A1188" s="115"/>
      <c r="B1188" s="79"/>
      <c r="C1188" s="115"/>
      <c r="D1188" s="115"/>
      <c r="E1188" s="115"/>
      <c r="F1188" s="115"/>
    </row>
    <row r="1189" spans="1:6" x14ac:dyDescent="0.2">
      <c r="A1189" s="115"/>
      <c r="B1189" s="79"/>
      <c r="C1189" s="115"/>
      <c r="D1189" s="115"/>
      <c r="E1189" s="115"/>
      <c r="F1189" s="115"/>
    </row>
    <row r="1190" spans="1:6" x14ac:dyDescent="0.2">
      <c r="A1190" s="115"/>
      <c r="B1190" s="79"/>
      <c r="C1190" s="115"/>
      <c r="D1190" s="115"/>
      <c r="E1190" s="115"/>
      <c r="F1190" s="115"/>
    </row>
    <row r="1191" spans="1:6" x14ac:dyDescent="0.2">
      <c r="A1191" s="115"/>
      <c r="B1191" s="79"/>
      <c r="C1191" s="115"/>
      <c r="D1191" s="115"/>
      <c r="E1191" s="115"/>
      <c r="F1191" s="115"/>
    </row>
    <row r="1192" spans="1:6" x14ac:dyDescent="0.2">
      <c r="A1192" s="115"/>
      <c r="B1192" s="79"/>
      <c r="C1192" s="115"/>
      <c r="D1192" s="115"/>
      <c r="E1192" s="115"/>
      <c r="F1192" s="115"/>
    </row>
    <row r="1193" spans="1:6" x14ac:dyDescent="0.2">
      <c r="A1193" s="115"/>
      <c r="B1193" s="79"/>
      <c r="C1193" s="115"/>
      <c r="D1193" s="115"/>
      <c r="E1193" s="115"/>
      <c r="F1193" s="115"/>
    </row>
    <row r="1194" spans="1:6" x14ac:dyDescent="0.2">
      <c r="A1194" s="115"/>
      <c r="B1194" s="79"/>
      <c r="C1194" s="115"/>
      <c r="D1194" s="115"/>
      <c r="E1194" s="115"/>
      <c r="F1194" s="115"/>
    </row>
    <row r="1195" spans="1:6" x14ac:dyDescent="0.2">
      <c r="A1195" s="115"/>
      <c r="B1195" s="79"/>
      <c r="C1195" s="115"/>
      <c r="D1195" s="115"/>
      <c r="E1195" s="115"/>
      <c r="F1195" s="115"/>
    </row>
    <row r="1196" spans="1:6" x14ac:dyDescent="0.2">
      <c r="A1196" s="115"/>
      <c r="B1196" s="79"/>
      <c r="C1196" s="115"/>
      <c r="D1196" s="115"/>
      <c r="E1196" s="115"/>
      <c r="F1196" s="115"/>
    </row>
    <row r="1197" spans="1:6" x14ac:dyDescent="0.2">
      <c r="A1197" s="115"/>
      <c r="B1197" s="79"/>
      <c r="C1197" s="115"/>
      <c r="D1197" s="115"/>
      <c r="E1197" s="115"/>
      <c r="F1197" s="115"/>
    </row>
    <row r="1198" spans="1:6" x14ac:dyDescent="0.2">
      <c r="A1198" s="115"/>
      <c r="B1198" s="79"/>
      <c r="C1198" s="115"/>
      <c r="D1198" s="115"/>
      <c r="E1198" s="115"/>
      <c r="F1198" s="115"/>
    </row>
    <row r="1199" spans="1:6" x14ac:dyDescent="0.2">
      <c r="A1199" s="115"/>
      <c r="B1199" s="79"/>
      <c r="C1199" s="115"/>
      <c r="D1199" s="115"/>
      <c r="E1199" s="115"/>
      <c r="F1199" s="115"/>
    </row>
    <row r="1200" spans="1:6" x14ac:dyDescent="0.2">
      <c r="A1200" s="115"/>
      <c r="B1200" s="79"/>
      <c r="C1200" s="115"/>
      <c r="D1200" s="115"/>
      <c r="E1200" s="115"/>
      <c r="F1200" s="115"/>
    </row>
    <row r="1201" spans="1:6" x14ac:dyDescent="0.2">
      <c r="A1201" s="115"/>
      <c r="B1201" s="79"/>
      <c r="C1201" s="115"/>
      <c r="D1201" s="115"/>
      <c r="E1201" s="115"/>
      <c r="F1201" s="115"/>
    </row>
    <row r="1202" spans="1:6" x14ac:dyDescent="0.2">
      <c r="A1202" s="115"/>
      <c r="B1202" s="79"/>
      <c r="C1202" s="115"/>
      <c r="D1202" s="115"/>
      <c r="E1202" s="115"/>
      <c r="F1202" s="115"/>
    </row>
    <row r="1203" spans="1:6" x14ac:dyDescent="0.2">
      <c r="A1203" s="115"/>
      <c r="B1203" s="79"/>
      <c r="C1203" s="115"/>
      <c r="D1203" s="115"/>
      <c r="E1203" s="115"/>
      <c r="F1203" s="115"/>
    </row>
    <row r="1204" spans="1:6" x14ac:dyDescent="0.2">
      <c r="A1204" s="115"/>
      <c r="B1204" s="79"/>
      <c r="C1204" s="115"/>
      <c r="D1204" s="115"/>
      <c r="E1204" s="115"/>
      <c r="F1204" s="115"/>
    </row>
    <row r="1205" spans="1:6" x14ac:dyDescent="0.2">
      <c r="A1205" s="115"/>
      <c r="B1205" s="79"/>
      <c r="C1205" s="115"/>
      <c r="D1205" s="115"/>
      <c r="E1205" s="115"/>
      <c r="F1205" s="115"/>
    </row>
    <row r="1206" spans="1:6" x14ac:dyDescent="0.2">
      <c r="A1206" s="115"/>
      <c r="B1206" s="79"/>
      <c r="C1206" s="115"/>
      <c r="D1206" s="115"/>
      <c r="E1206" s="115"/>
      <c r="F1206" s="115"/>
    </row>
    <row r="1207" spans="1:6" x14ac:dyDescent="0.2">
      <c r="A1207" s="115"/>
      <c r="B1207" s="79"/>
      <c r="C1207" s="115"/>
      <c r="D1207" s="115"/>
      <c r="E1207" s="115"/>
      <c r="F1207" s="115"/>
    </row>
    <row r="1208" spans="1:6" x14ac:dyDescent="0.2">
      <c r="A1208" s="115"/>
      <c r="B1208" s="79"/>
      <c r="C1208" s="115"/>
      <c r="D1208" s="115"/>
      <c r="E1208" s="115"/>
      <c r="F1208" s="115"/>
    </row>
    <row r="1209" spans="1:6" x14ac:dyDescent="0.2">
      <c r="A1209" s="115"/>
      <c r="B1209" s="79"/>
      <c r="C1209" s="115"/>
      <c r="D1209" s="115"/>
      <c r="E1209" s="115"/>
      <c r="F1209" s="115"/>
    </row>
    <row r="1210" spans="1:6" x14ac:dyDescent="0.2">
      <c r="A1210" s="115"/>
      <c r="B1210" s="79"/>
      <c r="C1210" s="115"/>
      <c r="D1210" s="115"/>
      <c r="E1210" s="115"/>
      <c r="F1210" s="115"/>
    </row>
    <row r="1211" spans="1:6" x14ac:dyDescent="0.2">
      <c r="A1211" s="115"/>
      <c r="B1211" s="79"/>
      <c r="C1211" s="115"/>
      <c r="D1211" s="115"/>
      <c r="E1211" s="115"/>
      <c r="F1211" s="115"/>
    </row>
    <row r="1212" spans="1:6" x14ac:dyDescent="0.2">
      <c r="A1212" s="115"/>
      <c r="B1212" s="79"/>
      <c r="C1212" s="115"/>
      <c r="D1212" s="115"/>
      <c r="E1212" s="115"/>
      <c r="F1212" s="115"/>
    </row>
    <row r="1213" spans="1:6" x14ac:dyDescent="0.2">
      <c r="A1213" s="115"/>
      <c r="B1213" s="79"/>
      <c r="C1213" s="115"/>
      <c r="D1213" s="115"/>
      <c r="E1213" s="115"/>
      <c r="F1213" s="115"/>
    </row>
    <row r="1214" spans="1:6" x14ac:dyDescent="0.2">
      <c r="A1214" s="115"/>
      <c r="B1214" s="79"/>
      <c r="C1214" s="115"/>
      <c r="D1214" s="115"/>
      <c r="E1214" s="115"/>
      <c r="F1214" s="115"/>
    </row>
    <row r="1215" spans="1:6" x14ac:dyDescent="0.2">
      <c r="A1215" s="115"/>
      <c r="B1215" s="79"/>
      <c r="C1215" s="115"/>
      <c r="D1215" s="115"/>
      <c r="E1215" s="115"/>
      <c r="F1215" s="115"/>
    </row>
    <row r="1216" spans="1:6" x14ac:dyDescent="0.2">
      <c r="A1216" s="115"/>
      <c r="B1216" s="79"/>
      <c r="C1216" s="115"/>
      <c r="D1216" s="115"/>
      <c r="E1216" s="115"/>
      <c r="F1216" s="115"/>
    </row>
    <row r="1217" spans="1:6" x14ac:dyDescent="0.2">
      <c r="A1217" s="115"/>
      <c r="B1217" s="79"/>
      <c r="C1217" s="115"/>
      <c r="D1217" s="115"/>
      <c r="E1217" s="115"/>
      <c r="F1217" s="115"/>
    </row>
    <row r="1218" spans="1:6" x14ac:dyDescent="0.2">
      <c r="A1218" s="115"/>
      <c r="B1218" s="79"/>
      <c r="C1218" s="115"/>
      <c r="D1218" s="115"/>
      <c r="E1218" s="115"/>
      <c r="F1218" s="115"/>
    </row>
    <row r="1219" spans="1:6" x14ac:dyDescent="0.2">
      <c r="A1219" s="115"/>
      <c r="B1219" s="79"/>
      <c r="C1219" s="115"/>
      <c r="D1219" s="115"/>
      <c r="E1219" s="115"/>
      <c r="F1219" s="115"/>
    </row>
    <row r="1220" spans="1:6" x14ac:dyDescent="0.2">
      <c r="A1220" s="115"/>
      <c r="B1220" s="79"/>
      <c r="C1220" s="115"/>
      <c r="D1220" s="115"/>
      <c r="E1220" s="115"/>
      <c r="F1220" s="115"/>
    </row>
    <row r="1221" spans="1:6" x14ac:dyDescent="0.2">
      <c r="A1221" s="115"/>
      <c r="B1221" s="79"/>
      <c r="C1221" s="115"/>
      <c r="D1221" s="115"/>
      <c r="E1221" s="115"/>
      <c r="F1221" s="115"/>
    </row>
    <row r="1222" spans="1:6" x14ac:dyDescent="0.2">
      <c r="A1222" s="115"/>
      <c r="B1222" s="79"/>
      <c r="C1222" s="115"/>
      <c r="D1222" s="115"/>
      <c r="E1222" s="115"/>
      <c r="F1222" s="115"/>
    </row>
    <row r="1223" spans="1:6" x14ac:dyDescent="0.2">
      <c r="A1223" s="115"/>
      <c r="B1223" s="79"/>
      <c r="C1223" s="115"/>
      <c r="D1223" s="115"/>
      <c r="E1223" s="115"/>
      <c r="F1223" s="115"/>
    </row>
    <row r="1224" spans="1:6" x14ac:dyDescent="0.2">
      <c r="A1224" s="115"/>
      <c r="B1224" s="79"/>
      <c r="C1224" s="115"/>
      <c r="D1224" s="115"/>
      <c r="E1224" s="115"/>
      <c r="F1224" s="115"/>
    </row>
    <row r="1225" spans="1:6" x14ac:dyDescent="0.2">
      <c r="A1225" s="115"/>
      <c r="B1225" s="79"/>
      <c r="C1225" s="115"/>
      <c r="D1225" s="115"/>
      <c r="E1225" s="115"/>
      <c r="F1225" s="115"/>
    </row>
    <row r="1226" spans="1:6" x14ac:dyDescent="0.2">
      <c r="A1226" s="115"/>
      <c r="B1226" s="79"/>
      <c r="C1226" s="115"/>
      <c r="D1226" s="115"/>
      <c r="E1226" s="115"/>
      <c r="F1226" s="115"/>
    </row>
    <row r="1227" spans="1:6" x14ac:dyDescent="0.2">
      <c r="A1227" s="115"/>
      <c r="B1227" s="79"/>
      <c r="C1227" s="115"/>
      <c r="D1227" s="115"/>
      <c r="E1227" s="115"/>
      <c r="F1227" s="115"/>
    </row>
    <row r="1228" spans="1:6" x14ac:dyDescent="0.2">
      <c r="A1228" s="115"/>
      <c r="B1228" s="79"/>
      <c r="C1228" s="115"/>
      <c r="D1228" s="115"/>
      <c r="E1228" s="115"/>
      <c r="F1228" s="115"/>
    </row>
    <row r="1229" spans="1:6" x14ac:dyDescent="0.2">
      <c r="A1229" s="115"/>
      <c r="B1229" s="79"/>
      <c r="C1229" s="115"/>
      <c r="D1229" s="115"/>
      <c r="E1229" s="115"/>
      <c r="F1229" s="115"/>
    </row>
    <row r="1230" spans="1:6" x14ac:dyDescent="0.2">
      <c r="A1230" s="115"/>
      <c r="B1230" s="79"/>
      <c r="C1230" s="115"/>
      <c r="D1230" s="115"/>
      <c r="E1230" s="115"/>
      <c r="F1230" s="115"/>
    </row>
    <row r="1231" spans="1:6" x14ac:dyDescent="0.2">
      <c r="A1231" s="115"/>
      <c r="B1231" s="79"/>
      <c r="C1231" s="115"/>
      <c r="D1231" s="115"/>
      <c r="E1231" s="115"/>
      <c r="F1231" s="115"/>
    </row>
    <row r="1232" spans="1:6" x14ac:dyDescent="0.2">
      <c r="A1232" s="115"/>
      <c r="B1232" s="79"/>
      <c r="C1232" s="115"/>
      <c r="D1232" s="115"/>
      <c r="E1232" s="115"/>
      <c r="F1232" s="115"/>
    </row>
    <row r="1233" spans="1:6" x14ac:dyDescent="0.2">
      <c r="A1233" s="115"/>
      <c r="B1233" s="79"/>
      <c r="C1233" s="115"/>
      <c r="D1233" s="115"/>
      <c r="E1233" s="115"/>
      <c r="F1233" s="115"/>
    </row>
    <row r="1234" spans="1:6" x14ac:dyDescent="0.2">
      <c r="A1234" s="115"/>
      <c r="B1234" s="79"/>
      <c r="C1234" s="115"/>
      <c r="D1234" s="115"/>
      <c r="E1234" s="115"/>
      <c r="F1234" s="115"/>
    </row>
    <row r="1235" spans="1:6" x14ac:dyDescent="0.2">
      <c r="A1235" s="115"/>
      <c r="B1235" s="79"/>
      <c r="C1235" s="115"/>
      <c r="D1235" s="115"/>
      <c r="E1235" s="115"/>
      <c r="F1235" s="115"/>
    </row>
    <row r="1236" spans="1:6" x14ac:dyDescent="0.2">
      <c r="A1236" s="115"/>
      <c r="B1236" s="79"/>
      <c r="C1236" s="115"/>
      <c r="D1236" s="115"/>
      <c r="E1236" s="115"/>
      <c r="F1236" s="115"/>
    </row>
    <row r="1237" spans="1:6" x14ac:dyDescent="0.2">
      <c r="A1237" s="115"/>
      <c r="B1237" s="79"/>
      <c r="C1237" s="115"/>
      <c r="D1237" s="115"/>
      <c r="E1237" s="115"/>
      <c r="F1237" s="115"/>
    </row>
    <row r="1238" spans="1:6" x14ac:dyDescent="0.2">
      <c r="A1238" s="115"/>
      <c r="B1238" s="79"/>
      <c r="C1238" s="115"/>
      <c r="D1238" s="115"/>
      <c r="E1238" s="115"/>
      <c r="F1238" s="115"/>
    </row>
    <row r="1239" spans="1:6" x14ac:dyDescent="0.2">
      <c r="A1239" s="115"/>
      <c r="B1239" s="79"/>
      <c r="C1239" s="115"/>
      <c r="D1239" s="115"/>
      <c r="E1239" s="115"/>
      <c r="F1239" s="115"/>
    </row>
    <row r="1240" spans="1:6" x14ac:dyDescent="0.2">
      <c r="A1240" s="115"/>
      <c r="B1240" s="79"/>
      <c r="C1240" s="115"/>
      <c r="D1240" s="115"/>
      <c r="E1240" s="115"/>
      <c r="F1240" s="115"/>
    </row>
    <row r="1241" spans="1:6" x14ac:dyDescent="0.2">
      <c r="A1241" s="115"/>
      <c r="B1241" s="79"/>
      <c r="C1241" s="115"/>
      <c r="D1241" s="115"/>
      <c r="E1241" s="115"/>
      <c r="F1241" s="115"/>
    </row>
    <row r="1242" spans="1:6" x14ac:dyDescent="0.2">
      <c r="A1242" s="115"/>
      <c r="B1242" s="79"/>
      <c r="C1242" s="115"/>
      <c r="D1242" s="115"/>
      <c r="E1242" s="115"/>
      <c r="F1242" s="115"/>
    </row>
    <row r="1243" spans="1:6" x14ac:dyDescent="0.2">
      <c r="A1243" s="115"/>
      <c r="B1243" s="79"/>
      <c r="C1243" s="115"/>
      <c r="D1243" s="115"/>
      <c r="E1243" s="115"/>
      <c r="F1243" s="115"/>
    </row>
    <row r="1244" spans="1:6" x14ac:dyDescent="0.2">
      <c r="A1244" s="115"/>
      <c r="B1244" s="79"/>
      <c r="C1244" s="115"/>
      <c r="D1244" s="115"/>
      <c r="E1244" s="115"/>
      <c r="F1244" s="115"/>
    </row>
    <row r="1245" spans="1:6" x14ac:dyDescent="0.2">
      <c r="A1245" s="115"/>
      <c r="B1245" s="79"/>
      <c r="C1245" s="115"/>
      <c r="D1245" s="115"/>
      <c r="E1245" s="115"/>
      <c r="F1245" s="115"/>
    </row>
    <row r="1246" spans="1:6" x14ac:dyDescent="0.2">
      <c r="A1246" s="115"/>
      <c r="B1246" s="79"/>
      <c r="C1246" s="115"/>
      <c r="D1246" s="115"/>
      <c r="E1246" s="115"/>
      <c r="F1246" s="115"/>
    </row>
    <row r="1247" spans="1:6" x14ac:dyDescent="0.2">
      <c r="A1247" s="115"/>
      <c r="B1247" s="79"/>
      <c r="C1247" s="115"/>
      <c r="D1247" s="115"/>
      <c r="E1247" s="115"/>
      <c r="F1247" s="115"/>
    </row>
    <row r="1248" spans="1:6" x14ac:dyDescent="0.2">
      <c r="A1248" s="115"/>
      <c r="B1248" s="79"/>
      <c r="C1248" s="115"/>
      <c r="D1248" s="115"/>
      <c r="E1248" s="115"/>
      <c r="F1248" s="115"/>
    </row>
    <row r="1249" spans="1:6" x14ac:dyDescent="0.2">
      <c r="A1249" s="115"/>
      <c r="B1249" s="79"/>
      <c r="C1249" s="115"/>
      <c r="D1249" s="115"/>
      <c r="E1249" s="115"/>
      <c r="F1249" s="115"/>
    </row>
    <row r="1250" spans="1:6" x14ac:dyDescent="0.2">
      <c r="A1250" s="115"/>
      <c r="B1250" s="79"/>
      <c r="C1250" s="115"/>
      <c r="D1250" s="115"/>
      <c r="E1250" s="115"/>
      <c r="F1250" s="115"/>
    </row>
    <row r="1251" spans="1:6" x14ac:dyDescent="0.2">
      <c r="A1251" s="115"/>
      <c r="B1251" s="79"/>
      <c r="C1251" s="115"/>
      <c r="D1251" s="115"/>
      <c r="E1251" s="115"/>
      <c r="F1251" s="115"/>
    </row>
    <row r="1252" spans="1:6" x14ac:dyDescent="0.2">
      <c r="A1252" s="115"/>
      <c r="B1252" s="79"/>
      <c r="C1252" s="115"/>
      <c r="D1252" s="115"/>
      <c r="E1252" s="115"/>
      <c r="F1252" s="115"/>
    </row>
    <row r="1253" spans="1:6" x14ac:dyDescent="0.2">
      <c r="A1253" s="115"/>
      <c r="B1253" s="79"/>
      <c r="C1253" s="115"/>
      <c r="D1253" s="115"/>
      <c r="E1253" s="115"/>
      <c r="F1253" s="115"/>
    </row>
    <row r="1254" spans="1:6" x14ac:dyDescent="0.2">
      <c r="A1254" s="115"/>
      <c r="B1254" s="79"/>
      <c r="C1254" s="115"/>
      <c r="D1254" s="115"/>
      <c r="E1254" s="115"/>
      <c r="F1254" s="115"/>
    </row>
    <row r="1255" spans="1:6" x14ac:dyDescent="0.2">
      <c r="A1255" s="115"/>
      <c r="B1255" s="79"/>
      <c r="C1255" s="115"/>
      <c r="D1255" s="115"/>
      <c r="E1255" s="115"/>
      <c r="F1255" s="115"/>
    </row>
    <row r="1256" spans="1:6" x14ac:dyDescent="0.2">
      <c r="A1256" s="115"/>
      <c r="B1256" s="79"/>
      <c r="C1256" s="115"/>
      <c r="D1256" s="115"/>
      <c r="E1256" s="115"/>
      <c r="F1256" s="115"/>
    </row>
    <row r="1257" spans="1:6" x14ac:dyDescent="0.2">
      <c r="A1257" s="115"/>
      <c r="B1257" s="79"/>
      <c r="C1257" s="115"/>
      <c r="D1257" s="115"/>
      <c r="E1257" s="115"/>
      <c r="F1257" s="115"/>
    </row>
    <row r="1258" spans="1:6" x14ac:dyDescent="0.2">
      <c r="A1258" s="115"/>
      <c r="B1258" s="79"/>
      <c r="C1258" s="115"/>
      <c r="D1258" s="115"/>
      <c r="E1258" s="115"/>
      <c r="F1258" s="115"/>
    </row>
    <row r="1259" spans="1:6" x14ac:dyDescent="0.2">
      <c r="A1259" s="115"/>
      <c r="B1259" s="79"/>
      <c r="C1259" s="115"/>
      <c r="D1259" s="115"/>
      <c r="E1259" s="115"/>
      <c r="F1259" s="115"/>
    </row>
    <row r="1260" spans="1:6" x14ac:dyDescent="0.2">
      <c r="A1260" s="115"/>
      <c r="B1260" s="79"/>
      <c r="C1260" s="115"/>
      <c r="D1260" s="115"/>
      <c r="E1260" s="115"/>
      <c r="F1260" s="115"/>
    </row>
    <row r="1261" spans="1:6" x14ac:dyDescent="0.2">
      <c r="A1261" s="115"/>
      <c r="B1261" s="79"/>
      <c r="C1261" s="115"/>
      <c r="D1261" s="115"/>
      <c r="E1261" s="115"/>
      <c r="F1261" s="115"/>
    </row>
    <row r="1262" spans="1:6" x14ac:dyDescent="0.2">
      <c r="A1262" s="115"/>
      <c r="B1262" s="79"/>
      <c r="C1262" s="115"/>
      <c r="D1262" s="115"/>
      <c r="E1262" s="115"/>
      <c r="F1262" s="115"/>
    </row>
    <row r="1263" spans="1:6" x14ac:dyDescent="0.2">
      <c r="A1263" s="115"/>
      <c r="B1263" s="79"/>
      <c r="C1263" s="115"/>
      <c r="D1263" s="115"/>
      <c r="E1263" s="115"/>
      <c r="F1263" s="115"/>
    </row>
    <row r="1264" spans="1:6" x14ac:dyDescent="0.2">
      <c r="A1264" s="115"/>
      <c r="B1264" s="79"/>
      <c r="C1264" s="115"/>
      <c r="D1264" s="115"/>
      <c r="E1264" s="115"/>
      <c r="F1264" s="115"/>
    </row>
    <row r="1265" spans="1:6" x14ac:dyDescent="0.2">
      <c r="A1265" s="115"/>
      <c r="B1265" s="79"/>
      <c r="C1265" s="115"/>
      <c r="D1265" s="115"/>
      <c r="E1265" s="115"/>
      <c r="F1265" s="115"/>
    </row>
    <row r="1266" spans="1:6" x14ac:dyDescent="0.2">
      <c r="A1266" s="115"/>
      <c r="B1266" s="79"/>
      <c r="C1266" s="115"/>
      <c r="D1266" s="115"/>
      <c r="E1266" s="115"/>
      <c r="F1266" s="115"/>
    </row>
    <row r="1267" spans="1:6" x14ac:dyDescent="0.2">
      <c r="A1267" s="115"/>
      <c r="B1267" s="79"/>
      <c r="C1267" s="115"/>
      <c r="D1267" s="115"/>
      <c r="E1267" s="115"/>
      <c r="F1267" s="115"/>
    </row>
    <row r="1268" spans="1:6" x14ac:dyDescent="0.2">
      <c r="A1268" s="115"/>
      <c r="B1268" s="79"/>
      <c r="C1268" s="115"/>
      <c r="D1268" s="115"/>
      <c r="E1268" s="115"/>
      <c r="F1268" s="115"/>
    </row>
    <row r="1269" spans="1:6" x14ac:dyDescent="0.2">
      <c r="A1269" s="115"/>
      <c r="B1269" s="79"/>
      <c r="C1269" s="115"/>
      <c r="D1269" s="115"/>
      <c r="E1269" s="115"/>
      <c r="F1269" s="115"/>
    </row>
    <row r="1270" spans="1:6" x14ac:dyDescent="0.2">
      <c r="A1270" s="115"/>
      <c r="B1270" s="79"/>
      <c r="C1270" s="115"/>
      <c r="D1270" s="115"/>
      <c r="E1270" s="115"/>
      <c r="F1270" s="115"/>
    </row>
    <row r="1271" spans="1:6" x14ac:dyDescent="0.2">
      <c r="A1271" s="115"/>
      <c r="B1271" s="79"/>
      <c r="C1271" s="115"/>
      <c r="D1271" s="115"/>
      <c r="E1271" s="115"/>
      <c r="F1271" s="115"/>
    </row>
    <row r="1272" spans="1:6" x14ac:dyDescent="0.2">
      <c r="A1272" s="115"/>
      <c r="B1272" s="79"/>
      <c r="C1272" s="115"/>
      <c r="D1272" s="115"/>
      <c r="E1272" s="115"/>
      <c r="F1272" s="115"/>
    </row>
    <row r="1273" spans="1:6" x14ac:dyDescent="0.2">
      <c r="A1273" s="115"/>
      <c r="B1273" s="79"/>
      <c r="C1273" s="115"/>
      <c r="D1273" s="115"/>
      <c r="E1273" s="115"/>
      <c r="F1273" s="115"/>
    </row>
    <row r="1274" spans="1:6" x14ac:dyDescent="0.2">
      <c r="A1274" s="115"/>
      <c r="B1274" s="79"/>
      <c r="C1274" s="115"/>
      <c r="D1274" s="115"/>
      <c r="E1274" s="115"/>
      <c r="F1274" s="115"/>
    </row>
    <row r="1275" spans="1:6" x14ac:dyDescent="0.2">
      <c r="A1275" s="115"/>
      <c r="B1275" s="79"/>
      <c r="C1275" s="115"/>
      <c r="D1275" s="115"/>
      <c r="E1275" s="115"/>
      <c r="F1275" s="115"/>
    </row>
    <row r="1276" spans="1:6" x14ac:dyDescent="0.2">
      <c r="A1276" s="115"/>
      <c r="B1276" s="79"/>
      <c r="C1276" s="115"/>
      <c r="D1276" s="115"/>
      <c r="E1276" s="115"/>
      <c r="F1276" s="115"/>
    </row>
    <row r="1277" spans="1:6" x14ac:dyDescent="0.2">
      <c r="A1277" s="115"/>
      <c r="B1277" s="79"/>
      <c r="C1277" s="115"/>
      <c r="D1277" s="115"/>
      <c r="E1277" s="115"/>
      <c r="F1277" s="115"/>
    </row>
    <row r="1278" spans="1:6" x14ac:dyDescent="0.2">
      <c r="A1278" s="115"/>
      <c r="B1278" s="79"/>
      <c r="C1278" s="115"/>
      <c r="D1278" s="115"/>
      <c r="E1278" s="115"/>
      <c r="F1278" s="115"/>
    </row>
    <row r="1279" spans="1:6" x14ac:dyDescent="0.2">
      <c r="A1279" s="115"/>
      <c r="B1279" s="79"/>
      <c r="C1279" s="115"/>
      <c r="D1279" s="115"/>
      <c r="E1279" s="115"/>
      <c r="F1279" s="115"/>
    </row>
    <row r="1280" spans="1:6" x14ac:dyDescent="0.2">
      <c r="A1280" s="115"/>
      <c r="B1280" s="79"/>
      <c r="C1280" s="115"/>
      <c r="D1280" s="115"/>
      <c r="E1280" s="115"/>
      <c r="F1280" s="115"/>
    </row>
    <row r="1281" spans="1:6" x14ac:dyDescent="0.2">
      <c r="A1281" s="115"/>
      <c r="B1281" s="79"/>
      <c r="C1281" s="115"/>
      <c r="D1281" s="115"/>
      <c r="E1281" s="115"/>
      <c r="F1281" s="115"/>
    </row>
    <row r="1282" spans="1:6" x14ac:dyDescent="0.2">
      <c r="A1282" s="115"/>
      <c r="B1282" s="79"/>
      <c r="C1282" s="115"/>
      <c r="D1282" s="115"/>
      <c r="E1282" s="115"/>
      <c r="F1282" s="115"/>
    </row>
    <row r="1283" spans="1:6" x14ac:dyDescent="0.2">
      <c r="A1283" s="115"/>
      <c r="B1283" s="79"/>
      <c r="C1283" s="115"/>
      <c r="D1283" s="115"/>
      <c r="E1283" s="115"/>
      <c r="F1283" s="115"/>
    </row>
    <row r="1284" spans="1:6" x14ac:dyDescent="0.2">
      <c r="A1284" s="115"/>
      <c r="B1284" s="79"/>
      <c r="C1284" s="115"/>
      <c r="D1284" s="115"/>
      <c r="E1284" s="115"/>
      <c r="F1284" s="115"/>
    </row>
    <row r="1285" spans="1:6" x14ac:dyDescent="0.2">
      <c r="A1285" s="115"/>
      <c r="B1285" s="79"/>
      <c r="C1285" s="115"/>
      <c r="D1285" s="115"/>
      <c r="E1285" s="115"/>
      <c r="F1285" s="115"/>
    </row>
    <row r="1286" spans="1:6" x14ac:dyDescent="0.2">
      <c r="A1286" s="115"/>
      <c r="B1286" s="79"/>
      <c r="C1286" s="115"/>
      <c r="D1286" s="115"/>
      <c r="E1286" s="115"/>
      <c r="F1286" s="115"/>
    </row>
    <row r="1287" spans="1:6" x14ac:dyDescent="0.2">
      <c r="A1287" s="115"/>
      <c r="B1287" s="79"/>
      <c r="C1287" s="115"/>
      <c r="D1287" s="115"/>
      <c r="E1287" s="115"/>
      <c r="F1287" s="115"/>
    </row>
    <row r="1288" spans="1:6" x14ac:dyDescent="0.2">
      <c r="A1288" s="115"/>
      <c r="B1288" s="79"/>
      <c r="C1288" s="115"/>
      <c r="D1288" s="115"/>
      <c r="E1288" s="115"/>
      <c r="F1288" s="115"/>
    </row>
    <row r="1289" spans="1:6" x14ac:dyDescent="0.2">
      <c r="A1289" s="115"/>
      <c r="B1289" s="79"/>
      <c r="C1289" s="115"/>
      <c r="D1289" s="115"/>
      <c r="E1289" s="115"/>
      <c r="F1289" s="115"/>
    </row>
    <row r="1290" spans="1:6" x14ac:dyDescent="0.2">
      <c r="A1290" s="115"/>
      <c r="B1290" s="79"/>
      <c r="C1290" s="115"/>
      <c r="D1290" s="115"/>
      <c r="E1290" s="115"/>
      <c r="F1290" s="115"/>
    </row>
    <row r="1291" spans="1:6" x14ac:dyDescent="0.2">
      <c r="A1291" s="115"/>
      <c r="B1291" s="79"/>
      <c r="C1291" s="115"/>
      <c r="D1291" s="115"/>
      <c r="E1291" s="115"/>
      <c r="F1291" s="115"/>
    </row>
    <row r="1292" spans="1:6" x14ac:dyDescent="0.2">
      <c r="A1292" s="115"/>
      <c r="B1292" s="79"/>
      <c r="C1292" s="115"/>
      <c r="D1292" s="115"/>
      <c r="E1292" s="115"/>
      <c r="F1292" s="115"/>
    </row>
    <row r="1293" spans="1:6" x14ac:dyDescent="0.2">
      <c r="A1293" s="115"/>
      <c r="B1293" s="79"/>
      <c r="C1293" s="115"/>
      <c r="D1293" s="115"/>
      <c r="E1293" s="115"/>
      <c r="F1293" s="115"/>
    </row>
    <row r="1294" spans="1:6" x14ac:dyDescent="0.2">
      <c r="A1294" s="115"/>
      <c r="B1294" s="79"/>
      <c r="C1294" s="115"/>
      <c r="D1294" s="115"/>
      <c r="E1294" s="115"/>
      <c r="F1294" s="115"/>
    </row>
    <row r="1295" spans="1:6" x14ac:dyDescent="0.2">
      <c r="A1295" s="115"/>
      <c r="B1295" s="79"/>
      <c r="C1295" s="115"/>
      <c r="D1295" s="115"/>
      <c r="E1295" s="115"/>
      <c r="F1295" s="115"/>
    </row>
    <row r="1296" spans="1:6" x14ac:dyDescent="0.2">
      <c r="A1296" s="115"/>
      <c r="B1296" s="79"/>
      <c r="C1296" s="115"/>
      <c r="D1296" s="115"/>
      <c r="E1296" s="115"/>
      <c r="F1296" s="115"/>
    </row>
    <row r="1297" spans="1:6" x14ac:dyDescent="0.2">
      <c r="A1297" s="115"/>
      <c r="B1297" s="79"/>
      <c r="C1297" s="115"/>
      <c r="D1297" s="115"/>
      <c r="E1297" s="115"/>
      <c r="F1297" s="115"/>
    </row>
    <row r="1298" spans="1:6" x14ac:dyDescent="0.2">
      <c r="A1298" s="115"/>
      <c r="B1298" s="79"/>
      <c r="C1298" s="115"/>
      <c r="D1298" s="115"/>
      <c r="E1298" s="115"/>
      <c r="F1298" s="115"/>
    </row>
    <row r="1299" spans="1:6" x14ac:dyDescent="0.2">
      <c r="A1299" s="115"/>
      <c r="B1299" s="79"/>
      <c r="C1299" s="115"/>
      <c r="D1299" s="115"/>
      <c r="E1299" s="115"/>
      <c r="F1299" s="115"/>
    </row>
    <row r="1300" spans="1:6" x14ac:dyDescent="0.2">
      <c r="A1300" s="115"/>
      <c r="B1300" s="79"/>
      <c r="C1300" s="115"/>
      <c r="D1300" s="115"/>
      <c r="E1300" s="115"/>
      <c r="F1300" s="115"/>
    </row>
    <row r="1301" spans="1:6" x14ac:dyDescent="0.2">
      <c r="A1301" s="115"/>
      <c r="B1301" s="79"/>
      <c r="C1301" s="115"/>
      <c r="D1301" s="115"/>
      <c r="E1301" s="115"/>
      <c r="F1301" s="115"/>
    </row>
    <row r="1302" spans="1:6" x14ac:dyDescent="0.2">
      <c r="A1302" s="115"/>
      <c r="B1302" s="79"/>
      <c r="C1302" s="115"/>
      <c r="D1302" s="115"/>
      <c r="E1302" s="115"/>
      <c r="F1302" s="115"/>
    </row>
    <row r="1303" spans="1:6" x14ac:dyDescent="0.2">
      <c r="A1303" s="115"/>
      <c r="B1303" s="79"/>
      <c r="C1303" s="115"/>
      <c r="D1303" s="115"/>
      <c r="E1303" s="115"/>
      <c r="F1303" s="115"/>
    </row>
    <row r="1304" spans="1:6" x14ac:dyDescent="0.2">
      <c r="A1304" s="115"/>
      <c r="B1304" s="79"/>
      <c r="C1304" s="115"/>
      <c r="D1304" s="115"/>
      <c r="E1304" s="115"/>
      <c r="F1304" s="115"/>
    </row>
    <row r="1305" spans="1:6" x14ac:dyDescent="0.2">
      <c r="A1305" s="115"/>
      <c r="B1305" s="79"/>
      <c r="C1305" s="115"/>
      <c r="D1305" s="115"/>
      <c r="E1305" s="115"/>
      <c r="F1305" s="115"/>
    </row>
    <row r="1306" spans="1:6" x14ac:dyDescent="0.2">
      <c r="A1306" s="115"/>
      <c r="B1306" s="79"/>
      <c r="C1306" s="115"/>
      <c r="D1306" s="115"/>
      <c r="E1306" s="115"/>
      <c r="F1306" s="115"/>
    </row>
    <row r="1307" spans="1:6" x14ac:dyDescent="0.2">
      <c r="A1307" s="115"/>
      <c r="B1307" s="79"/>
      <c r="C1307" s="115"/>
      <c r="D1307" s="115"/>
      <c r="E1307" s="115"/>
      <c r="F1307" s="115"/>
    </row>
    <row r="1308" spans="1:6" x14ac:dyDescent="0.2">
      <c r="A1308" s="115"/>
      <c r="B1308" s="79"/>
      <c r="C1308" s="115"/>
      <c r="D1308" s="115"/>
      <c r="E1308" s="115"/>
      <c r="F1308" s="115"/>
    </row>
    <row r="1309" spans="1:6" x14ac:dyDescent="0.2">
      <c r="A1309" s="115"/>
      <c r="B1309" s="79"/>
      <c r="C1309" s="115"/>
      <c r="D1309" s="115"/>
      <c r="E1309" s="115"/>
      <c r="F1309" s="115"/>
    </row>
    <row r="1310" spans="1:6" x14ac:dyDescent="0.2">
      <c r="A1310" s="115"/>
      <c r="B1310" s="79"/>
      <c r="C1310" s="115"/>
      <c r="D1310" s="115"/>
      <c r="E1310" s="115"/>
      <c r="F1310" s="115"/>
    </row>
    <row r="1311" spans="1:6" x14ac:dyDescent="0.2">
      <c r="A1311" s="115"/>
      <c r="B1311" s="79"/>
      <c r="C1311" s="115"/>
      <c r="D1311" s="115"/>
      <c r="E1311" s="115"/>
      <c r="F1311" s="115"/>
    </row>
    <row r="1312" spans="1:6" x14ac:dyDescent="0.2">
      <c r="A1312" s="115"/>
      <c r="B1312" s="79"/>
      <c r="C1312" s="115"/>
      <c r="D1312" s="115"/>
      <c r="E1312" s="115"/>
      <c r="F1312" s="115"/>
    </row>
    <row r="1313" spans="1:6" x14ac:dyDescent="0.2">
      <c r="A1313" s="115"/>
      <c r="B1313" s="79"/>
      <c r="C1313" s="115"/>
      <c r="D1313" s="115"/>
      <c r="E1313" s="115"/>
      <c r="F1313" s="115"/>
    </row>
    <row r="1314" spans="1:6" x14ac:dyDescent="0.2">
      <c r="A1314" s="115"/>
      <c r="B1314" s="79"/>
      <c r="C1314" s="115"/>
      <c r="D1314" s="115"/>
      <c r="E1314" s="115"/>
      <c r="F1314" s="115"/>
    </row>
    <row r="1315" spans="1:6" x14ac:dyDescent="0.2">
      <c r="A1315" s="115"/>
      <c r="B1315" s="79"/>
      <c r="C1315" s="115"/>
      <c r="D1315" s="115"/>
      <c r="E1315" s="115"/>
      <c r="F1315" s="115"/>
    </row>
    <row r="1316" spans="1:6" x14ac:dyDescent="0.2">
      <c r="A1316" s="115"/>
      <c r="B1316" s="79"/>
      <c r="C1316" s="115"/>
      <c r="D1316" s="115"/>
      <c r="E1316" s="115"/>
      <c r="F1316" s="115"/>
    </row>
    <row r="1317" spans="1:6" x14ac:dyDescent="0.2">
      <c r="A1317" s="115"/>
      <c r="B1317" s="79"/>
      <c r="C1317" s="115"/>
      <c r="D1317" s="115"/>
      <c r="E1317" s="115"/>
      <c r="F1317" s="115"/>
    </row>
    <row r="1318" spans="1:6" x14ac:dyDescent="0.2">
      <c r="A1318" s="115"/>
      <c r="B1318" s="79"/>
      <c r="C1318" s="115"/>
      <c r="D1318" s="115"/>
      <c r="E1318" s="115"/>
      <c r="F1318" s="115"/>
    </row>
    <row r="1319" spans="1:6" x14ac:dyDescent="0.2">
      <c r="A1319" s="115"/>
      <c r="B1319" s="79"/>
      <c r="C1319" s="115"/>
      <c r="D1319" s="115"/>
      <c r="E1319" s="115"/>
      <c r="F1319" s="115"/>
    </row>
    <row r="1320" spans="1:6" x14ac:dyDescent="0.2">
      <c r="A1320" s="115"/>
      <c r="B1320" s="79"/>
      <c r="C1320" s="115"/>
      <c r="D1320" s="115"/>
      <c r="E1320" s="115"/>
      <c r="F1320" s="115"/>
    </row>
    <row r="1321" spans="1:6" x14ac:dyDescent="0.2">
      <c r="A1321" s="115"/>
      <c r="B1321" s="79"/>
      <c r="C1321" s="115"/>
      <c r="D1321" s="115"/>
      <c r="E1321" s="115"/>
      <c r="F1321" s="115"/>
    </row>
    <row r="1322" spans="1:6" x14ac:dyDescent="0.2">
      <c r="A1322" s="115"/>
      <c r="B1322" s="79"/>
      <c r="C1322" s="115"/>
      <c r="D1322" s="115"/>
      <c r="E1322" s="115"/>
      <c r="F1322" s="115"/>
    </row>
    <row r="1323" spans="1:6" x14ac:dyDescent="0.2">
      <c r="A1323" s="115"/>
      <c r="B1323" s="79"/>
      <c r="C1323" s="115"/>
      <c r="D1323" s="115"/>
      <c r="E1323" s="115"/>
      <c r="F1323" s="115"/>
    </row>
    <row r="1324" spans="1:6" x14ac:dyDescent="0.2">
      <c r="A1324" s="115"/>
      <c r="B1324" s="79"/>
      <c r="C1324" s="115"/>
      <c r="D1324" s="115"/>
      <c r="E1324" s="115"/>
      <c r="F1324" s="115"/>
    </row>
    <row r="1325" spans="1:6" x14ac:dyDescent="0.2">
      <c r="A1325" s="115"/>
      <c r="B1325" s="79"/>
      <c r="C1325" s="115"/>
      <c r="D1325" s="115"/>
      <c r="E1325" s="115"/>
      <c r="F1325" s="115"/>
    </row>
    <row r="1326" spans="1:6" x14ac:dyDescent="0.2">
      <c r="A1326" s="115"/>
      <c r="B1326" s="79"/>
      <c r="C1326" s="115"/>
      <c r="D1326" s="115"/>
      <c r="E1326" s="115"/>
      <c r="F1326" s="115"/>
    </row>
    <row r="1327" spans="1:6" x14ac:dyDescent="0.2">
      <c r="A1327" s="115"/>
      <c r="B1327" s="79"/>
      <c r="C1327" s="115"/>
      <c r="D1327" s="115"/>
      <c r="E1327" s="115"/>
      <c r="F1327" s="115"/>
    </row>
    <row r="1328" spans="1:6" x14ac:dyDescent="0.2">
      <c r="A1328" s="115"/>
      <c r="B1328" s="79"/>
      <c r="C1328" s="115"/>
      <c r="D1328" s="115"/>
      <c r="E1328" s="115"/>
      <c r="F1328" s="115"/>
    </row>
    <row r="1329" spans="1:6" x14ac:dyDescent="0.2">
      <c r="A1329" s="115"/>
      <c r="B1329" s="79"/>
      <c r="C1329" s="115"/>
      <c r="D1329" s="115"/>
      <c r="E1329" s="115"/>
      <c r="F1329" s="115"/>
    </row>
    <row r="1330" spans="1:6" x14ac:dyDescent="0.2">
      <c r="A1330" s="115"/>
      <c r="B1330" s="79"/>
      <c r="C1330" s="115"/>
      <c r="D1330" s="115"/>
      <c r="E1330" s="115"/>
      <c r="F1330" s="115"/>
    </row>
    <row r="1331" spans="1:6" x14ac:dyDescent="0.2">
      <c r="A1331" s="115"/>
      <c r="B1331" s="79"/>
      <c r="C1331" s="115"/>
      <c r="D1331" s="115"/>
      <c r="E1331" s="115"/>
      <c r="F1331" s="115"/>
    </row>
    <row r="1332" spans="1:6" x14ac:dyDescent="0.2">
      <c r="A1332" s="115"/>
      <c r="B1332" s="79"/>
      <c r="C1332" s="115"/>
      <c r="D1332" s="115"/>
      <c r="E1332" s="115"/>
      <c r="F1332" s="115"/>
    </row>
    <row r="1333" spans="1:6" x14ac:dyDescent="0.2">
      <c r="A1333" s="115"/>
      <c r="B1333" s="79"/>
      <c r="C1333" s="115"/>
      <c r="D1333" s="115"/>
      <c r="E1333" s="115"/>
      <c r="F1333" s="115"/>
    </row>
    <row r="1334" spans="1:6" x14ac:dyDescent="0.2">
      <c r="A1334" s="115"/>
      <c r="B1334" s="79"/>
      <c r="C1334" s="115"/>
      <c r="D1334" s="115"/>
      <c r="E1334" s="115"/>
      <c r="F1334" s="115"/>
    </row>
    <row r="1335" spans="1:6" x14ac:dyDescent="0.2">
      <c r="A1335" s="115"/>
      <c r="B1335" s="79"/>
      <c r="C1335" s="115"/>
      <c r="D1335" s="115"/>
      <c r="E1335" s="115"/>
      <c r="F1335" s="115"/>
    </row>
    <row r="1336" spans="1:6" x14ac:dyDescent="0.2">
      <c r="A1336" s="115"/>
      <c r="B1336" s="79"/>
      <c r="C1336" s="115"/>
      <c r="D1336" s="115"/>
      <c r="E1336" s="115"/>
      <c r="F1336" s="115"/>
    </row>
    <row r="1337" spans="1:6" x14ac:dyDescent="0.2">
      <c r="A1337" s="115"/>
      <c r="B1337" s="79"/>
      <c r="C1337" s="115"/>
      <c r="D1337" s="115"/>
      <c r="E1337" s="115"/>
      <c r="F1337" s="115"/>
    </row>
    <row r="1338" spans="1:6" x14ac:dyDescent="0.2">
      <c r="A1338" s="115"/>
      <c r="B1338" s="79"/>
      <c r="C1338" s="115"/>
      <c r="D1338" s="115"/>
      <c r="E1338" s="115"/>
      <c r="F1338" s="115"/>
    </row>
    <row r="1339" spans="1:6" x14ac:dyDescent="0.2">
      <c r="A1339" s="115"/>
      <c r="B1339" s="79"/>
      <c r="C1339" s="115"/>
      <c r="D1339" s="115"/>
      <c r="E1339" s="115"/>
      <c r="F1339" s="115"/>
    </row>
    <row r="1340" spans="1:6" x14ac:dyDescent="0.2">
      <c r="A1340" s="115"/>
      <c r="B1340" s="79"/>
      <c r="C1340" s="115"/>
      <c r="D1340" s="115"/>
      <c r="E1340" s="115"/>
      <c r="F1340" s="115"/>
    </row>
    <row r="1341" spans="1:6" x14ac:dyDescent="0.2">
      <c r="A1341" s="115"/>
      <c r="B1341" s="79"/>
      <c r="C1341" s="115"/>
      <c r="D1341" s="115"/>
      <c r="E1341" s="115"/>
      <c r="F1341" s="115"/>
    </row>
    <row r="1342" spans="1:6" x14ac:dyDescent="0.2">
      <c r="A1342" s="115"/>
      <c r="B1342" s="79"/>
      <c r="C1342" s="115"/>
      <c r="D1342" s="115"/>
      <c r="E1342" s="115"/>
      <c r="F1342" s="115"/>
    </row>
    <row r="1343" spans="1:6" x14ac:dyDescent="0.2">
      <c r="A1343" s="115"/>
      <c r="B1343" s="79"/>
      <c r="C1343" s="115"/>
      <c r="D1343" s="115"/>
      <c r="E1343" s="115"/>
      <c r="F1343" s="115"/>
    </row>
    <row r="1344" spans="1:6" x14ac:dyDescent="0.2">
      <c r="A1344" s="115"/>
      <c r="B1344" s="79"/>
      <c r="C1344" s="115"/>
      <c r="D1344" s="115"/>
      <c r="E1344" s="115"/>
      <c r="F1344" s="115"/>
    </row>
    <row r="1345" spans="1:6" x14ac:dyDescent="0.2">
      <c r="A1345" s="115"/>
      <c r="B1345" s="79"/>
      <c r="C1345" s="115"/>
      <c r="D1345" s="115"/>
      <c r="E1345" s="115"/>
      <c r="F1345" s="115"/>
    </row>
    <row r="1346" spans="1:6" x14ac:dyDescent="0.2">
      <c r="A1346" s="115"/>
      <c r="B1346" s="79"/>
      <c r="C1346" s="115"/>
      <c r="D1346" s="115"/>
      <c r="E1346" s="115"/>
      <c r="F1346" s="115"/>
    </row>
    <row r="1347" spans="1:6" x14ac:dyDescent="0.2">
      <c r="A1347" s="115"/>
      <c r="B1347" s="79"/>
      <c r="C1347" s="115"/>
      <c r="D1347" s="115"/>
      <c r="E1347" s="115"/>
      <c r="F1347" s="115"/>
    </row>
    <row r="1348" spans="1:6" x14ac:dyDescent="0.2">
      <c r="A1348" s="115"/>
      <c r="B1348" s="79"/>
      <c r="C1348" s="115"/>
      <c r="D1348" s="115"/>
      <c r="E1348" s="115"/>
      <c r="F1348" s="115"/>
    </row>
    <row r="1349" spans="1:6" x14ac:dyDescent="0.2">
      <c r="A1349" s="115"/>
      <c r="B1349" s="79"/>
      <c r="C1349" s="115"/>
      <c r="D1349" s="115"/>
      <c r="E1349" s="115"/>
      <c r="F1349" s="115"/>
    </row>
    <row r="1350" spans="1:6" x14ac:dyDescent="0.2">
      <c r="A1350" s="115"/>
      <c r="B1350" s="79"/>
      <c r="C1350" s="115"/>
      <c r="D1350" s="115"/>
      <c r="E1350" s="115"/>
      <c r="F1350" s="115"/>
    </row>
    <row r="1351" spans="1:6" x14ac:dyDescent="0.2">
      <c r="A1351" s="115"/>
      <c r="B1351" s="79"/>
      <c r="C1351" s="115"/>
      <c r="D1351" s="115"/>
      <c r="E1351" s="115"/>
      <c r="F1351" s="115"/>
    </row>
    <row r="1352" spans="1:6" x14ac:dyDescent="0.2">
      <c r="A1352" s="115"/>
      <c r="B1352" s="79"/>
      <c r="C1352" s="115"/>
      <c r="D1352" s="115"/>
      <c r="E1352" s="115"/>
      <c r="F1352" s="115"/>
    </row>
    <row r="1353" spans="1:6" x14ac:dyDescent="0.2">
      <c r="A1353" s="115"/>
      <c r="B1353" s="79"/>
      <c r="C1353" s="115"/>
      <c r="D1353" s="115"/>
      <c r="E1353" s="115"/>
      <c r="F1353" s="115"/>
    </row>
    <row r="1354" spans="1:6" x14ac:dyDescent="0.2">
      <c r="A1354" s="115"/>
      <c r="B1354" s="79"/>
      <c r="C1354" s="115"/>
      <c r="D1354" s="115"/>
      <c r="E1354" s="115"/>
      <c r="F1354" s="115"/>
    </row>
    <row r="1355" spans="1:6" x14ac:dyDescent="0.2">
      <c r="A1355" s="115"/>
      <c r="B1355" s="79"/>
      <c r="C1355" s="115"/>
      <c r="D1355" s="115"/>
      <c r="E1355" s="115"/>
      <c r="F1355" s="115"/>
    </row>
    <row r="1356" spans="1:6" x14ac:dyDescent="0.2">
      <c r="A1356" s="115"/>
      <c r="B1356" s="79"/>
      <c r="C1356" s="115"/>
      <c r="D1356" s="115"/>
      <c r="E1356" s="115"/>
      <c r="F1356" s="115"/>
    </row>
    <row r="1357" spans="1:6" x14ac:dyDescent="0.2">
      <c r="A1357" s="115"/>
      <c r="B1357" s="79"/>
      <c r="C1357" s="115"/>
      <c r="D1357" s="115"/>
      <c r="E1357" s="115"/>
      <c r="F1357" s="115"/>
    </row>
    <row r="1358" spans="1:6" x14ac:dyDescent="0.2">
      <c r="A1358" s="115"/>
      <c r="B1358" s="79"/>
      <c r="C1358" s="115"/>
      <c r="D1358" s="115"/>
      <c r="E1358" s="115"/>
      <c r="F1358" s="115"/>
    </row>
    <row r="1359" spans="1:6" x14ac:dyDescent="0.2">
      <c r="A1359" s="115"/>
      <c r="B1359" s="79"/>
      <c r="C1359" s="115"/>
      <c r="D1359" s="115"/>
      <c r="E1359" s="115"/>
      <c r="F1359" s="115"/>
    </row>
    <row r="1360" spans="1:6" x14ac:dyDescent="0.2">
      <c r="A1360" s="115"/>
      <c r="B1360" s="79"/>
      <c r="C1360" s="115"/>
      <c r="D1360" s="115"/>
      <c r="E1360" s="115"/>
      <c r="F1360" s="115"/>
    </row>
    <row r="1361" spans="1:6" x14ac:dyDescent="0.2">
      <c r="A1361" s="115"/>
      <c r="B1361" s="79"/>
      <c r="C1361" s="115"/>
      <c r="D1361" s="115"/>
      <c r="E1361" s="115"/>
      <c r="F1361" s="115"/>
    </row>
    <row r="1362" spans="1:6" x14ac:dyDescent="0.2">
      <c r="A1362" s="115"/>
      <c r="B1362" s="79"/>
      <c r="C1362" s="115"/>
      <c r="D1362" s="115"/>
      <c r="E1362" s="115"/>
      <c r="F1362" s="115"/>
    </row>
    <row r="1363" spans="1:6" x14ac:dyDescent="0.2">
      <c r="A1363" s="115"/>
      <c r="B1363" s="79"/>
      <c r="C1363" s="115"/>
      <c r="D1363" s="115"/>
      <c r="E1363" s="115"/>
      <c r="F1363" s="115"/>
    </row>
    <row r="1364" spans="1:6" x14ac:dyDescent="0.2">
      <c r="A1364" s="115"/>
      <c r="B1364" s="79"/>
      <c r="C1364" s="115"/>
      <c r="D1364" s="115"/>
      <c r="E1364" s="115"/>
      <c r="F1364" s="115"/>
    </row>
    <row r="1365" spans="1:6" x14ac:dyDescent="0.2">
      <c r="A1365" s="115"/>
      <c r="B1365" s="79"/>
      <c r="C1365" s="115"/>
      <c r="D1365" s="115"/>
      <c r="E1365" s="115"/>
      <c r="F1365" s="115"/>
    </row>
    <row r="1366" spans="1:6" x14ac:dyDescent="0.2">
      <c r="A1366" s="115"/>
      <c r="B1366" s="79"/>
      <c r="C1366" s="115"/>
      <c r="D1366" s="115"/>
      <c r="E1366" s="115"/>
      <c r="F1366" s="115"/>
    </row>
    <row r="1367" spans="1:6" x14ac:dyDescent="0.2">
      <c r="A1367" s="115"/>
      <c r="B1367" s="79"/>
      <c r="C1367" s="115"/>
      <c r="D1367" s="115"/>
      <c r="E1367" s="115"/>
      <c r="F1367" s="115"/>
    </row>
    <row r="1368" spans="1:6" x14ac:dyDescent="0.2">
      <c r="A1368" s="115"/>
      <c r="B1368" s="79"/>
      <c r="C1368" s="115"/>
      <c r="D1368" s="115"/>
      <c r="E1368" s="115"/>
      <c r="F1368" s="115"/>
    </row>
    <row r="1369" spans="1:6" x14ac:dyDescent="0.2">
      <c r="A1369" s="115"/>
      <c r="B1369" s="79"/>
      <c r="C1369" s="115"/>
      <c r="D1369" s="115"/>
      <c r="E1369" s="115"/>
      <c r="F1369" s="115"/>
    </row>
    <row r="1370" spans="1:6" x14ac:dyDescent="0.2">
      <c r="A1370" s="115"/>
      <c r="B1370" s="79"/>
      <c r="C1370" s="115"/>
      <c r="D1370" s="115"/>
      <c r="E1370" s="115"/>
      <c r="F1370" s="115"/>
    </row>
    <row r="1371" spans="1:6" x14ac:dyDescent="0.2">
      <c r="A1371" s="115"/>
      <c r="B1371" s="79"/>
      <c r="C1371" s="115"/>
      <c r="D1371" s="115"/>
      <c r="E1371" s="115"/>
      <c r="F1371" s="115"/>
    </row>
    <row r="1372" spans="1:6" x14ac:dyDescent="0.2">
      <c r="A1372" s="115"/>
      <c r="B1372" s="79"/>
      <c r="C1372" s="115"/>
      <c r="D1372" s="115"/>
      <c r="E1372" s="115"/>
      <c r="F1372" s="115"/>
    </row>
    <row r="1373" spans="1:6" x14ac:dyDescent="0.2">
      <c r="A1373" s="115"/>
      <c r="B1373" s="79"/>
      <c r="C1373" s="115"/>
      <c r="D1373" s="115"/>
      <c r="E1373" s="115"/>
      <c r="F1373" s="115"/>
    </row>
    <row r="1374" spans="1:6" x14ac:dyDescent="0.2">
      <c r="A1374" s="115"/>
      <c r="B1374" s="79"/>
      <c r="C1374" s="115"/>
      <c r="D1374" s="115"/>
      <c r="E1374" s="115"/>
      <c r="F1374" s="115"/>
    </row>
    <row r="1375" spans="1:6" x14ac:dyDescent="0.2">
      <c r="A1375" s="115"/>
      <c r="B1375" s="79"/>
      <c r="C1375" s="115"/>
      <c r="D1375" s="115"/>
      <c r="E1375" s="115"/>
      <c r="F1375" s="115"/>
    </row>
    <row r="1376" spans="1:6" x14ac:dyDescent="0.2">
      <c r="A1376" s="115"/>
      <c r="B1376" s="79"/>
      <c r="C1376" s="115"/>
      <c r="D1376" s="115"/>
      <c r="E1376" s="115"/>
      <c r="F1376" s="115"/>
    </row>
    <row r="1377" spans="1:6" x14ac:dyDescent="0.2">
      <c r="A1377" s="115"/>
      <c r="B1377" s="79"/>
      <c r="C1377" s="115"/>
      <c r="D1377" s="115"/>
      <c r="E1377" s="115"/>
      <c r="F1377" s="115"/>
    </row>
    <row r="1378" spans="1:6" x14ac:dyDescent="0.2">
      <c r="A1378" s="115"/>
      <c r="B1378" s="79"/>
      <c r="C1378" s="115"/>
      <c r="D1378" s="115"/>
      <c r="E1378" s="115"/>
      <c r="F1378" s="115"/>
    </row>
    <row r="1379" spans="1:6" x14ac:dyDescent="0.2">
      <c r="A1379" s="115"/>
      <c r="B1379" s="79"/>
      <c r="C1379" s="115"/>
      <c r="D1379" s="115"/>
      <c r="E1379" s="115"/>
      <c r="F1379" s="115"/>
    </row>
    <row r="1380" spans="1:6" x14ac:dyDescent="0.2">
      <c r="A1380" s="115"/>
      <c r="B1380" s="79"/>
      <c r="C1380" s="115"/>
      <c r="D1380" s="115"/>
      <c r="E1380" s="115"/>
      <c r="F1380" s="115"/>
    </row>
    <row r="1381" spans="1:6" x14ac:dyDescent="0.2">
      <c r="A1381" s="115"/>
      <c r="B1381" s="79"/>
      <c r="C1381" s="115"/>
      <c r="D1381" s="115"/>
      <c r="E1381" s="115"/>
      <c r="F1381" s="115"/>
    </row>
    <row r="1382" spans="1:6" x14ac:dyDescent="0.2">
      <c r="A1382" s="115"/>
      <c r="B1382" s="79"/>
      <c r="C1382" s="115"/>
      <c r="D1382" s="115"/>
      <c r="E1382" s="115"/>
      <c r="F1382" s="115"/>
    </row>
    <row r="1383" spans="1:6" x14ac:dyDescent="0.2">
      <c r="A1383" s="115"/>
      <c r="B1383" s="79"/>
      <c r="C1383" s="115"/>
      <c r="D1383" s="115"/>
      <c r="E1383" s="115"/>
      <c r="F1383" s="115"/>
    </row>
    <row r="1384" spans="1:6" x14ac:dyDescent="0.2">
      <c r="A1384" s="115"/>
      <c r="B1384" s="79"/>
      <c r="C1384" s="115"/>
      <c r="D1384" s="115"/>
      <c r="E1384" s="115"/>
      <c r="F1384" s="115"/>
    </row>
    <row r="1385" spans="1:6" x14ac:dyDescent="0.2">
      <c r="A1385" s="115"/>
      <c r="B1385" s="79"/>
      <c r="C1385" s="115"/>
      <c r="D1385" s="115"/>
      <c r="E1385" s="115"/>
      <c r="F1385" s="115"/>
    </row>
    <row r="1386" spans="1:6" x14ac:dyDescent="0.2">
      <c r="A1386" s="115"/>
      <c r="B1386" s="79"/>
      <c r="C1386" s="115"/>
      <c r="D1386" s="115"/>
      <c r="E1386" s="115"/>
      <c r="F1386" s="115"/>
    </row>
    <row r="1387" spans="1:6" x14ac:dyDescent="0.2">
      <c r="A1387" s="115"/>
      <c r="B1387" s="79"/>
      <c r="C1387" s="115"/>
      <c r="D1387" s="115"/>
      <c r="E1387" s="115"/>
      <c r="F1387" s="115"/>
    </row>
    <row r="1388" spans="1:6" x14ac:dyDescent="0.2">
      <c r="A1388" s="115"/>
      <c r="B1388" s="79"/>
      <c r="C1388" s="115"/>
      <c r="D1388" s="115"/>
      <c r="E1388" s="115"/>
      <c r="F1388" s="115"/>
    </row>
    <row r="1389" spans="1:6" x14ac:dyDescent="0.2">
      <c r="A1389" s="115"/>
      <c r="B1389" s="79"/>
      <c r="C1389" s="115"/>
      <c r="D1389" s="115"/>
      <c r="E1389" s="115"/>
      <c r="F1389" s="115"/>
    </row>
    <row r="1390" spans="1:6" x14ac:dyDescent="0.2">
      <c r="A1390" s="115"/>
      <c r="B1390" s="79"/>
      <c r="C1390" s="115"/>
      <c r="D1390" s="115"/>
      <c r="E1390" s="115"/>
      <c r="F1390" s="115"/>
    </row>
    <row r="1391" spans="1:6" x14ac:dyDescent="0.2">
      <c r="A1391" s="115"/>
      <c r="B1391" s="79"/>
      <c r="C1391" s="115"/>
      <c r="D1391" s="115"/>
      <c r="E1391" s="115"/>
      <c r="F1391" s="115"/>
    </row>
    <row r="1392" spans="1:6" x14ac:dyDescent="0.2">
      <c r="A1392" s="115"/>
      <c r="B1392" s="79"/>
      <c r="C1392" s="115"/>
      <c r="D1392" s="115"/>
      <c r="E1392" s="115"/>
      <c r="F1392" s="115"/>
    </row>
    <row r="1393" spans="1:6" x14ac:dyDescent="0.2">
      <c r="A1393" s="115"/>
      <c r="B1393" s="79"/>
      <c r="C1393" s="115"/>
      <c r="D1393" s="115"/>
      <c r="E1393" s="115"/>
      <c r="F1393" s="115"/>
    </row>
    <row r="1394" spans="1:6" x14ac:dyDescent="0.2">
      <c r="A1394" s="115"/>
      <c r="B1394" s="79"/>
      <c r="C1394" s="115"/>
      <c r="D1394" s="115"/>
      <c r="E1394" s="115"/>
      <c r="F1394" s="115"/>
    </row>
    <row r="1395" spans="1:6" x14ac:dyDescent="0.2">
      <c r="A1395" s="115"/>
      <c r="B1395" s="79"/>
      <c r="C1395" s="115"/>
      <c r="D1395" s="115"/>
      <c r="E1395" s="115"/>
      <c r="F1395" s="115"/>
    </row>
    <row r="1396" spans="1:6" x14ac:dyDescent="0.2">
      <c r="A1396" s="115"/>
      <c r="B1396" s="79"/>
      <c r="C1396" s="115"/>
      <c r="D1396" s="115"/>
      <c r="E1396" s="115"/>
      <c r="F1396" s="115"/>
    </row>
    <row r="1397" spans="1:6" x14ac:dyDescent="0.2">
      <c r="A1397" s="115"/>
      <c r="B1397" s="79"/>
      <c r="C1397" s="115"/>
      <c r="D1397" s="115"/>
      <c r="E1397" s="115"/>
      <c r="F1397" s="115"/>
    </row>
    <row r="1398" spans="1:6" x14ac:dyDescent="0.2">
      <c r="A1398" s="115"/>
      <c r="B1398" s="79"/>
      <c r="C1398" s="115"/>
      <c r="D1398" s="115"/>
      <c r="E1398" s="115"/>
      <c r="F1398" s="115"/>
    </row>
    <row r="1399" spans="1:6" x14ac:dyDescent="0.2">
      <c r="A1399" s="115"/>
      <c r="B1399" s="79"/>
      <c r="C1399" s="115"/>
      <c r="D1399" s="115"/>
      <c r="E1399" s="115"/>
      <c r="F1399" s="115"/>
    </row>
    <row r="1400" spans="1:6" x14ac:dyDescent="0.2">
      <c r="A1400" s="115"/>
      <c r="B1400" s="79"/>
      <c r="C1400" s="115"/>
      <c r="D1400" s="115"/>
      <c r="E1400" s="115"/>
      <c r="F1400" s="115"/>
    </row>
    <row r="1401" spans="1:6" x14ac:dyDescent="0.2">
      <c r="A1401" s="115"/>
      <c r="B1401" s="79"/>
      <c r="C1401" s="115"/>
      <c r="D1401" s="115"/>
      <c r="E1401" s="115"/>
      <c r="F1401" s="115"/>
    </row>
    <row r="1402" spans="1:6" x14ac:dyDescent="0.2">
      <c r="A1402" s="115"/>
      <c r="B1402" s="79"/>
      <c r="C1402" s="115"/>
      <c r="D1402" s="115"/>
      <c r="E1402" s="115"/>
      <c r="F1402" s="115"/>
    </row>
    <row r="1403" spans="1:6" x14ac:dyDescent="0.2">
      <c r="A1403" s="115"/>
      <c r="B1403" s="79"/>
      <c r="C1403" s="115"/>
      <c r="D1403" s="115"/>
      <c r="E1403" s="115"/>
      <c r="F1403" s="115"/>
    </row>
    <row r="1404" spans="1:6" x14ac:dyDescent="0.2">
      <c r="A1404" s="115"/>
      <c r="B1404" s="79"/>
      <c r="C1404" s="115"/>
      <c r="D1404" s="115"/>
      <c r="E1404" s="115"/>
      <c r="F1404" s="115"/>
    </row>
    <row r="1405" spans="1:6" x14ac:dyDescent="0.2">
      <c r="A1405" s="115"/>
      <c r="B1405" s="79"/>
      <c r="C1405" s="115"/>
      <c r="D1405" s="115"/>
      <c r="E1405" s="115"/>
      <c r="F1405" s="115"/>
    </row>
    <row r="1406" spans="1:6" x14ac:dyDescent="0.2">
      <c r="A1406" s="115"/>
      <c r="B1406" s="79"/>
      <c r="C1406" s="115"/>
      <c r="D1406" s="115"/>
      <c r="E1406" s="115"/>
      <c r="F1406" s="115"/>
    </row>
    <row r="1407" spans="1:6" x14ac:dyDescent="0.2">
      <c r="A1407" s="115"/>
      <c r="B1407" s="79"/>
      <c r="C1407" s="115"/>
      <c r="D1407" s="115"/>
      <c r="E1407" s="115"/>
      <c r="F1407" s="115"/>
    </row>
    <row r="1408" spans="1:6" x14ac:dyDescent="0.2">
      <c r="A1408" s="115"/>
      <c r="B1408" s="79"/>
      <c r="C1408" s="115"/>
      <c r="D1408" s="115"/>
      <c r="E1408" s="115"/>
      <c r="F1408" s="115"/>
    </row>
    <row r="1409" spans="1:6" x14ac:dyDescent="0.2">
      <c r="A1409" s="115"/>
      <c r="B1409" s="79"/>
      <c r="C1409" s="115"/>
      <c r="D1409" s="115"/>
      <c r="E1409" s="115"/>
      <c r="F1409" s="115"/>
    </row>
    <row r="1410" spans="1:6" x14ac:dyDescent="0.2">
      <c r="A1410" s="115"/>
      <c r="B1410" s="79"/>
      <c r="C1410" s="115"/>
      <c r="D1410" s="115"/>
      <c r="E1410" s="115"/>
      <c r="F1410" s="115"/>
    </row>
    <row r="1411" spans="1:6" x14ac:dyDescent="0.2">
      <c r="A1411" s="115"/>
      <c r="B1411" s="79"/>
      <c r="C1411" s="115"/>
      <c r="D1411" s="115"/>
      <c r="E1411" s="115"/>
      <c r="F1411" s="115"/>
    </row>
    <row r="1412" spans="1:6" x14ac:dyDescent="0.2">
      <c r="A1412" s="115"/>
      <c r="B1412" s="79"/>
      <c r="C1412" s="115"/>
      <c r="D1412" s="115"/>
      <c r="E1412" s="115"/>
      <c r="F1412" s="115"/>
    </row>
    <row r="1413" spans="1:6" x14ac:dyDescent="0.2">
      <c r="A1413" s="115"/>
      <c r="B1413" s="79"/>
      <c r="C1413" s="115"/>
      <c r="D1413" s="115"/>
      <c r="E1413" s="115"/>
      <c r="F1413" s="115"/>
    </row>
    <row r="1414" spans="1:6" x14ac:dyDescent="0.2">
      <c r="A1414" s="115"/>
      <c r="B1414" s="79"/>
      <c r="C1414" s="115"/>
      <c r="D1414" s="115"/>
      <c r="E1414" s="115"/>
      <c r="F1414" s="115"/>
    </row>
    <row r="1415" spans="1:6" x14ac:dyDescent="0.2">
      <c r="A1415" s="115"/>
      <c r="B1415" s="79"/>
      <c r="C1415" s="115"/>
      <c r="D1415" s="115"/>
      <c r="E1415" s="115"/>
      <c r="F1415" s="115"/>
    </row>
    <row r="1416" spans="1:6" x14ac:dyDescent="0.2">
      <c r="A1416" s="115"/>
      <c r="B1416" s="79"/>
      <c r="C1416" s="115"/>
      <c r="D1416" s="115"/>
      <c r="E1416" s="115"/>
      <c r="F1416" s="115"/>
    </row>
    <row r="1417" spans="1:6" x14ac:dyDescent="0.2">
      <c r="A1417" s="115"/>
      <c r="B1417" s="79"/>
      <c r="C1417" s="115"/>
      <c r="D1417" s="115"/>
      <c r="E1417" s="115"/>
      <c r="F1417" s="115"/>
    </row>
    <row r="1418" spans="1:6" x14ac:dyDescent="0.2">
      <c r="A1418" s="115"/>
      <c r="B1418" s="79"/>
      <c r="C1418" s="115"/>
      <c r="D1418" s="115"/>
      <c r="E1418" s="115"/>
      <c r="F1418" s="115"/>
    </row>
    <row r="1419" spans="1:6" x14ac:dyDescent="0.2">
      <c r="A1419" s="115"/>
      <c r="B1419" s="79"/>
      <c r="C1419" s="115"/>
      <c r="D1419" s="115"/>
      <c r="E1419" s="115"/>
      <c r="F1419" s="115"/>
    </row>
    <row r="1420" spans="1:6" x14ac:dyDescent="0.2">
      <c r="A1420" s="115"/>
      <c r="B1420" s="79"/>
      <c r="C1420" s="115"/>
      <c r="D1420" s="115"/>
      <c r="E1420" s="115"/>
      <c r="F1420" s="115"/>
    </row>
    <row r="1421" spans="1:6" x14ac:dyDescent="0.2">
      <c r="A1421" s="115"/>
      <c r="B1421" s="79"/>
      <c r="C1421" s="115"/>
      <c r="D1421" s="115"/>
      <c r="E1421" s="115"/>
      <c r="F1421" s="115"/>
    </row>
    <row r="1422" spans="1:6" x14ac:dyDescent="0.2">
      <c r="A1422" s="115"/>
      <c r="B1422" s="79"/>
      <c r="C1422" s="115"/>
      <c r="D1422" s="115"/>
      <c r="E1422" s="115"/>
      <c r="F1422" s="115"/>
    </row>
    <row r="1423" spans="1:6" x14ac:dyDescent="0.2">
      <c r="A1423" s="115"/>
      <c r="B1423" s="79"/>
      <c r="C1423" s="115"/>
      <c r="D1423" s="115"/>
      <c r="E1423" s="115"/>
      <c r="F1423" s="115"/>
    </row>
    <row r="1424" spans="1:6" x14ac:dyDescent="0.2">
      <c r="A1424" s="115"/>
      <c r="B1424" s="79"/>
      <c r="C1424" s="115"/>
      <c r="D1424" s="115"/>
      <c r="E1424" s="115"/>
      <c r="F1424" s="115"/>
    </row>
    <row r="1425" spans="1:6" x14ac:dyDescent="0.2">
      <c r="A1425" s="115"/>
      <c r="B1425" s="79"/>
      <c r="C1425" s="115"/>
      <c r="D1425" s="115"/>
      <c r="E1425" s="115"/>
      <c r="F1425" s="115"/>
    </row>
    <row r="1426" spans="1:6" x14ac:dyDescent="0.2">
      <c r="A1426" s="115"/>
      <c r="B1426" s="79"/>
      <c r="C1426" s="115"/>
      <c r="D1426" s="115"/>
      <c r="E1426" s="115"/>
      <c r="F1426" s="115"/>
    </row>
    <row r="1427" spans="1:6" x14ac:dyDescent="0.2">
      <c r="A1427" s="115"/>
      <c r="B1427" s="79"/>
      <c r="C1427" s="115"/>
      <c r="D1427" s="115"/>
      <c r="E1427" s="115"/>
      <c r="F1427" s="115"/>
    </row>
    <row r="1428" spans="1:6" x14ac:dyDescent="0.2">
      <c r="A1428" s="115"/>
      <c r="B1428" s="79"/>
      <c r="C1428" s="115"/>
      <c r="D1428" s="115"/>
      <c r="E1428" s="115"/>
      <c r="F1428" s="115"/>
    </row>
    <row r="1429" spans="1:6" x14ac:dyDescent="0.2">
      <c r="A1429" s="115"/>
      <c r="B1429" s="79"/>
      <c r="C1429" s="115"/>
      <c r="D1429" s="115"/>
      <c r="E1429" s="115"/>
      <c r="F1429" s="115"/>
    </row>
    <row r="1430" spans="1:6" x14ac:dyDescent="0.2">
      <c r="A1430" s="115"/>
      <c r="B1430" s="79"/>
      <c r="C1430" s="115"/>
      <c r="D1430" s="115"/>
      <c r="E1430" s="115"/>
      <c r="F1430" s="115"/>
    </row>
    <row r="1431" spans="1:6" x14ac:dyDescent="0.2">
      <c r="A1431" s="115"/>
      <c r="B1431" s="79"/>
      <c r="C1431" s="115"/>
      <c r="D1431" s="115"/>
      <c r="E1431" s="115"/>
      <c r="F1431" s="115"/>
    </row>
    <row r="1432" spans="1:6" x14ac:dyDescent="0.2">
      <c r="A1432" s="115"/>
      <c r="B1432" s="79"/>
      <c r="C1432" s="115"/>
      <c r="D1432" s="115"/>
      <c r="E1432" s="115"/>
      <c r="F1432" s="115"/>
    </row>
    <row r="1433" spans="1:6" x14ac:dyDescent="0.2">
      <c r="A1433" s="115"/>
      <c r="B1433" s="79"/>
      <c r="C1433" s="115"/>
      <c r="D1433" s="115"/>
      <c r="E1433" s="115"/>
      <c r="F1433" s="115"/>
    </row>
    <row r="1434" spans="1:6" x14ac:dyDescent="0.2">
      <c r="A1434" s="115"/>
      <c r="B1434" s="79"/>
      <c r="C1434" s="115"/>
      <c r="D1434" s="115"/>
      <c r="E1434" s="115"/>
      <c r="F1434" s="115"/>
    </row>
    <row r="1435" spans="1:6" x14ac:dyDescent="0.2">
      <c r="A1435" s="115"/>
      <c r="B1435" s="79"/>
      <c r="C1435" s="115"/>
      <c r="D1435" s="115"/>
      <c r="E1435" s="115"/>
      <c r="F1435" s="115"/>
    </row>
    <row r="1436" spans="1:6" x14ac:dyDescent="0.2">
      <c r="A1436" s="115"/>
      <c r="B1436" s="79"/>
      <c r="C1436" s="115"/>
      <c r="D1436" s="115"/>
      <c r="E1436" s="115"/>
      <c r="F1436" s="115"/>
    </row>
    <row r="1437" spans="1:6" x14ac:dyDescent="0.2">
      <c r="A1437" s="115"/>
      <c r="B1437" s="79"/>
      <c r="C1437" s="115"/>
      <c r="D1437" s="115"/>
      <c r="E1437" s="115"/>
      <c r="F1437" s="115"/>
    </row>
    <row r="1438" spans="1:6" x14ac:dyDescent="0.2">
      <c r="A1438" s="115"/>
      <c r="B1438" s="79"/>
      <c r="C1438" s="115"/>
      <c r="D1438" s="115"/>
      <c r="E1438" s="115"/>
      <c r="F1438" s="115"/>
    </row>
    <row r="1439" spans="1:6" x14ac:dyDescent="0.2">
      <c r="A1439" s="115"/>
      <c r="B1439" s="79"/>
      <c r="C1439" s="115"/>
      <c r="D1439" s="115"/>
      <c r="E1439" s="115"/>
      <c r="F1439" s="115"/>
    </row>
    <row r="1440" spans="1:6" x14ac:dyDescent="0.2">
      <c r="A1440" s="115"/>
      <c r="B1440" s="79"/>
      <c r="C1440" s="115"/>
      <c r="D1440" s="115"/>
      <c r="E1440" s="115"/>
      <c r="F1440" s="115"/>
    </row>
    <row r="1441" spans="1:6" x14ac:dyDescent="0.2">
      <c r="A1441" s="115"/>
      <c r="B1441" s="79"/>
      <c r="C1441" s="115"/>
      <c r="D1441" s="115"/>
      <c r="E1441" s="115"/>
      <c r="F1441" s="115"/>
    </row>
    <row r="1442" spans="1:6" x14ac:dyDescent="0.2">
      <c r="A1442" s="115"/>
      <c r="B1442" s="79"/>
      <c r="C1442" s="115"/>
      <c r="D1442" s="115"/>
      <c r="E1442" s="115"/>
      <c r="F1442" s="115"/>
    </row>
    <row r="1443" spans="1:6" x14ac:dyDescent="0.2">
      <c r="A1443" s="115"/>
      <c r="B1443" s="79"/>
      <c r="C1443" s="115"/>
      <c r="D1443" s="115"/>
      <c r="E1443" s="115"/>
      <c r="F1443" s="115"/>
    </row>
    <row r="1444" spans="1:6" x14ac:dyDescent="0.2">
      <c r="A1444" s="115"/>
      <c r="B1444" s="79"/>
      <c r="C1444" s="115"/>
      <c r="D1444" s="115"/>
      <c r="E1444" s="115"/>
      <c r="F1444" s="115"/>
    </row>
    <row r="1445" spans="1:6" x14ac:dyDescent="0.2">
      <c r="A1445" s="115"/>
      <c r="B1445" s="79"/>
      <c r="C1445" s="115"/>
      <c r="D1445" s="115"/>
      <c r="E1445" s="115"/>
      <c r="F1445" s="115"/>
    </row>
    <row r="1446" spans="1:6" x14ac:dyDescent="0.2">
      <c r="A1446" s="115"/>
      <c r="B1446" s="79"/>
      <c r="C1446" s="115"/>
      <c r="D1446" s="115"/>
      <c r="E1446" s="115"/>
      <c r="F1446" s="115"/>
    </row>
    <row r="1447" spans="1:6" x14ac:dyDescent="0.2">
      <c r="A1447" s="115"/>
      <c r="B1447" s="79"/>
      <c r="C1447" s="115"/>
      <c r="D1447" s="115"/>
      <c r="E1447" s="115"/>
      <c r="F1447" s="115"/>
    </row>
    <row r="1448" spans="1:6" x14ac:dyDescent="0.2">
      <c r="A1448" s="115"/>
      <c r="B1448" s="79"/>
      <c r="C1448" s="115"/>
      <c r="D1448" s="115"/>
      <c r="E1448" s="115"/>
      <c r="F1448" s="115"/>
    </row>
    <row r="1449" spans="1:6" x14ac:dyDescent="0.2">
      <c r="A1449" s="115"/>
      <c r="B1449" s="79"/>
      <c r="C1449" s="115"/>
      <c r="D1449" s="115"/>
      <c r="E1449" s="115"/>
      <c r="F1449" s="115"/>
    </row>
    <row r="1450" spans="1:6" x14ac:dyDescent="0.2">
      <c r="A1450" s="115"/>
      <c r="B1450" s="79"/>
      <c r="C1450" s="115"/>
      <c r="D1450" s="115"/>
      <c r="E1450" s="115"/>
      <c r="F1450" s="115"/>
    </row>
    <row r="1451" spans="1:6" x14ac:dyDescent="0.2">
      <c r="A1451" s="115"/>
      <c r="B1451" s="79"/>
      <c r="C1451" s="115"/>
      <c r="D1451" s="115"/>
      <c r="E1451" s="115"/>
      <c r="F1451" s="115"/>
    </row>
    <row r="1452" spans="1:6" x14ac:dyDescent="0.2">
      <c r="A1452" s="115"/>
      <c r="B1452" s="79"/>
      <c r="C1452" s="115"/>
      <c r="D1452" s="115"/>
      <c r="E1452" s="115"/>
      <c r="F1452" s="115"/>
    </row>
    <row r="1453" spans="1:6" x14ac:dyDescent="0.2">
      <c r="A1453" s="115"/>
      <c r="B1453" s="79"/>
      <c r="C1453" s="115"/>
      <c r="D1453" s="115"/>
      <c r="E1453" s="115"/>
      <c r="F1453" s="115"/>
    </row>
    <row r="1454" spans="1:6" x14ac:dyDescent="0.2">
      <c r="A1454" s="115"/>
      <c r="B1454" s="79"/>
      <c r="C1454" s="115"/>
      <c r="D1454" s="115"/>
      <c r="E1454" s="115"/>
      <c r="F1454" s="115"/>
    </row>
    <row r="1455" spans="1:6" x14ac:dyDescent="0.2">
      <c r="A1455" s="115"/>
      <c r="B1455" s="79"/>
      <c r="C1455" s="115"/>
      <c r="D1455" s="115"/>
      <c r="E1455" s="115"/>
      <c r="F1455" s="115"/>
    </row>
    <row r="1456" spans="1:6" x14ac:dyDescent="0.2">
      <c r="A1456" s="115"/>
      <c r="B1456" s="79"/>
      <c r="C1456" s="115"/>
      <c r="D1456" s="115"/>
      <c r="E1456" s="115"/>
      <c r="F1456" s="115"/>
    </row>
    <row r="1457" spans="1:6" x14ac:dyDescent="0.2">
      <c r="A1457" s="115"/>
      <c r="B1457" s="79"/>
      <c r="C1457" s="115"/>
      <c r="D1457" s="115"/>
      <c r="E1457" s="115"/>
      <c r="F1457" s="115"/>
    </row>
    <row r="1458" spans="1:6" x14ac:dyDescent="0.2">
      <c r="A1458" s="115"/>
      <c r="B1458" s="79"/>
      <c r="C1458" s="115"/>
      <c r="D1458" s="115"/>
      <c r="E1458" s="115"/>
      <c r="F1458" s="115"/>
    </row>
    <row r="1459" spans="1:6" x14ac:dyDescent="0.2">
      <c r="A1459" s="115"/>
      <c r="B1459" s="79"/>
      <c r="C1459" s="115"/>
      <c r="D1459" s="115"/>
      <c r="E1459" s="115"/>
      <c r="F1459" s="115"/>
    </row>
    <row r="1460" spans="1:6" x14ac:dyDescent="0.2">
      <c r="A1460" s="115"/>
      <c r="B1460" s="79"/>
      <c r="C1460" s="115"/>
      <c r="D1460" s="115"/>
      <c r="E1460" s="115"/>
      <c r="F1460" s="115"/>
    </row>
    <row r="1461" spans="1:6" x14ac:dyDescent="0.2">
      <c r="A1461" s="115"/>
      <c r="B1461" s="79"/>
      <c r="C1461" s="115"/>
      <c r="D1461" s="115"/>
      <c r="E1461" s="115"/>
      <c r="F1461" s="115"/>
    </row>
    <row r="1462" spans="1:6" x14ac:dyDescent="0.2">
      <c r="A1462" s="115"/>
      <c r="B1462" s="79"/>
      <c r="C1462" s="115"/>
      <c r="D1462" s="115"/>
      <c r="E1462" s="115"/>
      <c r="F1462" s="115"/>
    </row>
    <row r="1463" spans="1:6" x14ac:dyDescent="0.2">
      <c r="A1463" s="115"/>
      <c r="B1463" s="79"/>
      <c r="C1463" s="115"/>
      <c r="D1463" s="115"/>
      <c r="E1463" s="115"/>
      <c r="F1463" s="115"/>
    </row>
    <row r="1464" spans="1:6" x14ac:dyDescent="0.2">
      <c r="A1464" s="115"/>
      <c r="B1464" s="79"/>
      <c r="C1464" s="115"/>
      <c r="D1464" s="115"/>
      <c r="E1464" s="115"/>
      <c r="F1464" s="115"/>
    </row>
    <row r="1465" spans="1:6" x14ac:dyDescent="0.2">
      <c r="A1465" s="115"/>
      <c r="B1465" s="79"/>
      <c r="C1465" s="115"/>
      <c r="D1465" s="115"/>
      <c r="E1465" s="115"/>
      <c r="F1465" s="115"/>
    </row>
    <row r="1466" spans="1:6" x14ac:dyDescent="0.2">
      <c r="A1466" s="115"/>
      <c r="B1466" s="79"/>
      <c r="C1466" s="115"/>
      <c r="D1466" s="115"/>
      <c r="E1466" s="115"/>
      <c r="F1466" s="115"/>
    </row>
    <row r="1467" spans="1:6" x14ac:dyDescent="0.2">
      <c r="A1467" s="115"/>
      <c r="B1467" s="79"/>
      <c r="C1467" s="115"/>
      <c r="D1467" s="115"/>
      <c r="E1467" s="115"/>
      <c r="F1467" s="115"/>
    </row>
    <row r="1468" spans="1:6" x14ac:dyDescent="0.2">
      <c r="A1468" s="115"/>
      <c r="B1468" s="79"/>
      <c r="C1468" s="115"/>
      <c r="D1468" s="115"/>
      <c r="E1468" s="115"/>
      <c r="F1468" s="115"/>
    </row>
    <row r="1469" spans="1:6" x14ac:dyDescent="0.2">
      <c r="A1469" s="115"/>
      <c r="B1469" s="79"/>
      <c r="C1469" s="115"/>
      <c r="D1469" s="115"/>
      <c r="E1469" s="115"/>
      <c r="F1469" s="115"/>
    </row>
    <row r="1470" spans="1:6" x14ac:dyDescent="0.2">
      <c r="A1470" s="115"/>
      <c r="B1470" s="79"/>
      <c r="C1470" s="115"/>
      <c r="D1470" s="115"/>
      <c r="E1470" s="115"/>
      <c r="F1470" s="115"/>
    </row>
    <row r="1471" spans="1:6" x14ac:dyDescent="0.2">
      <c r="A1471" s="115"/>
      <c r="B1471" s="79"/>
      <c r="C1471" s="115"/>
      <c r="D1471" s="115"/>
      <c r="E1471" s="115"/>
      <c r="F1471" s="115"/>
    </row>
    <row r="1472" spans="1:6" x14ac:dyDescent="0.2">
      <c r="A1472" s="115"/>
      <c r="B1472" s="79"/>
      <c r="C1472" s="115"/>
      <c r="D1472" s="115"/>
      <c r="E1472" s="115"/>
      <c r="F1472" s="115"/>
    </row>
    <row r="1473" spans="1:6" x14ac:dyDescent="0.2">
      <c r="A1473" s="115"/>
      <c r="B1473" s="79"/>
      <c r="C1473" s="115"/>
      <c r="D1473" s="115"/>
      <c r="E1473" s="115"/>
      <c r="F1473" s="115"/>
    </row>
    <row r="1474" spans="1:6" x14ac:dyDescent="0.2">
      <c r="A1474" s="115"/>
      <c r="B1474" s="79"/>
      <c r="C1474" s="115"/>
      <c r="D1474" s="115"/>
      <c r="E1474" s="115"/>
      <c r="F1474" s="115"/>
    </row>
    <row r="1475" spans="1:6" x14ac:dyDescent="0.2">
      <c r="A1475" s="115"/>
      <c r="B1475" s="79"/>
      <c r="C1475" s="115"/>
      <c r="D1475" s="115"/>
      <c r="E1475" s="115"/>
      <c r="F1475" s="115"/>
    </row>
    <row r="1476" spans="1:6" x14ac:dyDescent="0.2">
      <c r="A1476" s="115"/>
      <c r="B1476" s="79"/>
      <c r="C1476" s="115"/>
      <c r="D1476" s="115"/>
      <c r="E1476" s="115"/>
      <c r="F1476" s="115"/>
    </row>
    <row r="1477" spans="1:6" x14ac:dyDescent="0.2">
      <c r="A1477" s="115"/>
      <c r="B1477" s="79"/>
      <c r="C1477" s="115"/>
      <c r="D1477" s="115"/>
      <c r="E1477" s="115"/>
      <c r="F1477" s="115"/>
    </row>
    <row r="1478" spans="1:6" x14ac:dyDescent="0.2">
      <c r="A1478" s="115"/>
      <c r="B1478" s="79"/>
      <c r="C1478" s="115"/>
      <c r="D1478" s="115"/>
      <c r="E1478" s="115"/>
      <c r="F1478" s="115"/>
    </row>
    <row r="1479" spans="1:6" x14ac:dyDescent="0.2">
      <c r="A1479" s="115"/>
      <c r="B1479" s="79"/>
      <c r="C1479" s="115"/>
      <c r="D1479" s="115"/>
      <c r="E1479" s="115"/>
      <c r="F1479" s="115"/>
    </row>
    <row r="1480" spans="1:6" x14ac:dyDescent="0.2">
      <c r="A1480" s="115"/>
      <c r="B1480" s="79"/>
      <c r="C1480" s="115"/>
      <c r="D1480" s="115"/>
      <c r="E1480" s="115"/>
      <c r="F1480" s="115"/>
    </row>
    <row r="1481" spans="1:6" x14ac:dyDescent="0.2">
      <c r="A1481" s="115"/>
      <c r="B1481" s="79"/>
      <c r="C1481" s="115"/>
      <c r="D1481" s="115"/>
      <c r="E1481" s="115"/>
      <c r="F1481" s="115"/>
    </row>
    <row r="1482" spans="1:6" x14ac:dyDescent="0.2">
      <c r="A1482" s="115"/>
      <c r="B1482" s="79"/>
      <c r="C1482" s="115"/>
      <c r="D1482" s="115"/>
      <c r="E1482" s="115"/>
      <c r="F1482" s="115"/>
    </row>
    <row r="1483" spans="1:6" x14ac:dyDescent="0.2">
      <c r="A1483" s="115"/>
      <c r="B1483" s="79"/>
      <c r="C1483" s="115"/>
      <c r="D1483" s="115"/>
      <c r="E1483" s="115"/>
      <c r="F1483" s="115"/>
    </row>
    <row r="1484" spans="1:6" x14ac:dyDescent="0.2">
      <c r="A1484" s="115"/>
      <c r="B1484" s="79"/>
      <c r="C1484" s="115"/>
      <c r="D1484" s="115"/>
      <c r="E1484" s="115"/>
      <c r="F1484" s="115"/>
    </row>
    <row r="1485" spans="1:6" x14ac:dyDescent="0.2">
      <c r="A1485" s="115"/>
      <c r="B1485" s="79"/>
      <c r="C1485" s="115"/>
      <c r="D1485" s="115"/>
      <c r="E1485" s="115"/>
      <c r="F1485" s="115"/>
    </row>
    <row r="1486" spans="1:6" x14ac:dyDescent="0.2">
      <c r="A1486" s="115"/>
      <c r="B1486" s="79"/>
      <c r="C1486" s="115"/>
      <c r="D1486" s="115"/>
      <c r="E1486" s="115"/>
      <c r="F1486" s="115"/>
    </row>
    <row r="1487" spans="1:6" x14ac:dyDescent="0.2">
      <c r="A1487" s="115"/>
      <c r="B1487" s="79"/>
      <c r="C1487" s="115"/>
      <c r="D1487" s="115"/>
      <c r="E1487" s="115"/>
      <c r="F1487" s="115"/>
    </row>
    <row r="1488" spans="1:6" x14ac:dyDescent="0.2">
      <c r="A1488" s="115"/>
      <c r="B1488" s="79"/>
      <c r="C1488" s="115"/>
      <c r="D1488" s="115"/>
      <c r="E1488" s="115"/>
      <c r="F1488" s="115"/>
    </row>
    <row r="1489" spans="1:6" x14ac:dyDescent="0.2">
      <c r="A1489" s="115"/>
      <c r="B1489" s="79"/>
      <c r="C1489" s="115"/>
      <c r="D1489" s="115"/>
      <c r="E1489" s="115"/>
      <c r="F1489" s="115"/>
    </row>
    <row r="1490" spans="1:6" x14ac:dyDescent="0.2">
      <c r="A1490" s="115"/>
      <c r="B1490" s="79"/>
      <c r="C1490" s="115"/>
      <c r="D1490" s="115"/>
      <c r="E1490" s="115"/>
      <c r="F1490" s="115"/>
    </row>
    <row r="1491" spans="1:6" x14ac:dyDescent="0.2">
      <c r="A1491" s="115"/>
      <c r="B1491" s="79"/>
      <c r="C1491" s="115"/>
      <c r="D1491" s="115"/>
      <c r="E1491" s="115"/>
      <c r="F1491" s="115"/>
    </row>
    <row r="1492" spans="1:6" x14ac:dyDescent="0.2">
      <c r="A1492" s="115"/>
      <c r="B1492" s="79"/>
      <c r="C1492" s="115"/>
      <c r="D1492" s="115"/>
      <c r="E1492" s="115"/>
      <c r="F1492" s="115"/>
    </row>
    <row r="1493" spans="1:6" x14ac:dyDescent="0.2">
      <c r="A1493" s="115"/>
      <c r="B1493" s="79"/>
      <c r="C1493" s="115"/>
      <c r="D1493" s="115"/>
      <c r="E1493" s="115"/>
      <c r="F1493" s="115"/>
    </row>
    <row r="1494" spans="1:6" x14ac:dyDescent="0.2">
      <c r="A1494" s="115"/>
      <c r="B1494" s="79"/>
      <c r="C1494" s="115"/>
      <c r="D1494" s="115"/>
      <c r="E1494" s="115"/>
      <c r="F1494" s="115"/>
    </row>
    <row r="1495" spans="1:6" x14ac:dyDescent="0.2">
      <c r="A1495" s="115"/>
      <c r="B1495" s="79"/>
      <c r="C1495" s="115"/>
      <c r="D1495" s="115"/>
      <c r="E1495" s="115"/>
      <c r="F1495" s="115"/>
    </row>
    <row r="1496" spans="1:6" x14ac:dyDescent="0.2">
      <c r="A1496" s="115"/>
      <c r="B1496" s="79"/>
      <c r="C1496" s="115"/>
      <c r="D1496" s="115"/>
      <c r="E1496" s="115"/>
      <c r="F1496" s="115"/>
    </row>
    <row r="1497" spans="1:6" x14ac:dyDescent="0.2">
      <c r="A1497" s="115"/>
      <c r="B1497" s="79"/>
      <c r="C1497" s="115"/>
      <c r="D1497" s="115"/>
      <c r="E1497" s="115"/>
      <c r="F1497" s="115"/>
    </row>
    <row r="1498" spans="1:6" x14ac:dyDescent="0.2">
      <c r="A1498" s="115"/>
      <c r="B1498" s="79"/>
      <c r="C1498" s="115"/>
      <c r="D1498" s="115"/>
      <c r="E1498" s="115"/>
      <c r="F1498" s="115"/>
    </row>
    <row r="1499" spans="1:6" x14ac:dyDescent="0.2">
      <c r="A1499" s="115"/>
      <c r="B1499" s="79"/>
      <c r="C1499" s="115"/>
      <c r="D1499" s="115"/>
      <c r="E1499" s="115"/>
      <c r="F1499" s="115"/>
    </row>
    <row r="1500" spans="1:6" x14ac:dyDescent="0.2">
      <c r="A1500" s="115"/>
      <c r="B1500" s="79"/>
      <c r="C1500" s="115"/>
      <c r="D1500" s="115"/>
      <c r="E1500" s="115"/>
      <c r="F1500" s="115"/>
    </row>
    <row r="1501" spans="1:6" x14ac:dyDescent="0.2">
      <c r="A1501" s="115"/>
      <c r="B1501" s="79"/>
      <c r="C1501" s="115"/>
      <c r="D1501" s="115"/>
      <c r="E1501" s="115"/>
      <c r="F1501" s="115"/>
    </row>
    <row r="1502" spans="1:6" x14ac:dyDescent="0.2">
      <c r="A1502" s="115"/>
      <c r="B1502" s="79"/>
      <c r="C1502" s="115"/>
      <c r="D1502" s="115"/>
      <c r="E1502" s="115"/>
      <c r="F1502" s="115"/>
    </row>
    <row r="1503" spans="1:6" x14ac:dyDescent="0.2">
      <c r="A1503" s="115"/>
      <c r="B1503" s="79"/>
      <c r="C1503" s="115"/>
      <c r="D1503" s="115"/>
      <c r="E1503" s="115"/>
      <c r="F1503" s="115"/>
    </row>
    <row r="1504" spans="1:6" x14ac:dyDescent="0.2">
      <c r="A1504" s="115"/>
      <c r="B1504" s="79"/>
      <c r="C1504" s="115"/>
      <c r="D1504" s="115"/>
      <c r="E1504" s="115"/>
      <c r="F1504" s="115"/>
    </row>
    <row r="1505" spans="1:6" x14ac:dyDescent="0.2">
      <c r="A1505" s="115"/>
      <c r="B1505" s="79"/>
      <c r="C1505" s="115"/>
      <c r="D1505" s="115"/>
      <c r="E1505" s="115"/>
      <c r="F1505" s="115"/>
    </row>
    <row r="1506" spans="1:6" x14ac:dyDescent="0.2">
      <c r="A1506" s="115"/>
      <c r="B1506" s="79"/>
      <c r="C1506" s="115"/>
      <c r="D1506" s="115"/>
      <c r="E1506" s="115"/>
      <c r="F1506" s="115"/>
    </row>
    <row r="1507" spans="1:6" x14ac:dyDescent="0.2">
      <c r="A1507" s="115"/>
      <c r="B1507" s="79"/>
      <c r="C1507" s="115"/>
      <c r="D1507" s="115"/>
      <c r="E1507" s="115"/>
      <c r="F1507" s="115"/>
    </row>
    <row r="1508" spans="1:6" x14ac:dyDescent="0.2">
      <c r="A1508" s="115"/>
      <c r="B1508" s="79"/>
      <c r="C1508" s="115"/>
      <c r="D1508" s="115"/>
      <c r="E1508" s="115"/>
      <c r="F1508" s="115"/>
    </row>
    <row r="1509" spans="1:6" x14ac:dyDescent="0.2">
      <c r="A1509" s="115"/>
      <c r="B1509" s="79"/>
      <c r="C1509" s="115"/>
      <c r="D1509" s="115"/>
      <c r="E1509" s="115"/>
      <c r="F1509" s="115"/>
    </row>
    <row r="1510" spans="1:6" x14ac:dyDescent="0.2">
      <c r="A1510" s="115"/>
      <c r="B1510" s="79"/>
      <c r="C1510" s="115"/>
      <c r="D1510" s="115"/>
      <c r="E1510" s="115"/>
      <c r="F1510" s="115"/>
    </row>
    <row r="1511" spans="1:6" x14ac:dyDescent="0.2">
      <c r="A1511" s="115"/>
      <c r="B1511" s="79"/>
      <c r="C1511" s="115"/>
      <c r="D1511" s="115"/>
      <c r="E1511" s="115"/>
      <c r="F1511" s="115"/>
    </row>
    <row r="1512" spans="1:6" x14ac:dyDescent="0.2">
      <c r="A1512" s="115"/>
      <c r="B1512" s="79"/>
      <c r="C1512" s="115"/>
      <c r="D1512" s="115"/>
      <c r="E1512" s="115"/>
      <c r="F1512" s="115"/>
    </row>
    <row r="1513" spans="1:6" x14ac:dyDescent="0.2">
      <c r="A1513" s="115"/>
      <c r="B1513" s="79"/>
      <c r="C1513" s="115"/>
      <c r="D1513" s="115"/>
      <c r="E1513" s="115"/>
      <c r="F1513" s="115"/>
    </row>
    <row r="1514" spans="1:6" x14ac:dyDescent="0.2">
      <c r="A1514" s="115"/>
      <c r="B1514" s="79"/>
      <c r="C1514" s="115"/>
      <c r="D1514" s="115"/>
      <c r="E1514" s="115"/>
      <c r="F1514" s="115"/>
    </row>
    <row r="1515" spans="1:6" x14ac:dyDescent="0.2">
      <c r="A1515" s="115"/>
      <c r="B1515" s="79"/>
      <c r="C1515" s="115"/>
      <c r="D1515" s="115"/>
      <c r="E1515" s="115"/>
      <c r="F1515" s="115"/>
    </row>
    <row r="1516" spans="1:6" x14ac:dyDescent="0.2">
      <c r="A1516" s="115"/>
      <c r="B1516" s="79"/>
      <c r="C1516" s="115"/>
      <c r="D1516" s="115"/>
      <c r="E1516" s="115"/>
      <c r="F1516" s="115"/>
    </row>
    <row r="1517" spans="1:6" x14ac:dyDescent="0.2">
      <c r="A1517" s="115"/>
      <c r="B1517" s="79"/>
      <c r="C1517" s="115"/>
      <c r="D1517" s="115"/>
      <c r="E1517" s="115"/>
      <c r="F1517" s="115"/>
    </row>
    <row r="1518" spans="1:6" x14ac:dyDescent="0.2">
      <c r="A1518" s="115"/>
      <c r="B1518" s="79"/>
      <c r="C1518" s="115"/>
      <c r="D1518" s="115"/>
      <c r="E1518" s="115"/>
      <c r="F1518" s="115"/>
    </row>
    <row r="1519" spans="1:6" x14ac:dyDescent="0.2">
      <c r="A1519" s="115"/>
      <c r="B1519" s="79"/>
      <c r="C1519" s="115"/>
      <c r="D1519" s="115"/>
      <c r="E1519" s="115"/>
      <c r="F1519" s="115"/>
    </row>
    <row r="1520" spans="1:6" x14ac:dyDescent="0.2">
      <c r="A1520" s="115"/>
      <c r="B1520" s="79"/>
      <c r="C1520" s="115"/>
      <c r="D1520" s="115"/>
      <c r="E1520" s="115"/>
      <c r="F1520" s="115"/>
    </row>
    <row r="1521" spans="1:6" x14ac:dyDescent="0.2">
      <c r="A1521" s="115"/>
      <c r="B1521" s="79"/>
      <c r="C1521" s="115"/>
      <c r="D1521" s="115"/>
      <c r="E1521" s="115"/>
      <c r="F1521" s="115"/>
    </row>
    <row r="1522" spans="1:6" x14ac:dyDescent="0.2">
      <c r="A1522" s="115"/>
      <c r="B1522" s="79"/>
      <c r="C1522" s="115"/>
      <c r="D1522" s="115"/>
      <c r="E1522" s="115"/>
      <c r="F1522" s="115"/>
    </row>
    <row r="1523" spans="1:6" x14ac:dyDescent="0.2">
      <c r="A1523" s="115"/>
      <c r="B1523" s="79"/>
      <c r="C1523" s="115"/>
      <c r="D1523" s="115"/>
      <c r="E1523" s="115"/>
      <c r="F1523" s="115"/>
    </row>
    <row r="1524" spans="1:6" x14ac:dyDescent="0.2">
      <c r="A1524" s="115"/>
      <c r="B1524" s="79"/>
      <c r="C1524" s="115"/>
      <c r="D1524" s="115"/>
      <c r="E1524" s="115"/>
      <c r="F1524" s="115"/>
    </row>
    <row r="1525" spans="1:6" x14ac:dyDescent="0.2">
      <c r="A1525" s="115"/>
      <c r="B1525" s="79"/>
      <c r="C1525" s="115"/>
      <c r="D1525" s="115"/>
      <c r="E1525" s="115"/>
      <c r="F1525" s="115"/>
    </row>
    <row r="1526" spans="1:6" x14ac:dyDescent="0.2">
      <c r="A1526" s="115"/>
      <c r="B1526" s="79"/>
      <c r="C1526" s="115"/>
      <c r="D1526" s="115"/>
      <c r="E1526" s="115"/>
      <c r="F1526" s="115"/>
    </row>
    <row r="1527" spans="1:6" x14ac:dyDescent="0.2">
      <c r="A1527" s="115"/>
      <c r="B1527" s="79"/>
      <c r="C1527" s="115"/>
      <c r="D1527" s="115"/>
      <c r="E1527" s="115"/>
      <c r="F1527" s="115"/>
    </row>
    <row r="1528" spans="1:6" x14ac:dyDescent="0.2">
      <c r="A1528" s="115"/>
      <c r="B1528" s="79"/>
      <c r="C1528" s="115"/>
      <c r="D1528" s="115"/>
      <c r="E1528" s="115"/>
      <c r="F1528" s="115"/>
    </row>
    <row r="1529" spans="1:6" x14ac:dyDescent="0.2">
      <c r="A1529" s="115"/>
      <c r="B1529" s="79"/>
      <c r="C1529" s="115"/>
      <c r="D1529" s="115"/>
      <c r="E1529" s="115"/>
      <c r="F1529" s="115"/>
    </row>
    <row r="1530" spans="1:6" x14ac:dyDescent="0.2">
      <c r="A1530" s="115"/>
      <c r="B1530" s="79"/>
      <c r="C1530" s="115"/>
      <c r="D1530" s="115"/>
      <c r="E1530" s="115"/>
      <c r="F1530" s="115"/>
    </row>
    <row r="1531" spans="1:6" x14ac:dyDescent="0.2">
      <c r="A1531" s="115"/>
      <c r="B1531" s="79"/>
      <c r="C1531" s="115"/>
      <c r="D1531" s="115"/>
      <c r="E1531" s="115"/>
      <c r="F1531" s="115"/>
    </row>
    <row r="1532" spans="1:6" x14ac:dyDescent="0.2">
      <c r="A1532" s="115"/>
      <c r="B1532" s="79"/>
      <c r="C1532" s="115"/>
      <c r="D1532" s="115"/>
      <c r="E1532" s="115"/>
      <c r="F1532" s="115"/>
    </row>
    <row r="1533" spans="1:6" x14ac:dyDescent="0.2">
      <c r="A1533" s="115"/>
      <c r="B1533" s="79"/>
      <c r="C1533" s="115"/>
      <c r="D1533" s="115"/>
      <c r="E1533" s="115"/>
      <c r="F1533" s="115"/>
    </row>
    <row r="1534" spans="1:6" x14ac:dyDescent="0.2">
      <c r="A1534" s="115"/>
      <c r="B1534" s="79"/>
      <c r="C1534" s="115"/>
      <c r="D1534" s="115"/>
      <c r="E1534" s="115"/>
      <c r="F1534" s="115"/>
    </row>
    <row r="1535" spans="1:6" x14ac:dyDescent="0.2">
      <c r="A1535" s="115"/>
      <c r="B1535" s="79"/>
      <c r="C1535" s="115"/>
      <c r="D1535" s="115"/>
      <c r="E1535" s="115"/>
      <c r="F1535" s="115"/>
    </row>
    <row r="1536" spans="1:6" x14ac:dyDescent="0.2">
      <c r="A1536" s="115"/>
      <c r="B1536" s="79"/>
      <c r="C1536" s="115"/>
      <c r="D1536" s="115"/>
      <c r="E1536" s="115"/>
      <c r="F1536" s="115"/>
    </row>
    <row r="1537" spans="1:6" x14ac:dyDescent="0.2">
      <c r="A1537" s="115"/>
      <c r="B1537" s="79"/>
      <c r="C1537" s="115"/>
      <c r="D1537" s="115"/>
      <c r="E1537" s="115"/>
      <c r="F1537" s="115"/>
    </row>
    <row r="1538" spans="1:6" x14ac:dyDescent="0.2">
      <c r="A1538" s="115"/>
      <c r="B1538" s="79"/>
      <c r="C1538" s="115"/>
      <c r="D1538" s="115"/>
      <c r="E1538" s="115"/>
      <c r="F1538" s="115"/>
    </row>
    <row r="1539" spans="1:6" x14ac:dyDescent="0.2">
      <c r="A1539" s="115"/>
      <c r="B1539" s="79"/>
      <c r="C1539" s="115"/>
      <c r="D1539" s="115"/>
      <c r="E1539" s="115"/>
      <c r="F1539" s="115"/>
    </row>
    <row r="1540" spans="1:6" x14ac:dyDescent="0.2">
      <c r="A1540" s="115"/>
      <c r="B1540" s="79"/>
      <c r="C1540" s="115"/>
      <c r="D1540" s="115"/>
      <c r="E1540" s="115"/>
      <c r="F1540" s="115"/>
    </row>
    <row r="1541" spans="1:6" x14ac:dyDescent="0.2">
      <c r="A1541" s="115"/>
      <c r="B1541" s="79"/>
      <c r="C1541" s="115"/>
      <c r="D1541" s="115"/>
      <c r="E1541" s="115"/>
      <c r="F1541" s="115"/>
    </row>
    <row r="1542" spans="1:6" x14ac:dyDescent="0.2">
      <c r="A1542" s="115"/>
      <c r="B1542" s="79"/>
      <c r="C1542" s="115"/>
      <c r="D1542" s="115"/>
      <c r="E1542" s="115"/>
      <c r="F1542" s="115"/>
    </row>
    <row r="1543" spans="1:6" x14ac:dyDescent="0.2">
      <c r="A1543" s="115"/>
      <c r="B1543" s="79"/>
      <c r="C1543" s="115"/>
      <c r="D1543" s="115"/>
      <c r="E1543" s="115"/>
      <c r="F1543" s="115"/>
    </row>
    <row r="1544" spans="1:6" x14ac:dyDescent="0.2">
      <c r="A1544" s="115"/>
      <c r="B1544" s="79"/>
      <c r="C1544" s="115"/>
      <c r="D1544" s="115"/>
      <c r="E1544" s="115"/>
      <c r="F1544" s="115"/>
    </row>
    <row r="1545" spans="1:6" x14ac:dyDescent="0.2">
      <c r="A1545" s="115"/>
      <c r="B1545" s="79"/>
      <c r="C1545" s="115"/>
      <c r="D1545" s="115"/>
      <c r="E1545" s="115"/>
      <c r="F1545" s="115"/>
    </row>
    <row r="1546" spans="1:6" x14ac:dyDescent="0.2">
      <c r="A1546" s="115"/>
      <c r="B1546" s="79"/>
      <c r="C1546" s="115"/>
      <c r="D1546" s="115"/>
      <c r="E1546" s="115"/>
      <c r="F1546" s="115"/>
    </row>
    <row r="1547" spans="1:6" x14ac:dyDescent="0.2">
      <c r="A1547" s="115"/>
      <c r="B1547" s="79"/>
      <c r="C1547" s="115"/>
      <c r="D1547" s="115"/>
      <c r="E1547" s="115"/>
      <c r="F1547" s="115"/>
    </row>
    <row r="1548" spans="1:6" x14ac:dyDescent="0.2">
      <c r="A1548" s="115"/>
      <c r="B1548" s="79"/>
      <c r="C1548" s="115"/>
      <c r="D1548" s="115"/>
      <c r="E1548" s="115"/>
      <c r="F1548" s="115"/>
    </row>
    <row r="1549" spans="1:6" x14ac:dyDescent="0.2">
      <c r="A1549" s="115"/>
      <c r="B1549" s="79"/>
      <c r="C1549" s="115"/>
      <c r="D1549" s="115"/>
      <c r="E1549" s="115"/>
      <c r="F1549" s="115"/>
    </row>
    <row r="1550" spans="1:6" x14ac:dyDescent="0.2">
      <c r="A1550" s="115"/>
      <c r="B1550" s="79"/>
      <c r="C1550" s="115"/>
      <c r="D1550" s="115"/>
      <c r="E1550" s="115"/>
      <c r="F1550" s="115"/>
    </row>
    <row r="1551" spans="1:6" x14ac:dyDescent="0.2">
      <c r="A1551" s="115"/>
      <c r="B1551" s="79"/>
      <c r="C1551" s="115"/>
      <c r="D1551" s="115"/>
      <c r="E1551" s="115"/>
      <c r="F1551" s="115"/>
    </row>
    <row r="1552" spans="1:6" x14ac:dyDescent="0.2">
      <c r="A1552" s="115"/>
      <c r="B1552" s="79"/>
      <c r="C1552" s="115"/>
      <c r="D1552" s="115"/>
      <c r="E1552" s="115"/>
      <c r="F1552" s="115"/>
    </row>
    <row r="1553" spans="1:6" x14ac:dyDescent="0.2">
      <c r="A1553" s="115"/>
      <c r="B1553" s="79"/>
      <c r="C1553" s="115"/>
      <c r="D1553" s="115"/>
      <c r="E1553" s="115"/>
      <c r="F1553" s="115"/>
    </row>
    <row r="1554" spans="1:6" x14ac:dyDescent="0.2">
      <c r="A1554" s="115"/>
      <c r="B1554" s="79"/>
      <c r="C1554" s="115"/>
      <c r="D1554" s="115"/>
      <c r="E1554" s="115"/>
      <c r="F1554" s="115"/>
    </row>
    <row r="1555" spans="1:6" x14ac:dyDescent="0.2">
      <c r="A1555" s="115"/>
      <c r="B1555" s="79"/>
      <c r="C1555" s="115"/>
      <c r="D1555" s="115"/>
      <c r="E1555" s="115"/>
      <c r="F1555" s="115"/>
    </row>
    <row r="1556" spans="1:6" x14ac:dyDescent="0.2">
      <c r="A1556" s="115"/>
      <c r="B1556" s="79"/>
      <c r="C1556" s="115"/>
      <c r="D1556" s="115"/>
      <c r="E1556" s="115"/>
      <c r="F1556" s="115"/>
    </row>
    <row r="1557" spans="1:6" x14ac:dyDescent="0.2">
      <c r="A1557" s="115"/>
      <c r="B1557" s="79"/>
      <c r="C1557" s="115"/>
      <c r="D1557" s="115"/>
      <c r="E1557" s="115"/>
      <c r="F1557" s="115"/>
    </row>
    <row r="1558" spans="1:6" x14ac:dyDescent="0.2">
      <c r="A1558" s="115"/>
      <c r="B1558" s="79"/>
      <c r="C1558" s="115"/>
      <c r="D1558" s="115"/>
      <c r="E1558" s="115"/>
      <c r="F1558" s="115"/>
    </row>
    <row r="1559" spans="1:6" x14ac:dyDescent="0.2">
      <c r="A1559" s="115"/>
      <c r="B1559" s="79"/>
      <c r="C1559" s="115"/>
      <c r="D1559" s="115"/>
      <c r="E1559" s="115"/>
      <c r="F1559" s="115"/>
    </row>
    <row r="1560" spans="1:6" x14ac:dyDescent="0.2">
      <c r="A1560" s="115"/>
      <c r="B1560" s="79"/>
      <c r="C1560" s="115"/>
      <c r="D1560" s="115"/>
      <c r="E1560" s="115"/>
      <c r="F1560" s="115"/>
    </row>
    <row r="1561" spans="1:6" x14ac:dyDescent="0.2">
      <c r="A1561" s="115"/>
      <c r="B1561" s="79"/>
      <c r="C1561" s="115"/>
      <c r="D1561" s="115"/>
      <c r="E1561" s="115"/>
      <c r="F1561" s="115"/>
    </row>
    <row r="1562" spans="1:6" x14ac:dyDescent="0.2">
      <c r="A1562" s="115"/>
      <c r="B1562" s="79"/>
      <c r="C1562" s="115"/>
      <c r="D1562" s="115"/>
      <c r="E1562" s="115"/>
      <c r="F1562" s="115"/>
    </row>
    <row r="1563" spans="1:6" x14ac:dyDescent="0.2">
      <c r="A1563" s="115"/>
      <c r="B1563" s="79"/>
      <c r="C1563" s="115"/>
      <c r="D1563" s="115"/>
      <c r="E1563" s="115"/>
      <c r="F1563" s="115"/>
    </row>
    <row r="1564" spans="1:6" x14ac:dyDescent="0.2">
      <c r="A1564" s="115"/>
      <c r="B1564" s="79"/>
      <c r="C1564" s="115"/>
      <c r="D1564" s="115"/>
      <c r="E1564" s="115"/>
      <c r="F1564" s="115"/>
    </row>
    <row r="1565" spans="1:6" x14ac:dyDescent="0.2">
      <c r="A1565" s="115"/>
      <c r="B1565" s="79"/>
      <c r="C1565" s="115"/>
      <c r="D1565" s="115"/>
      <c r="E1565" s="115"/>
      <c r="F1565" s="115"/>
    </row>
    <row r="1566" spans="1:6" x14ac:dyDescent="0.2">
      <c r="A1566" s="115"/>
      <c r="B1566" s="79"/>
      <c r="C1566" s="115"/>
      <c r="D1566" s="115"/>
      <c r="E1566" s="115"/>
      <c r="F1566" s="115"/>
    </row>
    <row r="1567" spans="1:6" x14ac:dyDescent="0.2">
      <c r="A1567" s="115"/>
      <c r="B1567" s="79"/>
      <c r="C1567" s="115"/>
      <c r="D1567" s="115"/>
      <c r="E1567" s="115"/>
      <c r="F1567" s="115"/>
    </row>
    <row r="1568" spans="1:6" x14ac:dyDescent="0.2">
      <c r="A1568" s="115"/>
      <c r="B1568" s="79"/>
      <c r="C1568" s="115"/>
      <c r="D1568" s="115"/>
      <c r="E1568" s="115"/>
      <c r="F1568" s="115"/>
    </row>
    <row r="1569" spans="1:6" x14ac:dyDescent="0.2">
      <c r="A1569" s="115"/>
      <c r="B1569" s="79"/>
      <c r="C1569" s="115"/>
      <c r="D1569" s="115"/>
      <c r="E1569" s="115"/>
      <c r="F1569" s="115"/>
    </row>
    <row r="1570" spans="1:6" x14ac:dyDescent="0.2">
      <c r="A1570" s="115"/>
      <c r="B1570" s="79"/>
      <c r="C1570" s="115"/>
      <c r="D1570" s="115"/>
      <c r="E1570" s="115"/>
      <c r="F1570" s="115"/>
    </row>
    <row r="1571" spans="1:6" x14ac:dyDescent="0.2">
      <c r="A1571" s="115"/>
      <c r="B1571" s="79"/>
      <c r="C1571" s="115"/>
      <c r="D1571" s="115"/>
      <c r="E1571" s="115"/>
      <c r="F1571" s="115"/>
    </row>
    <row r="1572" spans="1:6" x14ac:dyDescent="0.2">
      <c r="A1572" s="115"/>
      <c r="B1572" s="79"/>
      <c r="C1572" s="115"/>
      <c r="D1572" s="115"/>
      <c r="E1572" s="115"/>
      <c r="F1572" s="115"/>
    </row>
    <row r="1573" spans="1:6" x14ac:dyDescent="0.2">
      <c r="A1573" s="115"/>
      <c r="B1573" s="79"/>
      <c r="C1573" s="115"/>
      <c r="D1573" s="115"/>
      <c r="E1573" s="115"/>
      <c r="F1573" s="115"/>
    </row>
    <row r="1574" spans="1:6" x14ac:dyDescent="0.2">
      <c r="A1574" s="115"/>
      <c r="B1574" s="79"/>
      <c r="C1574" s="115"/>
      <c r="D1574" s="115"/>
      <c r="E1574" s="115"/>
      <c r="F1574" s="115"/>
    </row>
    <row r="1575" spans="1:6" x14ac:dyDescent="0.2">
      <c r="A1575" s="115"/>
      <c r="B1575" s="79"/>
      <c r="C1575" s="115"/>
      <c r="D1575" s="115"/>
      <c r="E1575" s="115"/>
      <c r="F1575" s="115"/>
    </row>
    <row r="1576" spans="1:6" x14ac:dyDescent="0.2">
      <c r="A1576" s="115"/>
      <c r="B1576" s="79"/>
      <c r="C1576" s="115"/>
      <c r="D1576" s="115"/>
      <c r="E1576" s="115"/>
      <c r="F1576" s="115"/>
    </row>
    <row r="1577" spans="1:6" x14ac:dyDescent="0.2">
      <c r="A1577" s="115"/>
      <c r="B1577" s="79"/>
      <c r="C1577" s="115"/>
      <c r="D1577" s="115"/>
      <c r="E1577" s="115"/>
      <c r="F1577" s="115"/>
    </row>
    <row r="1578" spans="1:6" x14ac:dyDescent="0.2">
      <c r="A1578" s="115"/>
      <c r="B1578" s="79"/>
      <c r="C1578" s="115"/>
      <c r="D1578" s="115"/>
      <c r="E1578" s="115"/>
      <c r="F1578" s="115"/>
    </row>
    <row r="1579" spans="1:6" x14ac:dyDescent="0.2">
      <c r="A1579" s="115"/>
      <c r="B1579" s="79"/>
      <c r="C1579" s="115"/>
      <c r="D1579" s="115"/>
      <c r="E1579" s="115"/>
      <c r="F1579" s="115"/>
    </row>
    <row r="1580" spans="1:6" x14ac:dyDescent="0.2">
      <c r="A1580" s="115"/>
      <c r="B1580" s="79"/>
      <c r="C1580" s="115"/>
      <c r="D1580" s="115"/>
      <c r="E1580" s="115"/>
      <c r="F1580" s="115"/>
    </row>
    <row r="1581" spans="1:6" x14ac:dyDescent="0.2">
      <c r="A1581" s="115"/>
      <c r="B1581" s="79"/>
      <c r="C1581" s="115"/>
      <c r="D1581" s="115"/>
      <c r="E1581" s="115"/>
      <c r="F1581" s="115"/>
    </row>
    <row r="1582" spans="1:6" x14ac:dyDescent="0.2">
      <c r="A1582" s="115"/>
      <c r="B1582" s="79"/>
      <c r="C1582" s="115"/>
      <c r="D1582" s="115"/>
      <c r="E1582" s="115"/>
      <c r="F1582" s="115"/>
    </row>
    <row r="1583" spans="1:6" x14ac:dyDescent="0.2">
      <c r="A1583" s="115"/>
      <c r="B1583" s="79"/>
      <c r="C1583" s="115"/>
      <c r="D1583" s="115"/>
      <c r="E1583" s="115"/>
      <c r="F1583" s="115"/>
    </row>
    <row r="1584" spans="1:6" x14ac:dyDescent="0.2">
      <c r="A1584" s="115"/>
      <c r="B1584" s="79"/>
      <c r="C1584" s="115"/>
      <c r="D1584" s="115"/>
      <c r="E1584" s="115"/>
      <c r="F1584" s="115"/>
    </row>
    <row r="1585" spans="1:6" x14ac:dyDescent="0.2">
      <c r="A1585" s="115"/>
      <c r="B1585" s="79"/>
      <c r="C1585" s="115"/>
      <c r="D1585" s="115"/>
      <c r="E1585" s="115"/>
      <c r="F1585" s="115"/>
    </row>
    <row r="1586" spans="1:6" x14ac:dyDescent="0.2">
      <c r="A1586" s="115"/>
      <c r="B1586" s="79"/>
      <c r="C1586" s="115"/>
      <c r="D1586" s="115"/>
      <c r="E1586" s="115"/>
      <c r="F1586" s="115"/>
    </row>
    <row r="1587" spans="1:6" x14ac:dyDescent="0.2">
      <c r="A1587" s="115"/>
      <c r="B1587" s="79"/>
      <c r="C1587" s="115"/>
      <c r="D1587" s="115"/>
      <c r="E1587" s="115"/>
      <c r="F1587" s="115"/>
    </row>
    <row r="1588" spans="1:6" x14ac:dyDescent="0.2">
      <c r="A1588" s="115"/>
      <c r="B1588" s="79"/>
      <c r="C1588" s="115"/>
      <c r="D1588" s="115"/>
      <c r="E1588" s="115"/>
      <c r="F1588" s="115"/>
    </row>
    <row r="1589" spans="1:6" x14ac:dyDescent="0.2">
      <c r="A1589" s="115"/>
      <c r="B1589" s="79"/>
      <c r="C1589" s="115"/>
      <c r="D1589" s="115"/>
      <c r="E1589" s="115"/>
      <c r="F1589" s="115"/>
    </row>
    <row r="1590" spans="1:6" x14ac:dyDescent="0.2">
      <c r="A1590" s="115"/>
      <c r="B1590" s="79"/>
      <c r="C1590" s="115"/>
      <c r="D1590" s="115"/>
      <c r="E1590" s="115"/>
      <c r="F1590" s="115"/>
    </row>
    <row r="1591" spans="1:6" x14ac:dyDescent="0.2">
      <c r="A1591" s="115"/>
      <c r="B1591" s="79"/>
      <c r="C1591" s="115"/>
      <c r="D1591" s="115"/>
      <c r="E1591" s="115"/>
      <c r="F1591" s="115"/>
    </row>
    <row r="1592" spans="1:6" x14ac:dyDescent="0.2">
      <c r="A1592" s="115"/>
      <c r="B1592" s="79"/>
      <c r="C1592" s="115"/>
      <c r="D1592" s="115"/>
      <c r="E1592" s="115"/>
      <c r="F1592" s="115"/>
    </row>
    <row r="1593" spans="1:6" x14ac:dyDescent="0.2">
      <c r="A1593" s="115"/>
      <c r="B1593" s="79"/>
      <c r="C1593" s="115"/>
      <c r="D1593" s="115"/>
      <c r="E1593" s="115"/>
      <c r="F1593" s="115"/>
    </row>
    <row r="1594" spans="1:6" x14ac:dyDescent="0.2">
      <c r="A1594" s="115"/>
      <c r="B1594" s="79"/>
      <c r="C1594" s="115"/>
      <c r="D1594" s="115"/>
      <c r="E1594" s="115"/>
      <c r="F1594" s="115"/>
    </row>
    <row r="1595" spans="1:6" x14ac:dyDescent="0.2">
      <c r="A1595" s="115"/>
      <c r="B1595" s="79"/>
      <c r="C1595" s="115"/>
      <c r="D1595" s="115"/>
      <c r="E1595" s="115"/>
      <c r="F1595" s="115"/>
    </row>
    <row r="1596" spans="1:6" x14ac:dyDescent="0.2">
      <c r="A1596" s="115"/>
      <c r="B1596" s="79"/>
      <c r="C1596" s="115"/>
      <c r="D1596" s="115"/>
      <c r="E1596" s="115"/>
      <c r="F1596" s="115"/>
    </row>
    <row r="1597" spans="1:6" x14ac:dyDescent="0.2">
      <c r="A1597" s="115"/>
      <c r="B1597" s="79"/>
      <c r="C1597" s="115"/>
      <c r="D1597" s="115"/>
      <c r="E1597" s="115"/>
      <c r="F1597" s="115"/>
    </row>
    <row r="1598" spans="1:6" x14ac:dyDescent="0.2">
      <c r="A1598" s="115"/>
      <c r="B1598" s="79"/>
      <c r="C1598" s="115"/>
      <c r="D1598" s="115"/>
      <c r="E1598" s="115"/>
      <c r="F1598" s="115"/>
    </row>
    <row r="1599" spans="1:6" x14ac:dyDescent="0.2">
      <c r="A1599" s="115"/>
      <c r="B1599" s="79"/>
      <c r="C1599" s="115"/>
      <c r="D1599" s="115"/>
      <c r="E1599" s="115"/>
      <c r="F1599" s="115"/>
    </row>
    <row r="1600" spans="1:6" x14ac:dyDescent="0.2">
      <c r="A1600" s="115"/>
      <c r="B1600" s="79"/>
      <c r="C1600" s="115"/>
      <c r="D1600" s="115"/>
      <c r="E1600" s="115"/>
      <c r="F1600" s="115"/>
    </row>
    <row r="1601" spans="1:6" x14ac:dyDescent="0.2">
      <c r="A1601" s="115"/>
      <c r="B1601" s="79"/>
      <c r="C1601" s="115"/>
      <c r="D1601" s="115"/>
      <c r="E1601" s="115"/>
      <c r="F1601" s="115"/>
    </row>
    <row r="1602" spans="1:6" x14ac:dyDescent="0.2">
      <c r="A1602" s="115"/>
      <c r="B1602" s="79"/>
      <c r="C1602" s="115"/>
      <c r="D1602" s="115"/>
      <c r="E1602" s="115"/>
      <c r="F1602" s="115"/>
    </row>
    <row r="1603" spans="1:6" x14ac:dyDescent="0.2">
      <c r="A1603" s="115"/>
      <c r="B1603" s="79"/>
      <c r="C1603" s="115"/>
      <c r="D1603" s="115"/>
      <c r="E1603" s="115"/>
      <c r="F1603" s="115"/>
    </row>
    <row r="1604" spans="1:6" x14ac:dyDescent="0.2">
      <c r="A1604" s="115"/>
      <c r="B1604" s="79"/>
      <c r="C1604" s="115"/>
      <c r="D1604" s="115"/>
      <c r="E1604" s="115"/>
      <c r="F1604" s="115"/>
    </row>
    <row r="1605" spans="1:6" x14ac:dyDescent="0.2">
      <c r="A1605" s="115"/>
      <c r="B1605" s="79"/>
      <c r="C1605" s="115"/>
      <c r="D1605" s="115"/>
      <c r="E1605" s="115"/>
      <c r="F1605" s="115"/>
    </row>
    <row r="1606" spans="1:6" x14ac:dyDescent="0.2">
      <c r="A1606" s="115"/>
      <c r="B1606" s="79"/>
      <c r="C1606" s="115"/>
      <c r="D1606" s="115"/>
      <c r="E1606" s="115"/>
      <c r="F1606" s="115"/>
    </row>
    <row r="1607" spans="1:6" x14ac:dyDescent="0.2">
      <c r="A1607" s="115"/>
      <c r="B1607" s="79"/>
      <c r="C1607" s="115"/>
      <c r="D1607" s="115"/>
      <c r="E1607" s="115"/>
      <c r="F1607" s="115"/>
    </row>
    <row r="1608" spans="1:6" x14ac:dyDescent="0.2">
      <c r="A1608" s="115"/>
      <c r="B1608" s="79"/>
      <c r="C1608" s="115"/>
      <c r="D1608" s="115"/>
      <c r="E1608" s="115"/>
      <c r="F1608" s="115"/>
    </row>
    <row r="1609" spans="1:6" x14ac:dyDescent="0.2">
      <c r="A1609" s="115"/>
      <c r="B1609" s="79"/>
      <c r="C1609" s="115"/>
      <c r="D1609" s="115"/>
      <c r="E1609" s="115"/>
      <c r="F1609" s="115"/>
    </row>
    <row r="1610" spans="1:6" x14ac:dyDescent="0.2">
      <c r="A1610" s="115"/>
      <c r="B1610" s="79"/>
      <c r="C1610" s="115"/>
      <c r="D1610" s="115"/>
      <c r="E1610" s="115"/>
      <c r="F1610" s="115"/>
    </row>
    <row r="1611" spans="1:6" x14ac:dyDescent="0.2">
      <c r="A1611" s="115"/>
      <c r="B1611" s="79"/>
      <c r="C1611" s="115"/>
      <c r="D1611" s="115"/>
      <c r="E1611" s="115"/>
      <c r="F1611" s="115"/>
    </row>
    <row r="1612" spans="1:6" x14ac:dyDescent="0.2">
      <c r="A1612" s="115"/>
      <c r="B1612" s="79"/>
      <c r="C1612" s="115"/>
      <c r="D1612" s="115"/>
      <c r="E1612" s="115"/>
      <c r="F1612" s="115"/>
    </row>
    <row r="1613" spans="1:6" x14ac:dyDescent="0.2">
      <c r="A1613" s="115"/>
      <c r="B1613" s="79"/>
      <c r="C1613" s="115"/>
      <c r="D1613" s="115"/>
      <c r="E1613" s="115"/>
      <c r="F1613" s="115"/>
    </row>
    <row r="1614" spans="1:6" x14ac:dyDescent="0.2">
      <c r="A1614" s="115"/>
      <c r="B1614" s="79"/>
      <c r="C1614" s="115"/>
      <c r="D1614" s="115"/>
      <c r="E1614" s="115"/>
      <c r="F1614" s="115"/>
    </row>
    <row r="1615" spans="1:6" x14ac:dyDescent="0.2">
      <c r="A1615" s="115"/>
      <c r="B1615" s="79"/>
      <c r="C1615" s="115"/>
      <c r="D1615" s="115"/>
      <c r="E1615" s="115"/>
      <c r="F1615" s="115"/>
    </row>
    <row r="1616" spans="1:6" x14ac:dyDescent="0.2">
      <c r="A1616" s="115"/>
      <c r="B1616" s="79"/>
      <c r="C1616" s="115"/>
      <c r="D1616" s="115"/>
      <c r="E1616" s="115"/>
      <c r="F1616" s="115"/>
    </row>
    <row r="1617" spans="1:6" x14ac:dyDescent="0.2">
      <c r="A1617" s="115"/>
      <c r="B1617" s="79"/>
      <c r="C1617" s="115"/>
      <c r="D1617" s="115"/>
      <c r="E1617" s="115"/>
      <c r="F1617" s="115"/>
    </row>
    <row r="1618" spans="1:6" x14ac:dyDescent="0.2">
      <c r="A1618" s="115"/>
      <c r="B1618" s="79"/>
      <c r="C1618" s="115"/>
      <c r="D1618" s="115"/>
      <c r="E1618" s="115"/>
      <c r="F1618" s="115"/>
    </row>
    <row r="1619" spans="1:6" x14ac:dyDescent="0.2">
      <c r="A1619" s="115"/>
      <c r="B1619" s="79"/>
      <c r="C1619" s="115"/>
      <c r="D1619" s="115"/>
      <c r="E1619" s="115"/>
      <c r="F1619" s="115"/>
    </row>
    <row r="1620" spans="1:6" x14ac:dyDescent="0.2">
      <c r="A1620" s="115"/>
      <c r="B1620" s="79"/>
      <c r="C1620" s="115"/>
      <c r="D1620" s="115"/>
      <c r="E1620" s="115"/>
      <c r="F1620" s="115"/>
    </row>
    <row r="1621" spans="1:6" x14ac:dyDescent="0.2">
      <c r="A1621" s="115"/>
      <c r="B1621" s="79"/>
      <c r="C1621" s="115"/>
      <c r="D1621" s="115"/>
      <c r="E1621" s="115"/>
      <c r="F1621" s="115"/>
    </row>
    <row r="1622" spans="1:6" x14ac:dyDescent="0.2">
      <c r="A1622" s="115"/>
      <c r="B1622" s="79"/>
      <c r="C1622" s="115"/>
      <c r="D1622" s="115"/>
      <c r="E1622" s="115"/>
      <c r="F1622" s="115"/>
    </row>
    <row r="1623" spans="1:6" x14ac:dyDescent="0.2">
      <c r="A1623" s="115"/>
      <c r="B1623" s="79"/>
      <c r="C1623" s="115"/>
      <c r="D1623" s="115"/>
      <c r="E1623" s="115"/>
      <c r="F1623" s="115"/>
    </row>
    <row r="1624" spans="1:6" x14ac:dyDescent="0.2">
      <c r="A1624" s="115"/>
      <c r="B1624" s="79"/>
      <c r="C1624" s="115"/>
      <c r="D1624" s="115"/>
      <c r="E1624" s="115"/>
      <c r="F1624" s="115"/>
    </row>
    <row r="1625" spans="1:6" x14ac:dyDescent="0.2">
      <c r="A1625" s="115"/>
      <c r="B1625" s="79"/>
      <c r="C1625" s="115"/>
      <c r="D1625" s="115"/>
      <c r="E1625" s="115"/>
      <c r="F1625" s="115"/>
    </row>
    <row r="1626" spans="1:6" x14ac:dyDescent="0.2">
      <c r="A1626" s="115"/>
      <c r="B1626" s="79"/>
      <c r="C1626" s="115"/>
      <c r="D1626" s="115"/>
      <c r="E1626" s="115"/>
      <c r="F1626" s="115"/>
    </row>
    <row r="1627" spans="1:6" x14ac:dyDescent="0.2">
      <c r="A1627" s="115"/>
      <c r="B1627" s="79"/>
      <c r="C1627" s="115"/>
      <c r="D1627" s="115"/>
      <c r="E1627" s="115"/>
      <c r="F1627" s="115"/>
    </row>
    <row r="1628" spans="1:6" x14ac:dyDescent="0.2">
      <c r="A1628" s="115"/>
      <c r="B1628" s="79"/>
      <c r="C1628" s="115"/>
      <c r="D1628" s="115"/>
      <c r="E1628" s="115"/>
      <c r="F1628" s="115"/>
    </row>
    <row r="1629" spans="1:6" x14ac:dyDescent="0.2">
      <c r="A1629" s="115"/>
      <c r="B1629" s="79"/>
      <c r="C1629" s="115"/>
      <c r="D1629" s="115"/>
      <c r="E1629" s="115"/>
      <c r="F1629" s="115"/>
    </row>
    <row r="1630" spans="1:6" x14ac:dyDescent="0.2">
      <c r="A1630" s="115"/>
      <c r="B1630" s="79"/>
      <c r="C1630" s="115"/>
      <c r="D1630" s="115"/>
      <c r="E1630" s="115"/>
      <c r="F1630" s="115"/>
    </row>
    <row r="1631" spans="1:6" x14ac:dyDescent="0.2">
      <c r="A1631" s="115"/>
      <c r="B1631" s="79"/>
      <c r="C1631" s="115"/>
      <c r="D1631" s="115"/>
      <c r="E1631" s="115"/>
      <c r="F1631" s="115"/>
    </row>
    <row r="1632" spans="1:6" x14ac:dyDescent="0.2">
      <c r="A1632" s="115"/>
      <c r="B1632" s="79"/>
      <c r="C1632" s="115"/>
      <c r="D1632" s="115"/>
      <c r="E1632" s="115"/>
      <c r="F1632" s="115"/>
    </row>
    <row r="1633" spans="1:6" x14ac:dyDescent="0.2">
      <c r="A1633" s="115"/>
      <c r="B1633" s="79"/>
      <c r="C1633" s="115"/>
      <c r="D1633" s="115"/>
      <c r="E1633" s="115"/>
      <c r="F1633" s="115"/>
    </row>
    <row r="1634" spans="1:6" x14ac:dyDescent="0.2">
      <c r="A1634" s="115"/>
      <c r="B1634" s="79"/>
      <c r="C1634" s="115"/>
      <c r="D1634" s="115"/>
      <c r="E1634" s="115"/>
      <c r="F1634" s="115"/>
    </row>
    <row r="1635" spans="1:6" x14ac:dyDescent="0.2">
      <c r="A1635" s="115"/>
      <c r="B1635" s="79"/>
      <c r="C1635" s="115"/>
      <c r="D1635" s="115"/>
      <c r="E1635" s="115"/>
      <c r="F1635" s="115"/>
    </row>
    <row r="1636" spans="1:6" x14ac:dyDescent="0.2">
      <c r="A1636" s="115"/>
      <c r="B1636" s="79"/>
      <c r="C1636" s="115"/>
      <c r="D1636" s="115"/>
      <c r="E1636" s="115"/>
      <c r="F1636" s="115"/>
    </row>
    <row r="1637" spans="1:6" x14ac:dyDescent="0.2">
      <c r="A1637" s="115"/>
      <c r="B1637" s="79"/>
      <c r="C1637" s="115"/>
      <c r="D1637" s="115"/>
      <c r="E1637" s="115"/>
      <c r="F1637" s="115"/>
    </row>
    <row r="1638" spans="1:6" x14ac:dyDescent="0.2">
      <c r="A1638" s="115"/>
      <c r="B1638" s="79"/>
      <c r="C1638" s="115"/>
      <c r="D1638" s="115"/>
      <c r="E1638" s="115"/>
      <c r="F1638" s="115"/>
    </row>
    <row r="1639" spans="1:6" x14ac:dyDescent="0.2">
      <c r="A1639" s="115"/>
      <c r="B1639" s="79"/>
      <c r="C1639" s="115"/>
      <c r="D1639" s="115"/>
      <c r="E1639" s="115"/>
      <c r="F1639" s="115"/>
    </row>
    <row r="1640" spans="1:6" x14ac:dyDescent="0.2">
      <c r="A1640" s="115"/>
      <c r="B1640" s="79"/>
      <c r="C1640" s="115"/>
      <c r="D1640" s="115"/>
      <c r="E1640" s="115"/>
      <c r="F1640" s="115"/>
    </row>
    <row r="1641" spans="1:6" x14ac:dyDescent="0.2">
      <c r="A1641" s="115"/>
      <c r="B1641" s="79"/>
      <c r="C1641" s="115"/>
      <c r="D1641" s="115"/>
      <c r="E1641" s="115"/>
      <c r="F1641" s="115"/>
    </row>
    <row r="1642" spans="1:6" x14ac:dyDescent="0.2">
      <c r="A1642" s="115"/>
      <c r="B1642" s="79"/>
      <c r="C1642" s="115"/>
      <c r="D1642" s="115"/>
      <c r="E1642" s="115"/>
      <c r="F1642" s="115"/>
    </row>
    <row r="1643" spans="1:6" x14ac:dyDescent="0.2">
      <c r="A1643" s="115"/>
      <c r="B1643" s="79"/>
      <c r="C1643" s="115"/>
      <c r="D1643" s="115"/>
      <c r="E1643" s="115"/>
      <c r="F1643" s="115"/>
    </row>
    <row r="1644" spans="1:6" x14ac:dyDescent="0.2">
      <c r="A1644" s="115"/>
      <c r="B1644" s="79"/>
      <c r="C1644" s="115"/>
      <c r="D1644" s="115"/>
      <c r="E1644" s="115"/>
      <c r="F1644" s="115"/>
    </row>
    <row r="1645" spans="1:6" x14ac:dyDescent="0.2">
      <c r="A1645" s="115"/>
      <c r="B1645" s="79"/>
      <c r="C1645" s="115"/>
      <c r="D1645" s="115"/>
      <c r="E1645" s="115"/>
      <c r="F1645" s="115"/>
    </row>
    <row r="1646" spans="1:6" x14ac:dyDescent="0.2">
      <c r="A1646" s="115"/>
      <c r="B1646" s="79"/>
      <c r="C1646" s="115"/>
      <c r="D1646" s="115"/>
      <c r="E1646" s="115"/>
      <c r="F1646" s="115"/>
    </row>
    <row r="1647" spans="1:6" x14ac:dyDescent="0.2">
      <c r="A1647" s="115"/>
      <c r="B1647" s="79"/>
      <c r="C1647" s="115"/>
      <c r="D1647" s="115"/>
      <c r="E1647" s="115"/>
      <c r="F1647" s="115"/>
    </row>
    <row r="1648" spans="1:6" x14ac:dyDescent="0.2">
      <c r="A1648" s="115"/>
      <c r="B1648" s="79"/>
      <c r="C1648" s="115"/>
      <c r="D1648" s="115"/>
      <c r="E1648" s="115"/>
      <c r="F1648" s="115"/>
    </row>
    <row r="1649" spans="1:6" x14ac:dyDescent="0.2">
      <c r="A1649" s="115"/>
      <c r="B1649" s="79"/>
      <c r="C1649" s="115"/>
      <c r="D1649" s="115"/>
      <c r="E1649" s="115"/>
      <c r="F1649" s="115"/>
    </row>
    <row r="1650" spans="1:6" x14ac:dyDescent="0.2">
      <c r="A1650" s="115"/>
      <c r="B1650" s="79"/>
      <c r="C1650" s="115"/>
      <c r="D1650" s="115"/>
      <c r="E1650" s="115"/>
      <c r="F1650" s="115"/>
    </row>
    <row r="1651" spans="1:6" x14ac:dyDescent="0.2">
      <c r="A1651" s="115"/>
      <c r="B1651" s="79"/>
      <c r="C1651" s="115"/>
      <c r="D1651" s="115"/>
      <c r="E1651" s="115"/>
      <c r="F1651" s="115"/>
    </row>
    <row r="1652" spans="1:6" x14ac:dyDescent="0.2">
      <c r="A1652" s="115"/>
      <c r="B1652" s="79"/>
      <c r="C1652" s="115"/>
      <c r="D1652" s="115"/>
      <c r="E1652" s="115"/>
      <c r="F1652" s="115"/>
    </row>
    <row r="1653" spans="1:6" x14ac:dyDescent="0.2">
      <c r="A1653" s="115"/>
      <c r="B1653" s="79"/>
      <c r="C1653" s="115"/>
      <c r="D1653" s="115"/>
      <c r="E1653" s="115"/>
      <c r="F1653" s="115"/>
    </row>
    <row r="1654" spans="1:6" x14ac:dyDescent="0.2">
      <c r="A1654" s="115"/>
      <c r="B1654" s="79"/>
      <c r="C1654" s="115"/>
      <c r="D1654" s="115"/>
      <c r="E1654" s="115"/>
      <c r="F1654" s="115"/>
    </row>
    <row r="1655" spans="1:6" x14ac:dyDescent="0.2">
      <c r="A1655" s="115"/>
      <c r="B1655" s="79"/>
      <c r="C1655" s="115"/>
      <c r="D1655" s="115"/>
      <c r="E1655" s="115"/>
      <c r="F1655" s="115"/>
    </row>
    <row r="1656" spans="1:6" x14ac:dyDescent="0.2">
      <c r="A1656" s="115"/>
      <c r="B1656" s="79"/>
      <c r="C1656" s="115"/>
      <c r="D1656" s="115"/>
      <c r="E1656" s="115"/>
      <c r="F1656" s="115"/>
    </row>
    <row r="1657" spans="1:6" x14ac:dyDescent="0.2">
      <c r="A1657" s="115"/>
      <c r="B1657" s="79"/>
      <c r="C1657" s="115"/>
      <c r="D1657" s="115"/>
      <c r="E1657" s="115"/>
      <c r="F1657" s="115"/>
    </row>
    <row r="1658" spans="1:6" x14ac:dyDescent="0.2">
      <c r="A1658" s="115"/>
      <c r="B1658" s="79"/>
      <c r="C1658" s="115"/>
      <c r="D1658" s="115"/>
      <c r="E1658" s="115"/>
      <c r="F1658" s="115"/>
    </row>
    <row r="1659" spans="1:6" x14ac:dyDescent="0.2">
      <c r="A1659" s="115"/>
      <c r="B1659" s="79"/>
      <c r="C1659" s="115"/>
      <c r="D1659" s="115"/>
      <c r="E1659" s="115"/>
      <c r="F1659" s="115"/>
    </row>
    <row r="1660" spans="1:6" x14ac:dyDescent="0.2">
      <c r="A1660" s="115"/>
      <c r="B1660" s="79"/>
      <c r="C1660" s="115"/>
      <c r="D1660" s="115"/>
      <c r="E1660" s="115"/>
      <c r="F1660" s="115"/>
    </row>
    <row r="1661" spans="1:6" x14ac:dyDescent="0.2">
      <c r="A1661" s="115"/>
      <c r="B1661" s="79"/>
      <c r="C1661" s="115"/>
      <c r="D1661" s="115"/>
      <c r="E1661" s="115"/>
      <c r="F1661" s="115"/>
    </row>
    <row r="1662" spans="1:6" x14ac:dyDescent="0.2">
      <c r="A1662" s="115"/>
      <c r="B1662" s="79"/>
      <c r="C1662" s="115"/>
      <c r="D1662" s="115"/>
      <c r="E1662" s="115"/>
      <c r="F1662" s="115"/>
    </row>
    <row r="1663" spans="1:6" x14ac:dyDescent="0.2">
      <c r="A1663" s="115"/>
      <c r="B1663" s="79"/>
      <c r="C1663" s="115"/>
      <c r="D1663" s="115"/>
      <c r="E1663" s="115"/>
      <c r="F1663" s="115"/>
    </row>
    <row r="1664" spans="1:6" x14ac:dyDescent="0.2">
      <c r="A1664" s="115"/>
      <c r="B1664" s="79"/>
      <c r="C1664" s="115"/>
      <c r="D1664" s="115"/>
      <c r="E1664" s="115"/>
      <c r="F1664" s="115"/>
    </row>
    <row r="1665" spans="1:6" x14ac:dyDescent="0.2">
      <c r="A1665" s="115"/>
      <c r="B1665" s="79"/>
      <c r="C1665" s="115"/>
      <c r="D1665" s="115"/>
      <c r="E1665" s="115"/>
      <c r="F1665" s="115"/>
    </row>
    <row r="1666" spans="1:6" x14ac:dyDescent="0.2">
      <c r="A1666" s="115"/>
      <c r="B1666" s="79"/>
      <c r="C1666" s="115"/>
      <c r="D1666" s="115"/>
      <c r="E1666" s="115"/>
      <c r="F1666" s="115"/>
    </row>
    <row r="1667" spans="1:6" x14ac:dyDescent="0.2">
      <c r="A1667" s="115"/>
      <c r="B1667" s="79"/>
      <c r="C1667" s="115"/>
      <c r="D1667" s="115"/>
      <c r="E1667" s="115"/>
      <c r="F1667" s="115"/>
    </row>
    <row r="1668" spans="1:6" x14ac:dyDescent="0.2">
      <c r="A1668" s="115"/>
      <c r="B1668" s="79"/>
      <c r="C1668" s="115"/>
      <c r="D1668" s="115"/>
      <c r="E1668" s="115"/>
      <c r="F1668" s="115"/>
    </row>
    <row r="1669" spans="1:6" x14ac:dyDescent="0.2">
      <c r="A1669" s="115"/>
      <c r="B1669" s="79"/>
      <c r="C1669" s="115"/>
      <c r="D1669" s="115"/>
      <c r="E1669" s="115"/>
      <c r="F1669" s="115"/>
    </row>
    <row r="1670" spans="1:6" x14ac:dyDescent="0.2">
      <c r="A1670" s="115"/>
      <c r="B1670" s="79"/>
      <c r="C1670" s="115"/>
      <c r="D1670" s="115"/>
      <c r="E1670" s="115"/>
      <c r="F1670" s="115"/>
    </row>
    <row r="1671" spans="1:6" x14ac:dyDescent="0.2">
      <c r="A1671" s="115"/>
      <c r="B1671" s="79"/>
      <c r="C1671" s="115"/>
      <c r="D1671" s="115"/>
      <c r="E1671" s="115"/>
      <c r="F1671" s="115"/>
    </row>
    <row r="1672" spans="1:6" x14ac:dyDescent="0.2">
      <c r="A1672" s="115"/>
      <c r="B1672" s="79"/>
      <c r="C1672" s="115"/>
      <c r="D1672" s="115"/>
      <c r="E1672" s="115"/>
      <c r="F1672" s="115"/>
    </row>
    <row r="1673" spans="1:6" x14ac:dyDescent="0.2">
      <c r="A1673" s="115"/>
      <c r="B1673" s="79"/>
      <c r="C1673" s="115"/>
      <c r="D1673" s="115"/>
      <c r="E1673" s="115"/>
      <c r="F1673" s="115"/>
    </row>
    <row r="1674" spans="1:6" x14ac:dyDescent="0.2">
      <c r="A1674" s="115"/>
      <c r="B1674" s="79"/>
      <c r="C1674" s="115"/>
      <c r="D1674" s="115"/>
      <c r="E1674" s="115"/>
      <c r="F1674" s="115"/>
    </row>
    <row r="1675" spans="1:6" x14ac:dyDescent="0.2">
      <c r="A1675" s="115"/>
      <c r="B1675" s="79"/>
      <c r="C1675" s="115"/>
      <c r="D1675" s="115"/>
      <c r="E1675" s="115"/>
      <c r="F1675" s="115"/>
    </row>
    <row r="1676" spans="1:6" x14ac:dyDescent="0.2">
      <c r="A1676" s="115"/>
      <c r="B1676" s="79"/>
      <c r="C1676" s="115"/>
      <c r="D1676" s="115"/>
      <c r="E1676" s="115"/>
      <c r="F1676" s="115"/>
    </row>
    <row r="1677" spans="1:6" x14ac:dyDescent="0.2">
      <c r="A1677" s="115"/>
      <c r="B1677" s="79"/>
      <c r="C1677" s="115"/>
      <c r="D1677" s="115"/>
      <c r="E1677" s="115"/>
      <c r="F1677" s="115"/>
    </row>
    <row r="1678" spans="1:6" x14ac:dyDescent="0.2">
      <c r="A1678" s="115"/>
      <c r="B1678" s="79"/>
      <c r="C1678" s="115"/>
      <c r="D1678" s="115"/>
      <c r="E1678" s="115"/>
      <c r="F1678" s="115"/>
    </row>
    <row r="1679" spans="1:6" x14ac:dyDescent="0.2">
      <c r="A1679" s="115"/>
      <c r="B1679" s="79"/>
      <c r="C1679" s="115"/>
      <c r="D1679" s="115"/>
      <c r="E1679" s="115"/>
      <c r="F1679" s="115"/>
    </row>
    <row r="1680" spans="1:6" x14ac:dyDescent="0.2">
      <c r="A1680" s="115"/>
      <c r="B1680" s="79"/>
      <c r="C1680" s="115"/>
      <c r="D1680" s="115"/>
      <c r="E1680" s="115"/>
      <c r="F1680" s="115"/>
    </row>
    <row r="1681" spans="1:6" x14ac:dyDescent="0.2">
      <c r="A1681" s="115"/>
      <c r="B1681" s="79"/>
      <c r="C1681" s="115"/>
      <c r="D1681" s="115"/>
      <c r="E1681" s="115"/>
      <c r="F1681" s="115"/>
    </row>
    <row r="1682" spans="1:6" x14ac:dyDescent="0.2">
      <c r="A1682" s="115"/>
      <c r="B1682" s="79"/>
      <c r="C1682" s="115"/>
      <c r="D1682" s="115"/>
      <c r="E1682" s="115"/>
      <c r="F1682" s="115"/>
    </row>
    <row r="1683" spans="1:6" x14ac:dyDescent="0.2">
      <c r="A1683" s="115"/>
      <c r="B1683" s="79"/>
      <c r="C1683" s="115"/>
      <c r="D1683" s="115"/>
      <c r="E1683" s="115"/>
      <c r="F1683" s="115"/>
    </row>
    <row r="1684" spans="1:6" x14ac:dyDescent="0.2">
      <c r="A1684" s="115"/>
      <c r="B1684" s="79"/>
      <c r="C1684" s="115"/>
      <c r="D1684" s="115"/>
      <c r="E1684" s="115"/>
      <c r="F1684" s="115"/>
    </row>
    <row r="1685" spans="1:6" x14ac:dyDescent="0.2">
      <c r="A1685" s="115"/>
      <c r="B1685" s="79"/>
      <c r="C1685" s="115"/>
      <c r="D1685" s="115"/>
      <c r="E1685" s="115"/>
      <c r="F1685" s="115"/>
    </row>
    <row r="1686" spans="1:6" x14ac:dyDescent="0.2">
      <c r="A1686" s="115"/>
      <c r="B1686" s="79"/>
      <c r="C1686" s="115"/>
      <c r="D1686" s="115"/>
      <c r="E1686" s="115"/>
      <c r="F1686" s="115"/>
    </row>
    <row r="1687" spans="1:6" x14ac:dyDescent="0.2">
      <c r="A1687" s="115"/>
      <c r="B1687" s="79"/>
      <c r="C1687" s="115"/>
      <c r="D1687" s="115"/>
      <c r="E1687" s="115"/>
      <c r="F1687" s="115"/>
    </row>
    <row r="1688" spans="1:6" x14ac:dyDescent="0.2">
      <c r="A1688" s="115"/>
      <c r="B1688" s="79"/>
      <c r="C1688" s="115"/>
      <c r="D1688" s="115"/>
      <c r="E1688" s="115"/>
      <c r="F1688" s="115"/>
    </row>
    <row r="1689" spans="1:6" x14ac:dyDescent="0.2">
      <c r="A1689" s="115"/>
      <c r="B1689" s="79"/>
      <c r="C1689" s="115"/>
      <c r="D1689" s="115"/>
      <c r="E1689" s="115"/>
      <c r="F1689" s="115"/>
    </row>
    <row r="1690" spans="1:6" x14ac:dyDescent="0.2">
      <c r="A1690" s="115"/>
      <c r="B1690" s="79"/>
      <c r="C1690" s="115"/>
      <c r="D1690" s="115"/>
      <c r="E1690" s="115"/>
      <c r="F1690" s="115"/>
    </row>
    <row r="1691" spans="1:6" x14ac:dyDescent="0.2">
      <c r="A1691" s="115"/>
      <c r="B1691" s="79"/>
      <c r="C1691" s="115"/>
      <c r="D1691" s="115"/>
      <c r="E1691" s="115"/>
      <c r="F1691" s="115"/>
    </row>
    <row r="1692" spans="1:6" x14ac:dyDescent="0.2">
      <c r="A1692" s="115"/>
      <c r="B1692" s="79"/>
      <c r="C1692" s="115"/>
      <c r="D1692" s="115"/>
      <c r="E1692" s="115"/>
      <c r="F1692" s="115"/>
    </row>
    <row r="1693" spans="1:6" x14ac:dyDescent="0.2">
      <c r="A1693" s="115"/>
      <c r="B1693" s="79"/>
      <c r="C1693" s="115"/>
      <c r="D1693" s="115"/>
      <c r="E1693" s="115"/>
      <c r="F1693" s="115"/>
    </row>
    <row r="1694" spans="1:6" x14ac:dyDescent="0.2">
      <c r="A1694" s="115"/>
      <c r="B1694" s="79"/>
      <c r="C1694" s="115"/>
      <c r="D1694" s="115"/>
      <c r="E1694" s="115"/>
      <c r="F1694" s="115"/>
    </row>
    <row r="1695" spans="1:6" x14ac:dyDescent="0.2">
      <c r="A1695" s="115"/>
      <c r="B1695" s="79"/>
      <c r="C1695" s="115"/>
      <c r="D1695" s="115"/>
      <c r="E1695" s="115"/>
      <c r="F1695" s="115"/>
    </row>
    <row r="1696" spans="1:6" x14ac:dyDescent="0.2">
      <c r="A1696" s="115"/>
      <c r="B1696" s="79"/>
      <c r="C1696" s="115"/>
      <c r="D1696" s="115"/>
      <c r="E1696" s="115"/>
      <c r="F1696" s="115"/>
    </row>
    <row r="1697" spans="1:6" x14ac:dyDescent="0.2">
      <c r="A1697" s="115"/>
      <c r="B1697" s="79"/>
      <c r="C1697" s="115"/>
      <c r="D1697" s="115"/>
      <c r="E1697" s="115"/>
      <c r="F1697" s="115"/>
    </row>
    <row r="1698" spans="1:6" x14ac:dyDescent="0.2">
      <c r="A1698" s="115"/>
      <c r="B1698" s="79"/>
      <c r="C1698" s="115"/>
      <c r="D1698" s="115"/>
      <c r="E1698" s="115"/>
      <c r="F1698" s="115"/>
    </row>
    <row r="1699" spans="1:6" x14ac:dyDescent="0.2">
      <c r="A1699" s="115"/>
      <c r="B1699" s="79"/>
      <c r="C1699" s="115"/>
      <c r="D1699" s="115"/>
      <c r="E1699" s="115"/>
      <c r="F1699" s="115"/>
    </row>
    <row r="1700" spans="1:6" x14ac:dyDescent="0.2">
      <c r="A1700" s="115"/>
      <c r="B1700" s="79"/>
      <c r="C1700" s="115"/>
      <c r="D1700" s="115"/>
      <c r="E1700" s="115"/>
      <c r="F1700" s="115"/>
    </row>
    <row r="1701" spans="1:6" x14ac:dyDescent="0.2">
      <c r="A1701" s="115"/>
      <c r="B1701" s="79"/>
      <c r="C1701" s="115"/>
      <c r="D1701" s="115"/>
      <c r="E1701" s="115"/>
      <c r="F1701" s="115"/>
    </row>
    <row r="1702" spans="1:6" x14ac:dyDescent="0.2">
      <c r="A1702" s="115"/>
      <c r="B1702" s="79"/>
      <c r="C1702" s="115"/>
      <c r="D1702" s="115"/>
      <c r="E1702" s="115"/>
      <c r="F1702" s="115"/>
    </row>
    <row r="1703" spans="1:6" x14ac:dyDescent="0.2">
      <c r="A1703" s="115"/>
      <c r="B1703" s="79"/>
      <c r="C1703" s="115"/>
      <c r="D1703" s="115"/>
      <c r="E1703" s="115"/>
      <c r="F1703" s="115"/>
    </row>
    <row r="1704" spans="1:6" x14ac:dyDescent="0.2">
      <c r="A1704" s="115"/>
      <c r="B1704" s="79"/>
      <c r="C1704" s="115"/>
      <c r="D1704" s="115"/>
      <c r="E1704" s="115"/>
      <c r="F1704" s="115"/>
    </row>
    <row r="1705" spans="1:6" x14ac:dyDescent="0.2">
      <c r="A1705" s="115"/>
      <c r="B1705" s="79"/>
      <c r="C1705" s="115"/>
      <c r="D1705" s="115"/>
      <c r="E1705" s="115"/>
      <c r="F1705" s="115"/>
    </row>
    <row r="1706" spans="1:6" x14ac:dyDescent="0.2">
      <c r="A1706" s="115"/>
      <c r="B1706" s="79"/>
      <c r="C1706" s="115"/>
      <c r="D1706" s="115"/>
      <c r="E1706" s="115"/>
      <c r="F1706" s="115"/>
    </row>
    <row r="1707" spans="1:6" x14ac:dyDescent="0.2">
      <c r="A1707" s="115"/>
      <c r="B1707" s="79"/>
      <c r="C1707" s="115"/>
      <c r="D1707" s="115"/>
      <c r="E1707" s="115"/>
      <c r="F1707" s="115"/>
    </row>
    <row r="1708" spans="1:6" x14ac:dyDescent="0.2">
      <c r="A1708" s="115"/>
      <c r="B1708" s="79"/>
      <c r="C1708" s="115"/>
      <c r="D1708" s="115"/>
      <c r="E1708" s="115"/>
      <c r="F1708" s="115"/>
    </row>
    <row r="1709" spans="1:6" x14ac:dyDescent="0.2">
      <c r="A1709" s="115"/>
      <c r="B1709" s="79"/>
      <c r="C1709" s="115"/>
      <c r="D1709" s="115"/>
      <c r="E1709" s="115"/>
      <c r="F1709" s="115"/>
    </row>
    <row r="1710" spans="1:6" x14ac:dyDescent="0.2">
      <c r="A1710" s="115"/>
      <c r="B1710" s="79"/>
      <c r="C1710" s="115"/>
      <c r="D1710" s="115"/>
      <c r="E1710" s="115"/>
      <c r="F1710" s="115"/>
    </row>
    <row r="1711" spans="1:6" x14ac:dyDescent="0.2">
      <c r="A1711" s="115"/>
      <c r="B1711" s="79"/>
      <c r="C1711" s="115"/>
      <c r="D1711" s="115"/>
      <c r="E1711" s="115"/>
      <c r="F1711" s="115"/>
    </row>
    <row r="1712" spans="1:6" x14ac:dyDescent="0.2">
      <c r="A1712" s="115"/>
      <c r="B1712" s="79"/>
      <c r="C1712" s="115"/>
      <c r="D1712" s="115"/>
      <c r="E1712" s="115"/>
      <c r="F1712" s="115"/>
    </row>
    <row r="1713" spans="1:6" x14ac:dyDescent="0.2">
      <c r="A1713" s="115"/>
      <c r="B1713" s="79"/>
      <c r="C1713" s="115"/>
      <c r="D1713" s="115"/>
      <c r="E1713" s="115"/>
      <c r="F1713" s="115"/>
    </row>
    <row r="1714" spans="1:6" x14ac:dyDescent="0.2">
      <c r="A1714" s="115"/>
      <c r="B1714" s="79"/>
      <c r="C1714" s="115"/>
      <c r="D1714" s="115"/>
      <c r="E1714" s="115"/>
      <c r="F1714" s="115"/>
    </row>
    <row r="1715" spans="1:6" x14ac:dyDescent="0.2">
      <c r="A1715" s="115"/>
      <c r="B1715" s="79"/>
      <c r="C1715" s="115"/>
      <c r="D1715" s="115"/>
      <c r="E1715" s="115"/>
      <c r="F1715" s="115"/>
    </row>
    <row r="1716" spans="1:6" x14ac:dyDescent="0.2">
      <c r="A1716" s="115"/>
      <c r="B1716" s="79"/>
      <c r="C1716" s="115"/>
      <c r="D1716" s="115"/>
      <c r="E1716" s="115"/>
      <c r="F1716" s="115"/>
    </row>
    <row r="1717" spans="1:6" x14ac:dyDescent="0.2">
      <c r="A1717" s="115"/>
      <c r="B1717" s="79"/>
      <c r="C1717" s="115"/>
      <c r="D1717" s="115"/>
      <c r="E1717" s="115"/>
      <c r="F1717" s="115"/>
    </row>
    <row r="1718" spans="1:6" x14ac:dyDescent="0.2">
      <c r="A1718" s="115"/>
      <c r="B1718" s="79"/>
      <c r="C1718" s="115"/>
      <c r="D1718" s="115"/>
      <c r="E1718" s="115"/>
      <c r="F1718" s="115"/>
    </row>
    <row r="1719" spans="1:6" x14ac:dyDescent="0.2">
      <c r="A1719" s="115"/>
      <c r="B1719" s="79"/>
      <c r="C1719" s="115"/>
      <c r="D1719" s="115"/>
      <c r="E1719" s="115"/>
      <c r="F1719" s="115"/>
    </row>
    <row r="1720" spans="1:6" x14ac:dyDescent="0.2">
      <c r="A1720" s="115"/>
      <c r="B1720" s="79"/>
      <c r="C1720" s="115"/>
      <c r="D1720" s="115"/>
      <c r="E1720" s="115"/>
      <c r="F1720" s="115"/>
    </row>
    <row r="1721" spans="1:6" x14ac:dyDescent="0.2">
      <c r="A1721" s="115"/>
      <c r="B1721" s="79"/>
      <c r="C1721" s="115"/>
      <c r="D1721" s="115"/>
      <c r="E1721" s="115"/>
      <c r="F1721" s="115"/>
    </row>
    <row r="1722" spans="1:6" x14ac:dyDescent="0.2">
      <c r="A1722" s="115"/>
      <c r="B1722" s="79"/>
      <c r="C1722" s="115"/>
      <c r="D1722" s="115"/>
      <c r="E1722" s="115"/>
      <c r="F1722" s="115"/>
    </row>
    <row r="1723" spans="1:6" x14ac:dyDescent="0.2">
      <c r="A1723" s="115"/>
      <c r="B1723" s="79"/>
      <c r="C1723" s="115"/>
      <c r="D1723" s="115"/>
      <c r="E1723" s="115"/>
      <c r="F1723" s="115"/>
    </row>
    <row r="1724" spans="1:6" x14ac:dyDescent="0.2">
      <c r="A1724" s="115"/>
      <c r="B1724" s="79"/>
      <c r="C1724" s="115"/>
      <c r="D1724" s="115"/>
      <c r="E1724" s="115"/>
      <c r="F1724" s="115"/>
    </row>
    <row r="1725" spans="1:6" x14ac:dyDescent="0.2">
      <c r="A1725" s="115"/>
      <c r="B1725" s="79"/>
      <c r="C1725" s="115"/>
      <c r="D1725" s="115"/>
      <c r="E1725" s="115"/>
      <c r="F1725" s="115"/>
    </row>
    <row r="1726" spans="1:6" x14ac:dyDescent="0.2">
      <c r="A1726" s="115"/>
      <c r="B1726" s="79"/>
      <c r="C1726" s="115"/>
      <c r="D1726" s="115"/>
      <c r="E1726" s="115"/>
      <c r="F1726" s="115"/>
    </row>
    <row r="1727" spans="1:6" x14ac:dyDescent="0.2">
      <c r="A1727" s="115"/>
      <c r="B1727" s="79"/>
      <c r="C1727" s="115"/>
      <c r="D1727" s="115"/>
      <c r="E1727" s="115"/>
      <c r="F1727" s="115"/>
    </row>
    <row r="1728" spans="1:6" x14ac:dyDescent="0.2">
      <c r="A1728" s="115"/>
      <c r="B1728" s="79"/>
      <c r="C1728" s="115"/>
      <c r="D1728" s="115"/>
      <c r="E1728" s="115"/>
      <c r="F1728" s="115"/>
    </row>
    <row r="1729" spans="1:6" x14ac:dyDescent="0.2">
      <c r="A1729" s="115"/>
      <c r="B1729" s="79"/>
      <c r="C1729" s="115"/>
      <c r="D1729" s="115"/>
      <c r="E1729" s="115"/>
      <c r="F1729" s="115"/>
    </row>
    <row r="1730" spans="1:6" x14ac:dyDescent="0.2">
      <c r="A1730" s="115"/>
      <c r="B1730" s="79"/>
      <c r="C1730" s="115"/>
      <c r="D1730" s="115"/>
      <c r="E1730" s="115"/>
      <c r="F1730" s="115"/>
    </row>
    <row r="1731" spans="1:6" x14ac:dyDescent="0.2">
      <c r="A1731" s="115"/>
      <c r="B1731" s="79"/>
      <c r="C1731" s="115"/>
      <c r="D1731" s="115"/>
      <c r="E1731" s="115"/>
      <c r="F1731" s="115"/>
    </row>
    <row r="1732" spans="1:6" x14ac:dyDescent="0.2">
      <c r="A1732" s="115"/>
      <c r="B1732" s="79"/>
      <c r="C1732" s="115"/>
      <c r="D1732" s="115"/>
      <c r="E1732" s="115"/>
      <c r="F1732" s="115"/>
    </row>
    <row r="1733" spans="1:6" x14ac:dyDescent="0.2">
      <c r="A1733" s="115"/>
      <c r="B1733" s="79"/>
      <c r="C1733" s="115"/>
      <c r="D1733" s="115"/>
      <c r="E1733" s="115"/>
      <c r="F1733" s="115"/>
    </row>
    <row r="1734" spans="1:6" x14ac:dyDescent="0.2">
      <c r="A1734" s="115"/>
      <c r="B1734" s="79"/>
      <c r="C1734" s="115"/>
      <c r="D1734" s="115"/>
      <c r="E1734" s="115"/>
      <c r="F1734" s="115"/>
    </row>
    <row r="1735" spans="1:6" x14ac:dyDescent="0.2">
      <c r="A1735" s="115"/>
      <c r="B1735" s="79"/>
      <c r="C1735" s="115"/>
      <c r="D1735" s="115"/>
      <c r="E1735" s="115"/>
      <c r="F1735" s="115"/>
    </row>
    <row r="1736" spans="1:6" x14ac:dyDescent="0.2">
      <c r="A1736" s="115"/>
      <c r="B1736" s="79"/>
      <c r="C1736" s="115"/>
      <c r="D1736" s="115"/>
      <c r="E1736" s="115"/>
      <c r="F1736" s="115"/>
    </row>
    <row r="1737" spans="1:6" x14ac:dyDescent="0.2">
      <c r="A1737" s="115"/>
      <c r="B1737" s="79"/>
      <c r="C1737" s="115"/>
      <c r="D1737" s="115"/>
      <c r="E1737" s="115"/>
      <c r="F1737" s="115"/>
    </row>
    <row r="1738" spans="1:6" x14ac:dyDescent="0.2">
      <c r="A1738" s="115"/>
      <c r="B1738" s="79"/>
      <c r="C1738" s="115"/>
      <c r="D1738" s="115"/>
      <c r="E1738" s="115"/>
      <c r="F1738" s="115"/>
    </row>
    <row r="1739" spans="1:6" x14ac:dyDescent="0.2">
      <c r="A1739" s="115"/>
      <c r="B1739" s="79"/>
      <c r="C1739" s="115"/>
      <c r="D1739" s="115"/>
      <c r="E1739" s="115"/>
      <c r="F1739" s="115"/>
    </row>
    <row r="1740" spans="1:6" x14ac:dyDescent="0.2">
      <c r="A1740" s="115"/>
      <c r="B1740" s="79"/>
      <c r="C1740" s="115"/>
      <c r="D1740" s="115"/>
      <c r="E1740" s="115"/>
      <c r="F1740" s="115"/>
    </row>
    <row r="1741" spans="1:6" x14ac:dyDescent="0.2">
      <c r="A1741" s="115"/>
      <c r="B1741" s="79"/>
      <c r="C1741" s="115"/>
      <c r="D1741" s="115"/>
      <c r="E1741" s="115"/>
      <c r="F1741" s="115"/>
    </row>
    <row r="1742" spans="1:6" x14ac:dyDescent="0.2">
      <c r="A1742" s="115"/>
      <c r="B1742" s="79"/>
      <c r="C1742" s="115"/>
      <c r="D1742" s="115"/>
      <c r="E1742" s="115"/>
      <c r="F1742" s="115"/>
    </row>
    <row r="1743" spans="1:6" x14ac:dyDescent="0.2">
      <c r="A1743" s="115"/>
      <c r="B1743" s="79"/>
      <c r="C1743" s="115"/>
      <c r="D1743" s="115"/>
      <c r="E1743" s="115"/>
      <c r="F1743" s="115"/>
    </row>
    <row r="1744" spans="1:6" x14ac:dyDescent="0.2">
      <c r="A1744" s="115"/>
      <c r="B1744" s="79"/>
      <c r="C1744" s="115"/>
      <c r="D1744" s="115"/>
      <c r="E1744" s="115"/>
      <c r="F1744" s="115"/>
    </row>
    <row r="1745" spans="1:6" x14ac:dyDescent="0.2">
      <c r="A1745" s="115"/>
      <c r="B1745" s="79"/>
      <c r="C1745" s="115"/>
      <c r="D1745" s="115"/>
      <c r="E1745" s="115"/>
      <c r="F1745" s="115"/>
    </row>
    <row r="1746" spans="1:6" x14ac:dyDescent="0.2">
      <c r="A1746" s="115"/>
      <c r="B1746" s="79"/>
      <c r="C1746" s="115"/>
      <c r="D1746" s="115"/>
      <c r="E1746" s="115"/>
      <c r="F1746" s="115"/>
    </row>
    <row r="1747" spans="1:6" x14ac:dyDescent="0.2">
      <c r="A1747" s="115"/>
      <c r="B1747" s="79"/>
      <c r="C1747" s="115"/>
      <c r="D1747" s="115"/>
      <c r="E1747" s="115"/>
      <c r="F1747" s="115"/>
    </row>
    <row r="1748" spans="1:6" x14ac:dyDescent="0.2">
      <c r="A1748" s="115"/>
      <c r="B1748" s="79"/>
      <c r="C1748" s="115"/>
      <c r="D1748" s="115"/>
      <c r="E1748" s="115"/>
      <c r="F1748" s="115"/>
    </row>
    <row r="1749" spans="1:6" x14ac:dyDescent="0.2">
      <c r="A1749" s="115"/>
      <c r="B1749" s="79"/>
      <c r="C1749" s="115"/>
      <c r="D1749" s="115"/>
      <c r="E1749" s="115"/>
      <c r="F1749" s="115"/>
    </row>
    <row r="1750" spans="1:6" x14ac:dyDescent="0.2">
      <c r="A1750" s="115"/>
      <c r="B1750" s="79"/>
      <c r="C1750" s="115"/>
      <c r="D1750" s="115"/>
      <c r="E1750" s="115"/>
      <c r="F1750" s="115"/>
    </row>
    <row r="1751" spans="1:6" x14ac:dyDescent="0.2">
      <c r="A1751" s="115"/>
      <c r="B1751" s="79"/>
      <c r="C1751" s="115"/>
      <c r="D1751" s="115"/>
      <c r="E1751" s="115"/>
      <c r="F1751" s="115"/>
    </row>
    <row r="1752" spans="1:6" x14ac:dyDescent="0.2">
      <c r="A1752" s="115"/>
      <c r="B1752" s="79"/>
      <c r="C1752" s="115"/>
      <c r="D1752" s="115"/>
      <c r="E1752" s="115"/>
      <c r="F1752" s="115"/>
    </row>
    <row r="1753" spans="1:6" x14ac:dyDescent="0.2">
      <c r="A1753" s="115"/>
      <c r="B1753" s="79"/>
      <c r="C1753" s="115"/>
      <c r="D1753" s="115"/>
      <c r="E1753" s="115"/>
      <c r="F1753" s="115"/>
    </row>
    <row r="1754" spans="1:6" x14ac:dyDescent="0.2">
      <c r="A1754" s="115"/>
      <c r="B1754" s="79"/>
      <c r="C1754" s="115"/>
      <c r="D1754" s="115"/>
      <c r="E1754" s="115"/>
      <c r="F1754" s="115"/>
    </row>
    <row r="1755" spans="1:6" x14ac:dyDescent="0.2">
      <c r="A1755" s="115"/>
      <c r="B1755" s="79"/>
      <c r="C1755" s="115"/>
      <c r="D1755" s="115"/>
      <c r="E1755" s="115"/>
      <c r="F1755" s="115"/>
    </row>
    <row r="1756" spans="1:6" x14ac:dyDescent="0.2">
      <c r="A1756" s="115"/>
      <c r="B1756" s="79"/>
      <c r="C1756" s="115"/>
      <c r="D1756" s="115"/>
      <c r="E1756" s="115"/>
      <c r="F1756" s="115"/>
    </row>
    <row r="1757" spans="1:6" x14ac:dyDescent="0.2">
      <c r="A1757" s="115"/>
      <c r="B1757" s="79"/>
      <c r="C1757" s="115"/>
      <c r="D1757" s="115"/>
      <c r="E1757" s="115"/>
      <c r="F1757" s="115"/>
    </row>
    <row r="1758" spans="1:6" x14ac:dyDescent="0.2">
      <c r="A1758" s="115"/>
      <c r="B1758" s="79"/>
      <c r="C1758" s="115"/>
      <c r="D1758" s="115"/>
      <c r="E1758" s="115"/>
      <c r="F1758" s="115"/>
    </row>
    <row r="1759" spans="1:6" x14ac:dyDescent="0.2">
      <c r="A1759" s="115"/>
      <c r="B1759" s="79"/>
      <c r="C1759" s="115"/>
      <c r="D1759" s="115"/>
      <c r="E1759" s="115"/>
      <c r="F1759" s="115"/>
    </row>
    <row r="1760" spans="1:6" x14ac:dyDescent="0.2">
      <c r="A1760" s="115"/>
      <c r="B1760" s="79"/>
      <c r="C1760" s="115"/>
      <c r="D1760" s="115"/>
      <c r="E1760" s="115"/>
      <c r="F1760" s="115"/>
    </row>
    <row r="1761" spans="1:6" x14ac:dyDescent="0.2">
      <c r="A1761" s="115"/>
      <c r="B1761" s="79"/>
      <c r="C1761" s="115"/>
      <c r="D1761" s="115"/>
      <c r="E1761" s="115"/>
      <c r="F1761" s="115"/>
    </row>
    <row r="1762" spans="1:6" x14ac:dyDescent="0.2">
      <c r="A1762" s="115"/>
      <c r="B1762" s="79"/>
      <c r="C1762" s="115"/>
      <c r="D1762" s="115"/>
      <c r="E1762" s="115"/>
      <c r="F1762" s="115"/>
    </row>
    <row r="1763" spans="1:6" x14ac:dyDescent="0.2">
      <c r="A1763" s="115"/>
      <c r="B1763" s="79"/>
      <c r="C1763" s="115"/>
      <c r="D1763" s="115"/>
      <c r="E1763" s="115"/>
      <c r="F1763" s="115"/>
    </row>
    <row r="1764" spans="1:6" x14ac:dyDescent="0.2">
      <c r="A1764" s="115"/>
      <c r="B1764" s="79"/>
      <c r="C1764" s="115"/>
      <c r="D1764" s="115"/>
      <c r="E1764" s="115"/>
      <c r="F1764" s="115"/>
    </row>
    <row r="1765" spans="1:6" x14ac:dyDescent="0.2">
      <c r="A1765" s="115"/>
      <c r="B1765" s="79"/>
      <c r="C1765" s="115"/>
      <c r="D1765" s="115"/>
      <c r="E1765" s="115"/>
      <c r="F1765" s="115"/>
    </row>
    <row r="1766" spans="1:6" x14ac:dyDescent="0.2">
      <c r="A1766" s="115"/>
      <c r="B1766" s="79"/>
      <c r="C1766" s="115"/>
      <c r="D1766" s="115"/>
      <c r="E1766" s="115"/>
      <c r="F1766" s="115"/>
    </row>
    <row r="1767" spans="1:6" x14ac:dyDescent="0.2">
      <c r="A1767" s="115"/>
      <c r="B1767" s="79"/>
      <c r="C1767" s="115"/>
      <c r="D1767" s="115"/>
      <c r="E1767" s="115"/>
      <c r="F1767" s="115"/>
    </row>
    <row r="1768" spans="1:6" x14ac:dyDescent="0.2">
      <c r="A1768" s="115"/>
      <c r="B1768" s="79"/>
      <c r="C1768" s="115"/>
      <c r="D1768" s="115"/>
      <c r="E1768" s="115"/>
      <c r="F1768" s="115"/>
    </row>
    <row r="1769" spans="1:6" x14ac:dyDescent="0.2">
      <c r="A1769" s="115"/>
      <c r="B1769" s="79"/>
      <c r="C1769" s="115"/>
      <c r="D1769" s="115"/>
      <c r="E1769" s="115"/>
      <c r="F1769" s="115"/>
    </row>
    <row r="1770" spans="1:6" x14ac:dyDescent="0.2">
      <c r="A1770" s="115"/>
      <c r="B1770" s="79"/>
      <c r="C1770" s="115"/>
      <c r="D1770" s="115"/>
      <c r="E1770" s="115"/>
      <c r="F1770" s="115"/>
    </row>
    <row r="1771" spans="1:6" x14ac:dyDescent="0.2">
      <c r="A1771" s="115"/>
      <c r="B1771" s="79"/>
      <c r="C1771" s="115"/>
      <c r="D1771" s="115"/>
      <c r="E1771" s="115"/>
      <c r="F1771" s="115"/>
    </row>
    <row r="1772" spans="1:6" x14ac:dyDescent="0.2">
      <c r="A1772" s="115"/>
      <c r="B1772" s="79"/>
      <c r="C1772" s="115"/>
      <c r="D1772" s="115"/>
      <c r="E1772" s="115"/>
      <c r="F1772" s="115"/>
    </row>
    <row r="1773" spans="1:6" x14ac:dyDescent="0.2">
      <c r="A1773" s="115"/>
      <c r="B1773" s="79"/>
      <c r="C1773" s="115"/>
      <c r="D1773" s="115"/>
      <c r="E1773" s="115"/>
      <c r="F1773" s="115"/>
    </row>
    <row r="1774" spans="1:6" x14ac:dyDescent="0.2">
      <c r="A1774" s="115"/>
      <c r="B1774" s="79"/>
      <c r="C1774" s="115"/>
      <c r="D1774" s="115"/>
      <c r="E1774" s="115"/>
      <c r="F1774" s="115"/>
    </row>
    <row r="1775" spans="1:6" x14ac:dyDescent="0.2">
      <c r="A1775" s="115"/>
      <c r="B1775" s="79"/>
      <c r="C1775" s="115"/>
      <c r="D1775" s="115"/>
      <c r="E1775" s="115"/>
      <c r="F1775" s="115"/>
    </row>
    <row r="1776" spans="1:6" x14ac:dyDescent="0.2">
      <c r="A1776" s="115"/>
      <c r="B1776" s="79"/>
      <c r="C1776" s="115"/>
      <c r="D1776" s="115"/>
      <c r="E1776" s="115"/>
      <c r="F1776" s="115"/>
    </row>
    <row r="1777" spans="1:6" x14ac:dyDescent="0.2">
      <c r="A1777" s="115"/>
      <c r="B1777" s="79"/>
      <c r="C1777" s="115"/>
      <c r="D1777" s="115"/>
      <c r="E1777" s="115"/>
      <c r="F1777" s="115"/>
    </row>
    <row r="1778" spans="1:6" x14ac:dyDescent="0.2">
      <c r="A1778" s="115"/>
      <c r="B1778" s="79"/>
      <c r="C1778" s="115"/>
      <c r="D1778" s="115"/>
      <c r="E1778" s="115"/>
      <c r="F1778" s="115"/>
    </row>
    <row r="1779" spans="1:6" x14ac:dyDescent="0.2">
      <c r="A1779" s="115"/>
      <c r="B1779" s="79"/>
      <c r="C1779" s="115"/>
      <c r="D1779" s="115"/>
      <c r="E1779" s="115"/>
      <c r="F1779" s="115"/>
    </row>
    <row r="1780" spans="1:6" x14ac:dyDescent="0.2">
      <c r="A1780" s="115"/>
      <c r="B1780" s="79"/>
      <c r="C1780" s="115"/>
      <c r="D1780" s="115"/>
      <c r="E1780" s="115"/>
      <c r="F1780" s="115"/>
    </row>
    <row r="1781" spans="1:6" x14ac:dyDescent="0.2">
      <c r="A1781" s="115"/>
      <c r="B1781" s="79"/>
      <c r="C1781" s="115"/>
      <c r="D1781" s="115"/>
      <c r="E1781" s="115"/>
      <c r="F1781" s="115"/>
    </row>
    <row r="1782" spans="1:6" x14ac:dyDescent="0.2">
      <c r="A1782" s="115"/>
      <c r="B1782" s="79"/>
      <c r="C1782" s="115"/>
      <c r="D1782" s="115"/>
      <c r="E1782" s="115"/>
      <c r="F1782" s="115"/>
    </row>
    <row r="1783" spans="1:6" x14ac:dyDescent="0.2">
      <c r="A1783" s="115"/>
      <c r="B1783" s="79"/>
      <c r="C1783" s="115"/>
      <c r="D1783" s="115"/>
      <c r="E1783" s="115"/>
      <c r="F1783" s="115"/>
    </row>
    <row r="1784" spans="1:6" x14ac:dyDescent="0.2">
      <c r="A1784" s="115"/>
      <c r="B1784" s="79"/>
      <c r="C1784" s="115"/>
      <c r="D1784" s="115"/>
      <c r="E1784" s="115"/>
      <c r="F1784" s="115"/>
    </row>
    <row r="1785" spans="1:6" x14ac:dyDescent="0.2">
      <c r="A1785" s="115"/>
      <c r="B1785" s="79"/>
      <c r="C1785" s="115"/>
      <c r="D1785" s="115"/>
      <c r="E1785" s="115"/>
      <c r="F1785" s="115"/>
    </row>
    <row r="1786" spans="1:6" x14ac:dyDescent="0.2">
      <c r="A1786" s="115"/>
      <c r="B1786" s="79"/>
      <c r="C1786" s="115"/>
      <c r="D1786" s="115"/>
      <c r="E1786" s="115"/>
      <c r="F1786" s="115"/>
    </row>
    <row r="1787" spans="1:6" x14ac:dyDescent="0.2">
      <c r="A1787" s="115"/>
      <c r="B1787" s="79"/>
      <c r="C1787" s="115"/>
      <c r="D1787" s="115"/>
      <c r="E1787" s="115"/>
      <c r="F1787" s="115"/>
    </row>
    <row r="1788" spans="1:6" x14ac:dyDescent="0.2">
      <c r="A1788" s="115"/>
      <c r="B1788" s="79"/>
      <c r="C1788" s="115"/>
      <c r="D1788" s="115"/>
      <c r="E1788" s="115"/>
      <c r="F1788" s="115"/>
    </row>
    <row r="1789" spans="1:6" x14ac:dyDescent="0.2">
      <c r="A1789" s="115"/>
      <c r="B1789" s="79"/>
      <c r="C1789" s="115"/>
      <c r="D1789" s="115"/>
      <c r="E1789" s="115"/>
      <c r="F1789" s="115"/>
    </row>
    <row r="1790" spans="1:6" x14ac:dyDescent="0.2">
      <c r="A1790" s="115"/>
      <c r="B1790" s="79"/>
      <c r="C1790" s="115"/>
      <c r="D1790" s="115"/>
      <c r="E1790" s="115"/>
      <c r="F1790" s="115"/>
    </row>
    <row r="1791" spans="1:6" x14ac:dyDescent="0.2">
      <c r="A1791" s="115"/>
      <c r="B1791" s="79"/>
      <c r="C1791" s="115"/>
      <c r="D1791" s="115"/>
      <c r="E1791" s="115"/>
      <c r="F1791" s="115"/>
    </row>
    <row r="1792" spans="1:6" x14ac:dyDescent="0.2">
      <c r="A1792" s="115"/>
      <c r="B1792" s="79"/>
      <c r="C1792" s="115"/>
      <c r="D1792" s="115"/>
      <c r="E1792" s="115"/>
      <c r="F1792" s="115"/>
    </row>
    <row r="1793" spans="1:6" x14ac:dyDescent="0.2">
      <c r="A1793" s="115"/>
      <c r="B1793" s="79"/>
      <c r="C1793" s="115"/>
      <c r="D1793" s="115"/>
      <c r="E1793" s="115"/>
      <c r="F1793" s="115"/>
    </row>
    <row r="1794" spans="1:6" x14ac:dyDescent="0.2">
      <c r="A1794" s="115"/>
      <c r="B1794" s="79"/>
      <c r="C1794" s="115"/>
      <c r="D1794" s="115"/>
      <c r="E1794" s="115"/>
      <c r="F1794" s="115"/>
    </row>
    <row r="1795" spans="1:6" x14ac:dyDescent="0.2">
      <c r="A1795" s="115"/>
      <c r="B1795" s="79"/>
      <c r="C1795" s="115"/>
      <c r="D1795" s="115"/>
      <c r="E1795" s="115"/>
      <c r="F1795" s="115"/>
    </row>
    <row r="1796" spans="1:6" x14ac:dyDescent="0.2">
      <c r="A1796" s="115"/>
      <c r="B1796" s="79"/>
      <c r="C1796" s="115"/>
      <c r="D1796" s="115"/>
      <c r="E1796" s="115"/>
      <c r="F1796" s="115"/>
    </row>
    <row r="1797" spans="1:6" x14ac:dyDescent="0.2">
      <c r="A1797" s="115"/>
      <c r="B1797" s="79"/>
      <c r="C1797" s="115"/>
      <c r="D1797" s="115"/>
      <c r="E1797" s="115"/>
      <c r="F1797" s="115"/>
    </row>
    <row r="1798" spans="1:6" x14ac:dyDescent="0.2">
      <c r="A1798" s="115"/>
      <c r="B1798" s="79"/>
      <c r="C1798" s="115"/>
      <c r="D1798" s="115"/>
      <c r="E1798" s="115"/>
      <c r="F1798" s="115"/>
    </row>
    <row r="1799" spans="1:6" x14ac:dyDescent="0.2">
      <c r="A1799" s="115"/>
      <c r="B1799" s="79"/>
      <c r="C1799" s="115"/>
      <c r="D1799" s="115"/>
      <c r="E1799" s="115"/>
      <c r="F1799" s="115"/>
    </row>
    <row r="1800" spans="1:6" x14ac:dyDescent="0.2">
      <c r="A1800" s="115"/>
      <c r="B1800" s="79"/>
      <c r="C1800" s="115"/>
      <c r="D1800" s="115"/>
      <c r="E1800" s="115"/>
      <c r="F1800" s="115"/>
    </row>
    <row r="1801" spans="1:6" x14ac:dyDescent="0.2">
      <c r="A1801" s="115"/>
      <c r="B1801" s="79"/>
      <c r="C1801" s="115"/>
      <c r="D1801" s="115"/>
      <c r="E1801" s="115"/>
      <c r="F1801" s="115"/>
    </row>
    <row r="1802" spans="1:6" x14ac:dyDescent="0.2">
      <c r="A1802" s="115"/>
      <c r="B1802" s="79"/>
      <c r="C1802" s="115"/>
      <c r="D1802" s="115"/>
      <c r="E1802" s="115"/>
      <c r="F1802" s="115"/>
    </row>
    <row r="1803" spans="1:6" x14ac:dyDescent="0.2">
      <c r="A1803" s="115"/>
      <c r="B1803" s="79"/>
      <c r="C1803" s="115"/>
      <c r="D1803" s="115"/>
      <c r="E1803" s="115"/>
      <c r="F1803" s="115"/>
    </row>
    <row r="1804" spans="1:6" x14ac:dyDescent="0.2">
      <c r="A1804" s="115"/>
      <c r="B1804" s="79"/>
      <c r="C1804" s="115"/>
      <c r="D1804" s="115"/>
      <c r="E1804" s="115"/>
      <c r="F1804" s="115"/>
    </row>
    <row r="1805" spans="1:6" x14ac:dyDescent="0.2">
      <c r="A1805" s="115"/>
      <c r="B1805" s="79"/>
      <c r="C1805" s="115"/>
      <c r="D1805" s="115"/>
      <c r="E1805" s="115"/>
      <c r="F1805" s="115"/>
    </row>
    <row r="1806" spans="1:6" x14ac:dyDescent="0.2">
      <c r="A1806" s="115"/>
      <c r="B1806" s="79"/>
      <c r="C1806" s="115"/>
      <c r="D1806" s="115"/>
      <c r="E1806" s="115"/>
      <c r="F1806" s="115"/>
    </row>
    <row r="1807" spans="1:6" x14ac:dyDescent="0.2">
      <c r="A1807" s="115"/>
      <c r="B1807" s="79"/>
      <c r="C1807" s="115"/>
      <c r="D1807" s="115"/>
      <c r="E1807" s="115"/>
      <c r="F1807" s="115"/>
    </row>
    <row r="1808" spans="1:6" x14ac:dyDescent="0.2">
      <c r="A1808" s="115"/>
      <c r="B1808" s="79"/>
      <c r="C1808" s="115"/>
      <c r="D1808" s="115"/>
      <c r="E1808" s="115"/>
      <c r="F1808" s="115"/>
    </row>
    <row r="1809" spans="1:6" x14ac:dyDescent="0.2">
      <c r="A1809" s="115"/>
      <c r="B1809" s="79"/>
      <c r="C1809" s="115"/>
      <c r="D1809" s="115"/>
      <c r="E1809" s="115"/>
      <c r="F1809" s="115"/>
    </row>
    <row r="1810" spans="1:6" x14ac:dyDescent="0.2">
      <c r="A1810" s="115"/>
      <c r="B1810" s="79"/>
      <c r="C1810" s="115"/>
      <c r="D1810" s="115"/>
      <c r="E1810" s="115"/>
      <c r="F1810" s="115"/>
    </row>
    <row r="1811" spans="1:6" x14ac:dyDescent="0.2">
      <c r="A1811" s="115"/>
      <c r="B1811" s="79"/>
      <c r="C1811" s="115"/>
      <c r="D1811" s="115"/>
      <c r="E1811" s="115"/>
      <c r="F1811" s="115"/>
    </row>
    <row r="1812" spans="1:6" x14ac:dyDescent="0.2">
      <c r="A1812" s="115"/>
      <c r="B1812" s="79"/>
      <c r="C1812" s="115"/>
      <c r="D1812" s="115"/>
      <c r="E1812" s="115"/>
      <c r="F1812" s="115"/>
    </row>
    <row r="1813" spans="1:6" x14ac:dyDescent="0.2">
      <c r="A1813" s="115"/>
      <c r="B1813" s="79"/>
      <c r="C1813" s="115"/>
      <c r="D1813" s="115"/>
      <c r="E1813" s="115"/>
      <c r="F1813" s="115"/>
    </row>
    <row r="1814" spans="1:6" x14ac:dyDescent="0.2">
      <c r="A1814" s="115"/>
      <c r="B1814" s="79"/>
      <c r="C1814" s="115"/>
      <c r="D1814" s="115"/>
      <c r="E1814" s="115"/>
      <c r="F1814" s="115"/>
    </row>
    <row r="1815" spans="1:6" x14ac:dyDescent="0.2">
      <c r="A1815" s="115"/>
      <c r="B1815" s="79"/>
      <c r="C1815" s="115"/>
      <c r="D1815" s="115"/>
      <c r="E1815" s="115"/>
      <c r="F1815" s="115"/>
    </row>
    <row r="1816" spans="1:6" x14ac:dyDescent="0.2">
      <c r="A1816" s="115"/>
      <c r="B1816" s="79"/>
      <c r="C1816" s="115"/>
      <c r="D1816" s="115"/>
      <c r="E1816" s="115"/>
      <c r="F1816" s="115"/>
    </row>
    <row r="1817" spans="1:6" x14ac:dyDescent="0.2">
      <c r="A1817" s="115"/>
      <c r="B1817" s="79"/>
      <c r="C1817" s="115"/>
      <c r="D1817" s="115"/>
      <c r="E1817" s="115"/>
      <c r="F1817" s="115"/>
    </row>
    <row r="1818" spans="1:6" x14ac:dyDescent="0.2">
      <c r="A1818" s="115"/>
      <c r="B1818" s="79"/>
      <c r="C1818" s="115"/>
      <c r="D1818" s="115"/>
      <c r="E1818" s="115"/>
      <c r="F1818" s="115"/>
    </row>
    <row r="1819" spans="1:6" x14ac:dyDescent="0.2">
      <c r="A1819" s="115"/>
      <c r="B1819" s="79"/>
      <c r="C1819" s="115"/>
      <c r="D1819" s="115"/>
      <c r="E1819" s="115"/>
      <c r="F1819" s="115"/>
    </row>
    <row r="1820" spans="1:6" x14ac:dyDescent="0.2">
      <c r="A1820" s="115"/>
      <c r="B1820" s="79"/>
      <c r="C1820" s="115"/>
      <c r="D1820" s="115"/>
      <c r="E1820" s="115"/>
      <c r="F1820" s="115"/>
    </row>
    <row r="1821" spans="1:6" x14ac:dyDescent="0.2">
      <c r="A1821" s="115"/>
      <c r="B1821" s="79"/>
      <c r="C1821" s="115"/>
      <c r="D1821" s="115"/>
      <c r="E1821" s="115"/>
      <c r="F1821" s="115"/>
    </row>
    <row r="1822" spans="1:6" x14ac:dyDescent="0.2">
      <c r="A1822" s="115"/>
      <c r="B1822" s="79"/>
      <c r="C1822" s="115"/>
      <c r="D1822" s="115"/>
      <c r="E1822" s="115"/>
      <c r="F1822" s="115"/>
    </row>
    <row r="1823" spans="1:6" x14ac:dyDescent="0.2">
      <c r="A1823" s="115"/>
      <c r="B1823" s="79"/>
      <c r="C1823" s="115"/>
      <c r="D1823" s="115"/>
      <c r="E1823" s="115"/>
      <c r="F1823" s="115"/>
    </row>
    <row r="1824" spans="1:6" x14ac:dyDescent="0.2">
      <c r="A1824" s="115"/>
      <c r="B1824" s="79"/>
      <c r="C1824" s="115"/>
      <c r="D1824" s="115"/>
      <c r="E1824" s="115"/>
      <c r="F1824" s="115"/>
    </row>
    <row r="1825" spans="1:6" x14ac:dyDescent="0.2">
      <c r="A1825" s="115"/>
      <c r="B1825" s="79"/>
      <c r="C1825" s="115"/>
      <c r="D1825" s="115"/>
      <c r="E1825" s="115"/>
      <c r="F1825" s="115"/>
    </row>
    <row r="1826" spans="1:6" x14ac:dyDescent="0.2">
      <c r="A1826" s="115"/>
      <c r="B1826" s="79"/>
      <c r="C1826" s="115"/>
      <c r="D1826" s="115"/>
      <c r="E1826" s="115"/>
      <c r="F1826" s="115"/>
    </row>
    <row r="1827" spans="1:6" x14ac:dyDescent="0.2">
      <c r="A1827" s="115"/>
      <c r="B1827" s="79"/>
      <c r="C1827" s="115"/>
      <c r="D1827" s="115"/>
      <c r="E1827" s="115"/>
      <c r="F1827" s="115"/>
    </row>
    <row r="1828" spans="1:6" x14ac:dyDescent="0.2">
      <c r="A1828" s="115"/>
      <c r="B1828" s="79"/>
      <c r="C1828" s="115"/>
      <c r="D1828" s="115"/>
      <c r="E1828" s="115"/>
      <c r="F1828" s="115"/>
    </row>
    <row r="1829" spans="1:6" x14ac:dyDescent="0.2">
      <c r="A1829" s="115"/>
      <c r="B1829" s="79"/>
      <c r="C1829" s="115"/>
      <c r="D1829" s="115"/>
      <c r="E1829" s="115"/>
      <c r="F1829" s="115"/>
    </row>
    <row r="1830" spans="1:6" x14ac:dyDescent="0.2">
      <c r="A1830" s="115"/>
      <c r="B1830" s="79"/>
      <c r="C1830" s="115"/>
      <c r="D1830" s="115"/>
      <c r="E1830" s="115"/>
      <c r="F1830" s="115"/>
    </row>
    <row r="1831" spans="1:6" x14ac:dyDescent="0.2">
      <c r="A1831" s="115"/>
      <c r="B1831" s="79"/>
      <c r="C1831" s="115"/>
      <c r="D1831" s="115"/>
      <c r="E1831" s="115"/>
      <c r="F1831" s="115"/>
    </row>
    <row r="1832" spans="1:6" x14ac:dyDescent="0.2">
      <c r="A1832" s="115"/>
      <c r="B1832" s="79"/>
      <c r="C1832" s="115"/>
      <c r="D1832" s="115"/>
      <c r="E1832" s="115"/>
      <c r="F1832" s="115"/>
    </row>
    <row r="1833" spans="1:6" x14ac:dyDescent="0.2">
      <c r="A1833" s="115"/>
      <c r="B1833" s="79"/>
      <c r="C1833" s="115"/>
      <c r="D1833" s="115"/>
      <c r="E1833" s="115"/>
      <c r="F1833" s="115"/>
    </row>
    <row r="1834" spans="1:6" x14ac:dyDescent="0.2">
      <c r="A1834" s="115"/>
      <c r="B1834" s="79"/>
      <c r="C1834" s="115"/>
      <c r="D1834" s="115"/>
      <c r="E1834" s="115"/>
      <c r="F1834" s="115"/>
    </row>
    <row r="1835" spans="1:6" x14ac:dyDescent="0.2">
      <c r="A1835" s="115"/>
      <c r="B1835" s="79"/>
      <c r="C1835" s="115"/>
      <c r="D1835" s="115"/>
      <c r="E1835" s="115"/>
      <c r="F1835" s="115"/>
    </row>
    <row r="1836" spans="1:6" x14ac:dyDescent="0.2">
      <c r="A1836" s="115"/>
      <c r="B1836" s="79"/>
      <c r="C1836" s="115"/>
      <c r="D1836" s="115"/>
      <c r="E1836" s="115"/>
      <c r="F1836" s="115"/>
    </row>
    <row r="1837" spans="1:6" x14ac:dyDescent="0.2">
      <c r="A1837" s="115"/>
      <c r="B1837" s="79"/>
      <c r="C1837" s="115"/>
      <c r="D1837" s="115"/>
      <c r="E1837" s="115"/>
      <c r="F1837" s="115"/>
    </row>
    <row r="1838" spans="1:6" x14ac:dyDescent="0.2">
      <c r="A1838" s="115"/>
      <c r="B1838" s="79"/>
      <c r="C1838" s="115"/>
      <c r="D1838" s="115"/>
      <c r="E1838" s="115"/>
      <c r="F1838" s="115"/>
    </row>
    <row r="1839" spans="1:6" x14ac:dyDescent="0.2">
      <c r="A1839" s="115"/>
      <c r="B1839" s="79"/>
      <c r="C1839" s="115"/>
      <c r="D1839" s="115"/>
      <c r="E1839" s="115"/>
      <c r="F1839" s="115"/>
    </row>
    <row r="1840" spans="1:6" x14ac:dyDescent="0.2">
      <c r="A1840" s="115"/>
      <c r="B1840" s="79"/>
      <c r="C1840" s="115"/>
      <c r="D1840" s="115"/>
      <c r="E1840" s="115"/>
      <c r="F1840" s="115"/>
    </row>
    <row r="1841" spans="1:6" x14ac:dyDescent="0.2">
      <c r="A1841" s="115"/>
      <c r="B1841" s="79"/>
      <c r="C1841" s="115"/>
      <c r="D1841" s="115"/>
      <c r="E1841" s="115"/>
      <c r="F1841" s="115"/>
    </row>
    <row r="1842" spans="1:6" x14ac:dyDescent="0.2">
      <c r="A1842" s="115"/>
      <c r="B1842" s="79"/>
      <c r="C1842" s="115"/>
      <c r="D1842" s="115"/>
      <c r="E1842" s="115"/>
      <c r="F1842" s="115"/>
    </row>
    <row r="1843" spans="1:6" x14ac:dyDescent="0.2">
      <c r="A1843" s="115"/>
      <c r="B1843" s="79"/>
      <c r="C1843" s="115"/>
      <c r="D1843" s="115"/>
      <c r="E1843" s="115"/>
      <c r="F1843" s="115"/>
    </row>
    <row r="1844" spans="1:6" x14ac:dyDescent="0.2">
      <c r="A1844" s="115"/>
      <c r="B1844" s="79"/>
      <c r="C1844" s="115"/>
      <c r="D1844" s="115"/>
      <c r="E1844" s="115"/>
      <c r="F1844" s="115"/>
    </row>
    <row r="1845" spans="1:6" x14ac:dyDescent="0.2">
      <c r="A1845" s="115"/>
      <c r="B1845" s="79"/>
      <c r="C1845" s="115"/>
      <c r="D1845" s="115"/>
      <c r="E1845" s="115"/>
      <c r="F1845" s="115"/>
    </row>
    <row r="1846" spans="1:6" x14ac:dyDescent="0.2">
      <c r="A1846" s="115"/>
      <c r="B1846" s="79"/>
      <c r="C1846" s="115"/>
      <c r="D1846" s="115"/>
      <c r="E1846" s="115"/>
      <c r="F1846" s="115"/>
    </row>
    <row r="1847" spans="1:6" x14ac:dyDescent="0.2">
      <c r="A1847" s="115"/>
      <c r="B1847" s="79"/>
      <c r="C1847" s="115"/>
      <c r="D1847" s="115"/>
      <c r="E1847" s="115"/>
      <c r="F1847" s="115"/>
    </row>
    <row r="1848" spans="1:6" x14ac:dyDescent="0.2">
      <c r="A1848" s="115"/>
      <c r="B1848" s="79"/>
      <c r="C1848" s="115"/>
      <c r="D1848" s="115"/>
      <c r="E1848" s="115"/>
      <c r="F1848" s="115"/>
    </row>
    <row r="1849" spans="1:6" x14ac:dyDescent="0.2">
      <c r="A1849" s="115"/>
      <c r="B1849" s="79"/>
      <c r="C1849" s="115"/>
      <c r="D1849" s="115"/>
      <c r="E1849" s="115"/>
      <c r="F1849" s="115"/>
    </row>
    <row r="1850" spans="1:6" x14ac:dyDescent="0.2">
      <c r="A1850" s="115"/>
      <c r="B1850" s="79"/>
      <c r="C1850" s="115"/>
      <c r="D1850" s="115"/>
      <c r="E1850" s="115"/>
      <c r="F1850" s="115"/>
    </row>
    <row r="1851" spans="1:6" x14ac:dyDescent="0.2">
      <c r="A1851" s="115"/>
      <c r="B1851" s="79"/>
      <c r="C1851" s="115"/>
      <c r="D1851" s="115"/>
      <c r="E1851" s="115"/>
      <c r="F1851" s="115"/>
    </row>
    <row r="1852" spans="1:6" x14ac:dyDescent="0.2">
      <c r="A1852" s="115"/>
      <c r="B1852" s="79"/>
      <c r="C1852" s="115"/>
      <c r="D1852" s="115"/>
      <c r="E1852" s="115"/>
      <c r="F1852" s="115"/>
    </row>
    <row r="1853" spans="1:6" x14ac:dyDescent="0.2">
      <c r="A1853" s="115"/>
      <c r="B1853" s="79"/>
      <c r="C1853" s="115"/>
      <c r="D1853" s="115"/>
      <c r="E1853" s="115"/>
      <c r="F1853" s="115"/>
    </row>
    <row r="1854" spans="1:6" x14ac:dyDescent="0.2">
      <c r="A1854" s="115"/>
      <c r="B1854" s="79"/>
      <c r="C1854" s="115"/>
      <c r="D1854" s="115"/>
      <c r="E1854" s="115"/>
      <c r="F1854" s="115"/>
    </row>
    <row r="1855" spans="1:6" x14ac:dyDescent="0.2">
      <c r="A1855" s="115"/>
      <c r="B1855" s="79"/>
      <c r="C1855" s="115"/>
      <c r="D1855" s="115"/>
      <c r="E1855" s="115"/>
      <c r="F1855" s="115"/>
    </row>
    <row r="1856" spans="1:6" x14ac:dyDescent="0.2">
      <c r="A1856" s="115"/>
      <c r="B1856" s="79"/>
      <c r="C1856" s="115"/>
      <c r="D1856" s="115"/>
      <c r="E1856" s="115"/>
      <c r="F1856" s="115"/>
    </row>
    <row r="1857" spans="1:6" x14ac:dyDescent="0.2">
      <c r="A1857" s="115"/>
      <c r="B1857" s="79"/>
      <c r="C1857" s="115"/>
      <c r="D1857" s="115"/>
      <c r="E1857" s="115"/>
      <c r="F1857" s="115"/>
    </row>
    <row r="1858" spans="1:6" x14ac:dyDescent="0.2">
      <c r="A1858" s="115"/>
      <c r="B1858" s="79"/>
      <c r="C1858" s="115"/>
      <c r="D1858" s="115"/>
      <c r="E1858" s="115"/>
      <c r="F1858" s="115"/>
    </row>
    <row r="1859" spans="1:6" x14ac:dyDescent="0.2">
      <c r="A1859" s="115"/>
      <c r="B1859" s="79"/>
      <c r="C1859" s="115"/>
      <c r="D1859" s="115"/>
      <c r="E1859" s="115"/>
      <c r="F1859" s="115"/>
    </row>
    <row r="1860" spans="1:6" x14ac:dyDescent="0.2">
      <c r="A1860" s="115"/>
      <c r="B1860" s="79"/>
      <c r="C1860" s="115"/>
      <c r="D1860" s="115"/>
      <c r="E1860" s="115"/>
      <c r="F1860" s="115"/>
    </row>
    <row r="1861" spans="1:6" x14ac:dyDescent="0.2">
      <c r="A1861" s="115"/>
      <c r="B1861" s="79"/>
      <c r="C1861" s="115"/>
      <c r="D1861" s="115"/>
      <c r="E1861" s="115"/>
      <c r="F1861" s="115"/>
    </row>
    <row r="1862" spans="1:6" x14ac:dyDescent="0.2">
      <c r="A1862" s="115"/>
      <c r="B1862" s="79"/>
      <c r="C1862" s="115"/>
      <c r="D1862" s="115"/>
      <c r="E1862" s="115"/>
      <c r="F1862" s="115"/>
    </row>
    <row r="1863" spans="1:6" x14ac:dyDescent="0.2">
      <c r="A1863" s="115"/>
      <c r="B1863" s="79"/>
      <c r="C1863" s="115"/>
      <c r="D1863" s="115"/>
      <c r="E1863" s="115"/>
      <c r="F1863" s="115"/>
    </row>
    <row r="1864" spans="1:6" x14ac:dyDescent="0.2">
      <c r="A1864" s="115"/>
      <c r="B1864" s="79"/>
      <c r="C1864" s="115"/>
      <c r="D1864" s="115"/>
      <c r="E1864" s="115"/>
      <c r="F1864" s="115"/>
    </row>
    <row r="1865" spans="1:6" x14ac:dyDescent="0.2">
      <c r="A1865" s="115"/>
      <c r="B1865" s="79"/>
      <c r="C1865" s="115"/>
      <c r="D1865" s="115"/>
      <c r="E1865" s="115"/>
      <c r="F1865" s="115"/>
    </row>
    <row r="1866" spans="1:6" x14ac:dyDescent="0.2">
      <c r="A1866" s="115"/>
      <c r="B1866" s="79"/>
      <c r="C1866" s="115"/>
      <c r="D1866" s="115"/>
      <c r="E1866" s="115"/>
      <c r="F1866" s="115"/>
    </row>
    <row r="1867" spans="1:6" x14ac:dyDescent="0.2">
      <c r="A1867" s="115"/>
      <c r="B1867" s="79"/>
      <c r="C1867" s="115"/>
      <c r="D1867" s="115"/>
      <c r="E1867" s="115"/>
      <c r="F1867" s="115"/>
    </row>
    <row r="1868" spans="1:6" x14ac:dyDescent="0.2">
      <c r="A1868" s="115"/>
      <c r="B1868" s="79"/>
      <c r="C1868" s="115"/>
      <c r="D1868" s="115"/>
      <c r="E1868" s="115"/>
      <c r="F1868" s="115"/>
    </row>
    <row r="1869" spans="1:6" x14ac:dyDescent="0.2">
      <c r="A1869" s="115"/>
      <c r="B1869" s="79"/>
      <c r="C1869" s="115"/>
      <c r="D1869" s="115"/>
      <c r="E1869" s="115"/>
      <c r="F1869" s="115"/>
    </row>
    <row r="1870" spans="1:6" x14ac:dyDescent="0.2">
      <c r="A1870" s="115"/>
      <c r="B1870" s="79"/>
      <c r="C1870" s="115"/>
      <c r="D1870" s="115"/>
      <c r="E1870" s="115"/>
      <c r="F1870" s="115"/>
    </row>
    <row r="1871" spans="1:6" x14ac:dyDescent="0.2">
      <c r="A1871" s="115"/>
      <c r="B1871" s="79"/>
      <c r="C1871" s="115"/>
      <c r="D1871" s="115"/>
      <c r="E1871" s="115"/>
      <c r="F1871" s="115"/>
    </row>
    <row r="1872" spans="1:6" x14ac:dyDescent="0.2">
      <c r="A1872" s="115"/>
      <c r="B1872" s="79"/>
      <c r="C1872" s="115"/>
      <c r="D1872" s="115"/>
      <c r="E1872" s="115"/>
      <c r="F1872" s="115"/>
    </row>
    <row r="1873" spans="1:6" x14ac:dyDescent="0.2">
      <c r="A1873" s="115"/>
      <c r="B1873" s="79"/>
      <c r="C1873" s="115"/>
      <c r="D1873" s="115"/>
      <c r="E1873" s="115"/>
      <c r="F1873" s="115"/>
    </row>
    <row r="1874" spans="1:6" x14ac:dyDescent="0.2">
      <c r="A1874" s="115"/>
      <c r="B1874" s="79"/>
      <c r="C1874" s="115"/>
      <c r="D1874" s="115"/>
      <c r="E1874" s="115"/>
      <c r="F1874" s="115"/>
    </row>
    <row r="1875" spans="1:6" x14ac:dyDescent="0.2">
      <c r="A1875" s="115"/>
      <c r="B1875" s="79"/>
      <c r="C1875" s="115"/>
      <c r="D1875" s="115"/>
      <c r="E1875" s="115"/>
      <c r="F1875" s="115"/>
    </row>
    <row r="1876" spans="1:6" x14ac:dyDescent="0.2">
      <c r="A1876" s="115"/>
      <c r="B1876" s="79"/>
      <c r="C1876" s="115"/>
      <c r="D1876" s="115"/>
      <c r="E1876" s="115"/>
      <c r="F1876" s="115"/>
    </row>
    <row r="1877" spans="1:6" x14ac:dyDescent="0.2">
      <c r="A1877" s="115"/>
      <c r="B1877" s="79"/>
      <c r="C1877" s="115"/>
      <c r="D1877" s="115"/>
      <c r="E1877" s="115"/>
      <c r="F1877" s="115"/>
    </row>
    <row r="1878" spans="1:6" x14ac:dyDescent="0.2">
      <c r="A1878" s="115"/>
      <c r="B1878" s="79"/>
      <c r="C1878" s="115"/>
      <c r="D1878" s="115"/>
      <c r="E1878" s="115"/>
      <c r="F1878" s="115"/>
    </row>
    <row r="1879" spans="1:6" x14ac:dyDescent="0.2">
      <c r="A1879" s="115"/>
      <c r="B1879" s="79"/>
      <c r="C1879" s="115"/>
      <c r="D1879" s="115"/>
      <c r="E1879" s="115"/>
      <c r="F1879" s="115"/>
    </row>
    <row r="1880" spans="1:6" x14ac:dyDescent="0.2">
      <c r="A1880" s="115"/>
      <c r="B1880" s="79"/>
      <c r="C1880" s="115"/>
      <c r="D1880" s="115"/>
      <c r="E1880" s="115"/>
      <c r="F1880" s="115"/>
    </row>
    <row r="1881" spans="1:6" x14ac:dyDescent="0.2">
      <c r="A1881" s="115"/>
      <c r="B1881" s="79"/>
      <c r="C1881" s="115"/>
      <c r="D1881" s="115"/>
      <c r="E1881" s="115"/>
      <c r="F1881" s="115"/>
    </row>
    <row r="1882" spans="1:6" x14ac:dyDescent="0.2">
      <c r="A1882" s="115"/>
      <c r="B1882" s="79"/>
      <c r="C1882" s="115"/>
      <c r="D1882" s="115"/>
      <c r="E1882" s="115"/>
      <c r="F1882" s="115"/>
    </row>
    <row r="1883" spans="1:6" x14ac:dyDescent="0.2">
      <c r="A1883" s="115"/>
      <c r="B1883" s="79"/>
      <c r="C1883" s="115"/>
      <c r="D1883" s="115"/>
      <c r="E1883" s="115"/>
      <c r="F1883" s="115"/>
    </row>
    <row r="1884" spans="1:6" x14ac:dyDescent="0.2">
      <c r="A1884" s="115"/>
      <c r="B1884" s="79"/>
      <c r="C1884" s="115"/>
      <c r="D1884" s="115"/>
      <c r="E1884" s="115"/>
      <c r="F1884" s="115"/>
    </row>
    <row r="1885" spans="1:6" x14ac:dyDescent="0.2">
      <c r="A1885" s="115"/>
      <c r="B1885" s="79"/>
      <c r="C1885" s="115"/>
      <c r="D1885" s="115"/>
      <c r="E1885" s="115"/>
      <c r="F1885" s="115"/>
    </row>
    <row r="1886" spans="1:6" x14ac:dyDescent="0.2">
      <c r="A1886" s="115"/>
      <c r="B1886" s="79"/>
      <c r="C1886" s="115"/>
      <c r="D1886" s="115"/>
      <c r="E1886" s="115"/>
      <c r="F1886" s="115"/>
    </row>
    <row r="1887" spans="1:6" x14ac:dyDescent="0.2">
      <c r="A1887" s="115"/>
      <c r="B1887" s="79"/>
      <c r="C1887" s="115"/>
      <c r="D1887" s="115"/>
      <c r="E1887" s="115"/>
      <c r="F1887" s="115"/>
    </row>
    <row r="1888" spans="1:6" x14ac:dyDescent="0.2">
      <c r="A1888" s="115"/>
      <c r="B1888" s="79"/>
      <c r="C1888" s="115"/>
      <c r="D1888" s="115"/>
      <c r="E1888" s="115"/>
      <c r="F1888" s="115"/>
    </row>
    <row r="1889" spans="1:6" x14ac:dyDescent="0.2">
      <c r="A1889" s="115"/>
      <c r="B1889" s="79"/>
      <c r="C1889" s="115"/>
      <c r="D1889" s="115"/>
      <c r="E1889" s="115"/>
      <c r="F1889" s="115"/>
    </row>
    <row r="1890" spans="1:6" x14ac:dyDescent="0.2">
      <c r="A1890" s="115"/>
      <c r="B1890" s="79"/>
      <c r="C1890" s="115"/>
      <c r="D1890" s="115"/>
      <c r="E1890" s="115"/>
      <c r="F1890" s="115"/>
    </row>
    <row r="1891" spans="1:6" x14ac:dyDescent="0.2">
      <c r="A1891" s="115"/>
      <c r="B1891" s="79"/>
      <c r="C1891" s="115"/>
      <c r="D1891" s="115"/>
      <c r="E1891" s="115"/>
      <c r="F1891" s="115"/>
    </row>
    <row r="1892" spans="1:6" x14ac:dyDescent="0.2">
      <c r="A1892" s="115"/>
      <c r="B1892" s="79"/>
      <c r="C1892" s="115"/>
      <c r="D1892" s="115"/>
      <c r="E1892" s="115"/>
      <c r="F1892" s="115"/>
    </row>
    <row r="1893" spans="1:6" x14ac:dyDescent="0.2">
      <c r="A1893" s="115"/>
      <c r="B1893" s="79"/>
      <c r="C1893" s="115"/>
      <c r="D1893" s="115"/>
      <c r="E1893" s="115"/>
      <c r="F1893" s="115"/>
    </row>
    <row r="1894" spans="1:6" x14ac:dyDescent="0.2">
      <c r="A1894" s="115"/>
      <c r="B1894" s="79"/>
      <c r="C1894" s="115"/>
      <c r="D1894" s="115"/>
      <c r="E1894" s="115"/>
      <c r="F1894" s="115"/>
    </row>
    <row r="1895" spans="1:6" x14ac:dyDescent="0.2">
      <c r="A1895" s="115"/>
      <c r="B1895" s="79"/>
      <c r="C1895" s="115"/>
      <c r="D1895" s="115"/>
      <c r="E1895" s="115"/>
      <c r="F1895" s="115"/>
    </row>
    <row r="1896" spans="1:6" x14ac:dyDescent="0.2">
      <c r="A1896" s="115"/>
      <c r="B1896" s="79"/>
      <c r="C1896" s="115"/>
      <c r="D1896" s="115"/>
      <c r="E1896" s="115"/>
      <c r="F1896" s="115"/>
    </row>
    <row r="1897" spans="1:6" x14ac:dyDescent="0.2">
      <c r="A1897" s="115"/>
      <c r="B1897" s="79"/>
      <c r="C1897" s="115"/>
      <c r="D1897" s="115"/>
      <c r="E1897" s="115"/>
      <c r="F1897" s="115"/>
    </row>
    <row r="1898" spans="1:6" x14ac:dyDescent="0.2">
      <c r="A1898" s="115"/>
      <c r="B1898" s="79"/>
      <c r="C1898" s="115"/>
      <c r="D1898" s="115"/>
      <c r="E1898" s="115"/>
      <c r="F1898" s="115"/>
    </row>
    <row r="1899" spans="1:6" x14ac:dyDescent="0.2">
      <c r="A1899" s="115"/>
      <c r="B1899" s="79"/>
      <c r="C1899" s="115"/>
      <c r="D1899" s="115"/>
      <c r="E1899" s="115"/>
      <c r="F1899" s="115"/>
    </row>
    <row r="1900" spans="1:6" x14ac:dyDescent="0.2">
      <c r="A1900" s="115"/>
      <c r="B1900" s="79"/>
      <c r="C1900" s="115"/>
      <c r="D1900" s="115"/>
      <c r="E1900" s="115"/>
      <c r="F1900" s="115"/>
    </row>
    <row r="1901" spans="1:6" x14ac:dyDescent="0.2">
      <c r="A1901" s="115"/>
      <c r="B1901" s="79"/>
      <c r="C1901" s="115"/>
      <c r="D1901" s="115"/>
      <c r="E1901" s="115"/>
      <c r="F1901" s="115"/>
    </row>
    <row r="1902" spans="1:6" x14ac:dyDescent="0.2">
      <c r="A1902" s="115"/>
      <c r="B1902" s="79"/>
      <c r="C1902" s="115"/>
      <c r="D1902" s="115"/>
      <c r="E1902" s="115"/>
      <c r="F1902" s="115"/>
    </row>
    <row r="1903" spans="1:6" x14ac:dyDescent="0.2">
      <c r="A1903" s="115"/>
      <c r="B1903" s="79"/>
      <c r="C1903" s="115"/>
      <c r="D1903" s="115"/>
      <c r="E1903" s="115"/>
      <c r="F1903" s="115"/>
    </row>
    <row r="1904" spans="1:6" x14ac:dyDescent="0.2">
      <c r="A1904" s="115"/>
      <c r="B1904" s="79"/>
      <c r="C1904" s="115"/>
      <c r="D1904" s="115"/>
      <c r="E1904" s="115"/>
      <c r="F1904" s="115"/>
    </row>
    <row r="1905" spans="1:6" x14ac:dyDescent="0.2">
      <c r="A1905" s="115"/>
      <c r="B1905" s="79"/>
      <c r="C1905" s="115"/>
      <c r="D1905" s="115"/>
      <c r="E1905" s="115"/>
      <c r="F1905" s="115"/>
    </row>
    <row r="1906" spans="1:6" x14ac:dyDescent="0.2">
      <c r="A1906" s="115"/>
      <c r="B1906" s="79"/>
      <c r="C1906" s="115"/>
      <c r="D1906" s="115"/>
      <c r="E1906" s="115"/>
      <c r="F1906" s="115"/>
    </row>
    <row r="1907" spans="1:6" x14ac:dyDescent="0.2">
      <c r="A1907" s="115"/>
      <c r="B1907" s="79"/>
      <c r="C1907" s="115"/>
      <c r="D1907" s="115"/>
      <c r="E1907" s="115"/>
      <c r="F1907" s="115"/>
    </row>
    <row r="1908" spans="1:6" x14ac:dyDescent="0.2">
      <c r="A1908" s="115"/>
      <c r="B1908" s="79"/>
      <c r="C1908" s="115"/>
      <c r="D1908" s="115"/>
      <c r="E1908" s="115"/>
      <c r="F1908" s="115"/>
    </row>
    <row r="1909" spans="1:6" x14ac:dyDescent="0.2">
      <c r="A1909" s="115"/>
      <c r="B1909" s="79"/>
      <c r="C1909" s="115"/>
      <c r="D1909" s="115"/>
      <c r="E1909" s="115"/>
      <c r="F1909" s="115"/>
    </row>
    <row r="1910" spans="1:6" x14ac:dyDescent="0.2">
      <c r="A1910" s="115"/>
      <c r="B1910" s="79"/>
      <c r="C1910" s="115"/>
      <c r="D1910" s="115"/>
      <c r="E1910" s="115"/>
      <c r="F1910" s="115"/>
    </row>
    <row r="1911" spans="1:6" x14ac:dyDescent="0.2">
      <c r="A1911" s="115"/>
      <c r="B1911" s="79"/>
      <c r="C1911" s="115"/>
      <c r="D1911" s="115"/>
      <c r="E1911" s="115"/>
      <c r="F1911" s="115"/>
    </row>
    <row r="1912" spans="1:6" x14ac:dyDescent="0.2">
      <c r="A1912" s="115"/>
      <c r="B1912" s="79"/>
      <c r="C1912" s="115"/>
      <c r="D1912" s="115"/>
      <c r="E1912" s="115"/>
      <c r="F1912" s="115"/>
    </row>
    <row r="1913" spans="1:6" x14ac:dyDescent="0.2">
      <c r="A1913" s="115"/>
      <c r="B1913" s="79"/>
      <c r="C1913" s="115"/>
      <c r="D1913" s="115"/>
      <c r="E1913" s="115"/>
      <c r="F1913" s="115"/>
    </row>
    <row r="1914" spans="1:6" x14ac:dyDescent="0.2">
      <c r="A1914" s="115"/>
      <c r="B1914" s="79"/>
      <c r="C1914" s="115"/>
      <c r="D1914" s="115"/>
      <c r="E1914" s="115"/>
      <c r="F1914" s="115"/>
    </row>
    <row r="1915" spans="1:6" x14ac:dyDescent="0.2">
      <c r="A1915" s="115"/>
      <c r="B1915" s="79"/>
      <c r="C1915" s="115"/>
      <c r="D1915" s="115"/>
      <c r="E1915" s="115"/>
      <c r="F1915" s="115"/>
    </row>
    <row r="1916" spans="1:6" x14ac:dyDescent="0.2">
      <c r="A1916" s="115"/>
      <c r="B1916" s="79"/>
      <c r="C1916" s="115"/>
      <c r="D1916" s="115"/>
      <c r="E1916" s="115"/>
      <c r="F1916" s="115"/>
    </row>
    <row r="1917" spans="1:6" x14ac:dyDescent="0.2">
      <c r="A1917" s="115"/>
      <c r="B1917" s="79"/>
      <c r="C1917" s="115"/>
      <c r="D1917" s="115"/>
      <c r="E1917" s="115"/>
      <c r="F1917" s="115"/>
    </row>
    <row r="1918" spans="1:6" x14ac:dyDescent="0.2">
      <c r="A1918" s="115"/>
      <c r="B1918" s="79"/>
      <c r="C1918" s="115"/>
      <c r="D1918" s="115"/>
      <c r="E1918" s="115"/>
      <c r="F1918" s="115"/>
    </row>
    <row r="1919" spans="1:6" x14ac:dyDescent="0.2">
      <c r="A1919" s="115"/>
      <c r="B1919" s="79"/>
      <c r="C1919" s="115"/>
      <c r="D1919" s="115"/>
      <c r="E1919" s="115"/>
      <c r="F1919" s="115"/>
    </row>
    <row r="1920" spans="1:6" x14ac:dyDescent="0.2">
      <c r="A1920" s="115"/>
      <c r="B1920" s="79"/>
      <c r="C1920" s="115"/>
      <c r="D1920" s="115"/>
      <c r="E1920" s="115"/>
      <c r="F1920" s="115"/>
    </row>
    <row r="1921" spans="1:6" x14ac:dyDescent="0.2">
      <c r="A1921" s="115"/>
      <c r="B1921" s="79"/>
      <c r="C1921" s="115"/>
      <c r="D1921" s="115"/>
      <c r="E1921" s="115"/>
      <c r="F1921" s="115"/>
    </row>
    <row r="1922" spans="1:6" x14ac:dyDescent="0.2">
      <c r="A1922" s="115"/>
      <c r="B1922" s="79"/>
      <c r="C1922" s="115"/>
      <c r="D1922" s="115"/>
      <c r="E1922" s="115"/>
      <c r="F1922" s="115"/>
    </row>
    <row r="1923" spans="1:6" x14ac:dyDescent="0.2">
      <c r="A1923" s="115"/>
      <c r="B1923" s="79"/>
      <c r="C1923" s="115"/>
      <c r="D1923" s="115"/>
      <c r="E1923" s="115"/>
      <c r="F1923" s="115"/>
    </row>
    <row r="1924" spans="1:6" x14ac:dyDescent="0.2">
      <c r="A1924" s="115"/>
      <c r="B1924" s="79"/>
      <c r="C1924" s="115"/>
      <c r="D1924" s="115"/>
      <c r="E1924" s="115"/>
      <c r="F1924" s="115"/>
    </row>
    <row r="1925" spans="1:6" x14ac:dyDescent="0.2">
      <c r="A1925" s="115"/>
      <c r="B1925" s="79"/>
      <c r="C1925" s="115"/>
      <c r="D1925" s="115"/>
      <c r="E1925" s="115"/>
      <c r="F1925" s="115"/>
    </row>
    <row r="1926" spans="1:6" x14ac:dyDescent="0.2">
      <c r="A1926" s="115"/>
      <c r="B1926" s="79"/>
      <c r="C1926" s="115"/>
      <c r="D1926" s="115"/>
      <c r="E1926" s="115"/>
      <c r="F1926" s="115"/>
    </row>
    <row r="1927" spans="1:6" x14ac:dyDescent="0.2">
      <c r="A1927" s="115"/>
      <c r="B1927" s="79"/>
      <c r="C1927" s="115"/>
      <c r="D1927" s="115"/>
      <c r="E1927" s="115"/>
      <c r="F1927" s="115"/>
    </row>
    <row r="1928" spans="1:6" x14ac:dyDescent="0.2">
      <c r="A1928" s="115"/>
      <c r="B1928" s="79"/>
      <c r="C1928" s="115"/>
      <c r="D1928" s="115"/>
      <c r="E1928" s="115"/>
      <c r="F1928" s="115"/>
    </row>
    <row r="1929" spans="1:6" x14ac:dyDescent="0.2">
      <c r="A1929" s="115"/>
      <c r="B1929" s="79"/>
      <c r="C1929" s="115"/>
      <c r="D1929" s="115"/>
      <c r="E1929" s="115"/>
      <c r="F1929" s="115"/>
    </row>
    <row r="1930" spans="1:6" x14ac:dyDescent="0.2">
      <c r="A1930" s="115"/>
      <c r="B1930" s="79"/>
      <c r="C1930" s="115"/>
      <c r="D1930" s="115"/>
      <c r="E1930" s="115"/>
      <c r="F1930" s="115"/>
    </row>
    <row r="1931" spans="1:6" x14ac:dyDescent="0.2">
      <c r="A1931" s="115"/>
      <c r="B1931" s="79"/>
      <c r="C1931" s="115"/>
      <c r="D1931" s="115"/>
      <c r="E1931" s="115"/>
      <c r="F1931" s="115"/>
    </row>
    <row r="1932" spans="1:6" x14ac:dyDescent="0.2">
      <c r="A1932" s="115"/>
      <c r="B1932" s="79"/>
      <c r="C1932" s="115"/>
      <c r="D1932" s="115"/>
      <c r="E1932" s="115"/>
      <c r="F1932" s="115"/>
    </row>
    <row r="1933" spans="1:6" x14ac:dyDescent="0.2">
      <c r="A1933" s="115"/>
      <c r="B1933" s="79"/>
      <c r="C1933" s="115"/>
      <c r="D1933" s="115"/>
      <c r="E1933" s="115"/>
      <c r="F1933" s="115"/>
    </row>
    <row r="1934" spans="1:6" x14ac:dyDescent="0.2">
      <c r="A1934" s="115"/>
      <c r="B1934" s="79"/>
      <c r="C1934" s="115"/>
      <c r="D1934" s="115"/>
      <c r="E1934" s="115"/>
      <c r="F1934" s="115"/>
    </row>
    <row r="1935" spans="1:6" x14ac:dyDescent="0.2">
      <c r="A1935" s="115"/>
      <c r="B1935" s="79"/>
      <c r="C1935" s="115"/>
      <c r="D1935" s="115"/>
      <c r="E1935" s="115"/>
      <c r="F1935" s="115"/>
    </row>
    <row r="1936" spans="1:6" x14ac:dyDescent="0.2">
      <c r="A1936" s="115"/>
      <c r="B1936" s="79"/>
      <c r="C1936" s="115"/>
      <c r="D1936" s="115"/>
      <c r="E1936" s="115"/>
      <c r="F1936" s="115"/>
    </row>
    <row r="1937" spans="1:6" x14ac:dyDescent="0.2">
      <c r="A1937" s="115"/>
      <c r="B1937" s="79"/>
      <c r="C1937" s="115"/>
      <c r="D1937" s="115"/>
      <c r="E1937" s="115"/>
      <c r="F1937" s="115"/>
    </row>
    <row r="1938" spans="1:6" x14ac:dyDescent="0.2">
      <c r="A1938" s="115"/>
      <c r="B1938" s="79"/>
      <c r="C1938" s="115"/>
      <c r="D1938" s="115"/>
      <c r="E1938" s="115"/>
      <c r="F1938" s="115"/>
    </row>
    <row r="1939" spans="1:6" x14ac:dyDescent="0.2">
      <c r="A1939" s="115"/>
      <c r="B1939" s="79"/>
      <c r="C1939" s="115"/>
      <c r="D1939" s="115"/>
      <c r="E1939" s="115"/>
      <c r="F1939" s="115"/>
    </row>
    <row r="1940" spans="1:6" x14ac:dyDescent="0.2">
      <c r="A1940" s="115"/>
      <c r="B1940" s="79"/>
      <c r="C1940" s="115"/>
      <c r="D1940" s="115"/>
      <c r="E1940" s="115"/>
      <c r="F1940" s="115"/>
    </row>
    <row r="1941" spans="1:6" x14ac:dyDescent="0.2">
      <c r="A1941" s="115"/>
      <c r="B1941" s="79"/>
      <c r="C1941" s="115"/>
      <c r="D1941" s="115"/>
      <c r="E1941" s="115"/>
      <c r="F1941" s="115"/>
    </row>
    <row r="1942" spans="1:6" x14ac:dyDescent="0.2">
      <c r="A1942" s="115"/>
      <c r="B1942" s="79"/>
      <c r="C1942" s="115"/>
      <c r="D1942" s="115"/>
      <c r="E1942" s="115"/>
      <c r="F1942" s="115"/>
    </row>
    <row r="1943" spans="1:6" x14ac:dyDescent="0.2">
      <c r="A1943" s="115"/>
      <c r="B1943" s="79"/>
      <c r="C1943" s="115"/>
      <c r="D1943" s="115"/>
      <c r="E1943" s="115"/>
      <c r="F1943" s="115"/>
    </row>
    <row r="1944" spans="1:6" x14ac:dyDescent="0.2">
      <c r="A1944" s="115"/>
      <c r="B1944" s="79"/>
      <c r="C1944" s="115"/>
      <c r="D1944" s="115"/>
      <c r="E1944" s="115"/>
      <c r="F1944" s="115"/>
    </row>
    <row r="1945" spans="1:6" x14ac:dyDescent="0.2">
      <c r="A1945" s="115"/>
      <c r="B1945" s="79"/>
      <c r="C1945" s="115"/>
      <c r="D1945" s="115"/>
      <c r="E1945" s="115"/>
      <c r="F1945" s="115"/>
    </row>
    <row r="1946" spans="1:6" x14ac:dyDescent="0.2">
      <c r="A1946" s="115"/>
      <c r="B1946" s="79"/>
      <c r="C1946" s="115"/>
      <c r="D1946" s="115"/>
      <c r="E1946" s="115"/>
      <c r="F1946" s="115"/>
    </row>
    <row r="1947" spans="1:6" x14ac:dyDescent="0.2">
      <c r="A1947" s="115"/>
      <c r="B1947" s="79"/>
      <c r="C1947" s="115"/>
      <c r="D1947" s="115"/>
      <c r="E1947" s="115"/>
      <c r="F1947" s="115"/>
    </row>
    <row r="1948" spans="1:6" x14ac:dyDescent="0.2">
      <c r="A1948" s="115"/>
      <c r="B1948" s="79"/>
      <c r="C1948" s="115"/>
      <c r="D1948" s="115"/>
      <c r="E1948" s="115"/>
      <c r="F1948" s="115"/>
    </row>
    <row r="1949" spans="1:6" x14ac:dyDescent="0.2">
      <c r="A1949" s="115"/>
      <c r="B1949" s="79"/>
      <c r="C1949" s="115"/>
      <c r="D1949" s="115"/>
      <c r="E1949" s="115"/>
      <c r="F1949" s="115"/>
    </row>
    <row r="1950" spans="1:6" x14ac:dyDescent="0.2">
      <c r="A1950" s="115"/>
      <c r="B1950" s="79"/>
      <c r="C1950" s="115"/>
      <c r="D1950" s="115"/>
      <c r="E1950" s="115"/>
      <c r="F1950" s="115"/>
    </row>
    <row r="1951" spans="1:6" x14ac:dyDescent="0.2">
      <c r="A1951" s="115"/>
      <c r="B1951" s="79"/>
      <c r="C1951" s="115"/>
      <c r="D1951" s="115"/>
      <c r="E1951" s="115"/>
      <c r="F1951" s="115"/>
    </row>
    <row r="1952" spans="1:6" x14ac:dyDescent="0.2">
      <c r="A1952" s="115"/>
      <c r="B1952" s="79"/>
      <c r="C1952" s="115"/>
      <c r="D1952" s="115"/>
      <c r="E1952" s="115"/>
      <c r="F1952" s="115"/>
    </row>
    <row r="1953" spans="1:6" x14ac:dyDescent="0.2">
      <c r="A1953" s="115"/>
      <c r="B1953" s="79"/>
      <c r="C1953" s="115"/>
      <c r="D1953" s="115"/>
      <c r="E1953" s="115"/>
      <c r="F1953" s="115"/>
    </row>
    <row r="1954" spans="1:6" x14ac:dyDescent="0.2">
      <c r="A1954" s="115"/>
      <c r="B1954" s="79"/>
      <c r="C1954" s="115"/>
      <c r="D1954" s="115"/>
      <c r="E1954" s="115"/>
      <c r="F1954" s="115"/>
    </row>
    <row r="1955" spans="1:6" x14ac:dyDescent="0.2">
      <c r="A1955" s="115"/>
      <c r="B1955" s="79"/>
      <c r="C1955" s="115"/>
      <c r="D1955" s="115"/>
      <c r="E1955" s="115"/>
      <c r="F1955" s="115"/>
    </row>
    <row r="1956" spans="1:6" x14ac:dyDescent="0.2">
      <c r="A1956" s="115"/>
      <c r="B1956" s="79"/>
      <c r="C1956" s="115"/>
      <c r="D1956" s="115"/>
      <c r="E1956" s="115"/>
      <c r="F1956" s="115"/>
    </row>
    <row r="1957" spans="1:6" x14ac:dyDescent="0.2">
      <c r="A1957" s="115"/>
      <c r="B1957" s="79"/>
      <c r="C1957" s="115"/>
      <c r="D1957" s="115"/>
      <c r="E1957" s="115"/>
      <c r="F1957" s="115"/>
    </row>
    <row r="1958" spans="1:6" x14ac:dyDescent="0.2">
      <c r="A1958" s="115"/>
      <c r="B1958" s="79"/>
      <c r="C1958" s="115"/>
      <c r="D1958" s="115"/>
      <c r="E1958" s="115"/>
      <c r="F1958" s="115"/>
    </row>
    <row r="1959" spans="1:6" x14ac:dyDescent="0.2">
      <c r="A1959" s="115"/>
      <c r="B1959" s="79"/>
      <c r="C1959" s="115"/>
      <c r="D1959" s="115"/>
      <c r="E1959" s="115"/>
      <c r="F1959" s="115"/>
    </row>
    <row r="1960" spans="1:6" x14ac:dyDescent="0.2">
      <c r="A1960" s="115"/>
      <c r="B1960" s="79"/>
      <c r="C1960" s="115"/>
      <c r="D1960" s="115"/>
      <c r="E1960" s="115"/>
      <c r="F1960" s="115"/>
    </row>
    <row r="1961" spans="1:6" x14ac:dyDescent="0.2">
      <c r="A1961" s="115"/>
      <c r="B1961" s="79"/>
      <c r="C1961" s="115"/>
      <c r="D1961" s="115"/>
      <c r="E1961" s="115"/>
      <c r="F1961" s="115"/>
    </row>
    <row r="1962" spans="1:6" x14ac:dyDescent="0.2">
      <c r="A1962" s="115"/>
      <c r="B1962" s="79"/>
      <c r="C1962" s="115"/>
      <c r="D1962" s="115"/>
      <c r="E1962" s="115"/>
      <c r="F1962" s="115"/>
    </row>
    <row r="1963" spans="1:6" x14ac:dyDescent="0.2">
      <c r="A1963" s="115"/>
      <c r="B1963" s="79"/>
      <c r="C1963" s="115"/>
      <c r="D1963" s="115"/>
      <c r="E1963" s="115"/>
      <c r="F1963" s="115"/>
    </row>
    <row r="1964" spans="1:6" x14ac:dyDescent="0.2">
      <c r="A1964" s="115"/>
      <c r="B1964" s="79"/>
      <c r="C1964" s="115"/>
      <c r="D1964" s="115"/>
      <c r="E1964" s="115"/>
      <c r="F1964" s="115"/>
    </row>
    <row r="1965" spans="1:6" x14ac:dyDescent="0.2">
      <c r="A1965" s="115"/>
      <c r="B1965" s="79"/>
      <c r="C1965" s="115"/>
      <c r="D1965" s="115"/>
      <c r="E1965" s="115"/>
      <c r="F1965" s="115"/>
    </row>
    <row r="1966" spans="1:6" x14ac:dyDescent="0.2">
      <c r="A1966" s="115"/>
      <c r="B1966" s="79"/>
      <c r="C1966" s="115"/>
      <c r="D1966" s="115"/>
      <c r="E1966" s="115"/>
      <c r="F1966" s="115"/>
    </row>
    <row r="1967" spans="1:6" x14ac:dyDescent="0.2">
      <c r="A1967" s="115"/>
      <c r="B1967" s="79"/>
      <c r="C1967" s="115"/>
      <c r="D1967" s="115"/>
      <c r="E1967" s="115"/>
      <c r="F1967" s="115"/>
    </row>
    <row r="1968" spans="1:6" x14ac:dyDescent="0.2">
      <c r="A1968" s="115"/>
      <c r="B1968" s="79"/>
      <c r="C1968" s="115"/>
      <c r="D1968" s="115"/>
      <c r="E1968" s="115"/>
      <c r="F1968" s="115"/>
    </row>
    <row r="1969" spans="1:6" x14ac:dyDescent="0.2">
      <c r="A1969" s="115"/>
      <c r="B1969" s="79"/>
      <c r="C1969" s="115"/>
      <c r="D1969" s="115"/>
      <c r="E1969" s="115"/>
      <c r="F1969" s="115"/>
    </row>
    <row r="1970" spans="1:6" x14ac:dyDescent="0.2">
      <c r="A1970" s="115"/>
      <c r="B1970" s="79"/>
      <c r="C1970" s="115"/>
      <c r="D1970" s="115"/>
      <c r="E1970" s="115"/>
      <c r="F1970" s="115"/>
    </row>
    <row r="1971" spans="1:6" x14ac:dyDescent="0.2">
      <c r="A1971" s="115"/>
      <c r="B1971" s="79"/>
      <c r="C1971" s="115"/>
      <c r="D1971" s="115"/>
      <c r="E1971" s="115"/>
      <c r="F1971" s="115"/>
    </row>
    <row r="1972" spans="1:6" x14ac:dyDescent="0.2">
      <c r="A1972" s="115"/>
      <c r="B1972" s="79"/>
      <c r="C1972" s="115"/>
      <c r="D1972" s="115"/>
      <c r="E1972" s="115"/>
      <c r="F1972" s="115"/>
    </row>
    <row r="1973" spans="1:6" x14ac:dyDescent="0.2">
      <c r="A1973" s="115"/>
      <c r="B1973" s="79"/>
      <c r="C1973" s="115"/>
      <c r="D1973" s="115"/>
      <c r="E1973" s="115"/>
      <c r="F1973" s="115"/>
    </row>
    <row r="1974" spans="1:6" x14ac:dyDescent="0.2">
      <c r="A1974" s="115"/>
      <c r="B1974" s="79"/>
      <c r="C1974" s="115"/>
      <c r="D1974" s="115"/>
      <c r="E1974" s="115"/>
      <c r="F1974" s="115"/>
    </row>
    <row r="1975" spans="1:6" x14ac:dyDescent="0.2">
      <c r="A1975" s="115"/>
      <c r="B1975" s="79"/>
      <c r="C1975" s="115"/>
      <c r="D1975" s="115"/>
      <c r="E1975" s="115"/>
      <c r="F1975" s="115"/>
    </row>
    <row r="1976" spans="1:6" x14ac:dyDescent="0.2">
      <c r="A1976" s="115"/>
      <c r="B1976" s="79"/>
      <c r="C1976" s="115"/>
      <c r="D1976" s="115"/>
      <c r="E1976" s="115"/>
      <c r="F1976" s="115"/>
    </row>
    <row r="1977" spans="1:6" x14ac:dyDescent="0.2">
      <c r="A1977" s="115"/>
      <c r="B1977" s="79"/>
      <c r="C1977" s="115"/>
      <c r="D1977" s="115"/>
      <c r="E1977" s="115"/>
      <c r="F1977" s="115"/>
    </row>
    <row r="1978" spans="1:6" x14ac:dyDescent="0.2">
      <c r="A1978" s="115"/>
      <c r="B1978" s="79"/>
      <c r="C1978" s="115"/>
      <c r="D1978" s="115"/>
      <c r="E1978" s="115"/>
      <c r="F1978" s="115"/>
    </row>
    <row r="1979" spans="1:6" x14ac:dyDescent="0.2">
      <c r="A1979" s="115"/>
      <c r="B1979" s="79"/>
      <c r="C1979" s="115"/>
      <c r="D1979" s="115"/>
      <c r="E1979" s="115"/>
      <c r="F1979" s="115"/>
    </row>
    <row r="1980" spans="1:6" x14ac:dyDescent="0.2">
      <c r="A1980" s="115"/>
      <c r="B1980" s="79"/>
      <c r="C1980" s="115"/>
      <c r="D1980" s="115"/>
      <c r="E1980" s="115"/>
      <c r="F1980" s="115"/>
    </row>
    <row r="1981" spans="1:6" x14ac:dyDescent="0.2">
      <c r="A1981" s="115"/>
      <c r="B1981" s="79"/>
      <c r="C1981" s="115"/>
      <c r="D1981" s="115"/>
      <c r="E1981" s="115"/>
      <c r="F1981" s="115"/>
    </row>
    <row r="1982" spans="1:6" x14ac:dyDescent="0.2">
      <c r="A1982" s="115"/>
      <c r="B1982" s="79"/>
      <c r="C1982" s="115"/>
      <c r="D1982" s="115"/>
      <c r="E1982" s="115"/>
      <c r="F1982" s="115"/>
    </row>
    <row r="1983" spans="1:6" x14ac:dyDescent="0.2">
      <c r="A1983" s="115"/>
      <c r="B1983" s="79"/>
      <c r="C1983" s="115"/>
      <c r="D1983" s="115"/>
      <c r="E1983" s="115"/>
      <c r="F1983" s="115"/>
    </row>
    <row r="1984" spans="1:6" x14ac:dyDescent="0.2">
      <c r="A1984" s="115"/>
      <c r="B1984" s="79"/>
      <c r="C1984" s="115"/>
      <c r="D1984" s="115"/>
      <c r="E1984" s="115"/>
      <c r="F1984" s="115"/>
    </row>
    <row r="1985" spans="1:6" x14ac:dyDescent="0.2">
      <c r="A1985" s="115"/>
      <c r="B1985" s="79"/>
      <c r="C1985" s="115"/>
      <c r="D1985" s="115"/>
      <c r="E1985" s="115"/>
      <c r="F1985" s="115"/>
    </row>
    <row r="1986" spans="1:6" x14ac:dyDescent="0.2">
      <c r="A1986" s="115"/>
      <c r="B1986" s="79"/>
      <c r="C1986" s="115"/>
      <c r="D1986" s="115"/>
      <c r="E1986" s="115"/>
      <c r="F1986" s="115"/>
    </row>
    <row r="1987" spans="1:6" x14ac:dyDescent="0.2">
      <c r="A1987" s="115"/>
      <c r="B1987" s="79"/>
      <c r="C1987" s="115"/>
      <c r="D1987" s="115"/>
      <c r="E1987" s="115"/>
      <c r="F1987" s="115"/>
    </row>
    <row r="1988" spans="1:6" x14ac:dyDescent="0.2">
      <c r="A1988" s="115"/>
      <c r="B1988" s="79"/>
      <c r="C1988" s="115"/>
      <c r="D1988" s="115"/>
      <c r="E1988" s="115"/>
      <c r="F1988" s="115"/>
    </row>
    <row r="1989" spans="1:6" x14ac:dyDescent="0.2">
      <c r="A1989" s="115"/>
      <c r="B1989" s="79"/>
      <c r="C1989" s="115"/>
      <c r="D1989" s="115"/>
      <c r="E1989" s="115"/>
      <c r="F1989" s="115"/>
    </row>
    <row r="1990" spans="1:6" x14ac:dyDescent="0.2">
      <c r="A1990" s="115"/>
      <c r="B1990" s="79"/>
      <c r="C1990" s="115"/>
      <c r="D1990" s="115"/>
      <c r="E1990" s="115"/>
      <c r="F1990" s="115"/>
    </row>
    <row r="1991" spans="1:6" x14ac:dyDescent="0.2">
      <c r="A1991" s="115"/>
      <c r="B1991" s="79"/>
      <c r="C1991" s="115"/>
      <c r="D1991" s="115"/>
      <c r="E1991" s="115"/>
      <c r="F1991" s="115"/>
    </row>
    <row r="1992" spans="1:6" x14ac:dyDescent="0.2">
      <c r="A1992" s="115"/>
      <c r="B1992" s="79"/>
      <c r="C1992" s="115"/>
      <c r="D1992" s="115"/>
      <c r="E1992" s="115"/>
      <c r="F1992" s="115"/>
    </row>
    <row r="1993" spans="1:6" x14ac:dyDescent="0.2">
      <c r="A1993" s="115"/>
      <c r="B1993" s="79"/>
      <c r="C1993" s="115"/>
      <c r="D1993" s="115"/>
      <c r="E1993" s="115"/>
      <c r="F1993" s="115"/>
    </row>
    <row r="1994" spans="1:6" x14ac:dyDescent="0.2">
      <c r="A1994" s="115"/>
      <c r="B1994" s="79"/>
      <c r="C1994" s="115"/>
      <c r="D1994" s="115"/>
      <c r="E1994" s="115"/>
      <c r="F1994" s="115"/>
    </row>
    <row r="1995" spans="1:6" x14ac:dyDescent="0.2">
      <c r="A1995" s="115"/>
      <c r="B1995" s="79"/>
      <c r="C1995" s="115"/>
      <c r="D1995" s="115"/>
      <c r="E1995" s="115"/>
      <c r="F1995" s="115"/>
    </row>
    <row r="1996" spans="1:6" x14ac:dyDescent="0.2">
      <c r="A1996" s="115"/>
      <c r="B1996" s="79"/>
      <c r="C1996" s="115"/>
      <c r="D1996" s="115"/>
      <c r="E1996" s="115"/>
      <c r="F1996" s="115"/>
    </row>
    <row r="1997" spans="1:6" x14ac:dyDescent="0.2">
      <c r="A1997" s="115"/>
      <c r="B1997" s="79"/>
      <c r="C1997" s="115"/>
      <c r="D1997" s="115"/>
      <c r="E1997" s="115"/>
      <c r="F1997" s="115"/>
    </row>
    <row r="1998" spans="1:6" x14ac:dyDescent="0.2">
      <c r="A1998" s="115"/>
      <c r="B1998" s="79"/>
      <c r="C1998" s="115"/>
      <c r="D1998" s="115"/>
      <c r="E1998" s="115"/>
      <c r="F1998" s="115"/>
    </row>
    <row r="1999" spans="1:6" x14ac:dyDescent="0.2">
      <c r="A1999" s="115"/>
      <c r="B1999" s="79"/>
      <c r="C1999" s="115"/>
      <c r="D1999" s="115"/>
      <c r="E1999" s="115"/>
      <c r="F1999" s="115"/>
    </row>
    <row r="2000" spans="1:6" x14ac:dyDescent="0.2">
      <c r="A2000" s="115"/>
      <c r="B2000" s="79"/>
      <c r="C2000" s="115"/>
      <c r="D2000" s="115"/>
      <c r="E2000" s="115"/>
      <c r="F2000" s="115"/>
    </row>
    <row r="2001" spans="1:6" x14ac:dyDescent="0.2">
      <c r="A2001" s="115"/>
      <c r="B2001" s="79"/>
      <c r="C2001" s="115"/>
      <c r="D2001" s="115"/>
      <c r="E2001" s="115"/>
      <c r="F2001" s="115"/>
    </row>
    <row r="2002" spans="1:6" x14ac:dyDescent="0.2">
      <c r="A2002" s="115"/>
      <c r="B2002" s="79"/>
      <c r="C2002" s="115"/>
      <c r="D2002" s="115"/>
      <c r="E2002" s="115"/>
      <c r="F2002" s="115"/>
    </row>
    <row r="2003" spans="1:6" x14ac:dyDescent="0.2">
      <c r="A2003" s="115"/>
      <c r="B2003" s="79"/>
      <c r="C2003" s="115"/>
      <c r="D2003" s="115"/>
      <c r="E2003" s="115"/>
      <c r="F2003" s="115"/>
    </row>
    <row r="2004" spans="1:6" x14ac:dyDescent="0.2">
      <c r="A2004" s="115"/>
      <c r="B2004" s="79"/>
      <c r="C2004" s="115"/>
      <c r="D2004" s="115"/>
      <c r="E2004" s="115"/>
      <c r="F2004" s="115"/>
    </row>
    <row r="2005" spans="1:6" x14ac:dyDescent="0.2">
      <c r="A2005" s="115"/>
      <c r="B2005" s="79"/>
      <c r="C2005" s="115"/>
      <c r="D2005" s="115"/>
      <c r="E2005" s="115"/>
      <c r="F2005" s="115"/>
    </row>
    <row r="2006" spans="1:6" x14ac:dyDescent="0.2">
      <c r="A2006" s="115"/>
      <c r="B2006" s="79"/>
      <c r="C2006" s="115"/>
      <c r="D2006" s="115"/>
      <c r="E2006" s="115"/>
      <c r="F2006" s="115"/>
    </row>
    <row r="2007" spans="1:6" x14ac:dyDescent="0.2">
      <c r="A2007" s="115"/>
      <c r="B2007" s="79"/>
      <c r="C2007" s="115"/>
      <c r="D2007" s="115"/>
      <c r="E2007" s="115"/>
      <c r="F2007" s="115"/>
    </row>
    <row r="2008" spans="1:6" x14ac:dyDescent="0.2">
      <c r="A2008" s="115"/>
      <c r="B2008" s="79"/>
      <c r="C2008" s="115"/>
      <c r="D2008" s="115"/>
      <c r="E2008" s="115"/>
      <c r="F2008" s="115"/>
    </row>
    <row r="2009" spans="1:6" x14ac:dyDescent="0.2">
      <c r="A2009" s="115"/>
      <c r="B2009" s="79"/>
      <c r="C2009" s="115"/>
      <c r="D2009" s="115"/>
      <c r="E2009" s="115"/>
      <c r="F2009" s="115"/>
    </row>
    <row r="2010" spans="1:6" x14ac:dyDescent="0.2">
      <c r="A2010" s="115"/>
      <c r="B2010" s="79"/>
      <c r="C2010" s="115"/>
      <c r="D2010" s="115"/>
      <c r="E2010" s="115"/>
      <c r="F2010" s="115"/>
    </row>
    <row r="2011" spans="1:6" x14ac:dyDescent="0.2">
      <c r="A2011" s="115"/>
      <c r="B2011" s="79"/>
      <c r="C2011" s="115"/>
      <c r="D2011" s="115"/>
      <c r="E2011" s="115"/>
      <c r="F2011" s="115"/>
    </row>
    <row r="2012" spans="1:6" x14ac:dyDescent="0.2">
      <c r="A2012" s="115"/>
      <c r="B2012" s="79"/>
      <c r="C2012" s="115"/>
      <c r="D2012" s="115"/>
      <c r="E2012" s="115"/>
      <c r="F2012" s="115"/>
    </row>
    <row r="2013" spans="1:6" x14ac:dyDescent="0.2">
      <c r="A2013" s="115"/>
      <c r="B2013" s="79"/>
      <c r="C2013" s="115"/>
      <c r="D2013" s="115"/>
      <c r="E2013" s="115"/>
      <c r="F2013" s="115"/>
    </row>
    <row r="2014" spans="1:6" x14ac:dyDescent="0.2">
      <c r="A2014" s="115"/>
      <c r="B2014" s="79"/>
      <c r="C2014" s="115"/>
      <c r="D2014" s="115"/>
      <c r="E2014" s="115"/>
      <c r="F2014" s="115"/>
    </row>
    <row r="2015" spans="1:6" x14ac:dyDescent="0.2">
      <c r="A2015" s="115"/>
      <c r="B2015" s="79"/>
      <c r="C2015" s="115"/>
      <c r="D2015" s="115"/>
      <c r="E2015" s="115"/>
      <c r="F2015" s="115"/>
    </row>
    <row r="2016" spans="1:6" x14ac:dyDescent="0.2">
      <c r="A2016" s="115"/>
      <c r="B2016" s="79"/>
      <c r="C2016" s="115"/>
      <c r="D2016" s="115"/>
      <c r="E2016" s="115"/>
      <c r="F2016" s="115"/>
    </row>
    <row r="2017" spans="1:6" x14ac:dyDescent="0.2">
      <c r="A2017" s="115"/>
      <c r="B2017" s="79"/>
      <c r="C2017" s="115"/>
      <c r="D2017" s="115"/>
      <c r="E2017" s="115"/>
      <c r="F2017" s="115"/>
    </row>
    <row r="2018" spans="1:6" x14ac:dyDescent="0.2">
      <c r="A2018" s="115"/>
      <c r="B2018" s="79"/>
      <c r="C2018" s="115"/>
      <c r="D2018" s="115"/>
      <c r="E2018" s="115"/>
      <c r="F2018" s="115"/>
    </row>
    <row r="2019" spans="1:6" x14ac:dyDescent="0.2">
      <c r="A2019" s="115"/>
      <c r="B2019" s="79"/>
      <c r="C2019" s="115"/>
      <c r="D2019" s="115"/>
      <c r="E2019" s="115"/>
      <c r="F2019" s="115"/>
    </row>
    <row r="2020" spans="1:6" x14ac:dyDescent="0.2">
      <c r="A2020" s="115"/>
      <c r="B2020" s="79"/>
      <c r="C2020" s="115"/>
      <c r="D2020" s="115"/>
      <c r="E2020" s="115"/>
      <c r="F2020" s="115"/>
    </row>
    <row r="2021" spans="1:6" x14ac:dyDescent="0.2">
      <c r="A2021" s="115"/>
      <c r="B2021" s="79"/>
      <c r="C2021" s="115"/>
      <c r="D2021" s="115"/>
      <c r="E2021" s="115"/>
      <c r="F2021" s="115"/>
    </row>
    <row r="2022" spans="1:6" x14ac:dyDescent="0.2">
      <c r="A2022" s="115"/>
      <c r="B2022" s="79"/>
      <c r="C2022" s="115"/>
      <c r="D2022" s="115"/>
      <c r="E2022" s="115"/>
      <c r="F2022" s="115"/>
    </row>
    <row r="2023" spans="1:6" x14ac:dyDescent="0.2">
      <c r="A2023" s="115"/>
      <c r="B2023" s="79"/>
      <c r="C2023" s="115"/>
      <c r="D2023" s="115"/>
      <c r="E2023" s="115"/>
      <c r="F2023" s="115"/>
    </row>
    <row r="2024" spans="1:6" x14ac:dyDescent="0.2">
      <c r="A2024" s="115"/>
      <c r="B2024" s="79"/>
      <c r="C2024" s="115"/>
      <c r="D2024" s="115"/>
      <c r="E2024" s="115"/>
      <c r="F2024" s="115"/>
    </row>
    <row r="2025" spans="1:6" x14ac:dyDescent="0.2">
      <c r="A2025" s="115"/>
      <c r="B2025" s="79"/>
      <c r="C2025" s="115"/>
      <c r="D2025" s="115"/>
      <c r="E2025" s="115"/>
      <c r="F2025" s="115"/>
    </row>
    <row r="2026" spans="1:6" x14ac:dyDescent="0.2">
      <c r="A2026" s="115"/>
      <c r="B2026" s="79"/>
      <c r="C2026" s="115"/>
      <c r="D2026" s="115"/>
      <c r="E2026" s="115"/>
      <c r="F2026" s="115"/>
    </row>
    <row r="2027" spans="1:6" x14ac:dyDescent="0.2">
      <c r="A2027" s="115"/>
      <c r="B2027" s="79"/>
      <c r="C2027" s="115"/>
      <c r="D2027" s="115"/>
      <c r="E2027" s="115"/>
      <c r="F2027" s="115"/>
    </row>
    <row r="2028" spans="1:6" x14ac:dyDescent="0.2">
      <c r="A2028" s="115"/>
      <c r="B2028" s="79"/>
      <c r="C2028" s="115"/>
      <c r="D2028" s="115"/>
      <c r="E2028" s="115"/>
      <c r="F2028" s="115"/>
    </row>
    <row r="2029" spans="1:6" x14ac:dyDescent="0.2">
      <c r="A2029" s="115"/>
      <c r="B2029" s="79"/>
      <c r="C2029" s="115"/>
      <c r="D2029" s="115"/>
      <c r="E2029" s="115"/>
      <c r="F2029" s="115"/>
    </row>
    <row r="2030" spans="1:6" x14ac:dyDescent="0.2">
      <c r="A2030" s="115"/>
      <c r="B2030" s="79"/>
      <c r="C2030" s="115"/>
      <c r="D2030" s="115"/>
      <c r="E2030" s="115"/>
      <c r="F2030" s="115"/>
    </row>
    <row r="2031" spans="1:6" x14ac:dyDescent="0.2">
      <c r="A2031" s="115"/>
      <c r="B2031" s="79"/>
      <c r="C2031" s="115"/>
      <c r="D2031" s="115"/>
      <c r="E2031" s="115"/>
      <c r="F2031" s="115"/>
    </row>
    <row r="2032" spans="1:6" x14ac:dyDescent="0.2">
      <c r="A2032" s="115"/>
      <c r="B2032" s="79"/>
      <c r="C2032" s="115"/>
      <c r="D2032" s="115"/>
      <c r="E2032" s="115"/>
      <c r="F2032" s="115"/>
    </row>
    <row r="2033" spans="1:6" x14ac:dyDescent="0.2">
      <c r="A2033" s="115"/>
      <c r="B2033" s="79"/>
      <c r="C2033" s="115"/>
      <c r="D2033" s="115"/>
      <c r="E2033" s="115"/>
      <c r="F2033" s="115"/>
    </row>
    <row r="2034" spans="1:6" x14ac:dyDescent="0.2">
      <c r="A2034" s="115"/>
      <c r="B2034" s="79"/>
      <c r="C2034" s="115"/>
      <c r="D2034" s="115"/>
      <c r="E2034" s="115"/>
      <c r="F2034" s="115"/>
    </row>
    <row r="2035" spans="1:6" x14ac:dyDescent="0.2">
      <c r="A2035" s="115"/>
      <c r="B2035" s="79"/>
      <c r="C2035" s="115"/>
      <c r="D2035" s="115"/>
      <c r="E2035" s="115"/>
      <c r="F2035" s="115"/>
    </row>
    <row r="2036" spans="1:6" x14ac:dyDescent="0.2">
      <c r="A2036" s="115"/>
      <c r="B2036" s="79"/>
      <c r="C2036" s="115"/>
      <c r="D2036" s="115"/>
      <c r="E2036" s="115"/>
      <c r="F2036" s="115"/>
    </row>
    <row r="2037" spans="1:6" x14ac:dyDescent="0.2">
      <c r="A2037" s="115"/>
      <c r="B2037" s="79"/>
      <c r="C2037" s="115"/>
      <c r="D2037" s="115"/>
      <c r="E2037" s="115"/>
      <c r="F2037" s="115"/>
    </row>
    <row r="2038" spans="1:6" x14ac:dyDescent="0.2">
      <c r="A2038" s="115"/>
      <c r="B2038" s="79"/>
      <c r="C2038" s="115"/>
      <c r="D2038" s="115"/>
      <c r="E2038" s="115"/>
      <c r="F2038" s="115"/>
    </row>
    <row r="2039" spans="1:6" x14ac:dyDescent="0.2">
      <c r="A2039" s="115"/>
      <c r="B2039" s="79"/>
      <c r="C2039" s="115"/>
      <c r="D2039" s="115"/>
      <c r="E2039" s="115"/>
      <c r="F2039" s="115"/>
    </row>
    <row r="2040" spans="1:6" x14ac:dyDescent="0.2">
      <c r="A2040" s="115"/>
      <c r="B2040" s="79"/>
      <c r="C2040" s="115"/>
      <c r="D2040" s="115"/>
      <c r="E2040" s="115"/>
      <c r="F2040" s="115"/>
    </row>
    <row r="2041" spans="1:6" x14ac:dyDescent="0.2">
      <c r="A2041" s="115"/>
      <c r="B2041" s="79"/>
      <c r="C2041" s="115"/>
      <c r="D2041" s="115"/>
      <c r="E2041" s="115"/>
      <c r="F2041" s="115"/>
    </row>
    <row r="2042" spans="1:6" x14ac:dyDescent="0.2">
      <c r="A2042" s="115"/>
      <c r="B2042" s="79"/>
      <c r="C2042" s="115"/>
      <c r="D2042" s="115"/>
      <c r="E2042" s="115"/>
      <c r="F2042" s="115"/>
    </row>
    <row r="2043" spans="1:6" x14ac:dyDescent="0.2">
      <c r="A2043" s="115"/>
      <c r="B2043" s="79"/>
      <c r="C2043" s="115"/>
      <c r="D2043" s="115"/>
      <c r="E2043" s="115"/>
      <c r="F2043" s="115"/>
    </row>
    <row r="2044" spans="1:6" x14ac:dyDescent="0.2">
      <c r="A2044" s="115"/>
      <c r="B2044" s="79"/>
      <c r="C2044" s="115"/>
      <c r="D2044" s="115"/>
      <c r="E2044" s="115"/>
      <c r="F2044" s="115"/>
    </row>
    <row r="2045" spans="1:6" x14ac:dyDescent="0.2">
      <c r="A2045" s="115"/>
      <c r="B2045" s="79"/>
      <c r="C2045" s="115"/>
      <c r="D2045" s="115"/>
      <c r="E2045" s="115"/>
      <c r="F2045" s="115"/>
    </row>
    <row r="2046" spans="1:6" x14ac:dyDescent="0.2">
      <c r="A2046" s="115"/>
      <c r="B2046" s="79"/>
      <c r="C2046" s="115"/>
      <c r="D2046" s="115"/>
      <c r="E2046" s="115"/>
      <c r="F2046" s="115"/>
    </row>
    <row r="2047" spans="1:6" x14ac:dyDescent="0.2">
      <c r="A2047" s="115"/>
      <c r="B2047" s="79"/>
      <c r="C2047" s="115"/>
      <c r="D2047" s="115"/>
      <c r="E2047" s="115"/>
      <c r="F2047" s="115"/>
    </row>
    <row r="2048" spans="1:6" x14ac:dyDescent="0.2">
      <c r="A2048" s="115"/>
      <c r="B2048" s="79"/>
      <c r="C2048" s="115"/>
      <c r="D2048" s="115"/>
      <c r="E2048" s="115"/>
      <c r="F2048" s="115"/>
    </row>
    <row r="2049" spans="1:6" x14ac:dyDescent="0.2">
      <c r="A2049" s="115"/>
      <c r="B2049" s="79"/>
      <c r="C2049" s="115"/>
      <c r="D2049" s="115"/>
      <c r="E2049" s="115"/>
      <c r="F2049" s="115"/>
    </row>
    <row r="2050" spans="1:6" x14ac:dyDescent="0.2">
      <c r="A2050" s="115"/>
      <c r="B2050" s="79"/>
      <c r="C2050" s="115"/>
      <c r="D2050" s="115"/>
      <c r="E2050" s="115"/>
      <c r="F2050" s="115"/>
    </row>
    <row r="2051" spans="1:6" x14ac:dyDescent="0.2">
      <c r="A2051" s="115"/>
      <c r="B2051" s="79"/>
      <c r="C2051" s="115"/>
      <c r="D2051" s="115"/>
      <c r="E2051" s="115"/>
      <c r="F2051" s="115"/>
    </row>
    <row r="2052" spans="1:6" x14ac:dyDescent="0.2">
      <c r="A2052" s="115"/>
      <c r="B2052" s="79"/>
      <c r="C2052" s="115"/>
      <c r="D2052" s="115"/>
      <c r="E2052" s="115"/>
      <c r="F2052" s="115"/>
    </row>
    <row r="2053" spans="1:6" x14ac:dyDescent="0.2">
      <c r="A2053" s="115"/>
      <c r="B2053" s="79"/>
      <c r="C2053" s="115"/>
      <c r="D2053" s="115"/>
      <c r="E2053" s="115"/>
      <c r="F2053" s="115"/>
    </row>
    <row r="2054" spans="1:6" x14ac:dyDescent="0.2">
      <c r="A2054" s="115"/>
      <c r="B2054" s="79"/>
      <c r="C2054" s="115"/>
      <c r="D2054" s="115"/>
      <c r="E2054" s="115"/>
      <c r="F2054" s="115"/>
    </row>
    <row r="2055" spans="1:6" x14ac:dyDescent="0.2">
      <c r="A2055" s="115"/>
      <c r="B2055" s="79"/>
      <c r="C2055" s="115"/>
      <c r="D2055" s="115"/>
      <c r="E2055" s="115"/>
      <c r="F2055" s="115"/>
    </row>
    <row r="2056" spans="1:6" x14ac:dyDescent="0.2">
      <c r="A2056" s="115"/>
      <c r="B2056" s="79"/>
      <c r="C2056" s="115"/>
      <c r="D2056" s="115"/>
      <c r="E2056" s="115"/>
      <c r="F2056" s="115"/>
    </row>
    <row r="2057" spans="1:6" x14ac:dyDescent="0.2">
      <c r="A2057" s="115"/>
      <c r="B2057" s="79"/>
      <c r="C2057" s="115"/>
      <c r="D2057" s="115"/>
      <c r="E2057" s="115"/>
      <c r="F2057" s="115"/>
    </row>
    <row r="2058" spans="1:6" x14ac:dyDescent="0.2">
      <c r="A2058" s="115"/>
      <c r="B2058" s="79"/>
      <c r="C2058" s="115"/>
      <c r="D2058" s="115"/>
      <c r="E2058" s="115"/>
      <c r="F2058" s="115"/>
    </row>
    <row r="2059" spans="1:6" x14ac:dyDescent="0.2">
      <c r="A2059" s="115"/>
      <c r="B2059" s="79"/>
      <c r="C2059" s="115"/>
      <c r="D2059" s="115"/>
      <c r="E2059" s="115"/>
      <c r="F2059" s="115"/>
    </row>
    <row r="2060" spans="1:6" x14ac:dyDescent="0.2">
      <c r="A2060" s="115"/>
      <c r="B2060" s="79"/>
      <c r="C2060" s="115"/>
      <c r="D2060" s="115"/>
      <c r="E2060" s="115"/>
      <c r="F2060" s="115"/>
    </row>
    <row r="2061" spans="1:6" x14ac:dyDescent="0.2">
      <c r="A2061" s="115"/>
      <c r="B2061" s="79"/>
      <c r="C2061" s="115"/>
      <c r="D2061" s="115"/>
      <c r="E2061" s="115"/>
      <c r="F2061" s="115"/>
    </row>
    <row r="2062" spans="1:6" x14ac:dyDescent="0.2">
      <c r="A2062" s="115"/>
      <c r="B2062" s="79"/>
      <c r="C2062" s="115"/>
      <c r="D2062" s="115"/>
      <c r="E2062" s="115"/>
      <c r="F2062" s="115"/>
    </row>
    <row r="2063" spans="1:6" x14ac:dyDescent="0.2">
      <c r="A2063" s="115"/>
      <c r="B2063" s="79"/>
      <c r="C2063" s="115"/>
      <c r="D2063" s="115"/>
      <c r="E2063" s="115"/>
      <c r="F2063" s="115"/>
    </row>
    <row r="2064" spans="1:6" x14ac:dyDescent="0.2">
      <c r="A2064" s="115"/>
      <c r="B2064" s="79"/>
      <c r="C2064" s="115"/>
      <c r="D2064" s="115"/>
      <c r="E2064" s="115"/>
      <c r="F2064" s="115"/>
    </row>
    <row r="2065" spans="1:6" x14ac:dyDescent="0.2">
      <c r="A2065" s="115"/>
      <c r="B2065" s="79"/>
      <c r="C2065" s="115"/>
      <c r="D2065" s="115"/>
      <c r="E2065" s="115"/>
      <c r="F2065" s="115"/>
    </row>
    <row r="2066" spans="1:6" x14ac:dyDescent="0.2">
      <c r="A2066" s="115"/>
      <c r="B2066" s="79"/>
      <c r="C2066" s="115"/>
      <c r="D2066" s="115"/>
      <c r="E2066" s="115"/>
      <c r="F2066" s="115"/>
    </row>
    <row r="2067" spans="1:6" x14ac:dyDescent="0.2">
      <c r="A2067" s="115"/>
      <c r="B2067" s="79"/>
      <c r="C2067" s="115"/>
      <c r="D2067" s="115"/>
      <c r="E2067" s="115"/>
      <c r="F2067" s="115"/>
    </row>
    <row r="2068" spans="1:6" x14ac:dyDescent="0.2">
      <c r="A2068" s="115"/>
      <c r="B2068" s="79"/>
      <c r="C2068" s="115"/>
      <c r="D2068" s="115"/>
      <c r="E2068" s="115"/>
      <c r="F2068" s="115"/>
    </row>
    <row r="2069" spans="1:6" x14ac:dyDescent="0.2">
      <c r="A2069" s="115"/>
      <c r="B2069" s="79"/>
      <c r="C2069" s="115"/>
      <c r="D2069" s="115"/>
      <c r="E2069" s="115"/>
      <c r="F2069" s="115"/>
    </row>
    <row r="2070" spans="1:6" x14ac:dyDescent="0.2">
      <c r="A2070" s="115"/>
      <c r="B2070" s="79"/>
      <c r="C2070" s="115"/>
      <c r="D2070" s="115"/>
      <c r="E2070" s="115"/>
      <c r="F2070" s="115"/>
    </row>
    <row r="2071" spans="1:6" x14ac:dyDescent="0.2">
      <c r="A2071" s="115"/>
      <c r="B2071" s="79"/>
      <c r="C2071" s="115"/>
      <c r="D2071" s="115"/>
      <c r="E2071" s="115"/>
      <c r="F2071" s="115"/>
    </row>
    <row r="2072" spans="1:6" x14ac:dyDescent="0.2">
      <c r="A2072" s="115"/>
      <c r="B2072" s="79"/>
      <c r="C2072" s="115"/>
      <c r="D2072" s="115"/>
      <c r="E2072" s="115"/>
      <c r="F2072" s="115"/>
    </row>
    <row r="2073" spans="1:6" x14ac:dyDescent="0.2">
      <c r="A2073" s="115"/>
      <c r="B2073" s="79"/>
      <c r="C2073" s="115"/>
      <c r="D2073" s="115"/>
      <c r="E2073" s="115"/>
      <c r="F2073" s="115"/>
    </row>
    <row r="2074" spans="1:6" x14ac:dyDescent="0.2">
      <c r="A2074" s="115"/>
      <c r="B2074" s="79"/>
      <c r="C2074" s="115"/>
      <c r="D2074" s="115"/>
      <c r="E2074" s="115"/>
      <c r="F2074" s="115"/>
    </row>
    <row r="2075" spans="1:6" x14ac:dyDescent="0.2">
      <c r="A2075" s="115"/>
      <c r="B2075" s="79"/>
      <c r="C2075" s="115"/>
      <c r="D2075" s="115"/>
      <c r="E2075" s="115"/>
      <c r="F2075" s="115"/>
    </row>
    <row r="2076" spans="1:6" x14ac:dyDescent="0.2">
      <c r="A2076" s="115"/>
      <c r="B2076" s="79"/>
      <c r="C2076" s="115"/>
      <c r="D2076" s="115"/>
      <c r="E2076" s="115"/>
      <c r="F2076" s="115"/>
    </row>
    <row r="2077" spans="1:6" x14ac:dyDescent="0.2">
      <c r="A2077" s="115"/>
      <c r="B2077" s="79"/>
      <c r="C2077" s="115"/>
      <c r="D2077" s="115"/>
      <c r="E2077" s="115"/>
      <c r="F2077" s="115"/>
    </row>
    <row r="2078" spans="1:6" x14ac:dyDescent="0.2">
      <c r="A2078" s="115"/>
      <c r="B2078" s="79"/>
      <c r="C2078" s="115"/>
      <c r="D2078" s="115"/>
      <c r="E2078" s="115"/>
      <c r="F2078" s="115"/>
    </row>
    <row r="2079" spans="1:6" x14ac:dyDescent="0.2">
      <c r="A2079" s="115"/>
      <c r="B2079" s="79"/>
      <c r="C2079" s="115"/>
      <c r="D2079" s="115"/>
      <c r="E2079" s="115"/>
      <c r="F2079" s="115"/>
    </row>
    <row r="2080" spans="1:6" x14ac:dyDescent="0.2">
      <c r="A2080" s="115"/>
      <c r="B2080" s="79"/>
      <c r="C2080" s="115"/>
      <c r="D2080" s="115"/>
      <c r="E2080" s="115"/>
      <c r="F2080" s="115"/>
    </row>
    <row r="2081" spans="1:6" x14ac:dyDescent="0.2">
      <c r="A2081" s="115"/>
      <c r="B2081" s="79"/>
      <c r="C2081" s="115"/>
      <c r="D2081" s="115"/>
      <c r="E2081" s="115"/>
      <c r="F2081" s="115"/>
    </row>
    <row r="2082" spans="1:6" x14ac:dyDescent="0.2">
      <c r="A2082" s="115"/>
      <c r="B2082" s="79"/>
      <c r="C2082" s="115"/>
      <c r="D2082" s="115"/>
      <c r="E2082" s="115"/>
      <c r="F2082" s="115"/>
    </row>
    <row r="2083" spans="1:6" x14ac:dyDescent="0.2">
      <c r="A2083" s="115"/>
      <c r="B2083" s="79"/>
      <c r="C2083" s="115"/>
      <c r="D2083" s="115"/>
      <c r="E2083" s="115"/>
      <c r="F2083" s="115"/>
    </row>
    <row r="2084" spans="1:6" x14ac:dyDescent="0.2">
      <c r="A2084" s="115"/>
      <c r="B2084" s="79"/>
      <c r="C2084" s="115"/>
      <c r="D2084" s="115"/>
      <c r="E2084" s="115"/>
      <c r="F2084" s="115"/>
    </row>
    <row r="2085" spans="1:6" x14ac:dyDescent="0.2">
      <c r="A2085" s="115"/>
      <c r="B2085" s="79"/>
      <c r="C2085" s="115"/>
      <c r="D2085" s="115"/>
      <c r="E2085" s="115"/>
      <c r="F2085" s="115"/>
    </row>
    <row r="2086" spans="1:6" x14ac:dyDescent="0.2">
      <c r="A2086" s="115"/>
      <c r="B2086" s="79"/>
      <c r="C2086" s="115"/>
      <c r="D2086" s="115"/>
      <c r="E2086" s="115"/>
      <c r="F2086" s="115"/>
    </row>
    <row r="2087" spans="1:6" x14ac:dyDescent="0.2">
      <c r="A2087" s="115"/>
      <c r="B2087" s="79"/>
      <c r="C2087" s="115"/>
      <c r="D2087" s="115"/>
      <c r="E2087" s="115"/>
      <c r="F2087" s="115"/>
    </row>
    <row r="2088" spans="1:6" x14ac:dyDescent="0.2">
      <c r="A2088" s="115"/>
      <c r="B2088" s="79"/>
      <c r="C2088" s="115"/>
      <c r="D2088" s="115"/>
      <c r="E2088" s="115"/>
      <c r="F2088" s="115"/>
    </row>
    <row r="2089" spans="1:6" x14ac:dyDescent="0.2">
      <c r="A2089" s="115"/>
      <c r="B2089" s="79"/>
      <c r="C2089" s="115"/>
      <c r="D2089" s="115"/>
      <c r="E2089" s="115"/>
      <c r="F2089" s="115"/>
    </row>
    <row r="2090" spans="1:6" x14ac:dyDescent="0.2">
      <c r="A2090" s="115"/>
      <c r="B2090" s="79"/>
      <c r="C2090" s="115"/>
      <c r="D2090" s="115"/>
      <c r="E2090" s="115"/>
      <c r="F2090" s="115"/>
    </row>
    <row r="2091" spans="1:6" x14ac:dyDescent="0.2">
      <c r="A2091" s="115"/>
      <c r="B2091" s="79"/>
      <c r="C2091" s="115"/>
      <c r="D2091" s="115"/>
      <c r="E2091" s="115"/>
      <c r="F2091" s="115"/>
    </row>
    <row r="2092" spans="1:6" x14ac:dyDescent="0.2">
      <c r="A2092" s="115"/>
      <c r="B2092" s="79"/>
      <c r="C2092" s="115"/>
      <c r="D2092" s="115"/>
      <c r="E2092" s="115"/>
      <c r="F2092" s="115"/>
    </row>
    <row r="2093" spans="1:6" x14ac:dyDescent="0.2">
      <c r="A2093" s="115"/>
      <c r="B2093" s="79"/>
      <c r="C2093" s="115"/>
      <c r="D2093" s="115"/>
      <c r="E2093" s="115"/>
      <c r="F2093" s="115"/>
    </row>
    <row r="2094" spans="1:6" x14ac:dyDescent="0.2">
      <c r="A2094" s="115"/>
      <c r="B2094" s="79"/>
      <c r="C2094" s="115"/>
      <c r="D2094" s="115"/>
      <c r="E2094" s="115"/>
      <c r="F2094" s="115"/>
    </row>
    <row r="2095" spans="1:6" x14ac:dyDescent="0.2">
      <c r="A2095" s="115"/>
      <c r="B2095" s="79"/>
      <c r="C2095" s="115"/>
      <c r="D2095" s="115"/>
      <c r="E2095" s="115"/>
      <c r="F2095" s="115"/>
    </row>
    <row r="2096" spans="1:6" x14ac:dyDescent="0.2">
      <c r="A2096" s="115"/>
      <c r="B2096" s="79"/>
      <c r="C2096" s="115"/>
      <c r="D2096" s="115"/>
      <c r="E2096" s="115"/>
      <c r="F2096" s="115"/>
    </row>
    <row r="2097" spans="1:6" x14ac:dyDescent="0.2">
      <c r="A2097" s="115"/>
      <c r="B2097" s="79"/>
      <c r="C2097" s="115"/>
      <c r="D2097" s="115"/>
      <c r="E2097" s="115"/>
      <c r="F2097" s="115"/>
    </row>
    <row r="2098" spans="1:6" x14ac:dyDescent="0.2">
      <c r="A2098" s="115"/>
      <c r="B2098" s="79"/>
      <c r="C2098" s="115"/>
      <c r="D2098" s="115"/>
      <c r="E2098" s="115"/>
      <c r="F2098" s="115"/>
    </row>
    <row r="2099" spans="1:6" x14ac:dyDescent="0.2">
      <c r="A2099" s="115"/>
      <c r="B2099" s="79"/>
      <c r="C2099" s="115"/>
      <c r="D2099" s="115"/>
      <c r="E2099" s="115"/>
      <c r="F2099" s="115"/>
    </row>
    <row r="2100" spans="1:6" x14ac:dyDescent="0.2">
      <c r="A2100" s="115"/>
      <c r="B2100" s="79"/>
      <c r="C2100" s="115"/>
      <c r="D2100" s="115"/>
      <c r="E2100" s="115"/>
      <c r="F2100" s="115"/>
    </row>
    <row r="2101" spans="1:6" x14ac:dyDescent="0.2">
      <c r="A2101" s="115"/>
      <c r="B2101" s="79"/>
      <c r="C2101" s="115"/>
      <c r="D2101" s="115"/>
      <c r="E2101" s="115"/>
      <c r="F2101" s="115"/>
    </row>
    <row r="2102" spans="1:6" x14ac:dyDescent="0.2">
      <c r="A2102" s="115"/>
      <c r="B2102" s="79"/>
      <c r="C2102" s="115"/>
      <c r="D2102" s="115"/>
      <c r="E2102" s="115"/>
      <c r="F2102" s="115"/>
    </row>
    <row r="2103" spans="1:6" x14ac:dyDescent="0.2">
      <c r="A2103" s="115"/>
      <c r="B2103" s="79"/>
      <c r="C2103" s="115"/>
      <c r="D2103" s="115"/>
      <c r="E2103" s="115"/>
      <c r="F2103" s="115"/>
    </row>
    <row r="2104" spans="1:6" x14ac:dyDescent="0.2">
      <c r="A2104" s="115"/>
      <c r="B2104" s="79"/>
      <c r="C2104" s="115"/>
      <c r="D2104" s="115"/>
      <c r="E2104" s="115"/>
      <c r="F2104" s="115"/>
    </row>
    <row r="2105" spans="1:6" x14ac:dyDescent="0.2">
      <c r="A2105" s="115"/>
      <c r="B2105" s="79"/>
      <c r="C2105" s="115"/>
      <c r="D2105" s="115"/>
      <c r="E2105" s="115"/>
      <c r="F2105" s="115"/>
    </row>
    <row r="2106" spans="1:6" x14ac:dyDescent="0.2">
      <c r="A2106" s="115"/>
      <c r="B2106" s="79"/>
      <c r="C2106" s="115"/>
      <c r="D2106" s="115"/>
      <c r="E2106" s="115"/>
      <c r="F2106" s="115"/>
    </row>
    <row r="2107" spans="1:6" x14ac:dyDescent="0.2">
      <c r="A2107" s="115"/>
      <c r="B2107" s="79"/>
      <c r="C2107" s="115"/>
      <c r="D2107" s="115"/>
      <c r="E2107" s="115"/>
      <c r="F2107" s="115"/>
    </row>
    <row r="2108" spans="1:6" x14ac:dyDescent="0.2">
      <c r="A2108" s="115"/>
      <c r="B2108" s="79"/>
      <c r="C2108" s="115"/>
      <c r="D2108" s="115"/>
      <c r="E2108" s="115"/>
      <c r="F2108" s="115"/>
    </row>
    <row r="2109" spans="1:6" x14ac:dyDescent="0.2">
      <c r="A2109" s="115"/>
      <c r="B2109" s="79"/>
      <c r="C2109" s="115"/>
      <c r="D2109" s="115"/>
      <c r="E2109" s="115"/>
      <c r="F2109" s="115"/>
    </row>
    <row r="2110" spans="1:6" x14ac:dyDescent="0.2">
      <c r="A2110" s="115"/>
      <c r="B2110" s="79"/>
      <c r="C2110" s="115"/>
      <c r="D2110" s="115"/>
      <c r="E2110" s="115"/>
      <c r="F2110" s="115"/>
    </row>
    <row r="2111" spans="1:6" x14ac:dyDescent="0.2">
      <c r="A2111" s="115"/>
      <c r="B2111" s="79"/>
      <c r="C2111" s="115"/>
      <c r="D2111" s="115"/>
      <c r="E2111" s="115"/>
      <c r="F2111" s="115"/>
    </row>
    <row r="2112" spans="1:6" x14ac:dyDescent="0.2">
      <c r="A2112" s="115"/>
      <c r="B2112" s="79"/>
      <c r="C2112" s="115"/>
      <c r="D2112" s="115"/>
      <c r="E2112" s="115"/>
      <c r="F2112" s="115"/>
    </row>
    <row r="2113" spans="1:6" x14ac:dyDescent="0.2">
      <c r="A2113" s="115"/>
      <c r="B2113" s="79"/>
      <c r="C2113" s="115"/>
      <c r="D2113" s="115"/>
      <c r="E2113" s="115"/>
      <c r="F2113" s="115"/>
    </row>
    <row r="2114" spans="1:6" x14ac:dyDescent="0.2">
      <c r="A2114" s="115"/>
      <c r="B2114" s="79"/>
      <c r="C2114" s="115"/>
      <c r="D2114" s="115"/>
      <c r="E2114" s="115"/>
      <c r="F2114" s="115"/>
    </row>
    <row r="2115" spans="1:6" x14ac:dyDescent="0.2">
      <c r="A2115" s="115"/>
      <c r="B2115" s="79"/>
      <c r="C2115" s="115"/>
      <c r="D2115" s="115"/>
      <c r="E2115" s="115"/>
      <c r="F2115" s="115"/>
    </row>
    <row r="2116" spans="1:6" x14ac:dyDescent="0.2">
      <c r="A2116" s="115"/>
      <c r="B2116" s="79"/>
      <c r="C2116" s="115"/>
      <c r="D2116" s="115"/>
      <c r="E2116" s="115"/>
      <c r="F2116" s="115"/>
    </row>
    <row r="2117" spans="1:6" x14ac:dyDescent="0.2">
      <c r="A2117" s="115"/>
      <c r="B2117" s="79"/>
      <c r="C2117" s="115"/>
      <c r="D2117" s="115"/>
      <c r="E2117" s="115"/>
      <c r="F2117" s="115"/>
    </row>
    <row r="2118" spans="1:6" x14ac:dyDescent="0.2">
      <c r="A2118" s="115"/>
      <c r="B2118" s="79"/>
      <c r="C2118" s="115"/>
      <c r="D2118" s="115"/>
      <c r="E2118" s="115"/>
      <c r="F2118" s="115"/>
    </row>
    <row r="2119" spans="1:6" x14ac:dyDescent="0.2">
      <c r="A2119" s="115"/>
      <c r="B2119" s="79"/>
      <c r="C2119" s="115"/>
      <c r="D2119" s="115"/>
      <c r="E2119" s="115"/>
      <c r="F2119" s="115"/>
    </row>
    <row r="2120" spans="1:6" x14ac:dyDescent="0.2">
      <c r="A2120" s="115"/>
      <c r="B2120" s="79"/>
      <c r="C2120" s="115"/>
      <c r="D2120" s="115"/>
      <c r="E2120" s="115"/>
      <c r="F2120" s="115"/>
    </row>
    <row r="2121" spans="1:6" x14ac:dyDescent="0.2">
      <c r="A2121" s="115"/>
      <c r="B2121" s="79"/>
      <c r="C2121" s="115"/>
      <c r="D2121" s="115"/>
      <c r="E2121" s="115"/>
      <c r="F2121" s="115"/>
    </row>
    <row r="2122" spans="1:6" x14ac:dyDescent="0.2">
      <c r="A2122" s="115"/>
      <c r="B2122" s="79"/>
      <c r="C2122" s="115"/>
      <c r="D2122" s="115"/>
      <c r="E2122" s="115"/>
      <c r="F2122" s="115"/>
    </row>
    <row r="2123" spans="1:6" x14ac:dyDescent="0.2">
      <c r="A2123" s="115"/>
      <c r="B2123" s="79"/>
      <c r="C2123" s="115"/>
      <c r="D2123" s="115"/>
      <c r="E2123" s="115"/>
      <c r="F2123" s="115"/>
    </row>
    <row r="2124" spans="1:6" x14ac:dyDescent="0.2">
      <c r="A2124" s="115"/>
      <c r="B2124" s="79"/>
      <c r="C2124" s="115"/>
      <c r="D2124" s="115"/>
      <c r="E2124" s="115"/>
      <c r="F2124" s="115"/>
    </row>
    <row r="2125" spans="1:6" x14ac:dyDescent="0.2">
      <c r="A2125" s="115"/>
      <c r="B2125" s="79"/>
      <c r="C2125" s="115"/>
      <c r="D2125" s="115"/>
      <c r="E2125" s="115"/>
      <c r="F2125" s="115"/>
    </row>
    <row r="2126" spans="1:6" x14ac:dyDescent="0.2">
      <c r="A2126" s="115"/>
      <c r="B2126" s="79"/>
      <c r="C2126" s="115"/>
      <c r="D2126" s="115"/>
      <c r="E2126" s="115"/>
      <c r="F2126" s="115"/>
    </row>
    <row r="2127" spans="1:6" x14ac:dyDescent="0.2">
      <c r="A2127" s="115"/>
      <c r="B2127" s="79"/>
      <c r="C2127" s="115"/>
      <c r="D2127" s="115"/>
      <c r="E2127" s="115"/>
      <c r="F2127" s="115"/>
    </row>
    <row r="2128" spans="1:6" x14ac:dyDescent="0.2">
      <c r="A2128" s="115"/>
      <c r="B2128" s="79"/>
      <c r="C2128" s="115"/>
      <c r="D2128" s="115"/>
      <c r="E2128" s="115"/>
      <c r="F2128" s="115"/>
    </row>
    <row r="2129" spans="1:6" x14ac:dyDescent="0.2">
      <c r="A2129" s="115"/>
      <c r="B2129" s="79"/>
      <c r="C2129" s="115"/>
      <c r="D2129" s="115"/>
      <c r="E2129" s="115"/>
      <c r="F2129" s="115"/>
    </row>
    <row r="2130" spans="1:6" x14ac:dyDescent="0.2">
      <c r="A2130" s="115"/>
      <c r="B2130" s="79"/>
      <c r="C2130" s="115"/>
      <c r="D2130" s="115"/>
      <c r="E2130" s="115"/>
      <c r="F2130" s="115"/>
    </row>
    <row r="2131" spans="1:6" x14ac:dyDescent="0.2">
      <c r="A2131" s="115"/>
      <c r="B2131" s="79"/>
      <c r="C2131" s="115"/>
      <c r="D2131" s="115"/>
      <c r="E2131" s="115"/>
      <c r="F2131" s="115"/>
    </row>
    <row r="2132" spans="1:6" x14ac:dyDescent="0.2">
      <c r="A2132" s="115"/>
      <c r="B2132" s="79"/>
      <c r="C2132" s="115"/>
      <c r="D2132" s="115"/>
      <c r="E2132" s="115"/>
      <c r="F2132" s="115"/>
    </row>
    <row r="2133" spans="1:6" x14ac:dyDescent="0.2">
      <c r="A2133" s="115"/>
      <c r="B2133" s="79"/>
      <c r="C2133" s="115"/>
      <c r="D2133" s="115"/>
      <c r="E2133" s="115"/>
      <c r="F2133" s="115"/>
    </row>
    <row r="2134" spans="1:6" x14ac:dyDescent="0.2">
      <c r="A2134" s="115"/>
      <c r="B2134" s="79"/>
      <c r="C2134" s="115"/>
      <c r="D2134" s="115"/>
      <c r="E2134" s="115"/>
      <c r="F2134" s="115"/>
    </row>
    <row r="2135" spans="1:6" x14ac:dyDescent="0.2">
      <c r="A2135" s="115"/>
      <c r="B2135" s="79"/>
      <c r="C2135" s="115"/>
      <c r="D2135" s="115"/>
      <c r="E2135" s="115"/>
      <c r="F2135" s="115"/>
    </row>
    <row r="2136" spans="1:6" x14ac:dyDescent="0.2">
      <c r="A2136" s="115"/>
      <c r="B2136" s="79"/>
      <c r="C2136" s="115"/>
      <c r="D2136" s="115"/>
      <c r="E2136" s="115"/>
      <c r="F2136" s="115"/>
    </row>
    <row r="2137" spans="1:6" x14ac:dyDescent="0.2">
      <c r="A2137" s="115"/>
      <c r="B2137" s="79"/>
      <c r="C2137" s="115"/>
      <c r="D2137" s="115"/>
      <c r="E2137" s="115"/>
      <c r="F2137" s="115"/>
    </row>
    <row r="2138" spans="1:6" x14ac:dyDescent="0.2">
      <c r="A2138" s="115"/>
      <c r="B2138" s="79"/>
      <c r="C2138" s="115"/>
      <c r="D2138" s="115"/>
      <c r="E2138" s="115"/>
      <c r="F2138" s="115"/>
    </row>
    <row r="2139" spans="1:6" x14ac:dyDescent="0.2">
      <c r="A2139" s="115"/>
      <c r="B2139" s="79"/>
      <c r="C2139" s="115"/>
      <c r="D2139" s="115"/>
      <c r="E2139" s="115"/>
      <c r="F2139" s="115"/>
    </row>
    <row r="2140" spans="1:6" x14ac:dyDescent="0.2">
      <c r="A2140" s="115"/>
      <c r="B2140" s="79"/>
      <c r="C2140" s="115"/>
      <c r="D2140" s="115"/>
      <c r="E2140" s="115"/>
      <c r="F2140" s="115"/>
    </row>
    <row r="2141" spans="1:6" x14ac:dyDescent="0.2">
      <c r="A2141" s="115"/>
      <c r="B2141" s="79"/>
      <c r="C2141" s="115"/>
      <c r="D2141" s="115"/>
      <c r="E2141" s="115"/>
      <c r="F2141" s="115"/>
    </row>
    <row r="2142" spans="1:6" x14ac:dyDescent="0.2">
      <c r="A2142" s="115"/>
      <c r="B2142" s="79"/>
      <c r="C2142" s="115"/>
      <c r="D2142" s="115"/>
      <c r="E2142" s="115"/>
      <c r="F2142" s="115"/>
    </row>
    <row r="2143" spans="1:6" x14ac:dyDescent="0.2">
      <c r="A2143" s="115"/>
      <c r="B2143" s="79"/>
      <c r="C2143" s="115"/>
      <c r="D2143" s="115"/>
      <c r="E2143" s="115"/>
      <c r="F2143" s="115"/>
    </row>
    <row r="2144" spans="1:6" x14ac:dyDescent="0.2">
      <c r="A2144" s="115"/>
      <c r="B2144" s="79"/>
      <c r="C2144" s="115"/>
      <c r="D2144" s="115"/>
      <c r="E2144" s="115"/>
      <c r="F2144" s="115"/>
    </row>
    <row r="2145" spans="1:6" x14ac:dyDescent="0.2">
      <c r="A2145" s="115"/>
      <c r="B2145" s="79"/>
      <c r="C2145" s="115"/>
      <c r="D2145" s="115"/>
      <c r="E2145" s="115"/>
      <c r="F2145" s="115"/>
    </row>
    <row r="2146" spans="1:6" x14ac:dyDescent="0.2">
      <c r="A2146" s="115"/>
      <c r="B2146" s="79"/>
      <c r="C2146" s="115"/>
      <c r="D2146" s="115"/>
      <c r="E2146" s="115"/>
      <c r="F2146" s="115"/>
    </row>
    <row r="2147" spans="1:6" x14ac:dyDescent="0.2">
      <c r="A2147" s="115"/>
      <c r="B2147" s="79"/>
      <c r="C2147" s="115"/>
      <c r="D2147" s="115"/>
      <c r="E2147" s="115"/>
      <c r="F2147" s="115"/>
    </row>
    <row r="2148" spans="1:6" x14ac:dyDescent="0.2">
      <c r="A2148" s="115"/>
      <c r="B2148" s="79"/>
      <c r="C2148" s="115"/>
      <c r="D2148" s="115"/>
      <c r="E2148" s="115"/>
      <c r="F2148" s="115"/>
    </row>
    <row r="2149" spans="1:6" x14ac:dyDescent="0.2">
      <c r="A2149" s="115"/>
      <c r="B2149" s="79"/>
      <c r="C2149" s="115"/>
      <c r="D2149" s="115"/>
      <c r="E2149" s="115"/>
      <c r="F2149" s="115"/>
    </row>
    <row r="2150" spans="1:6" x14ac:dyDescent="0.2">
      <c r="A2150" s="115"/>
      <c r="B2150" s="79"/>
      <c r="C2150" s="115"/>
      <c r="D2150" s="115"/>
      <c r="E2150" s="115"/>
      <c r="F2150" s="115"/>
    </row>
    <row r="2151" spans="1:6" x14ac:dyDescent="0.2">
      <c r="A2151" s="115"/>
      <c r="B2151" s="79"/>
      <c r="C2151" s="115"/>
      <c r="D2151" s="115"/>
      <c r="E2151" s="115"/>
      <c r="F2151" s="115"/>
    </row>
    <row r="2152" spans="1:6" x14ac:dyDescent="0.2">
      <c r="A2152" s="115"/>
      <c r="B2152" s="79"/>
      <c r="C2152" s="115"/>
      <c r="D2152" s="115"/>
      <c r="E2152" s="115"/>
      <c r="F2152" s="115"/>
    </row>
    <row r="2153" spans="1:6" x14ac:dyDescent="0.2">
      <c r="A2153" s="115"/>
      <c r="B2153" s="79"/>
      <c r="C2153" s="115"/>
      <c r="D2153" s="115"/>
      <c r="E2153" s="115"/>
      <c r="F2153" s="115"/>
    </row>
    <row r="2154" spans="1:6" x14ac:dyDescent="0.2">
      <c r="A2154" s="115"/>
      <c r="B2154" s="79"/>
      <c r="C2154" s="115"/>
      <c r="D2154" s="115"/>
      <c r="E2154" s="115"/>
      <c r="F2154" s="115"/>
    </row>
    <row r="2155" spans="1:6" x14ac:dyDescent="0.2">
      <c r="A2155" s="115"/>
      <c r="B2155" s="79"/>
      <c r="C2155" s="115"/>
      <c r="D2155" s="115"/>
      <c r="E2155" s="115"/>
      <c r="F2155" s="115"/>
    </row>
    <row r="2156" spans="1:6" x14ac:dyDescent="0.2">
      <c r="A2156" s="115"/>
      <c r="B2156" s="79"/>
      <c r="C2156" s="115"/>
      <c r="D2156" s="115"/>
      <c r="E2156" s="115"/>
      <c r="F2156" s="115"/>
    </row>
    <row r="2157" spans="1:6" x14ac:dyDescent="0.2">
      <c r="A2157" s="115"/>
      <c r="B2157" s="79"/>
      <c r="C2157" s="115"/>
      <c r="D2157" s="115"/>
      <c r="E2157" s="115"/>
      <c r="F2157" s="115"/>
    </row>
    <row r="2158" spans="1:6" x14ac:dyDescent="0.2">
      <c r="A2158" s="115"/>
      <c r="B2158" s="79"/>
      <c r="C2158" s="115"/>
      <c r="D2158" s="115"/>
      <c r="E2158" s="115"/>
      <c r="F2158" s="115"/>
    </row>
    <row r="2159" spans="1:6" x14ac:dyDescent="0.2">
      <c r="A2159" s="115"/>
      <c r="B2159" s="79"/>
      <c r="C2159" s="115"/>
      <c r="D2159" s="115"/>
      <c r="E2159" s="115"/>
      <c r="F2159" s="115"/>
    </row>
    <row r="2160" spans="1:6" x14ac:dyDescent="0.2">
      <c r="A2160" s="115"/>
      <c r="B2160" s="79"/>
      <c r="C2160" s="115"/>
      <c r="D2160" s="115"/>
      <c r="E2160" s="115"/>
      <c r="F2160" s="115"/>
    </row>
    <row r="2161" spans="1:6" x14ac:dyDescent="0.2">
      <c r="A2161" s="115"/>
      <c r="B2161" s="79"/>
      <c r="C2161" s="115"/>
      <c r="D2161" s="115"/>
      <c r="E2161" s="115"/>
      <c r="F2161" s="115"/>
    </row>
    <row r="2162" spans="1:6" x14ac:dyDescent="0.2">
      <c r="A2162" s="115"/>
      <c r="B2162" s="79"/>
      <c r="C2162" s="115"/>
      <c r="D2162" s="115"/>
      <c r="E2162" s="115"/>
      <c r="F2162" s="115"/>
    </row>
    <row r="2163" spans="1:6" x14ac:dyDescent="0.2">
      <c r="A2163" s="115"/>
      <c r="B2163" s="79"/>
      <c r="C2163" s="115"/>
      <c r="D2163" s="115"/>
      <c r="E2163" s="115"/>
      <c r="F2163" s="115"/>
    </row>
    <row r="2164" spans="1:6" x14ac:dyDescent="0.2">
      <c r="A2164" s="115"/>
      <c r="B2164" s="79"/>
      <c r="C2164" s="115"/>
      <c r="D2164" s="115"/>
      <c r="E2164" s="115"/>
      <c r="F2164" s="115"/>
    </row>
    <row r="2165" spans="1:6" x14ac:dyDescent="0.2">
      <c r="A2165" s="115"/>
      <c r="B2165" s="79"/>
      <c r="C2165" s="115"/>
      <c r="D2165" s="115"/>
      <c r="E2165" s="115"/>
      <c r="F2165" s="115"/>
    </row>
    <row r="2166" spans="1:6" x14ac:dyDescent="0.2">
      <c r="A2166" s="115"/>
      <c r="B2166" s="79"/>
      <c r="C2166" s="115"/>
      <c r="D2166" s="115"/>
      <c r="E2166" s="115"/>
      <c r="F2166" s="115"/>
    </row>
    <row r="2167" spans="1:6" x14ac:dyDescent="0.2">
      <c r="A2167" s="115"/>
      <c r="B2167" s="79"/>
      <c r="C2167" s="115"/>
      <c r="D2167" s="115"/>
      <c r="E2167" s="115"/>
      <c r="F2167" s="115"/>
    </row>
    <row r="2168" spans="1:6" x14ac:dyDescent="0.2">
      <c r="A2168" s="115"/>
      <c r="B2168" s="79"/>
      <c r="C2168" s="115"/>
      <c r="D2168" s="115"/>
      <c r="E2168" s="115"/>
      <c r="F2168" s="115"/>
    </row>
    <row r="2169" spans="1:6" x14ac:dyDescent="0.2">
      <c r="A2169" s="115"/>
      <c r="B2169" s="79"/>
      <c r="C2169" s="115"/>
      <c r="D2169" s="115"/>
      <c r="E2169" s="115"/>
      <c r="F2169" s="115"/>
    </row>
    <row r="2170" spans="1:6" x14ac:dyDescent="0.2">
      <c r="A2170" s="115"/>
      <c r="B2170" s="79"/>
      <c r="C2170" s="115"/>
      <c r="D2170" s="115"/>
      <c r="E2170" s="115"/>
      <c r="F2170" s="115"/>
    </row>
    <row r="2171" spans="1:6" x14ac:dyDescent="0.2">
      <c r="A2171" s="115"/>
      <c r="B2171" s="79"/>
      <c r="C2171" s="115"/>
      <c r="D2171" s="115"/>
      <c r="E2171" s="115"/>
      <c r="F2171" s="115"/>
    </row>
    <row r="2172" spans="1:6" x14ac:dyDescent="0.2">
      <c r="A2172" s="115"/>
      <c r="B2172" s="79"/>
      <c r="C2172" s="115"/>
      <c r="D2172" s="115"/>
      <c r="E2172" s="115"/>
      <c r="F2172" s="115"/>
    </row>
    <row r="2173" spans="1:6" x14ac:dyDescent="0.2">
      <c r="A2173" s="115"/>
      <c r="B2173" s="79"/>
      <c r="C2173" s="115"/>
      <c r="D2173" s="115"/>
      <c r="E2173" s="115"/>
      <c r="F2173" s="115"/>
    </row>
    <row r="2174" spans="1:6" x14ac:dyDescent="0.2">
      <c r="A2174" s="115"/>
      <c r="B2174" s="79"/>
      <c r="C2174" s="115"/>
      <c r="D2174" s="115"/>
      <c r="E2174" s="115"/>
      <c r="F2174" s="115"/>
    </row>
    <row r="2175" spans="1:6" x14ac:dyDescent="0.2">
      <c r="A2175" s="115"/>
      <c r="B2175" s="79"/>
      <c r="C2175" s="115"/>
      <c r="D2175" s="115"/>
      <c r="E2175" s="115"/>
      <c r="F2175" s="115"/>
    </row>
    <row r="2176" spans="1:6" x14ac:dyDescent="0.2">
      <c r="A2176" s="115"/>
      <c r="B2176" s="79"/>
      <c r="C2176" s="115"/>
      <c r="D2176" s="115"/>
      <c r="E2176" s="115"/>
      <c r="F2176" s="115"/>
    </row>
    <row r="2177" spans="1:6" x14ac:dyDescent="0.2">
      <c r="A2177" s="115"/>
      <c r="B2177" s="79"/>
      <c r="C2177" s="115"/>
      <c r="D2177" s="115"/>
      <c r="E2177" s="115"/>
      <c r="F2177" s="115"/>
    </row>
    <row r="2178" spans="1:6" x14ac:dyDescent="0.2">
      <c r="A2178" s="115"/>
      <c r="B2178" s="79"/>
      <c r="C2178" s="115"/>
      <c r="D2178" s="115"/>
      <c r="E2178" s="115"/>
      <c r="F2178" s="115"/>
    </row>
    <row r="2179" spans="1:6" x14ac:dyDescent="0.2">
      <c r="A2179" s="115"/>
      <c r="B2179" s="79"/>
      <c r="C2179" s="115"/>
      <c r="D2179" s="115"/>
      <c r="E2179" s="115"/>
      <c r="F2179" s="115"/>
    </row>
    <row r="2180" spans="1:6" x14ac:dyDescent="0.2">
      <c r="A2180" s="115"/>
      <c r="B2180" s="79"/>
      <c r="C2180" s="115"/>
      <c r="D2180" s="115"/>
      <c r="E2180" s="115"/>
      <c r="F2180" s="115"/>
    </row>
    <row r="2181" spans="1:6" x14ac:dyDescent="0.2">
      <c r="A2181" s="115"/>
      <c r="B2181" s="79"/>
      <c r="C2181" s="115"/>
      <c r="D2181" s="115"/>
      <c r="E2181" s="115"/>
      <c r="F2181" s="115"/>
    </row>
    <row r="2182" spans="1:6" x14ac:dyDescent="0.2">
      <c r="A2182" s="115"/>
      <c r="B2182" s="79"/>
      <c r="C2182" s="115"/>
      <c r="D2182" s="115"/>
      <c r="E2182" s="115"/>
      <c r="F2182" s="115"/>
    </row>
    <row r="2183" spans="1:6" x14ac:dyDescent="0.2">
      <c r="A2183" s="115"/>
      <c r="B2183" s="79"/>
      <c r="C2183" s="115"/>
      <c r="D2183" s="115"/>
      <c r="E2183" s="115"/>
      <c r="F2183" s="115"/>
    </row>
    <row r="2184" spans="1:6" x14ac:dyDescent="0.2">
      <c r="A2184" s="115"/>
      <c r="B2184" s="79"/>
      <c r="C2184" s="115"/>
      <c r="D2184" s="115"/>
      <c r="E2184" s="115"/>
      <c r="F2184" s="115"/>
    </row>
    <row r="2185" spans="1:6" x14ac:dyDescent="0.2">
      <c r="A2185" s="115"/>
      <c r="B2185" s="79"/>
      <c r="C2185" s="115"/>
      <c r="D2185" s="115"/>
      <c r="E2185" s="115"/>
      <c r="F2185" s="115"/>
    </row>
    <row r="2186" spans="1:6" x14ac:dyDescent="0.2">
      <c r="A2186" s="115"/>
      <c r="B2186" s="79"/>
      <c r="C2186" s="115"/>
      <c r="D2186" s="115"/>
      <c r="E2186" s="115"/>
      <c r="F2186" s="115"/>
    </row>
    <row r="2187" spans="1:6" x14ac:dyDescent="0.2">
      <c r="A2187" s="115"/>
      <c r="B2187" s="79"/>
      <c r="C2187" s="115"/>
      <c r="D2187" s="115"/>
      <c r="E2187" s="115"/>
      <c r="F2187" s="115"/>
    </row>
    <row r="2188" spans="1:6" x14ac:dyDescent="0.2">
      <c r="A2188" s="115"/>
      <c r="B2188" s="79"/>
      <c r="C2188" s="115"/>
      <c r="D2188" s="115"/>
      <c r="E2188" s="115"/>
      <c r="F2188" s="115"/>
    </row>
    <row r="2189" spans="1:6" x14ac:dyDescent="0.2">
      <c r="A2189" s="115"/>
      <c r="B2189" s="79"/>
      <c r="C2189" s="115"/>
      <c r="D2189" s="115"/>
      <c r="E2189" s="115"/>
      <c r="F2189" s="115"/>
    </row>
    <row r="2190" spans="1:6" x14ac:dyDescent="0.2">
      <c r="A2190" s="115"/>
      <c r="B2190" s="79"/>
      <c r="C2190" s="115"/>
      <c r="D2190" s="115"/>
      <c r="E2190" s="115"/>
      <c r="F2190" s="115"/>
    </row>
    <row r="2191" spans="1:6" x14ac:dyDescent="0.2">
      <c r="A2191" s="115"/>
      <c r="B2191" s="79"/>
      <c r="C2191" s="115"/>
      <c r="D2191" s="115"/>
      <c r="E2191" s="115"/>
      <c r="F2191" s="115"/>
    </row>
    <row r="2192" spans="1:6" x14ac:dyDescent="0.2">
      <c r="A2192" s="115"/>
      <c r="B2192" s="79"/>
      <c r="C2192" s="115"/>
      <c r="D2192" s="115"/>
      <c r="E2192" s="115"/>
      <c r="F2192" s="115"/>
    </row>
    <row r="2193" spans="1:6" x14ac:dyDescent="0.2">
      <c r="A2193" s="115"/>
      <c r="B2193" s="79"/>
      <c r="C2193" s="115"/>
      <c r="D2193" s="115"/>
      <c r="E2193" s="115"/>
      <c r="F2193" s="115"/>
    </row>
    <row r="2194" spans="1:6" x14ac:dyDescent="0.2">
      <c r="A2194" s="115"/>
      <c r="B2194" s="79"/>
      <c r="C2194" s="115"/>
      <c r="D2194" s="115"/>
      <c r="E2194" s="115"/>
      <c r="F2194" s="115"/>
    </row>
    <row r="2195" spans="1:6" x14ac:dyDescent="0.2">
      <c r="A2195" s="115"/>
      <c r="B2195" s="79"/>
      <c r="C2195" s="115"/>
      <c r="D2195" s="115"/>
      <c r="E2195" s="115"/>
      <c r="F2195" s="115"/>
    </row>
    <row r="2196" spans="1:6" x14ac:dyDescent="0.2">
      <c r="A2196" s="115"/>
      <c r="B2196" s="79"/>
      <c r="C2196" s="115"/>
      <c r="D2196" s="115"/>
      <c r="E2196" s="115"/>
      <c r="F2196" s="115"/>
    </row>
    <row r="2197" spans="1:6" x14ac:dyDescent="0.2">
      <c r="A2197" s="115"/>
      <c r="B2197" s="79"/>
      <c r="C2197" s="115"/>
      <c r="D2197" s="115"/>
      <c r="E2197" s="115"/>
      <c r="F2197" s="115"/>
    </row>
    <row r="2198" spans="1:6" x14ac:dyDescent="0.2">
      <c r="A2198" s="115"/>
      <c r="B2198" s="79"/>
      <c r="C2198" s="115"/>
      <c r="D2198" s="115"/>
      <c r="E2198" s="115"/>
      <c r="F2198" s="115"/>
    </row>
    <row r="2199" spans="1:6" x14ac:dyDescent="0.2">
      <c r="A2199" s="115"/>
      <c r="B2199" s="79"/>
      <c r="C2199" s="115"/>
      <c r="D2199" s="115"/>
      <c r="E2199" s="115"/>
      <c r="F2199" s="115"/>
    </row>
    <row r="2200" spans="1:6" x14ac:dyDescent="0.2">
      <c r="A2200" s="115"/>
      <c r="B2200" s="79"/>
      <c r="C2200" s="115"/>
      <c r="D2200" s="115"/>
      <c r="E2200" s="115"/>
      <c r="F2200" s="115"/>
    </row>
    <row r="2201" spans="1:6" x14ac:dyDescent="0.2">
      <c r="A2201" s="115"/>
      <c r="B2201" s="79"/>
      <c r="C2201" s="115"/>
      <c r="D2201" s="115"/>
      <c r="E2201" s="115"/>
      <c r="F2201" s="115"/>
    </row>
    <row r="2202" spans="1:6" x14ac:dyDescent="0.2">
      <c r="A2202" s="115"/>
      <c r="B2202" s="79"/>
      <c r="C2202" s="115"/>
      <c r="D2202" s="115"/>
      <c r="E2202" s="115"/>
      <c r="F2202" s="115"/>
    </row>
    <row r="2203" spans="1:6" x14ac:dyDescent="0.2">
      <c r="A2203" s="115"/>
      <c r="B2203" s="79"/>
      <c r="C2203" s="115"/>
      <c r="D2203" s="115"/>
      <c r="E2203" s="115"/>
      <c r="F2203" s="115"/>
    </row>
    <row r="2204" spans="1:6" x14ac:dyDescent="0.2">
      <c r="A2204" s="115"/>
      <c r="B2204" s="79"/>
      <c r="C2204" s="115"/>
      <c r="D2204" s="115"/>
      <c r="E2204" s="115"/>
      <c r="F2204" s="115"/>
    </row>
    <row r="2205" spans="1:6" x14ac:dyDescent="0.2">
      <c r="A2205" s="115"/>
      <c r="B2205" s="79"/>
      <c r="C2205" s="115"/>
      <c r="D2205" s="115"/>
      <c r="E2205" s="115"/>
      <c r="F2205" s="115"/>
    </row>
    <row r="2206" spans="1:6" x14ac:dyDescent="0.2">
      <c r="A2206" s="115"/>
      <c r="B2206" s="79"/>
      <c r="C2206" s="115"/>
      <c r="D2206" s="115"/>
      <c r="E2206" s="115"/>
      <c r="F2206" s="115"/>
    </row>
    <row r="2207" spans="1:6" x14ac:dyDescent="0.2">
      <c r="A2207" s="115"/>
      <c r="B2207" s="79"/>
      <c r="C2207" s="115"/>
      <c r="D2207" s="115"/>
      <c r="E2207" s="115"/>
      <c r="F2207" s="115"/>
    </row>
    <row r="2208" spans="1:6" x14ac:dyDescent="0.2">
      <c r="A2208" s="115"/>
      <c r="B2208" s="79"/>
      <c r="C2208" s="115"/>
      <c r="D2208" s="115"/>
      <c r="E2208" s="115"/>
      <c r="F2208" s="115"/>
    </row>
    <row r="2209" spans="1:6" x14ac:dyDescent="0.2">
      <c r="A2209" s="115"/>
      <c r="B2209" s="79"/>
      <c r="C2209" s="115"/>
      <c r="D2209" s="115"/>
      <c r="E2209" s="115"/>
      <c r="F2209" s="115"/>
    </row>
    <row r="2210" spans="1:6" x14ac:dyDescent="0.2">
      <c r="A2210" s="115"/>
      <c r="B2210" s="79"/>
      <c r="C2210" s="115"/>
      <c r="D2210" s="115"/>
      <c r="E2210" s="115"/>
      <c r="F2210" s="115"/>
    </row>
    <row r="2211" spans="1:6" x14ac:dyDescent="0.2">
      <c r="A2211" s="115"/>
      <c r="B2211" s="79"/>
      <c r="C2211" s="115"/>
      <c r="D2211" s="115"/>
      <c r="E2211" s="115"/>
      <c r="F2211" s="115"/>
    </row>
    <row r="2212" spans="1:6" x14ac:dyDescent="0.2">
      <c r="A2212" s="115"/>
      <c r="B2212" s="79"/>
      <c r="C2212" s="115"/>
      <c r="D2212" s="115"/>
      <c r="E2212" s="115"/>
      <c r="F2212" s="115"/>
    </row>
    <row r="2213" spans="1:6" x14ac:dyDescent="0.2">
      <c r="A2213" s="115"/>
      <c r="B2213" s="79"/>
      <c r="C2213" s="115"/>
      <c r="D2213" s="115"/>
      <c r="E2213" s="115"/>
      <c r="F2213" s="115"/>
    </row>
    <row r="2214" spans="1:6" x14ac:dyDescent="0.2">
      <c r="A2214" s="115"/>
      <c r="B2214" s="79"/>
      <c r="C2214" s="115"/>
      <c r="D2214" s="115"/>
      <c r="E2214" s="115"/>
      <c r="F2214" s="115"/>
    </row>
    <row r="2215" spans="1:6" x14ac:dyDescent="0.2">
      <c r="A2215" s="115"/>
      <c r="B2215" s="79"/>
      <c r="C2215" s="115"/>
      <c r="D2215" s="115"/>
      <c r="E2215" s="115"/>
      <c r="F2215" s="115"/>
    </row>
    <row r="2216" spans="1:6" x14ac:dyDescent="0.2">
      <c r="A2216" s="115"/>
      <c r="B2216" s="79"/>
      <c r="C2216" s="115"/>
      <c r="D2216" s="115"/>
      <c r="E2216" s="115"/>
      <c r="F2216" s="115"/>
    </row>
    <row r="2217" spans="1:6" x14ac:dyDescent="0.2">
      <c r="A2217" s="115"/>
      <c r="B2217" s="79"/>
      <c r="C2217" s="115"/>
      <c r="D2217" s="115"/>
      <c r="E2217" s="115"/>
      <c r="F2217" s="115"/>
    </row>
    <row r="2218" spans="1:6" x14ac:dyDescent="0.2">
      <c r="A2218" s="115"/>
      <c r="B2218" s="79"/>
      <c r="C2218" s="115"/>
      <c r="D2218" s="115"/>
      <c r="E2218" s="115"/>
      <c r="F2218" s="115"/>
    </row>
    <row r="2219" spans="1:6" x14ac:dyDescent="0.2">
      <c r="A2219" s="115"/>
      <c r="B2219" s="79"/>
      <c r="C2219" s="115"/>
      <c r="D2219" s="115"/>
      <c r="E2219" s="115"/>
      <c r="F2219" s="115"/>
    </row>
    <row r="2220" spans="1:6" x14ac:dyDescent="0.2">
      <c r="A2220" s="115"/>
      <c r="B2220" s="79"/>
      <c r="C2220" s="115"/>
      <c r="D2220" s="115"/>
      <c r="E2220" s="115"/>
      <c r="F2220" s="115"/>
    </row>
    <row r="2221" spans="1:6" x14ac:dyDescent="0.2">
      <c r="A2221" s="115"/>
      <c r="B2221" s="79"/>
      <c r="C2221" s="115"/>
      <c r="D2221" s="115"/>
      <c r="E2221" s="115"/>
      <c r="F2221" s="115"/>
    </row>
    <row r="2222" spans="1:6" x14ac:dyDescent="0.2">
      <c r="A2222" s="115"/>
      <c r="B2222" s="79"/>
      <c r="C2222" s="115"/>
      <c r="D2222" s="115"/>
      <c r="E2222" s="115"/>
      <c r="F2222" s="115"/>
    </row>
    <row r="2223" spans="1:6" x14ac:dyDescent="0.2">
      <c r="A2223" s="115"/>
      <c r="B2223" s="79"/>
      <c r="C2223" s="115"/>
      <c r="D2223" s="115"/>
      <c r="E2223" s="115"/>
      <c r="F2223" s="115"/>
    </row>
    <row r="2224" spans="1:6" x14ac:dyDescent="0.2">
      <c r="A2224" s="115"/>
      <c r="B2224" s="79"/>
      <c r="C2224" s="115"/>
      <c r="D2224" s="115"/>
      <c r="E2224" s="115"/>
      <c r="F2224" s="115"/>
    </row>
    <row r="2225" spans="1:6" x14ac:dyDescent="0.2">
      <c r="A2225" s="115"/>
      <c r="B2225" s="79"/>
      <c r="C2225" s="115"/>
      <c r="D2225" s="115"/>
      <c r="E2225" s="115"/>
      <c r="F2225" s="115"/>
    </row>
    <row r="2226" spans="1:6" x14ac:dyDescent="0.2">
      <c r="A2226" s="115"/>
      <c r="B2226" s="79"/>
      <c r="C2226" s="115"/>
      <c r="D2226" s="115"/>
      <c r="E2226" s="115"/>
      <c r="F2226" s="115"/>
    </row>
    <row r="2227" spans="1:6" x14ac:dyDescent="0.2">
      <c r="A2227" s="115"/>
      <c r="B2227" s="79"/>
      <c r="C2227" s="115"/>
      <c r="D2227" s="115"/>
      <c r="E2227" s="115"/>
      <c r="F2227" s="115"/>
    </row>
    <row r="2228" spans="1:6" x14ac:dyDescent="0.2">
      <c r="A2228" s="115"/>
      <c r="B2228" s="79"/>
      <c r="C2228" s="115"/>
      <c r="D2228" s="115"/>
      <c r="E2228" s="115"/>
      <c r="F2228" s="115"/>
    </row>
    <row r="2229" spans="1:6" x14ac:dyDescent="0.2">
      <c r="A2229" s="115"/>
      <c r="B2229" s="79"/>
      <c r="C2229" s="115"/>
      <c r="D2229" s="115"/>
      <c r="E2229" s="115"/>
      <c r="F2229" s="115"/>
    </row>
    <row r="2230" spans="1:6" x14ac:dyDescent="0.2">
      <c r="A2230" s="115"/>
      <c r="B2230" s="79"/>
      <c r="C2230" s="115"/>
      <c r="D2230" s="115"/>
      <c r="E2230" s="115"/>
      <c r="F2230" s="115"/>
    </row>
    <row r="2231" spans="1:6" x14ac:dyDescent="0.2">
      <c r="A2231" s="115"/>
      <c r="B2231" s="79"/>
      <c r="C2231" s="115"/>
      <c r="D2231" s="115"/>
      <c r="E2231" s="115"/>
      <c r="F2231" s="115"/>
    </row>
    <row r="2232" spans="1:6" x14ac:dyDescent="0.2">
      <c r="A2232" s="115"/>
      <c r="B2232" s="79"/>
      <c r="C2232" s="115"/>
      <c r="D2232" s="115"/>
      <c r="E2232" s="115"/>
      <c r="F2232" s="115"/>
    </row>
    <row r="2233" spans="1:6" x14ac:dyDescent="0.2">
      <c r="A2233" s="115"/>
      <c r="B2233" s="79"/>
      <c r="C2233" s="115"/>
      <c r="D2233" s="115"/>
      <c r="E2233" s="115"/>
      <c r="F2233" s="115"/>
    </row>
    <row r="2234" spans="1:6" x14ac:dyDescent="0.2">
      <c r="A2234" s="115"/>
      <c r="B2234" s="79"/>
      <c r="C2234" s="115"/>
      <c r="D2234" s="115"/>
      <c r="E2234" s="115"/>
      <c r="F2234" s="115"/>
    </row>
    <row r="2235" spans="1:6" x14ac:dyDescent="0.2">
      <c r="A2235" s="115"/>
      <c r="B2235" s="79"/>
      <c r="C2235" s="115"/>
      <c r="D2235" s="115"/>
      <c r="E2235" s="115"/>
      <c r="F2235" s="115"/>
    </row>
    <row r="2236" spans="1:6" x14ac:dyDescent="0.2">
      <c r="A2236" s="115"/>
      <c r="B2236" s="79"/>
      <c r="C2236" s="115"/>
      <c r="D2236" s="115"/>
      <c r="E2236" s="115"/>
      <c r="F2236" s="115"/>
    </row>
    <row r="2237" spans="1:6" x14ac:dyDescent="0.2">
      <c r="A2237" s="115"/>
      <c r="B2237" s="79"/>
      <c r="C2237" s="115"/>
      <c r="D2237" s="115"/>
      <c r="E2237" s="115"/>
      <c r="F2237" s="115"/>
    </row>
    <row r="2238" spans="1:6" x14ac:dyDescent="0.2">
      <c r="A2238" s="115"/>
      <c r="B2238" s="79"/>
      <c r="C2238" s="115"/>
      <c r="D2238" s="115"/>
      <c r="E2238" s="115"/>
      <c r="F2238" s="115"/>
    </row>
    <row r="2239" spans="1:6" x14ac:dyDescent="0.2">
      <c r="A2239" s="115"/>
      <c r="B2239" s="79"/>
      <c r="C2239" s="115"/>
      <c r="D2239" s="115"/>
      <c r="E2239" s="115"/>
      <c r="F2239" s="115"/>
    </row>
    <row r="2240" spans="1:6" x14ac:dyDescent="0.2">
      <c r="A2240" s="115"/>
      <c r="B2240" s="79"/>
      <c r="C2240" s="115"/>
      <c r="D2240" s="115"/>
      <c r="E2240" s="115"/>
      <c r="F2240" s="115"/>
    </row>
    <row r="2241" spans="1:6" x14ac:dyDescent="0.2">
      <c r="A2241" s="115"/>
      <c r="B2241" s="79"/>
      <c r="C2241" s="115"/>
      <c r="D2241" s="115"/>
      <c r="E2241" s="115"/>
      <c r="F2241" s="115"/>
    </row>
    <row r="2242" spans="1:6" x14ac:dyDescent="0.2">
      <c r="A2242" s="115"/>
      <c r="B2242" s="79"/>
      <c r="C2242" s="115"/>
      <c r="D2242" s="115"/>
      <c r="E2242" s="115"/>
      <c r="F2242" s="115"/>
    </row>
    <row r="2243" spans="1:6" x14ac:dyDescent="0.2">
      <c r="A2243" s="115"/>
      <c r="B2243" s="79"/>
      <c r="C2243" s="115"/>
      <c r="D2243" s="115"/>
      <c r="E2243" s="115"/>
      <c r="F2243" s="115"/>
    </row>
    <row r="2244" spans="1:6" x14ac:dyDescent="0.2">
      <c r="A2244" s="115"/>
      <c r="B2244" s="79"/>
      <c r="C2244" s="115"/>
      <c r="D2244" s="115"/>
      <c r="E2244" s="115"/>
      <c r="F2244" s="115"/>
    </row>
    <row r="2245" spans="1:6" x14ac:dyDescent="0.2">
      <c r="A2245" s="115"/>
      <c r="B2245" s="79"/>
      <c r="C2245" s="115"/>
      <c r="D2245" s="115"/>
      <c r="E2245" s="115"/>
      <c r="F2245" s="115"/>
    </row>
    <row r="2246" spans="1:6" x14ac:dyDescent="0.2">
      <c r="A2246" s="115"/>
      <c r="B2246" s="79"/>
      <c r="C2246" s="115"/>
      <c r="D2246" s="115"/>
      <c r="E2246" s="115"/>
      <c r="F2246" s="115"/>
    </row>
    <row r="2247" spans="1:6" x14ac:dyDescent="0.2">
      <c r="A2247" s="115"/>
      <c r="B2247" s="79"/>
      <c r="C2247" s="115"/>
      <c r="D2247" s="115"/>
      <c r="E2247" s="115"/>
      <c r="F2247" s="115"/>
    </row>
    <row r="2248" spans="1:6" x14ac:dyDescent="0.2">
      <c r="A2248" s="115"/>
      <c r="B2248" s="79"/>
      <c r="C2248" s="115"/>
      <c r="D2248" s="115"/>
      <c r="E2248" s="115"/>
      <c r="F2248" s="115"/>
    </row>
    <row r="2249" spans="1:6" x14ac:dyDescent="0.2">
      <c r="A2249" s="115"/>
      <c r="B2249" s="79"/>
      <c r="C2249" s="115"/>
      <c r="D2249" s="115"/>
      <c r="E2249" s="115"/>
      <c r="F2249" s="115"/>
    </row>
    <row r="2250" spans="1:6" x14ac:dyDescent="0.2">
      <c r="A2250" s="115"/>
      <c r="B2250" s="79"/>
      <c r="C2250" s="115"/>
      <c r="D2250" s="115"/>
      <c r="E2250" s="115"/>
      <c r="F2250" s="115"/>
    </row>
    <row r="2251" spans="1:6" x14ac:dyDescent="0.2">
      <c r="A2251" s="115"/>
      <c r="B2251" s="79"/>
      <c r="C2251" s="115"/>
      <c r="D2251" s="115"/>
      <c r="E2251" s="115"/>
      <c r="F2251" s="115"/>
    </row>
    <row r="2252" spans="1:6" x14ac:dyDescent="0.2">
      <c r="A2252" s="115"/>
      <c r="B2252" s="79"/>
      <c r="C2252" s="115"/>
      <c r="D2252" s="115"/>
      <c r="E2252" s="115"/>
      <c r="F2252" s="115"/>
    </row>
    <row r="2253" spans="1:6" x14ac:dyDescent="0.2">
      <c r="A2253" s="115"/>
      <c r="B2253" s="79"/>
      <c r="C2253" s="115"/>
      <c r="D2253" s="115"/>
      <c r="E2253" s="115"/>
      <c r="F2253" s="115"/>
    </row>
    <row r="2254" spans="1:6" x14ac:dyDescent="0.2">
      <c r="A2254" s="115"/>
      <c r="B2254" s="79"/>
      <c r="C2254" s="115"/>
      <c r="D2254" s="115"/>
      <c r="E2254" s="115"/>
      <c r="F2254" s="115"/>
    </row>
    <row r="2255" spans="1:6" x14ac:dyDescent="0.2">
      <c r="A2255" s="115"/>
      <c r="B2255" s="79"/>
      <c r="C2255" s="115"/>
      <c r="D2255" s="115"/>
      <c r="E2255" s="115"/>
      <c r="F2255" s="115"/>
    </row>
    <row r="2256" spans="1:6" x14ac:dyDescent="0.2">
      <c r="A2256" s="115"/>
      <c r="B2256" s="79"/>
      <c r="C2256" s="115"/>
      <c r="D2256" s="115"/>
      <c r="E2256" s="115"/>
      <c r="F2256" s="115"/>
    </row>
    <row r="2257" spans="1:6" x14ac:dyDescent="0.2">
      <c r="A2257" s="115"/>
      <c r="B2257" s="79"/>
      <c r="C2257" s="115"/>
      <c r="D2257" s="115"/>
      <c r="E2257" s="115"/>
      <c r="F2257" s="115"/>
    </row>
    <row r="2258" spans="1:6" x14ac:dyDescent="0.2">
      <c r="A2258" s="115"/>
      <c r="B2258" s="79"/>
      <c r="C2258" s="115"/>
      <c r="D2258" s="115"/>
      <c r="E2258" s="115"/>
      <c r="F2258" s="115"/>
    </row>
    <row r="2259" spans="1:6" x14ac:dyDescent="0.2">
      <c r="A2259" s="115"/>
      <c r="B2259" s="79"/>
      <c r="C2259" s="115"/>
      <c r="D2259" s="115"/>
      <c r="E2259" s="115"/>
      <c r="F2259" s="115"/>
    </row>
    <row r="2260" spans="1:6" x14ac:dyDescent="0.2">
      <c r="A2260" s="115"/>
      <c r="B2260" s="79"/>
      <c r="C2260" s="115"/>
      <c r="D2260" s="115"/>
      <c r="E2260" s="115"/>
      <c r="F2260" s="115"/>
    </row>
    <row r="2261" spans="1:6" x14ac:dyDescent="0.2">
      <c r="A2261" s="115"/>
      <c r="B2261" s="79"/>
      <c r="C2261" s="115"/>
      <c r="D2261" s="115"/>
      <c r="E2261" s="115"/>
      <c r="F2261" s="115"/>
    </row>
    <row r="2262" spans="1:6" x14ac:dyDescent="0.2">
      <c r="A2262" s="115"/>
      <c r="B2262" s="79"/>
      <c r="C2262" s="115"/>
      <c r="D2262" s="115"/>
      <c r="E2262" s="115"/>
      <c r="F2262" s="115"/>
    </row>
    <row r="2263" spans="1:6" x14ac:dyDescent="0.2">
      <c r="A2263" s="115"/>
      <c r="B2263" s="79"/>
      <c r="C2263" s="115"/>
      <c r="D2263" s="115"/>
      <c r="E2263" s="115"/>
      <c r="F2263" s="115"/>
    </row>
    <row r="2264" spans="1:6" x14ac:dyDescent="0.2">
      <c r="A2264" s="115"/>
      <c r="B2264" s="79"/>
      <c r="C2264" s="115"/>
      <c r="D2264" s="115"/>
      <c r="E2264" s="115"/>
      <c r="F2264" s="115"/>
    </row>
    <row r="2265" spans="1:6" x14ac:dyDescent="0.2">
      <c r="A2265" s="115"/>
      <c r="B2265" s="79"/>
      <c r="C2265" s="115"/>
      <c r="D2265" s="115"/>
      <c r="E2265" s="115"/>
      <c r="F2265" s="115"/>
    </row>
    <row r="2266" spans="1:6" x14ac:dyDescent="0.2">
      <c r="A2266" s="115"/>
      <c r="B2266" s="79"/>
      <c r="C2266" s="115"/>
      <c r="D2266" s="115"/>
      <c r="E2266" s="115"/>
      <c r="F2266" s="115"/>
    </row>
    <row r="2267" spans="1:6" x14ac:dyDescent="0.2">
      <c r="A2267" s="115"/>
      <c r="B2267" s="79"/>
      <c r="C2267" s="115"/>
      <c r="D2267" s="115"/>
      <c r="E2267" s="115"/>
      <c r="F2267" s="115"/>
    </row>
    <row r="2268" spans="1:6" x14ac:dyDescent="0.2">
      <c r="A2268" s="115"/>
      <c r="B2268" s="79"/>
      <c r="C2268" s="115"/>
      <c r="D2268" s="115"/>
      <c r="E2268" s="115"/>
      <c r="F2268" s="115"/>
    </row>
    <row r="2269" spans="1:6" x14ac:dyDescent="0.2">
      <c r="A2269" s="115"/>
      <c r="B2269" s="79"/>
      <c r="C2269" s="115"/>
      <c r="D2269" s="115"/>
      <c r="E2269" s="115"/>
      <c r="F2269" s="115"/>
    </row>
    <row r="2270" spans="1:6" x14ac:dyDescent="0.2">
      <c r="A2270" s="115"/>
      <c r="B2270" s="79"/>
      <c r="C2270" s="115"/>
      <c r="D2270" s="115"/>
      <c r="E2270" s="115"/>
      <c r="F2270" s="115"/>
    </row>
    <row r="2271" spans="1:6" x14ac:dyDescent="0.2">
      <c r="A2271" s="115"/>
      <c r="B2271" s="79"/>
      <c r="C2271" s="115"/>
      <c r="D2271" s="115"/>
      <c r="E2271" s="115"/>
      <c r="F2271" s="115"/>
    </row>
    <row r="2272" spans="1:6" x14ac:dyDescent="0.2">
      <c r="A2272" s="115"/>
      <c r="B2272" s="79"/>
      <c r="C2272" s="115"/>
      <c r="D2272" s="115"/>
      <c r="E2272" s="115"/>
      <c r="F2272" s="115"/>
    </row>
    <row r="2273" spans="1:6" x14ac:dyDescent="0.2">
      <c r="A2273" s="115"/>
      <c r="B2273" s="79"/>
      <c r="C2273" s="115"/>
      <c r="D2273" s="115"/>
      <c r="E2273" s="115"/>
      <c r="F2273" s="115"/>
    </row>
    <row r="2274" spans="1:6" x14ac:dyDescent="0.2">
      <c r="A2274" s="115"/>
      <c r="B2274" s="79"/>
      <c r="C2274" s="115"/>
      <c r="D2274" s="115"/>
      <c r="E2274" s="115"/>
      <c r="F2274" s="115"/>
    </row>
    <row r="2275" spans="1:6" x14ac:dyDescent="0.2">
      <c r="A2275" s="115"/>
      <c r="B2275" s="79"/>
      <c r="C2275" s="115"/>
      <c r="D2275" s="115"/>
      <c r="E2275" s="115"/>
      <c r="F2275" s="115"/>
    </row>
    <row r="2276" spans="1:6" x14ac:dyDescent="0.2">
      <c r="A2276" s="115"/>
      <c r="B2276" s="79"/>
      <c r="C2276" s="115"/>
      <c r="D2276" s="115"/>
      <c r="E2276" s="115"/>
      <c r="F2276" s="115"/>
    </row>
    <row r="2277" spans="1:6" x14ac:dyDescent="0.2">
      <c r="A2277" s="115"/>
      <c r="B2277" s="79"/>
      <c r="C2277" s="115"/>
      <c r="D2277" s="115"/>
      <c r="E2277" s="115"/>
      <c r="F2277" s="115"/>
    </row>
    <row r="2278" spans="1:6" x14ac:dyDescent="0.2">
      <c r="A2278" s="115"/>
      <c r="B2278" s="79"/>
      <c r="C2278" s="115"/>
      <c r="D2278" s="115"/>
      <c r="E2278" s="115"/>
      <c r="F2278" s="115"/>
    </row>
    <row r="2279" spans="1:6" x14ac:dyDescent="0.2">
      <c r="A2279" s="115"/>
      <c r="B2279" s="79"/>
      <c r="C2279" s="115"/>
      <c r="D2279" s="115"/>
      <c r="E2279" s="115"/>
      <c r="F2279" s="115"/>
    </row>
    <row r="2280" spans="1:6" x14ac:dyDescent="0.2">
      <c r="A2280" s="115"/>
      <c r="B2280" s="79"/>
      <c r="C2280" s="115"/>
      <c r="D2280" s="115"/>
      <c r="E2280" s="115"/>
      <c r="F2280" s="115"/>
    </row>
    <row r="2281" spans="1:6" x14ac:dyDescent="0.2">
      <c r="A2281" s="115"/>
      <c r="B2281" s="79"/>
      <c r="C2281" s="115"/>
      <c r="D2281" s="115"/>
      <c r="E2281" s="115"/>
      <c r="F2281" s="115"/>
    </row>
    <row r="2282" spans="1:6" x14ac:dyDescent="0.2">
      <c r="A2282" s="115"/>
      <c r="B2282" s="79"/>
      <c r="C2282" s="115"/>
      <c r="D2282" s="115"/>
      <c r="E2282" s="115"/>
      <c r="F2282" s="115"/>
    </row>
    <row r="2283" spans="1:6" x14ac:dyDescent="0.2">
      <c r="A2283" s="115"/>
      <c r="B2283" s="79"/>
      <c r="C2283" s="115"/>
      <c r="D2283" s="115"/>
      <c r="E2283" s="115"/>
      <c r="F2283" s="115"/>
    </row>
    <row r="2284" spans="1:6" x14ac:dyDescent="0.2">
      <c r="A2284" s="115"/>
      <c r="B2284" s="79"/>
      <c r="C2284" s="115"/>
      <c r="D2284" s="115"/>
      <c r="E2284" s="115"/>
      <c r="F2284" s="115"/>
    </row>
    <row r="2285" spans="1:6" x14ac:dyDescent="0.2">
      <c r="A2285" s="115"/>
      <c r="B2285" s="79"/>
      <c r="C2285" s="115"/>
      <c r="D2285" s="115"/>
      <c r="E2285" s="115"/>
      <c r="F2285" s="115"/>
    </row>
    <row r="2286" spans="1:6" x14ac:dyDescent="0.2">
      <c r="A2286" s="115"/>
      <c r="B2286" s="79"/>
      <c r="C2286" s="115"/>
      <c r="D2286" s="115"/>
      <c r="E2286" s="115"/>
      <c r="F2286" s="115"/>
    </row>
    <row r="2287" spans="1:6" x14ac:dyDescent="0.2">
      <c r="A2287" s="115"/>
      <c r="B2287" s="79"/>
      <c r="C2287" s="115"/>
      <c r="D2287" s="115"/>
      <c r="E2287" s="115"/>
      <c r="F2287" s="115"/>
    </row>
    <row r="2288" spans="1:6" x14ac:dyDescent="0.2">
      <c r="A2288" s="115"/>
      <c r="B2288" s="79"/>
      <c r="C2288" s="115"/>
      <c r="D2288" s="115"/>
      <c r="E2288" s="115"/>
      <c r="F2288" s="115"/>
    </row>
    <row r="2289" spans="1:6" x14ac:dyDescent="0.2">
      <c r="A2289" s="115"/>
      <c r="B2289" s="79"/>
      <c r="C2289" s="115"/>
      <c r="D2289" s="115"/>
      <c r="E2289" s="115"/>
      <c r="F2289" s="115"/>
    </row>
    <row r="2290" spans="1:6" x14ac:dyDescent="0.2">
      <c r="A2290" s="115"/>
      <c r="B2290" s="79"/>
      <c r="C2290" s="115"/>
      <c r="D2290" s="115"/>
      <c r="E2290" s="115"/>
      <c r="F2290" s="115"/>
    </row>
    <row r="2291" spans="1:6" x14ac:dyDescent="0.2">
      <c r="A2291" s="115"/>
      <c r="B2291" s="79"/>
      <c r="C2291" s="115"/>
      <c r="D2291" s="115"/>
      <c r="E2291" s="115"/>
      <c r="F2291" s="115"/>
    </row>
    <row r="2292" spans="1:6" x14ac:dyDescent="0.2">
      <c r="A2292" s="115"/>
      <c r="B2292" s="79"/>
      <c r="C2292" s="115"/>
      <c r="D2292" s="115"/>
      <c r="E2292" s="115"/>
      <c r="F2292" s="115"/>
    </row>
    <row r="2293" spans="1:6" x14ac:dyDescent="0.2">
      <c r="A2293" s="115"/>
      <c r="B2293" s="79"/>
      <c r="C2293" s="115"/>
      <c r="D2293" s="115"/>
      <c r="E2293" s="115"/>
      <c r="F2293" s="115"/>
    </row>
    <row r="2294" spans="1:6" x14ac:dyDescent="0.2">
      <c r="A2294" s="115"/>
      <c r="B2294" s="79"/>
      <c r="C2294" s="115"/>
      <c r="D2294" s="115"/>
      <c r="E2294" s="115"/>
      <c r="F2294" s="115"/>
    </row>
    <row r="2295" spans="1:6" x14ac:dyDescent="0.2">
      <c r="A2295" s="115"/>
      <c r="B2295" s="79"/>
      <c r="C2295" s="115"/>
      <c r="D2295" s="115"/>
      <c r="E2295" s="115"/>
      <c r="F2295" s="115"/>
    </row>
    <row r="2296" spans="1:6" x14ac:dyDescent="0.2">
      <c r="A2296" s="115"/>
      <c r="B2296" s="79"/>
      <c r="C2296" s="115"/>
      <c r="D2296" s="115"/>
      <c r="E2296" s="115"/>
      <c r="F2296" s="115"/>
    </row>
    <row r="2297" spans="1:6" x14ac:dyDescent="0.2">
      <c r="A2297" s="115"/>
      <c r="B2297" s="79"/>
      <c r="C2297" s="115"/>
      <c r="D2297" s="115"/>
      <c r="E2297" s="115"/>
      <c r="F2297" s="115"/>
    </row>
    <row r="2298" spans="1:6" x14ac:dyDescent="0.2">
      <c r="A2298" s="115"/>
      <c r="B2298" s="79"/>
      <c r="C2298" s="115"/>
      <c r="D2298" s="115"/>
      <c r="E2298" s="115"/>
      <c r="F2298" s="115"/>
    </row>
    <row r="2299" spans="1:6" x14ac:dyDescent="0.2">
      <c r="A2299" s="115"/>
      <c r="B2299" s="79"/>
      <c r="C2299" s="115"/>
      <c r="D2299" s="115"/>
      <c r="E2299" s="115"/>
      <c r="F2299" s="115"/>
    </row>
    <row r="2300" spans="1:6" x14ac:dyDescent="0.2">
      <c r="A2300" s="115"/>
      <c r="B2300" s="79"/>
      <c r="C2300" s="115"/>
      <c r="D2300" s="115"/>
      <c r="E2300" s="115"/>
      <c r="F2300" s="115"/>
    </row>
    <row r="2301" spans="1:6" x14ac:dyDescent="0.2">
      <c r="A2301" s="115"/>
      <c r="B2301" s="79"/>
      <c r="C2301" s="115"/>
      <c r="D2301" s="115"/>
      <c r="E2301" s="115"/>
      <c r="F2301" s="115"/>
    </row>
    <row r="2302" spans="1:6" x14ac:dyDescent="0.2">
      <c r="A2302" s="115"/>
      <c r="B2302" s="79"/>
      <c r="C2302" s="115"/>
      <c r="D2302" s="115"/>
      <c r="E2302" s="115"/>
      <c r="F2302" s="115"/>
    </row>
    <row r="2303" spans="1:6" x14ac:dyDescent="0.2">
      <c r="A2303" s="115"/>
      <c r="B2303" s="79"/>
      <c r="C2303" s="115"/>
      <c r="D2303" s="115"/>
      <c r="E2303" s="115"/>
      <c r="F2303" s="115"/>
    </row>
    <row r="2304" spans="1:6" x14ac:dyDescent="0.2">
      <c r="A2304" s="115"/>
      <c r="B2304" s="79"/>
      <c r="C2304" s="115"/>
      <c r="D2304" s="115"/>
      <c r="E2304" s="115"/>
      <c r="F2304" s="115"/>
    </row>
    <row r="2305" spans="1:6" x14ac:dyDescent="0.2">
      <c r="A2305" s="115"/>
      <c r="B2305" s="79"/>
      <c r="C2305" s="115"/>
      <c r="D2305" s="115"/>
      <c r="E2305" s="115"/>
      <c r="F2305" s="115"/>
    </row>
    <row r="2306" spans="1:6" x14ac:dyDescent="0.2">
      <c r="A2306" s="115"/>
      <c r="B2306" s="79"/>
      <c r="C2306" s="115"/>
      <c r="D2306" s="115"/>
      <c r="E2306" s="115"/>
      <c r="F2306" s="115"/>
    </row>
    <row r="2307" spans="1:6" x14ac:dyDescent="0.2">
      <c r="A2307" s="115"/>
      <c r="B2307" s="79"/>
      <c r="C2307" s="115"/>
      <c r="D2307" s="115"/>
      <c r="E2307" s="115"/>
      <c r="F2307" s="115"/>
    </row>
    <row r="2308" spans="1:6" x14ac:dyDescent="0.2">
      <c r="A2308" s="115"/>
      <c r="B2308" s="79"/>
      <c r="C2308" s="115"/>
      <c r="D2308" s="115"/>
      <c r="E2308" s="115"/>
      <c r="F2308" s="115"/>
    </row>
    <row r="2309" spans="1:6" x14ac:dyDescent="0.2">
      <c r="A2309" s="115"/>
      <c r="B2309" s="79"/>
      <c r="C2309" s="115"/>
      <c r="D2309" s="115"/>
      <c r="E2309" s="115"/>
      <c r="F2309" s="115"/>
    </row>
    <row r="2310" spans="1:6" x14ac:dyDescent="0.2">
      <c r="A2310" s="115"/>
      <c r="B2310" s="79"/>
      <c r="C2310" s="115"/>
      <c r="D2310" s="115"/>
      <c r="E2310" s="115"/>
      <c r="F2310" s="115"/>
    </row>
    <row r="2311" spans="1:6" x14ac:dyDescent="0.2">
      <c r="A2311" s="115"/>
      <c r="B2311" s="79"/>
      <c r="C2311" s="115"/>
      <c r="D2311" s="115"/>
      <c r="E2311" s="115"/>
      <c r="F2311" s="115"/>
    </row>
    <row r="2312" spans="1:6" x14ac:dyDescent="0.2">
      <c r="A2312" s="115"/>
      <c r="B2312" s="79"/>
      <c r="C2312" s="115"/>
      <c r="D2312" s="115"/>
      <c r="E2312" s="115"/>
      <c r="F2312" s="115"/>
    </row>
    <row r="2313" spans="1:6" x14ac:dyDescent="0.2">
      <c r="A2313" s="115"/>
      <c r="B2313" s="79"/>
      <c r="C2313" s="115"/>
      <c r="D2313" s="115"/>
      <c r="E2313" s="115"/>
      <c r="F2313" s="115"/>
    </row>
    <row r="2314" spans="1:6" x14ac:dyDescent="0.2">
      <c r="A2314" s="115"/>
      <c r="B2314" s="79"/>
      <c r="C2314" s="115"/>
      <c r="D2314" s="115"/>
      <c r="E2314" s="115"/>
      <c r="F2314" s="115"/>
    </row>
    <row r="2315" spans="1:6" x14ac:dyDescent="0.2">
      <c r="A2315" s="115"/>
      <c r="B2315" s="79"/>
      <c r="C2315" s="115"/>
      <c r="D2315" s="115"/>
      <c r="E2315" s="115"/>
      <c r="F2315" s="115"/>
    </row>
    <row r="2316" spans="1:6" x14ac:dyDescent="0.2">
      <c r="A2316" s="115"/>
      <c r="B2316" s="79"/>
      <c r="C2316" s="115"/>
      <c r="D2316" s="115"/>
      <c r="E2316" s="115"/>
      <c r="F2316" s="115"/>
    </row>
    <row r="2317" spans="1:6" x14ac:dyDescent="0.2">
      <c r="A2317" s="115"/>
      <c r="B2317" s="79"/>
      <c r="C2317" s="115"/>
      <c r="D2317" s="115"/>
      <c r="E2317" s="115"/>
      <c r="F2317" s="115"/>
    </row>
    <row r="2318" spans="1:6" x14ac:dyDescent="0.2">
      <c r="A2318" s="115"/>
      <c r="B2318" s="79"/>
      <c r="C2318" s="115"/>
      <c r="D2318" s="115"/>
      <c r="E2318" s="115"/>
      <c r="F2318" s="115"/>
    </row>
    <row r="2319" spans="1:6" x14ac:dyDescent="0.2">
      <c r="A2319" s="115"/>
      <c r="B2319" s="79"/>
      <c r="C2319" s="115"/>
      <c r="D2319" s="115"/>
      <c r="E2319" s="115"/>
      <c r="F2319" s="115"/>
    </row>
    <row r="2320" spans="1:6" x14ac:dyDescent="0.2">
      <c r="A2320" s="115"/>
      <c r="B2320" s="79"/>
      <c r="C2320" s="115"/>
      <c r="D2320" s="115"/>
      <c r="E2320" s="115"/>
      <c r="F2320" s="115"/>
    </row>
    <row r="2321" spans="1:6" x14ac:dyDescent="0.2">
      <c r="A2321" s="115"/>
      <c r="B2321" s="79"/>
      <c r="C2321" s="115"/>
      <c r="D2321" s="115"/>
      <c r="E2321" s="115"/>
      <c r="F2321" s="115"/>
    </row>
    <row r="2322" spans="1:6" x14ac:dyDescent="0.2">
      <c r="A2322" s="115"/>
      <c r="B2322" s="79"/>
      <c r="C2322" s="115"/>
      <c r="D2322" s="115"/>
      <c r="E2322" s="115"/>
      <c r="F2322" s="115"/>
    </row>
    <row r="2323" spans="1:6" x14ac:dyDescent="0.2">
      <c r="A2323" s="115"/>
      <c r="B2323" s="79"/>
      <c r="C2323" s="115"/>
      <c r="D2323" s="115"/>
      <c r="E2323" s="115"/>
      <c r="F2323" s="115"/>
    </row>
    <row r="2324" spans="1:6" x14ac:dyDescent="0.2">
      <c r="A2324" s="115"/>
      <c r="B2324" s="79"/>
      <c r="C2324" s="115"/>
      <c r="D2324" s="115"/>
      <c r="E2324" s="115"/>
      <c r="F2324" s="115"/>
    </row>
    <row r="2325" spans="1:6" x14ac:dyDescent="0.2">
      <c r="A2325" s="115"/>
      <c r="B2325" s="79"/>
      <c r="C2325" s="115"/>
      <c r="D2325" s="115"/>
      <c r="E2325" s="115"/>
      <c r="F2325" s="115"/>
    </row>
    <row r="2326" spans="1:6" x14ac:dyDescent="0.2">
      <c r="A2326" s="115"/>
      <c r="B2326" s="79"/>
      <c r="C2326" s="115"/>
      <c r="D2326" s="115"/>
      <c r="E2326" s="115"/>
      <c r="F2326" s="115"/>
    </row>
    <row r="2327" spans="1:6" x14ac:dyDescent="0.2">
      <c r="A2327" s="115"/>
      <c r="B2327" s="79"/>
      <c r="C2327" s="115"/>
      <c r="D2327" s="115"/>
      <c r="E2327" s="115"/>
      <c r="F2327" s="115"/>
    </row>
    <row r="2328" spans="1:6" x14ac:dyDescent="0.2">
      <c r="A2328" s="115"/>
      <c r="B2328" s="79"/>
      <c r="C2328" s="115"/>
      <c r="D2328" s="115"/>
      <c r="E2328" s="115"/>
      <c r="F2328" s="115"/>
    </row>
    <row r="2329" spans="1:6" x14ac:dyDescent="0.2">
      <c r="A2329" s="115"/>
      <c r="B2329" s="79"/>
      <c r="C2329" s="115"/>
      <c r="D2329" s="115"/>
      <c r="E2329" s="115"/>
      <c r="F2329" s="115"/>
    </row>
    <row r="2330" spans="1:6" x14ac:dyDescent="0.2">
      <c r="A2330" s="115"/>
      <c r="B2330" s="79"/>
      <c r="C2330" s="115"/>
      <c r="D2330" s="115"/>
      <c r="E2330" s="115"/>
      <c r="F2330" s="115"/>
    </row>
    <row r="2331" spans="1:6" x14ac:dyDescent="0.2">
      <c r="A2331" s="115"/>
      <c r="B2331" s="79"/>
      <c r="C2331" s="115"/>
      <c r="D2331" s="115"/>
      <c r="E2331" s="115"/>
      <c r="F2331" s="115"/>
    </row>
    <row r="2332" spans="1:6" x14ac:dyDescent="0.2">
      <c r="A2332" s="115"/>
      <c r="B2332" s="79"/>
      <c r="C2332" s="115"/>
      <c r="D2332" s="115"/>
      <c r="E2332" s="115"/>
      <c r="F2332" s="115"/>
    </row>
    <row r="2333" spans="1:6" x14ac:dyDescent="0.2">
      <c r="A2333" s="115"/>
      <c r="B2333" s="79"/>
      <c r="C2333" s="115"/>
      <c r="D2333" s="115"/>
      <c r="E2333" s="115"/>
      <c r="F2333" s="115"/>
    </row>
    <row r="2334" spans="1:6" x14ac:dyDescent="0.2">
      <c r="A2334" s="115"/>
      <c r="B2334" s="79"/>
      <c r="C2334" s="115"/>
      <c r="D2334" s="115"/>
      <c r="E2334" s="115"/>
      <c r="F2334" s="115"/>
    </row>
    <row r="2335" spans="1:6" x14ac:dyDescent="0.2">
      <c r="A2335" s="115"/>
      <c r="B2335" s="79"/>
      <c r="C2335" s="115"/>
      <c r="D2335" s="115"/>
      <c r="E2335" s="115"/>
      <c r="F2335" s="115"/>
    </row>
    <row r="2336" spans="1:6" x14ac:dyDescent="0.2">
      <c r="A2336" s="115"/>
      <c r="B2336" s="79"/>
      <c r="C2336" s="115"/>
      <c r="D2336" s="115"/>
      <c r="E2336" s="115"/>
      <c r="F2336" s="115"/>
    </row>
    <row r="2337" spans="1:6" x14ac:dyDescent="0.2">
      <c r="A2337" s="115"/>
      <c r="B2337" s="79"/>
      <c r="C2337" s="115"/>
      <c r="D2337" s="115"/>
      <c r="E2337" s="115"/>
      <c r="F2337" s="115"/>
    </row>
    <row r="2338" spans="1:6" x14ac:dyDescent="0.2">
      <c r="A2338" s="115"/>
      <c r="B2338" s="79"/>
      <c r="C2338" s="115"/>
      <c r="D2338" s="115"/>
      <c r="E2338" s="115"/>
      <c r="F2338" s="115"/>
    </row>
    <row r="2339" spans="1:6" x14ac:dyDescent="0.2">
      <c r="A2339" s="115"/>
      <c r="B2339" s="79"/>
      <c r="C2339" s="115"/>
      <c r="D2339" s="115"/>
      <c r="E2339" s="115"/>
      <c r="F2339" s="115"/>
    </row>
    <row r="2340" spans="1:6" x14ac:dyDescent="0.2">
      <c r="A2340" s="115"/>
      <c r="B2340" s="79"/>
      <c r="C2340" s="115"/>
      <c r="D2340" s="115"/>
      <c r="E2340" s="115"/>
      <c r="F2340" s="115"/>
    </row>
    <row r="2341" spans="1:6" x14ac:dyDescent="0.2">
      <c r="A2341" s="115"/>
      <c r="B2341" s="79"/>
      <c r="C2341" s="115"/>
      <c r="D2341" s="115"/>
      <c r="E2341" s="115"/>
      <c r="F2341" s="115"/>
    </row>
    <row r="2342" spans="1:6" x14ac:dyDescent="0.2">
      <c r="A2342" s="115"/>
      <c r="B2342" s="79"/>
      <c r="C2342" s="115"/>
      <c r="D2342" s="115"/>
      <c r="E2342" s="115"/>
      <c r="F2342" s="115"/>
    </row>
    <row r="2343" spans="1:6" x14ac:dyDescent="0.2">
      <c r="A2343" s="115"/>
      <c r="B2343" s="79"/>
      <c r="C2343" s="115"/>
      <c r="D2343" s="115"/>
      <c r="E2343" s="115"/>
      <c r="F2343" s="115"/>
    </row>
    <row r="2344" spans="1:6" x14ac:dyDescent="0.2">
      <c r="A2344" s="115"/>
      <c r="B2344" s="79"/>
      <c r="C2344" s="115"/>
      <c r="D2344" s="115"/>
      <c r="E2344" s="115"/>
      <c r="F2344" s="115"/>
    </row>
    <row r="2345" spans="1:6" x14ac:dyDescent="0.2">
      <c r="A2345" s="115"/>
      <c r="B2345" s="79"/>
      <c r="C2345" s="115"/>
      <c r="D2345" s="115"/>
      <c r="E2345" s="115"/>
      <c r="F2345" s="115"/>
    </row>
    <row r="2346" spans="1:6" x14ac:dyDescent="0.2">
      <c r="A2346" s="115"/>
      <c r="B2346" s="79"/>
      <c r="C2346" s="115"/>
      <c r="D2346" s="115"/>
      <c r="E2346" s="115"/>
      <c r="F2346" s="115"/>
    </row>
    <row r="2347" spans="1:6" x14ac:dyDescent="0.2">
      <c r="A2347" s="115"/>
      <c r="B2347" s="79"/>
      <c r="C2347" s="115"/>
      <c r="D2347" s="115"/>
      <c r="E2347" s="115"/>
      <c r="F2347" s="115"/>
    </row>
    <row r="2348" spans="1:6" x14ac:dyDescent="0.2">
      <c r="A2348" s="115"/>
      <c r="B2348" s="79"/>
      <c r="C2348" s="115"/>
      <c r="D2348" s="115"/>
      <c r="E2348" s="115"/>
      <c r="F2348" s="115"/>
    </row>
    <row r="2349" spans="1:6" x14ac:dyDescent="0.2">
      <c r="A2349" s="115"/>
      <c r="B2349" s="79"/>
      <c r="C2349" s="115"/>
      <c r="D2349" s="115"/>
      <c r="E2349" s="115"/>
      <c r="F2349" s="115"/>
    </row>
    <row r="2350" spans="1:6" x14ac:dyDescent="0.2">
      <c r="A2350" s="115"/>
      <c r="B2350" s="79"/>
      <c r="C2350" s="115"/>
      <c r="D2350" s="115"/>
      <c r="E2350" s="115"/>
      <c r="F2350" s="115"/>
    </row>
    <row r="2351" spans="1:6" x14ac:dyDescent="0.2">
      <c r="A2351" s="115"/>
      <c r="B2351" s="79"/>
      <c r="C2351" s="115"/>
      <c r="D2351" s="115"/>
      <c r="E2351" s="115"/>
      <c r="F2351" s="115"/>
    </row>
    <row r="2352" spans="1:6" x14ac:dyDescent="0.2">
      <c r="A2352" s="115"/>
      <c r="B2352" s="79"/>
      <c r="C2352" s="115"/>
      <c r="D2352" s="115"/>
      <c r="E2352" s="115"/>
      <c r="F2352" s="115"/>
    </row>
    <row r="2353" spans="1:6" x14ac:dyDescent="0.2">
      <c r="A2353" s="115"/>
      <c r="B2353" s="79"/>
      <c r="C2353" s="115"/>
      <c r="D2353" s="115"/>
      <c r="E2353" s="115"/>
      <c r="F2353" s="115"/>
    </row>
    <row r="2354" spans="1:6" x14ac:dyDescent="0.2">
      <c r="A2354" s="115"/>
      <c r="B2354" s="79"/>
      <c r="C2354" s="115"/>
      <c r="D2354" s="115"/>
      <c r="E2354" s="115"/>
      <c r="F2354" s="115"/>
    </row>
    <row r="2355" spans="1:6" x14ac:dyDescent="0.2">
      <c r="A2355" s="115"/>
      <c r="B2355" s="79"/>
      <c r="C2355" s="115"/>
      <c r="D2355" s="115"/>
      <c r="E2355" s="115"/>
      <c r="F2355" s="115"/>
    </row>
    <row r="2356" spans="1:6" x14ac:dyDescent="0.2">
      <c r="A2356" s="115"/>
      <c r="B2356" s="79"/>
      <c r="C2356" s="115"/>
      <c r="D2356" s="115"/>
      <c r="E2356" s="115"/>
      <c r="F2356" s="115"/>
    </row>
    <row r="2357" spans="1:6" x14ac:dyDescent="0.2">
      <c r="A2357" s="115"/>
      <c r="B2357" s="79"/>
      <c r="C2357" s="115"/>
      <c r="D2357" s="115"/>
      <c r="E2357" s="115"/>
      <c r="F2357" s="115"/>
    </row>
    <row r="2358" spans="1:6" x14ac:dyDescent="0.2">
      <c r="A2358" s="115"/>
      <c r="B2358" s="79"/>
      <c r="C2358" s="115"/>
      <c r="D2358" s="115"/>
      <c r="E2358" s="115"/>
      <c r="F2358" s="115"/>
    </row>
    <row r="2359" spans="1:6" x14ac:dyDescent="0.2">
      <c r="A2359" s="115"/>
      <c r="B2359" s="79"/>
      <c r="C2359" s="115"/>
      <c r="D2359" s="115"/>
      <c r="E2359" s="115"/>
      <c r="F2359" s="115"/>
    </row>
    <row r="2360" spans="1:6" x14ac:dyDescent="0.2">
      <c r="A2360" s="115"/>
      <c r="B2360" s="79"/>
      <c r="C2360" s="115"/>
      <c r="D2360" s="115"/>
      <c r="E2360" s="115"/>
      <c r="F2360" s="115"/>
    </row>
    <row r="2361" spans="1:6" x14ac:dyDescent="0.2">
      <c r="A2361" s="115"/>
      <c r="B2361" s="79"/>
      <c r="C2361" s="115"/>
      <c r="D2361" s="115"/>
      <c r="E2361" s="115"/>
      <c r="F2361" s="115"/>
    </row>
    <row r="2362" spans="1:6" x14ac:dyDescent="0.2">
      <c r="A2362" s="115"/>
      <c r="B2362" s="79"/>
      <c r="C2362" s="115"/>
      <c r="D2362" s="115"/>
      <c r="E2362" s="115"/>
      <c r="F2362" s="115"/>
    </row>
    <row r="2363" spans="1:6" x14ac:dyDescent="0.2">
      <c r="A2363" s="115"/>
      <c r="B2363" s="79"/>
      <c r="C2363" s="115"/>
      <c r="D2363" s="115"/>
      <c r="E2363" s="115"/>
      <c r="F2363" s="115"/>
    </row>
    <row r="2364" spans="1:6" x14ac:dyDescent="0.2">
      <c r="A2364" s="115"/>
      <c r="B2364" s="79"/>
      <c r="C2364" s="115"/>
      <c r="D2364" s="115"/>
      <c r="E2364" s="115"/>
      <c r="F2364" s="115"/>
    </row>
    <row r="2365" spans="1:6" x14ac:dyDescent="0.2">
      <c r="A2365" s="115"/>
      <c r="B2365" s="79"/>
      <c r="C2365" s="115"/>
      <c r="D2365" s="115"/>
      <c r="E2365" s="115"/>
      <c r="F2365" s="115"/>
    </row>
    <row r="2366" spans="1:6" x14ac:dyDescent="0.2">
      <c r="A2366" s="115"/>
      <c r="B2366" s="79"/>
      <c r="C2366" s="115"/>
      <c r="D2366" s="115"/>
      <c r="E2366" s="115"/>
      <c r="F2366" s="115"/>
    </row>
    <row r="2367" spans="1:6" x14ac:dyDescent="0.2">
      <c r="A2367" s="115"/>
      <c r="B2367" s="79"/>
      <c r="C2367" s="115"/>
      <c r="D2367" s="115"/>
      <c r="E2367" s="115"/>
      <c r="F2367" s="115"/>
    </row>
    <row r="2368" spans="1:6" x14ac:dyDescent="0.2">
      <c r="A2368" s="115"/>
      <c r="B2368" s="79"/>
      <c r="C2368" s="115"/>
      <c r="D2368" s="115"/>
      <c r="E2368" s="115"/>
      <c r="F2368" s="115"/>
    </row>
    <row r="2369" spans="1:6" x14ac:dyDescent="0.2">
      <c r="A2369" s="115"/>
      <c r="B2369" s="79"/>
      <c r="C2369" s="115"/>
      <c r="D2369" s="115"/>
      <c r="E2369" s="115"/>
      <c r="F2369" s="115"/>
    </row>
    <row r="2370" spans="1:6" x14ac:dyDescent="0.2">
      <c r="A2370" s="115"/>
      <c r="B2370" s="79"/>
      <c r="C2370" s="115"/>
      <c r="D2370" s="115"/>
      <c r="E2370" s="115"/>
      <c r="F2370" s="115"/>
    </row>
    <row r="2371" spans="1:6" x14ac:dyDescent="0.2">
      <c r="A2371" s="115"/>
      <c r="B2371" s="79"/>
      <c r="C2371" s="115"/>
      <c r="D2371" s="115"/>
      <c r="E2371" s="115"/>
      <c r="F2371" s="115"/>
    </row>
    <row r="2372" spans="1:6" x14ac:dyDescent="0.2">
      <c r="A2372" s="115"/>
      <c r="B2372" s="79"/>
      <c r="C2372" s="115"/>
      <c r="D2372" s="115"/>
      <c r="E2372" s="115"/>
      <c r="F2372" s="115"/>
    </row>
    <row r="2373" spans="1:6" x14ac:dyDescent="0.2">
      <c r="A2373" s="115"/>
      <c r="B2373" s="79"/>
      <c r="C2373" s="115"/>
      <c r="D2373" s="115"/>
      <c r="E2373" s="115"/>
      <c r="F2373" s="115"/>
    </row>
    <row r="2374" spans="1:6" x14ac:dyDescent="0.2">
      <c r="A2374" s="115"/>
      <c r="B2374" s="79"/>
      <c r="C2374" s="115"/>
      <c r="D2374" s="115"/>
      <c r="E2374" s="115"/>
      <c r="F2374" s="115"/>
    </row>
    <row r="2375" spans="1:6" x14ac:dyDescent="0.2">
      <c r="A2375" s="115"/>
      <c r="B2375" s="79"/>
      <c r="C2375" s="115"/>
      <c r="D2375" s="115"/>
      <c r="E2375" s="115"/>
      <c r="F2375" s="115"/>
    </row>
    <row r="2376" spans="1:6" x14ac:dyDescent="0.2">
      <c r="A2376" s="115"/>
      <c r="B2376" s="79"/>
      <c r="C2376" s="115"/>
      <c r="D2376" s="115"/>
      <c r="E2376" s="115"/>
      <c r="F2376" s="115"/>
    </row>
    <row r="2377" spans="1:6" x14ac:dyDescent="0.2">
      <c r="A2377" s="115"/>
      <c r="B2377" s="79"/>
      <c r="C2377" s="115"/>
      <c r="D2377" s="115"/>
      <c r="E2377" s="115"/>
      <c r="F2377" s="115"/>
    </row>
    <row r="2378" spans="1:6" x14ac:dyDescent="0.2">
      <c r="A2378" s="115"/>
      <c r="B2378" s="79"/>
      <c r="C2378" s="115"/>
      <c r="D2378" s="115"/>
      <c r="E2378" s="115"/>
      <c r="F2378" s="115"/>
    </row>
    <row r="2379" spans="1:6" x14ac:dyDescent="0.2">
      <c r="A2379" s="115"/>
      <c r="B2379" s="79"/>
      <c r="C2379" s="115"/>
      <c r="D2379" s="115"/>
      <c r="E2379" s="115"/>
      <c r="F2379" s="115"/>
    </row>
    <row r="2380" spans="1:6" x14ac:dyDescent="0.2">
      <c r="A2380" s="115"/>
      <c r="B2380" s="79"/>
      <c r="C2380" s="115"/>
      <c r="D2380" s="115"/>
      <c r="E2380" s="115"/>
      <c r="F2380" s="115"/>
    </row>
    <row r="2381" spans="1:6" x14ac:dyDescent="0.2">
      <c r="A2381" s="115"/>
      <c r="B2381" s="79"/>
      <c r="C2381" s="115"/>
      <c r="D2381" s="115"/>
      <c r="E2381" s="115"/>
      <c r="F2381" s="115"/>
    </row>
    <row r="2382" spans="1:6" x14ac:dyDescent="0.2">
      <c r="A2382" s="115"/>
      <c r="B2382" s="79"/>
      <c r="C2382" s="115"/>
      <c r="D2382" s="115"/>
      <c r="E2382" s="115"/>
      <c r="F2382" s="115"/>
    </row>
    <row r="2383" spans="1:6" x14ac:dyDescent="0.2">
      <c r="A2383" s="115"/>
      <c r="B2383" s="79"/>
      <c r="C2383" s="115"/>
      <c r="D2383" s="115"/>
      <c r="E2383" s="115"/>
      <c r="F2383" s="115"/>
    </row>
    <row r="2384" spans="1:6" x14ac:dyDescent="0.2">
      <c r="A2384" s="115"/>
      <c r="B2384" s="79"/>
      <c r="C2384" s="115"/>
      <c r="D2384" s="115"/>
      <c r="E2384" s="115"/>
      <c r="F2384" s="115"/>
    </row>
    <row r="2385" spans="1:6" x14ac:dyDescent="0.2">
      <c r="A2385" s="115"/>
      <c r="B2385" s="79"/>
      <c r="C2385" s="115"/>
      <c r="D2385" s="115"/>
      <c r="E2385" s="115"/>
      <c r="F2385" s="115"/>
    </row>
    <row r="2386" spans="1:6" x14ac:dyDescent="0.2">
      <c r="A2386" s="115"/>
      <c r="B2386" s="79"/>
      <c r="C2386" s="115"/>
      <c r="D2386" s="115"/>
      <c r="E2386" s="115"/>
      <c r="F2386" s="115"/>
    </row>
    <row r="2387" spans="1:6" x14ac:dyDescent="0.2">
      <c r="A2387" s="115"/>
      <c r="B2387" s="79"/>
      <c r="C2387" s="115"/>
      <c r="D2387" s="115"/>
      <c r="E2387" s="115"/>
      <c r="F2387" s="115"/>
    </row>
    <row r="2388" spans="1:6" x14ac:dyDescent="0.2">
      <c r="A2388" s="115"/>
      <c r="B2388" s="79"/>
      <c r="C2388" s="115"/>
      <c r="D2388" s="115"/>
      <c r="E2388" s="115"/>
      <c r="F2388" s="115"/>
    </row>
    <row r="2389" spans="1:6" x14ac:dyDescent="0.2">
      <c r="A2389" s="115"/>
      <c r="B2389" s="79"/>
      <c r="C2389" s="115"/>
      <c r="D2389" s="115"/>
      <c r="E2389" s="115"/>
      <c r="F2389" s="115"/>
    </row>
    <row r="2390" spans="1:6" x14ac:dyDescent="0.2">
      <c r="A2390" s="115"/>
      <c r="B2390" s="79"/>
      <c r="C2390" s="115"/>
      <c r="D2390" s="115"/>
      <c r="E2390" s="115"/>
      <c r="F2390" s="115"/>
    </row>
    <row r="2391" spans="1:6" x14ac:dyDescent="0.2">
      <c r="A2391" s="115"/>
      <c r="B2391" s="79"/>
      <c r="C2391" s="115"/>
      <c r="D2391" s="115"/>
      <c r="E2391" s="115"/>
      <c r="F2391" s="115"/>
    </row>
    <row r="2392" spans="1:6" x14ac:dyDescent="0.2">
      <c r="A2392" s="115"/>
      <c r="B2392" s="79"/>
      <c r="C2392" s="115"/>
      <c r="D2392" s="115"/>
      <c r="E2392" s="115"/>
      <c r="F2392" s="115"/>
    </row>
    <row r="2393" spans="1:6" x14ac:dyDescent="0.2">
      <c r="A2393" s="115"/>
      <c r="B2393" s="79"/>
      <c r="C2393" s="115"/>
      <c r="D2393" s="115"/>
      <c r="E2393" s="115"/>
      <c r="F2393" s="115"/>
    </row>
    <row r="2394" spans="1:6" x14ac:dyDescent="0.2">
      <c r="A2394" s="115"/>
      <c r="B2394" s="79"/>
      <c r="C2394" s="115"/>
      <c r="D2394" s="115"/>
      <c r="E2394" s="115"/>
      <c r="F2394" s="115"/>
    </row>
    <row r="2395" spans="1:6" x14ac:dyDescent="0.2">
      <c r="A2395" s="115"/>
      <c r="B2395" s="79"/>
      <c r="C2395" s="115"/>
      <c r="D2395" s="115"/>
      <c r="E2395" s="115"/>
      <c r="F2395" s="115"/>
    </row>
    <row r="2396" spans="1:6" x14ac:dyDescent="0.2">
      <c r="A2396" s="115"/>
      <c r="B2396" s="79"/>
      <c r="C2396" s="115"/>
      <c r="D2396" s="115"/>
      <c r="E2396" s="115"/>
      <c r="F2396" s="115"/>
    </row>
    <row r="2397" spans="1:6" x14ac:dyDescent="0.2">
      <c r="A2397" s="115"/>
      <c r="B2397" s="79"/>
      <c r="C2397" s="115"/>
      <c r="D2397" s="115"/>
      <c r="E2397" s="115"/>
      <c r="F2397" s="115"/>
    </row>
    <row r="2398" spans="1:6" x14ac:dyDescent="0.2">
      <c r="A2398" s="115"/>
      <c r="B2398" s="79"/>
      <c r="C2398" s="115"/>
      <c r="D2398" s="115"/>
      <c r="E2398" s="115"/>
      <c r="F2398" s="115"/>
    </row>
    <row r="2399" spans="1:6" x14ac:dyDescent="0.2">
      <c r="A2399" s="115"/>
      <c r="B2399" s="79"/>
      <c r="C2399" s="115"/>
      <c r="D2399" s="115"/>
      <c r="E2399" s="115"/>
      <c r="F2399" s="115"/>
    </row>
    <row r="2400" spans="1:6" x14ac:dyDescent="0.2">
      <c r="A2400" s="115"/>
      <c r="B2400" s="79"/>
      <c r="C2400" s="115"/>
      <c r="D2400" s="115"/>
      <c r="E2400" s="115"/>
      <c r="F2400" s="115"/>
    </row>
    <row r="2401" spans="1:6" x14ac:dyDescent="0.2">
      <c r="A2401" s="115"/>
      <c r="B2401" s="79"/>
      <c r="C2401" s="115"/>
      <c r="D2401" s="115"/>
      <c r="E2401" s="115"/>
      <c r="F2401" s="115"/>
    </row>
    <row r="2402" spans="1:6" x14ac:dyDescent="0.2">
      <c r="A2402" s="115"/>
      <c r="B2402" s="79"/>
      <c r="C2402" s="115"/>
      <c r="D2402" s="115"/>
      <c r="E2402" s="115"/>
      <c r="F2402" s="115"/>
    </row>
    <row r="2403" spans="1:6" x14ac:dyDescent="0.2">
      <c r="A2403" s="115"/>
      <c r="B2403" s="79"/>
      <c r="C2403" s="115"/>
      <c r="D2403" s="115"/>
      <c r="E2403" s="115"/>
      <c r="F2403" s="115"/>
    </row>
    <row r="2404" spans="1:6" x14ac:dyDescent="0.2">
      <c r="A2404" s="115"/>
      <c r="B2404" s="79"/>
      <c r="C2404" s="115"/>
      <c r="D2404" s="115"/>
      <c r="E2404" s="115"/>
      <c r="F2404" s="115"/>
    </row>
    <row r="2405" spans="1:6" x14ac:dyDescent="0.2">
      <c r="A2405" s="115"/>
      <c r="B2405" s="79"/>
      <c r="C2405" s="115"/>
      <c r="D2405" s="115"/>
      <c r="E2405" s="115"/>
      <c r="F2405" s="115"/>
    </row>
    <row r="2406" spans="1:6" x14ac:dyDescent="0.2">
      <c r="A2406" s="115"/>
      <c r="B2406" s="79"/>
      <c r="C2406" s="115"/>
      <c r="D2406" s="115"/>
      <c r="E2406" s="115"/>
      <c r="F2406" s="115"/>
    </row>
    <row r="2407" spans="1:6" x14ac:dyDescent="0.2">
      <c r="A2407" s="115"/>
      <c r="B2407" s="79"/>
      <c r="C2407" s="115"/>
      <c r="D2407" s="115"/>
      <c r="E2407" s="115"/>
      <c r="F2407" s="115"/>
    </row>
    <row r="2408" spans="1:6" x14ac:dyDescent="0.2">
      <c r="A2408" s="115"/>
      <c r="B2408" s="79"/>
      <c r="C2408" s="115"/>
      <c r="D2408" s="115"/>
      <c r="E2408" s="115"/>
      <c r="F2408" s="115"/>
    </row>
    <row r="2409" spans="1:6" x14ac:dyDescent="0.2">
      <c r="A2409" s="115"/>
      <c r="B2409" s="79"/>
      <c r="C2409" s="115"/>
      <c r="D2409" s="115"/>
      <c r="E2409" s="115"/>
      <c r="F2409" s="115"/>
    </row>
    <row r="2410" spans="1:6" x14ac:dyDescent="0.2">
      <c r="A2410" s="115"/>
      <c r="B2410" s="79"/>
      <c r="C2410" s="115"/>
      <c r="D2410" s="115"/>
      <c r="E2410" s="115"/>
      <c r="F2410" s="115"/>
    </row>
    <row r="2411" spans="1:6" x14ac:dyDescent="0.2">
      <c r="A2411" s="115"/>
      <c r="B2411" s="79"/>
      <c r="C2411" s="115"/>
      <c r="D2411" s="115"/>
      <c r="E2411" s="115"/>
      <c r="F2411" s="115"/>
    </row>
    <row r="2412" spans="1:6" x14ac:dyDescent="0.2">
      <c r="A2412" s="115"/>
      <c r="B2412" s="79"/>
      <c r="C2412" s="115"/>
      <c r="D2412" s="115"/>
      <c r="E2412" s="115"/>
      <c r="F2412" s="115"/>
    </row>
    <row r="2413" spans="1:6" x14ac:dyDescent="0.2">
      <c r="A2413" s="115"/>
      <c r="B2413" s="79"/>
      <c r="C2413" s="115"/>
      <c r="D2413" s="115"/>
      <c r="E2413" s="115"/>
      <c r="F2413" s="115"/>
    </row>
    <row r="2414" spans="1:6" x14ac:dyDescent="0.2">
      <c r="A2414" s="115"/>
      <c r="B2414" s="79"/>
      <c r="C2414" s="115"/>
      <c r="D2414" s="115"/>
      <c r="E2414" s="115"/>
      <c r="F2414" s="115"/>
    </row>
    <row r="2415" spans="1:6" x14ac:dyDescent="0.2">
      <c r="A2415" s="115"/>
      <c r="B2415" s="79"/>
      <c r="C2415" s="115"/>
      <c r="D2415" s="115"/>
      <c r="E2415" s="115"/>
      <c r="F2415" s="115"/>
    </row>
    <row r="2416" spans="1:6" x14ac:dyDescent="0.2">
      <c r="A2416" s="115"/>
      <c r="B2416" s="79"/>
      <c r="C2416" s="115"/>
      <c r="D2416" s="115"/>
      <c r="E2416" s="115"/>
      <c r="F2416" s="115"/>
    </row>
    <row r="2417" spans="1:6" x14ac:dyDescent="0.2">
      <c r="A2417" s="115"/>
      <c r="B2417" s="79"/>
      <c r="C2417" s="115"/>
      <c r="D2417" s="115"/>
      <c r="E2417" s="115"/>
      <c r="F2417" s="115"/>
    </row>
    <row r="2418" spans="1:6" x14ac:dyDescent="0.2">
      <c r="A2418" s="115"/>
      <c r="B2418" s="79"/>
      <c r="C2418" s="115"/>
      <c r="D2418" s="115"/>
      <c r="E2418" s="115"/>
      <c r="F2418" s="115"/>
    </row>
    <row r="2419" spans="1:6" x14ac:dyDescent="0.2">
      <c r="A2419" s="115"/>
      <c r="B2419" s="79"/>
      <c r="C2419" s="115"/>
      <c r="D2419" s="115"/>
      <c r="E2419" s="115"/>
      <c r="F2419" s="115"/>
    </row>
    <row r="2420" spans="1:6" x14ac:dyDescent="0.2">
      <c r="A2420" s="115"/>
      <c r="B2420" s="79"/>
      <c r="C2420" s="115"/>
      <c r="D2420" s="115"/>
      <c r="E2420" s="115"/>
      <c r="F2420" s="115"/>
    </row>
    <row r="2421" spans="1:6" x14ac:dyDescent="0.2">
      <c r="A2421" s="115"/>
      <c r="B2421" s="79"/>
      <c r="C2421" s="115"/>
      <c r="D2421" s="115"/>
      <c r="E2421" s="115"/>
      <c r="F2421" s="115"/>
    </row>
    <row r="2422" spans="1:6" x14ac:dyDescent="0.2">
      <c r="A2422" s="115"/>
      <c r="B2422" s="79"/>
      <c r="C2422" s="115"/>
      <c r="D2422" s="115"/>
      <c r="E2422" s="115"/>
      <c r="F2422" s="115"/>
    </row>
    <row r="2423" spans="1:6" x14ac:dyDescent="0.2">
      <c r="A2423" s="115"/>
      <c r="B2423" s="79"/>
      <c r="C2423" s="115"/>
      <c r="D2423" s="115"/>
      <c r="E2423" s="115"/>
      <c r="F2423" s="115"/>
    </row>
    <row r="2424" spans="1:6" x14ac:dyDescent="0.2">
      <c r="A2424" s="115"/>
      <c r="B2424" s="79"/>
      <c r="C2424" s="115"/>
      <c r="D2424" s="115"/>
      <c r="E2424" s="115"/>
      <c r="F2424" s="115"/>
    </row>
    <row r="2425" spans="1:6" x14ac:dyDescent="0.2">
      <c r="A2425" s="115"/>
      <c r="B2425" s="79"/>
      <c r="C2425" s="115"/>
      <c r="D2425" s="115"/>
      <c r="E2425" s="115"/>
      <c r="F2425" s="115"/>
    </row>
    <row r="2426" spans="1:6" x14ac:dyDescent="0.2">
      <c r="A2426" s="115"/>
      <c r="B2426" s="79"/>
      <c r="C2426" s="115"/>
      <c r="D2426" s="115"/>
      <c r="E2426" s="115"/>
      <c r="F2426" s="115"/>
    </row>
    <row r="2427" spans="1:6" x14ac:dyDescent="0.2">
      <c r="A2427" s="115"/>
      <c r="B2427" s="79"/>
      <c r="C2427" s="115"/>
      <c r="D2427" s="115"/>
      <c r="E2427" s="115"/>
      <c r="F2427" s="115"/>
    </row>
    <row r="2428" spans="1:6" x14ac:dyDescent="0.2">
      <c r="A2428" s="115"/>
      <c r="B2428" s="79"/>
      <c r="C2428" s="115"/>
      <c r="D2428" s="115"/>
      <c r="E2428" s="115"/>
      <c r="F2428" s="115"/>
    </row>
    <row r="2429" spans="1:6" x14ac:dyDescent="0.2">
      <c r="A2429" s="115"/>
      <c r="B2429" s="79"/>
      <c r="C2429" s="115"/>
      <c r="D2429" s="115"/>
      <c r="E2429" s="115"/>
      <c r="F2429" s="115"/>
    </row>
    <row r="2430" spans="1:6" x14ac:dyDescent="0.2">
      <c r="A2430" s="115"/>
      <c r="B2430" s="79"/>
      <c r="C2430" s="115"/>
      <c r="D2430" s="115"/>
      <c r="E2430" s="115"/>
      <c r="F2430" s="115"/>
    </row>
    <row r="2431" spans="1:6" x14ac:dyDescent="0.2">
      <c r="A2431" s="115"/>
      <c r="B2431" s="79"/>
      <c r="C2431" s="115"/>
      <c r="D2431" s="115"/>
      <c r="E2431" s="115"/>
      <c r="F2431" s="115"/>
    </row>
    <row r="2432" spans="1:6" x14ac:dyDescent="0.2">
      <c r="A2432" s="115"/>
      <c r="B2432" s="79"/>
      <c r="C2432" s="115"/>
      <c r="D2432" s="115"/>
      <c r="E2432" s="115"/>
      <c r="F2432" s="115"/>
    </row>
    <row r="2433" spans="1:6" x14ac:dyDescent="0.2">
      <c r="A2433" s="115"/>
      <c r="B2433" s="79"/>
      <c r="C2433" s="115"/>
      <c r="D2433" s="115"/>
      <c r="E2433" s="115"/>
      <c r="F2433" s="115"/>
    </row>
    <row r="2434" spans="1:6" x14ac:dyDescent="0.2">
      <c r="A2434" s="115"/>
      <c r="B2434" s="79"/>
      <c r="C2434" s="115"/>
      <c r="D2434" s="115"/>
      <c r="E2434" s="115"/>
      <c r="F2434" s="115"/>
    </row>
    <row r="2435" spans="1:6" x14ac:dyDescent="0.2">
      <c r="A2435" s="115"/>
      <c r="B2435" s="79"/>
      <c r="C2435" s="115"/>
      <c r="D2435" s="115"/>
      <c r="E2435" s="115"/>
      <c r="F2435" s="115"/>
    </row>
    <row r="2436" spans="1:6" x14ac:dyDescent="0.2">
      <c r="A2436" s="115"/>
      <c r="B2436" s="79"/>
      <c r="C2436" s="115"/>
      <c r="D2436" s="115"/>
      <c r="E2436" s="115"/>
      <c r="F2436" s="115"/>
    </row>
    <row r="2437" spans="1:6" x14ac:dyDescent="0.2">
      <c r="A2437" s="115"/>
      <c r="B2437" s="79"/>
      <c r="C2437" s="115"/>
      <c r="D2437" s="115"/>
      <c r="E2437" s="115"/>
      <c r="F2437" s="115"/>
    </row>
    <row r="2438" spans="1:6" x14ac:dyDescent="0.2">
      <c r="A2438" s="115"/>
      <c r="B2438" s="79"/>
      <c r="C2438" s="115"/>
      <c r="D2438" s="115"/>
      <c r="E2438" s="115"/>
      <c r="F2438" s="115"/>
    </row>
    <row r="2439" spans="1:6" x14ac:dyDescent="0.2">
      <c r="A2439" s="115"/>
      <c r="B2439" s="79"/>
      <c r="C2439" s="115"/>
      <c r="D2439" s="115"/>
      <c r="E2439" s="115"/>
      <c r="F2439" s="115"/>
    </row>
    <row r="2440" spans="1:6" x14ac:dyDescent="0.2">
      <c r="A2440" s="115"/>
      <c r="B2440" s="79"/>
      <c r="C2440" s="115"/>
      <c r="D2440" s="115"/>
      <c r="E2440" s="115"/>
      <c r="F2440" s="115"/>
    </row>
    <row r="2441" spans="1:6" x14ac:dyDescent="0.2">
      <c r="A2441" s="115"/>
      <c r="B2441" s="79"/>
      <c r="C2441" s="115"/>
      <c r="D2441" s="115"/>
      <c r="E2441" s="115"/>
      <c r="F2441" s="115"/>
    </row>
    <row r="2442" spans="1:6" x14ac:dyDescent="0.2">
      <c r="A2442" s="115"/>
      <c r="B2442" s="79"/>
      <c r="C2442" s="115"/>
      <c r="D2442" s="115"/>
      <c r="E2442" s="115"/>
      <c r="F2442" s="115"/>
    </row>
    <row r="2443" spans="1:6" x14ac:dyDescent="0.2">
      <c r="A2443" s="115"/>
      <c r="B2443" s="79"/>
      <c r="C2443" s="115"/>
      <c r="D2443" s="115"/>
      <c r="E2443" s="115"/>
      <c r="F2443" s="115"/>
    </row>
    <row r="2444" spans="1:6" x14ac:dyDescent="0.2">
      <c r="A2444" s="115"/>
      <c r="B2444" s="79"/>
      <c r="C2444" s="115"/>
      <c r="D2444" s="115"/>
      <c r="E2444" s="115"/>
      <c r="F2444" s="115"/>
    </row>
    <row r="2445" spans="1:6" x14ac:dyDescent="0.2">
      <c r="A2445" s="115"/>
      <c r="B2445" s="79"/>
      <c r="C2445" s="115"/>
      <c r="D2445" s="115"/>
      <c r="E2445" s="115"/>
      <c r="F2445" s="115"/>
    </row>
    <row r="2446" spans="1:6" x14ac:dyDescent="0.2">
      <c r="A2446" s="115"/>
      <c r="B2446" s="79"/>
      <c r="C2446" s="115"/>
      <c r="D2446" s="115"/>
      <c r="E2446" s="115"/>
      <c r="F2446" s="115"/>
    </row>
    <row r="2447" spans="1:6" x14ac:dyDescent="0.2">
      <c r="A2447" s="115"/>
      <c r="B2447" s="79"/>
      <c r="C2447" s="115"/>
      <c r="D2447" s="115"/>
      <c r="E2447" s="115"/>
      <c r="F2447" s="115"/>
    </row>
    <row r="2448" spans="1:6" x14ac:dyDescent="0.2">
      <c r="A2448" s="115"/>
      <c r="B2448" s="79"/>
      <c r="C2448" s="115"/>
      <c r="D2448" s="115"/>
      <c r="E2448" s="115"/>
      <c r="F2448" s="115"/>
    </row>
    <row r="2449" spans="1:6" x14ac:dyDescent="0.2">
      <c r="A2449" s="115"/>
      <c r="B2449" s="79"/>
      <c r="C2449" s="115"/>
      <c r="D2449" s="115"/>
      <c r="E2449" s="115"/>
      <c r="F2449" s="115"/>
    </row>
    <row r="2450" spans="1:6" x14ac:dyDescent="0.2">
      <c r="A2450" s="115"/>
      <c r="B2450" s="79"/>
      <c r="C2450" s="115"/>
      <c r="D2450" s="115"/>
      <c r="E2450" s="115"/>
      <c r="F2450" s="115"/>
    </row>
    <row r="2451" spans="1:6" x14ac:dyDescent="0.2">
      <c r="A2451" s="115"/>
      <c r="B2451" s="79"/>
      <c r="C2451" s="115"/>
      <c r="D2451" s="115"/>
      <c r="E2451" s="115"/>
      <c r="F2451" s="115"/>
    </row>
    <row r="2452" spans="1:6" x14ac:dyDescent="0.2">
      <c r="A2452" s="115"/>
      <c r="B2452" s="79"/>
      <c r="C2452" s="115"/>
      <c r="D2452" s="115"/>
      <c r="E2452" s="115"/>
      <c r="F2452" s="115"/>
    </row>
    <row r="2453" spans="1:6" x14ac:dyDescent="0.2">
      <c r="A2453" s="115"/>
      <c r="B2453" s="79"/>
      <c r="C2453" s="115"/>
      <c r="D2453" s="115"/>
      <c r="E2453" s="115"/>
      <c r="F2453" s="115"/>
    </row>
    <row r="2454" spans="1:6" x14ac:dyDescent="0.2">
      <c r="A2454" s="115"/>
      <c r="B2454" s="79"/>
      <c r="C2454" s="115"/>
      <c r="D2454" s="115"/>
      <c r="E2454" s="115"/>
      <c r="F2454" s="115"/>
    </row>
    <row r="2455" spans="1:6" x14ac:dyDescent="0.2">
      <c r="A2455" s="115"/>
      <c r="B2455" s="79"/>
      <c r="C2455" s="115"/>
      <c r="D2455" s="115"/>
      <c r="E2455" s="115"/>
      <c r="F2455" s="115"/>
    </row>
    <row r="2456" spans="1:6" x14ac:dyDescent="0.2">
      <c r="A2456" s="115"/>
      <c r="B2456" s="79"/>
      <c r="C2456" s="115"/>
      <c r="D2456" s="115"/>
      <c r="E2456" s="115"/>
      <c r="F2456" s="115"/>
    </row>
    <row r="2457" spans="1:6" x14ac:dyDescent="0.2">
      <c r="A2457" s="115"/>
      <c r="B2457" s="79"/>
      <c r="C2457" s="115"/>
      <c r="D2457" s="115"/>
      <c r="E2457" s="115"/>
      <c r="F2457" s="115"/>
    </row>
    <row r="2458" spans="1:6" x14ac:dyDescent="0.2">
      <c r="A2458" s="115"/>
      <c r="B2458" s="79"/>
      <c r="C2458" s="115"/>
      <c r="D2458" s="115"/>
      <c r="E2458" s="115"/>
      <c r="F2458" s="115"/>
    </row>
    <row r="2459" spans="1:6" x14ac:dyDescent="0.2">
      <c r="A2459" s="115"/>
      <c r="B2459" s="79"/>
      <c r="C2459" s="115"/>
      <c r="D2459" s="115"/>
      <c r="E2459" s="115"/>
      <c r="F2459" s="115"/>
    </row>
    <row r="2460" spans="1:6" x14ac:dyDescent="0.2">
      <c r="A2460" s="115"/>
      <c r="B2460" s="79"/>
      <c r="C2460" s="115"/>
      <c r="D2460" s="115"/>
      <c r="E2460" s="115"/>
      <c r="F2460" s="115"/>
    </row>
    <row r="2461" spans="1:6" x14ac:dyDescent="0.2">
      <c r="A2461" s="115"/>
      <c r="B2461" s="79"/>
      <c r="C2461" s="115"/>
      <c r="D2461" s="115"/>
      <c r="E2461" s="115"/>
      <c r="F2461" s="115"/>
    </row>
    <row r="2462" spans="1:6" x14ac:dyDescent="0.2">
      <c r="A2462" s="115"/>
      <c r="B2462" s="79"/>
      <c r="C2462" s="115"/>
      <c r="D2462" s="115"/>
      <c r="E2462" s="115"/>
      <c r="F2462" s="115"/>
    </row>
    <row r="2463" spans="1:6" x14ac:dyDescent="0.2">
      <c r="A2463" s="115"/>
      <c r="B2463" s="79"/>
      <c r="C2463" s="115"/>
      <c r="D2463" s="115"/>
      <c r="E2463" s="115"/>
      <c r="F2463" s="115"/>
    </row>
    <row r="2464" spans="1:6" x14ac:dyDescent="0.2">
      <c r="A2464" s="115"/>
      <c r="B2464" s="79"/>
      <c r="C2464" s="115"/>
      <c r="D2464" s="115"/>
      <c r="E2464" s="115"/>
      <c r="F2464" s="115"/>
    </row>
    <row r="2465" spans="1:6" x14ac:dyDescent="0.2">
      <c r="A2465" s="115"/>
      <c r="B2465" s="79"/>
      <c r="C2465" s="115"/>
      <c r="D2465" s="115"/>
      <c r="E2465" s="115"/>
      <c r="F2465" s="115"/>
    </row>
    <row r="2466" spans="1:6" x14ac:dyDescent="0.2">
      <c r="A2466" s="115"/>
      <c r="B2466" s="79"/>
      <c r="C2466" s="115"/>
      <c r="D2466" s="115"/>
      <c r="E2466" s="115"/>
      <c r="F2466" s="115"/>
    </row>
    <row r="2467" spans="1:6" x14ac:dyDescent="0.2">
      <c r="A2467" s="115"/>
      <c r="B2467" s="79"/>
      <c r="C2467" s="115"/>
      <c r="D2467" s="115"/>
      <c r="E2467" s="115"/>
      <c r="F2467" s="115"/>
    </row>
    <row r="2468" spans="1:6" x14ac:dyDescent="0.2">
      <c r="A2468" s="115"/>
      <c r="B2468" s="79"/>
      <c r="C2468" s="115"/>
      <c r="D2468" s="115"/>
      <c r="E2468" s="115"/>
      <c r="F2468" s="115"/>
    </row>
    <row r="2469" spans="1:6" x14ac:dyDescent="0.2">
      <c r="A2469" s="115"/>
      <c r="B2469" s="79"/>
      <c r="C2469" s="115"/>
      <c r="D2469" s="115"/>
      <c r="E2469" s="115"/>
      <c r="F2469" s="115"/>
    </row>
    <row r="2470" spans="1:6" x14ac:dyDescent="0.2">
      <c r="A2470" s="115"/>
      <c r="B2470" s="79"/>
      <c r="C2470" s="115"/>
      <c r="D2470" s="115"/>
      <c r="E2470" s="115"/>
      <c r="F2470" s="115"/>
    </row>
    <row r="2471" spans="1:6" x14ac:dyDescent="0.2">
      <c r="A2471" s="115"/>
      <c r="B2471" s="79"/>
      <c r="C2471" s="115"/>
      <c r="D2471" s="115"/>
      <c r="E2471" s="115"/>
      <c r="F2471" s="115"/>
    </row>
    <row r="2472" spans="1:6" x14ac:dyDescent="0.2">
      <c r="A2472" s="115"/>
      <c r="B2472" s="79"/>
      <c r="C2472" s="115"/>
      <c r="D2472" s="115"/>
      <c r="E2472" s="115"/>
      <c r="F2472" s="115"/>
    </row>
    <row r="2473" spans="1:6" x14ac:dyDescent="0.2">
      <c r="A2473" s="115"/>
      <c r="B2473" s="79"/>
      <c r="C2473" s="115"/>
      <c r="D2473" s="115"/>
      <c r="E2473" s="115"/>
      <c r="F2473" s="115"/>
    </row>
    <row r="2474" spans="1:6" x14ac:dyDescent="0.2">
      <c r="A2474" s="115"/>
      <c r="B2474" s="79"/>
      <c r="C2474" s="115"/>
      <c r="D2474" s="115"/>
      <c r="E2474" s="115"/>
      <c r="F2474" s="115"/>
    </row>
    <row r="2475" spans="1:6" x14ac:dyDescent="0.2">
      <c r="A2475" s="115"/>
      <c r="B2475" s="79"/>
      <c r="C2475" s="115"/>
      <c r="D2475" s="115"/>
      <c r="E2475" s="115"/>
      <c r="F2475" s="115"/>
    </row>
    <row r="2476" spans="1:6" x14ac:dyDescent="0.2">
      <c r="A2476" s="115"/>
      <c r="B2476" s="79"/>
      <c r="C2476" s="115"/>
      <c r="D2476" s="115"/>
      <c r="E2476" s="115"/>
      <c r="F2476" s="115"/>
    </row>
    <row r="2477" spans="1:6" x14ac:dyDescent="0.2">
      <c r="A2477" s="115"/>
      <c r="B2477" s="79"/>
      <c r="C2477" s="115"/>
      <c r="D2477" s="115"/>
      <c r="E2477" s="115"/>
      <c r="F2477" s="115"/>
    </row>
    <row r="2478" spans="1:6" x14ac:dyDescent="0.2">
      <c r="A2478" s="115"/>
      <c r="B2478" s="79"/>
      <c r="C2478" s="115"/>
      <c r="D2478" s="115"/>
      <c r="E2478" s="115"/>
      <c r="F2478" s="115"/>
    </row>
    <row r="2479" spans="1:6" x14ac:dyDescent="0.2">
      <c r="A2479" s="115"/>
      <c r="B2479" s="79"/>
      <c r="C2479" s="115"/>
      <c r="D2479" s="115"/>
      <c r="E2479" s="115"/>
      <c r="F2479" s="115"/>
    </row>
    <row r="2480" spans="1:6" x14ac:dyDescent="0.2">
      <c r="A2480" s="115"/>
      <c r="B2480" s="79"/>
      <c r="C2480" s="115"/>
      <c r="D2480" s="115"/>
      <c r="E2480" s="115"/>
      <c r="F2480" s="115"/>
    </row>
    <row r="2481" spans="1:6" x14ac:dyDescent="0.2">
      <c r="A2481" s="115"/>
      <c r="B2481" s="79"/>
      <c r="C2481" s="115"/>
      <c r="D2481" s="115"/>
      <c r="E2481" s="115"/>
      <c r="F2481" s="115"/>
    </row>
    <row r="2482" spans="1:6" x14ac:dyDescent="0.2">
      <c r="A2482" s="115"/>
      <c r="B2482" s="79"/>
      <c r="C2482" s="115"/>
      <c r="D2482" s="115"/>
      <c r="E2482" s="115"/>
      <c r="F2482" s="115"/>
    </row>
    <row r="2483" spans="1:6" x14ac:dyDescent="0.2">
      <c r="A2483" s="115"/>
      <c r="B2483" s="79"/>
      <c r="C2483" s="115"/>
      <c r="D2483" s="115"/>
      <c r="E2483" s="115"/>
      <c r="F2483" s="115"/>
    </row>
    <row r="2484" spans="1:6" x14ac:dyDescent="0.2">
      <c r="A2484" s="115"/>
      <c r="B2484" s="79"/>
      <c r="C2484" s="115"/>
      <c r="D2484" s="115"/>
      <c r="E2484" s="115"/>
      <c r="F2484" s="115"/>
    </row>
    <row r="2485" spans="1:6" x14ac:dyDescent="0.2">
      <c r="A2485" s="115"/>
      <c r="B2485" s="79"/>
      <c r="C2485" s="115"/>
      <c r="D2485" s="115"/>
      <c r="E2485" s="115"/>
      <c r="F2485" s="115"/>
    </row>
    <row r="2486" spans="1:6" x14ac:dyDescent="0.2">
      <c r="A2486" s="115"/>
      <c r="B2486" s="79"/>
      <c r="C2486" s="115"/>
      <c r="D2486" s="115"/>
      <c r="E2486" s="115"/>
      <c r="F2486" s="115"/>
    </row>
    <row r="2487" spans="1:6" x14ac:dyDescent="0.2">
      <c r="A2487" s="115"/>
      <c r="B2487" s="79"/>
      <c r="C2487" s="115"/>
      <c r="D2487" s="115"/>
      <c r="E2487" s="115"/>
      <c r="F2487" s="115"/>
    </row>
    <row r="2488" spans="1:6" x14ac:dyDescent="0.2">
      <c r="A2488" s="115"/>
      <c r="B2488" s="79"/>
      <c r="C2488" s="115"/>
      <c r="D2488" s="115"/>
      <c r="E2488" s="115"/>
      <c r="F2488" s="115"/>
    </row>
    <row r="2489" spans="1:6" x14ac:dyDescent="0.2">
      <c r="A2489" s="115"/>
      <c r="B2489" s="79"/>
      <c r="C2489" s="115"/>
      <c r="D2489" s="115"/>
      <c r="E2489" s="115"/>
      <c r="F2489" s="115"/>
    </row>
    <row r="2490" spans="1:6" x14ac:dyDescent="0.2">
      <c r="A2490" s="115"/>
      <c r="B2490" s="79"/>
      <c r="C2490" s="115"/>
      <c r="D2490" s="115"/>
      <c r="E2490" s="115"/>
      <c r="F2490" s="115"/>
    </row>
    <row r="2491" spans="1:6" x14ac:dyDescent="0.2">
      <c r="A2491" s="115"/>
      <c r="B2491" s="79"/>
      <c r="C2491" s="115"/>
      <c r="D2491" s="115"/>
      <c r="E2491" s="115"/>
      <c r="F2491" s="115"/>
    </row>
    <row r="2492" spans="1:6" x14ac:dyDescent="0.2">
      <c r="A2492" s="115"/>
      <c r="B2492" s="79"/>
      <c r="C2492" s="115"/>
      <c r="D2492" s="115"/>
      <c r="E2492" s="115"/>
      <c r="F2492" s="115"/>
    </row>
    <row r="2493" spans="1:6" x14ac:dyDescent="0.2">
      <c r="A2493" s="115"/>
      <c r="B2493" s="79"/>
      <c r="C2493" s="115"/>
      <c r="D2493" s="115"/>
      <c r="E2493" s="115"/>
      <c r="F2493" s="115"/>
    </row>
    <row r="2494" spans="1:6" x14ac:dyDescent="0.2">
      <c r="A2494" s="115"/>
      <c r="B2494" s="79"/>
      <c r="C2494" s="115"/>
      <c r="D2494" s="115"/>
      <c r="E2494" s="115"/>
      <c r="F2494" s="115"/>
    </row>
    <row r="2495" spans="1:6" x14ac:dyDescent="0.2">
      <c r="A2495" s="115"/>
      <c r="B2495" s="79"/>
      <c r="C2495" s="115"/>
      <c r="D2495" s="115"/>
      <c r="E2495" s="115"/>
      <c r="F2495" s="115"/>
    </row>
    <row r="2496" spans="1:6" x14ac:dyDescent="0.2">
      <c r="A2496" s="115"/>
      <c r="B2496" s="79"/>
      <c r="C2496" s="115"/>
      <c r="D2496" s="115"/>
      <c r="E2496" s="115"/>
      <c r="F2496" s="115"/>
    </row>
    <row r="2497" spans="1:6" x14ac:dyDescent="0.2">
      <c r="A2497" s="115"/>
      <c r="B2497" s="79"/>
      <c r="C2497" s="115"/>
      <c r="D2497" s="115"/>
      <c r="E2497" s="115"/>
      <c r="F2497" s="115"/>
    </row>
    <row r="2498" spans="1:6" x14ac:dyDescent="0.2">
      <c r="A2498" s="115"/>
      <c r="B2498" s="79"/>
      <c r="C2498" s="115"/>
      <c r="D2498" s="115"/>
      <c r="E2498" s="115"/>
      <c r="F2498" s="115"/>
    </row>
    <row r="2499" spans="1:6" x14ac:dyDescent="0.2">
      <c r="A2499" s="115"/>
      <c r="B2499" s="79"/>
      <c r="C2499" s="115"/>
      <c r="D2499" s="115"/>
      <c r="E2499" s="115"/>
      <c r="F2499" s="115"/>
    </row>
    <row r="2500" spans="1:6" x14ac:dyDescent="0.2">
      <c r="A2500" s="115"/>
      <c r="B2500" s="79"/>
      <c r="C2500" s="115"/>
      <c r="D2500" s="115"/>
      <c r="E2500" s="115"/>
      <c r="F2500" s="115"/>
    </row>
    <row r="2501" spans="1:6" x14ac:dyDescent="0.2">
      <c r="A2501" s="115"/>
      <c r="B2501" s="79"/>
      <c r="C2501" s="115"/>
      <c r="D2501" s="115"/>
      <c r="E2501" s="115"/>
      <c r="F2501" s="115"/>
    </row>
    <row r="2502" spans="1:6" x14ac:dyDescent="0.2">
      <c r="A2502" s="115"/>
      <c r="B2502" s="79"/>
      <c r="C2502" s="115"/>
      <c r="D2502" s="115"/>
      <c r="E2502" s="115"/>
      <c r="F2502" s="115"/>
    </row>
    <row r="2503" spans="1:6" x14ac:dyDescent="0.2">
      <c r="A2503" s="115"/>
      <c r="B2503" s="79"/>
      <c r="C2503" s="115"/>
      <c r="D2503" s="115"/>
      <c r="E2503" s="115"/>
      <c r="F2503" s="115"/>
    </row>
    <row r="2504" spans="1:6" x14ac:dyDescent="0.2">
      <c r="A2504" s="115"/>
      <c r="B2504" s="79"/>
      <c r="C2504" s="115"/>
      <c r="D2504" s="115"/>
      <c r="E2504" s="115"/>
      <c r="F2504" s="115"/>
    </row>
    <row r="2505" spans="1:6" x14ac:dyDescent="0.2">
      <c r="A2505" s="115"/>
      <c r="B2505" s="79"/>
      <c r="C2505" s="115"/>
      <c r="D2505" s="115"/>
      <c r="E2505" s="115"/>
      <c r="F2505" s="115"/>
    </row>
    <row r="2506" spans="1:6" x14ac:dyDescent="0.2">
      <c r="A2506" s="115"/>
      <c r="B2506" s="79"/>
      <c r="C2506" s="115"/>
      <c r="D2506" s="115"/>
      <c r="E2506" s="115"/>
      <c r="F2506" s="115"/>
    </row>
    <row r="2507" spans="1:6" x14ac:dyDescent="0.2">
      <c r="A2507" s="115"/>
      <c r="B2507" s="79"/>
      <c r="C2507" s="115"/>
      <c r="D2507" s="115"/>
      <c r="E2507" s="115"/>
      <c r="F2507" s="115"/>
    </row>
    <row r="2508" spans="1:6" x14ac:dyDescent="0.2">
      <c r="A2508" s="115"/>
      <c r="B2508" s="79"/>
      <c r="C2508" s="115"/>
      <c r="D2508" s="115"/>
      <c r="E2508" s="115"/>
      <c r="F2508" s="115"/>
    </row>
    <row r="2509" spans="1:6" x14ac:dyDescent="0.2">
      <c r="A2509" s="115"/>
      <c r="B2509" s="79"/>
      <c r="C2509" s="115"/>
      <c r="D2509" s="115"/>
      <c r="E2509" s="115"/>
      <c r="F2509" s="115"/>
    </row>
    <row r="2510" spans="1:6" x14ac:dyDescent="0.2">
      <c r="A2510" s="115"/>
      <c r="B2510" s="79"/>
      <c r="C2510" s="115"/>
      <c r="D2510" s="115"/>
      <c r="E2510" s="115"/>
      <c r="F2510" s="115"/>
    </row>
    <row r="2511" spans="1:6" x14ac:dyDescent="0.2">
      <c r="A2511" s="115"/>
      <c r="B2511" s="79"/>
      <c r="C2511" s="115"/>
      <c r="D2511" s="115"/>
      <c r="E2511" s="115"/>
      <c r="F2511" s="115"/>
    </row>
    <row r="2512" spans="1:6" x14ac:dyDescent="0.2">
      <c r="A2512" s="115"/>
      <c r="B2512" s="79"/>
      <c r="C2512" s="115"/>
      <c r="D2512" s="115"/>
      <c r="E2512" s="115"/>
      <c r="F2512" s="115"/>
    </row>
    <row r="2513" spans="1:6" x14ac:dyDescent="0.2">
      <c r="A2513" s="115"/>
      <c r="B2513" s="79"/>
      <c r="C2513" s="115"/>
      <c r="D2513" s="115"/>
      <c r="E2513" s="115"/>
      <c r="F2513" s="115"/>
    </row>
    <row r="2514" spans="1:6" x14ac:dyDescent="0.2">
      <c r="A2514" s="115"/>
      <c r="B2514" s="79"/>
      <c r="C2514" s="115"/>
      <c r="D2514" s="115"/>
      <c r="E2514" s="115"/>
      <c r="F2514" s="115"/>
    </row>
    <row r="2515" spans="1:6" x14ac:dyDescent="0.2">
      <c r="A2515" s="115"/>
      <c r="B2515" s="79"/>
      <c r="C2515" s="115"/>
      <c r="D2515" s="115"/>
      <c r="E2515" s="115"/>
      <c r="F2515" s="115"/>
    </row>
    <row r="2516" spans="1:6" x14ac:dyDescent="0.2">
      <c r="A2516" s="115"/>
      <c r="B2516" s="79"/>
      <c r="C2516" s="115"/>
      <c r="D2516" s="115"/>
      <c r="E2516" s="115"/>
      <c r="F2516" s="115"/>
    </row>
    <row r="2517" spans="1:6" x14ac:dyDescent="0.2">
      <c r="A2517" s="115"/>
      <c r="B2517" s="79"/>
      <c r="C2517" s="115"/>
      <c r="D2517" s="115"/>
      <c r="E2517" s="115"/>
      <c r="F2517" s="115"/>
    </row>
    <row r="2518" spans="1:6" x14ac:dyDescent="0.2">
      <c r="A2518" s="115"/>
      <c r="B2518" s="79"/>
      <c r="C2518" s="115"/>
      <c r="D2518" s="115"/>
      <c r="E2518" s="115"/>
      <c r="F2518" s="115"/>
    </row>
    <row r="2519" spans="1:6" x14ac:dyDescent="0.2">
      <c r="A2519" s="115"/>
      <c r="B2519" s="79"/>
      <c r="C2519" s="115"/>
      <c r="D2519" s="115"/>
      <c r="E2519" s="115"/>
      <c r="F2519" s="115"/>
    </row>
    <row r="2520" spans="1:6" x14ac:dyDescent="0.2">
      <c r="A2520" s="115"/>
      <c r="B2520" s="79"/>
      <c r="C2520" s="115"/>
      <c r="D2520" s="115"/>
      <c r="E2520" s="115"/>
      <c r="F2520" s="115"/>
    </row>
    <row r="2521" spans="1:6" x14ac:dyDescent="0.2">
      <c r="A2521" s="115"/>
      <c r="B2521" s="79"/>
      <c r="C2521" s="115"/>
      <c r="D2521" s="115"/>
      <c r="E2521" s="115"/>
      <c r="F2521" s="115"/>
    </row>
    <row r="2522" spans="1:6" x14ac:dyDescent="0.2">
      <c r="A2522" s="115"/>
      <c r="B2522" s="79"/>
      <c r="C2522" s="115"/>
      <c r="D2522" s="115"/>
      <c r="E2522" s="115"/>
      <c r="F2522" s="115"/>
    </row>
    <row r="2523" spans="1:6" x14ac:dyDescent="0.2">
      <c r="A2523" s="115"/>
      <c r="B2523" s="79"/>
      <c r="C2523" s="115"/>
      <c r="D2523" s="115"/>
      <c r="E2523" s="115"/>
      <c r="F2523" s="115"/>
    </row>
    <row r="2524" spans="1:6" x14ac:dyDescent="0.2">
      <c r="A2524" s="115"/>
      <c r="B2524" s="79"/>
      <c r="C2524" s="115"/>
      <c r="D2524" s="115"/>
      <c r="E2524" s="115"/>
      <c r="F2524" s="115"/>
    </row>
    <row r="2525" spans="1:6" x14ac:dyDescent="0.2">
      <c r="A2525" s="115"/>
      <c r="B2525" s="79"/>
      <c r="C2525" s="115"/>
      <c r="D2525" s="115"/>
      <c r="E2525" s="115"/>
      <c r="F2525" s="115"/>
    </row>
    <row r="2526" spans="1:6" x14ac:dyDescent="0.2">
      <c r="A2526" s="115"/>
      <c r="B2526" s="79"/>
      <c r="C2526" s="115"/>
      <c r="D2526" s="115"/>
      <c r="E2526" s="115"/>
      <c r="F2526" s="115"/>
    </row>
    <row r="2527" spans="1:6" x14ac:dyDescent="0.2">
      <c r="A2527" s="115"/>
      <c r="B2527" s="79"/>
      <c r="C2527" s="115"/>
      <c r="D2527" s="115"/>
      <c r="E2527" s="115"/>
      <c r="F2527" s="115"/>
    </row>
    <row r="2528" spans="1:6" x14ac:dyDescent="0.2">
      <c r="A2528" s="115"/>
      <c r="B2528" s="79"/>
      <c r="C2528" s="115"/>
      <c r="D2528" s="115"/>
      <c r="E2528" s="115"/>
      <c r="F2528" s="115"/>
    </row>
    <row r="2529" spans="1:6" x14ac:dyDescent="0.2">
      <c r="A2529" s="115"/>
      <c r="B2529" s="79"/>
      <c r="C2529" s="115"/>
      <c r="D2529" s="115"/>
      <c r="E2529" s="115"/>
      <c r="F2529" s="115"/>
    </row>
    <row r="2530" spans="1:6" x14ac:dyDescent="0.2">
      <c r="A2530" s="115"/>
      <c r="B2530" s="79"/>
      <c r="C2530" s="115"/>
      <c r="D2530" s="115"/>
      <c r="E2530" s="115"/>
      <c r="F2530" s="115"/>
    </row>
    <row r="2531" spans="1:6" x14ac:dyDescent="0.2">
      <c r="A2531" s="115"/>
      <c r="B2531" s="79"/>
      <c r="C2531" s="115"/>
      <c r="D2531" s="115"/>
      <c r="E2531" s="115"/>
      <c r="F2531" s="115"/>
    </row>
    <row r="2532" spans="1:6" x14ac:dyDescent="0.2">
      <c r="A2532" s="115"/>
      <c r="B2532" s="79"/>
      <c r="C2532" s="115"/>
      <c r="D2532" s="115"/>
      <c r="E2532" s="115"/>
      <c r="F2532" s="115"/>
    </row>
    <row r="2533" spans="1:6" x14ac:dyDescent="0.2">
      <c r="A2533" s="115"/>
      <c r="B2533" s="79"/>
      <c r="C2533" s="115"/>
      <c r="D2533" s="115"/>
      <c r="E2533" s="115"/>
      <c r="F2533" s="115"/>
    </row>
    <row r="2534" spans="1:6" x14ac:dyDescent="0.2">
      <c r="A2534" s="115"/>
      <c r="B2534" s="79"/>
      <c r="C2534" s="115"/>
      <c r="D2534" s="115"/>
      <c r="E2534" s="115"/>
      <c r="F2534" s="115"/>
    </row>
    <row r="2535" spans="1:6" x14ac:dyDescent="0.2">
      <c r="A2535" s="115"/>
      <c r="B2535" s="79"/>
      <c r="C2535" s="115"/>
      <c r="D2535" s="115"/>
      <c r="E2535" s="115"/>
      <c r="F2535" s="115"/>
    </row>
    <row r="2536" spans="1:6" x14ac:dyDescent="0.2">
      <c r="A2536" s="115"/>
      <c r="B2536" s="79"/>
      <c r="C2536" s="115"/>
      <c r="D2536" s="115"/>
      <c r="E2536" s="115"/>
      <c r="F2536" s="115"/>
    </row>
    <row r="2537" spans="1:6" x14ac:dyDescent="0.2">
      <c r="A2537" s="115"/>
      <c r="B2537" s="79"/>
      <c r="C2537" s="115"/>
      <c r="D2537" s="115"/>
      <c r="E2537" s="115"/>
      <c r="F2537" s="115"/>
    </row>
    <row r="2538" spans="1:6" x14ac:dyDescent="0.2">
      <c r="A2538" s="115"/>
      <c r="B2538" s="79"/>
      <c r="C2538" s="115"/>
      <c r="D2538" s="115"/>
      <c r="E2538" s="115"/>
      <c r="F2538" s="115"/>
    </row>
    <row r="2539" spans="1:6" x14ac:dyDescent="0.2">
      <c r="A2539" s="115"/>
      <c r="B2539" s="79"/>
      <c r="C2539" s="115"/>
      <c r="D2539" s="115"/>
      <c r="E2539" s="115"/>
      <c r="F2539" s="115"/>
    </row>
    <row r="2540" spans="1:6" x14ac:dyDescent="0.2">
      <c r="A2540" s="115"/>
      <c r="B2540" s="79"/>
      <c r="C2540" s="115"/>
      <c r="D2540" s="115"/>
      <c r="E2540" s="115"/>
      <c r="F2540" s="115"/>
    </row>
    <row r="2541" spans="1:6" x14ac:dyDescent="0.2">
      <c r="A2541" s="115"/>
      <c r="B2541" s="79"/>
      <c r="C2541" s="115"/>
      <c r="D2541" s="115"/>
      <c r="E2541" s="115"/>
      <c r="F2541" s="115"/>
    </row>
    <row r="2542" spans="1:6" x14ac:dyDescent="0.2">
      <c r="A2542" s="115"/>
      <c r="B2542" s="79"/>
      <c r="C2542" s="115"/>
      <c r="D2542" s="115"/>
      <c r="E2542" s="115"/>
      <c r="F2542" s="115"/>
    </row>
    <row r="2543" spans="1:6" x14ac:dyDescent="0.2">
      <c r="A2543" s="115"/>
      <c r="B2543" s="79"/>
      <c r="C2543" s="115"/>
      <c r="D2543" s="115"/>
      <c r="E2543" s="115"/>
      <c r="F2543" s="115"/>
    </row>
    <row r="2544" spans="1:6" x14ac:dyDescent="0.2">
      <c r="A2544" s="115"/>
      <c r="B2544" s="79"/>
      <c r="C2544" s="115"/>
      <c r="D2544" s="115"/>
      <c r="E2544" s="115"/>
      <c r="F2544" s="115"/>
    </row>
    <row r="2545" spans="1:6" x14ac:dyDescent="0.2">
      <c r="A2545" s="115"/>
      <c r="B2545" s="79"/>
      <c r="C2545" s="115"/>
      <c r="D2545" s="115"/>
      <c r="E2545" s="115"/>
      <c r="F2545" s="115"/>
    </row>
    <row r="2546" spans="1:6" x14ac:dyDescent="0.2">
      <c r="A2546" s="115"/>
      <c r="B2546" s="79"/>
      <c r="C2546" s="115"/>
      <c r="D2546" s="115"/>
      <c r="E2546" s="115"/>
      <c r="F2546" s="115"/>
    </row>
    <row r="2547" spans="1:6" x14ac:dyDescent="0.2">
      <c r="A2547" s="115"/>
      <c r="B2547" s="79"/>
      <c r="C2547" s="115"/>
      <c r="D2547" s="115"/>
      <c r="E2547" s="115"/>
      <c r="F2547" s="115"/>
    </row>
    <row r="2548" spans="1:6" x14ac:dyDescent="0.2">
      <c r="A2548" s="115"/>
      <c r="B2548" s="79"/>
      <c r="C2548" s="115"/>
      <c r="D2548" s="115"/>
      <c r="E2548" s="115"/>
      <c r="F2548" s="115"/>
    </row>
    <row r="2549" spans="1:6" x14ac:dyDescent="0.2">
      <c r="A2549" s="115"/>
      <c r="B2549" s="79"/>
      <c r="C2549" s="115"/>
      <c r="D2549" s="115"/>
      <c r="E2549" s="115"/>
      <c r="F2549" s="115"/>
    </row>
    <row r="2550" spans="1:6" x14ac:dyDescent="0.2">
      <c r="A2550" s="115"/>
      <c r="B2550" s="79"/>
      <c r="C2550" s="115"/>
      <c r="D2550" s="115"/>
      <c r="E2550" s="115"/>
      <c r="F2550" s="115"/>
    </row>
    <row r="2551" spans="1:6" x14ac:dyDescent="0.2">
      <c r="A2551" s="115"/>
      <c r="B2551" s="79"/>
      <c r="C2551" s="115"/>
      <c r="D2551" s="115"/>
      <c r="E2551" s="115"/>
      <c r="F2551" s="115"/>
    </row>
    <row r="2552" spans="1:6" x14ac:dyDescent="0.2">
      <c r="A2552" s="115"/>
      <c r="B2552" s="79"/>
      <c r="C2552" s="115"/>
      <c r="D2552" s="115"/>
      <c r="E2552" s="115"/>
      <c r="F2552" s="115"/>
    </row>
    <row r="2553" spans="1:6" x14ac:dyDescent="0.2">
      <c r="A2553" s="115"/>
      <c r="B2553" s="79"/>
      <c r="C2553" s="115"/>
      <c r="D2553" s="115"/>
      <c r="E2553" s="115"/>
      <c r="F2553" s="115"/>
    </row>
    <row r="2554" spans="1:6" x14ac:dyDescent="0.2">
      <c r="A2554" s="115"/>
      <c r="B2554" s="79"/>
      <c r="C2554" s="115"/>
      <c r="D2554" s="115"/>
      <c r="E2554" s="115"/>
      <c r="F2554" s="115"/>
    </row>
    <row r="2555" spans="1:6" x14ac:dyDescent="0.2">
      <c r="A2555" s="115"/>
      <c r="B2555" s="79"/>
      <c r="C2555" s="115"/>
      <c r="D2555" s="115"/>
      <c r="E2555" s="115"/>
      <c r="F2555" s="115"/>
    </row>
    <row r="2556" spans="1:6" x14ac:dyDescent="0.2">
      <c r="A2556" s="115"/>
      <c r="B2556" s="79"/>
      <c r="C2556" s="115"/>
      <c r="D2556" s="115"/>
      <c r="E2556" s="115"/>
      <c r="F2556" s="115"/>
    </row>
    <row r="2557" spans="1:6" x14ac:dyDescent="0.2">
      <c r="A2557" s="115"/>
      <c r="B2557" s="79"/>
      <c r="C2557" s="115"/>
      <c r="D2557" s="115"/>
      <c r="E2557" s="115"/>
      <c r="F2557" s="115"/>
    </row>
    <row r="2558" spans="1:6" x14ac:dyDescent="0.2">
      <c r="A2558" s="115"/>
      <c r="B2558" s="79"/>
      <c r="C2558" s="115"/>
      <c r="D2558" s="115"/>
      <c r="E2558" s="115"/>
      <c r="F2558" s="115"/>
    </row>
    <row r="2559" spans="1:6" x14ac:dyDescent="0.2">
      <c r="A2559" s="115"/>
      <c r="B2559" s="79"/>
      <c r="C2559" s="115"/>
      <c r="D2559" s="115"/>
      <c r="E2559" s="115"/>
      <c r="F2559" s="115"/>
    </row>
    <row r="2560" spans="1:6" x14ac:dyDescent="0.2">
      <c r="A2560" s="115"/>
      <c r="B2560" s="79"/>
      <c r="C2560" s="115"/>
      <c r="D2560" s="115"/>
      <c r="E2560" s="115"/>
      <c r="F2560" s="115"/>
    </row>
    <row r="2561" spans="1:6" x14ac:dyDescent="0.2">
      <c r="A2561" s="115"/>
      <c r="B2561" s="79"/>
      <c r="C2561" s="115"/>
      <c r="D2561" s="115"/>
      <c r="E2561" s="115"/>
      <c r="F2561" s="115"/>
    </row>
    <row r="2562" spans="1:6" x14ac:dyDescent="0.2">
      <c r="A2562" s="115"/>
      <c r="B2562" s="79"/>
      <c r="C2562" s="115"/>
      <c r="D2562" s="115"/>
      <c r="E2562" s="115"/>
      <c r="F2562" s="115"/>
    </row>
    <row r="2563" spans="1:6" x14ac:dyDescent="0.2">
      <c r="A2563" s="115"/>
      <c r="B2563" s="79"/>
      <c r="C2563" s="115"/>
      <c r="D2563" s="115"/>
      <c r="E2563" s="115"/>
      <c r="F2563" s="115"/>
    </row>
    <row r="2564" spans="1:6" x14ac:dyDescent="0.2">
      <c r="A2564" s="115"/>
      <c r="B2564" s="79"/>
      <c r="C2564" s="115"/>
      <c r="D2564" s="115"/>
      <c r="E2564" s="115"/>
      <c r="F2564" s="115"/>
    </row>
    <row r="2565" spans="1:6" x14ac:dyDescent="0.2">
      <c r="A2565" s="115"/>
      <c r="B2565" s="79"/>
      <c r="C2565" s="115"/>
      <c r="D2565" s="115"/>
      <c r="E2565" s="115"/>
      <c r="F2565" s="115"/>
    </row>
    <row r="2566" spans="1:6" x14ac:dyDescent="0.2">
      <c r="A2566" s="115"/>
      <c r="B2566" s="79"/>
      <c r="C2566" s="115"/>
      <c r="D2566" s="115"/>
      <c r="E2566" s="115"/>
      <c r="F2566" s="115"/>
    </row>
    <row r="2567" spans="1:6" x14ac:dyDescent="0.2">
      <c r="A2567" s="115"/>
      <c r="B2567" s="79"/>
      <c r="C2567" s="115"/>
      <c r="D2567" s="115"/>
      <c r="E2567" s="115"/>
      <c r="F2567" s="115"/>
    </row>
    <row r="2568" spans="1:6" x14ac:dyDescent="0.2">
      <c r="A2568" s="115"/>
      <c r="B2568" s="79"/>
      <c r="C2568" s="115"/>
      <c r="D2568" s="115"/>
      <c r="E2568" s="115"/>
      <c r="F2568" s="115"/>
    </row>
    <row r="2569" spans="1:6" x14ac:dyDescent="0.2">
      <c r="A2569" s="115"/>
      <c r="B2569" s="79"/>
      <c r="C2569" s="115"/>
      <c r="D2569" s="115"/>
      <c r="E2569" s="115"/>
      <c r="F2569" s="115"/>
    </row>
    <row r="2570" spans="1:6" x14ac:dyDescent="0.2">
      <c r="A2570" s="115"/>
      <c r="B2570" s="79"/>
      <c r="C2570" s="115"/>
      <c r="D2570" s="115"/>
      <c r="E2570" s="115"/>
      <c r="F2570" s="115"/>
    </row>
    <row r="2571" spans="1:6" x14ac:dyDescent="0.2">
      <c r="A2571" s="115"/>
      <c r="B2571" s="79"/>
      <c r="C2571" s="115"/>
      <c r="D2571" s="115"/>
      <c r="E2571" s="115"/>
      <c r="F2571" s="115"/>
    </row>
    <row r="2572" spans="1:6" x14ac:dyDescent="0.2">
      <c r="A2572" s="115"/>
      <c r="B2572" s="79"/>
      <c r="C2572" s="115"/>
      <c r="D2572" s="115"/>
      <c r="E2572" s="115"/>
      <c r="F2572" s="115"/>
    </row>
    <row r="2573" spans="1:6" x14ac:dyDescent="0.2">
      <c r="A2573" s="115"/>
      <c r="B2573" s="79"/>
      <c r="C2573" s="115"/>
      <c r="D2573" s="115"/>
      <c r="E2573" s="115"/>
      <c r="F2573" s="115"/>
    </row>
    <row r="2574" spans="1:6" x14ac:dyDescent="0.2">
      <c r="A2574" s="115"/>
      <c r="B2574" s="79"/>
      <c r="C2574" s="115"/>
      <c r="D2574" s="115"/>
      <c r="E2574" s="115"/>
      <c r="F2574" s="115"/>
    </row>
    <row r="2575" spans="1:6" x14ac:dyDescent="0.2">
      <c r="A2575" s="115"/>
      <c r="B2575" s="79"/>
      <c r="C2575" s="115"/>
      <c r="D2575" s="115"/>
      <c r="E2575" s="115"/>
      <c r="F2575" s="115"/>
    </row>
    <row r="2576" spans="1:6" x14ac:dyDescent="0.2">
      <c r="A2576" s="115"/>
      <c r="B2576" s="79"/>
      <c r="C2576" s="115"/>
      <c r="D2576" s="115"/>
      <c r="E2576" s="115"/>
      <c r="F2576" s="115"/>
    </row>
    <row r="2577" spans="1:6" x14ac:dyDescent="0.2">
      <c r="A2577" s="115"/>
      <c r="B2577" s="79"/>
      <c r="C2577" s="115"/>
      <c r="D2577" s="115"/>
      <c r="E2577" s="115"/>
      <c r="F2577" s="115"/>
    </row>
    <row r="2578" spans="1:6" x14ac:dyDescent="0.2">
      <c r="A2578" s="115"/>
      <c r="B2578" s="79"/>
      <c r="C2578" s="115"/>
      <c r="D2578" s="115"/>
      <c r="E2578" s="115"/>
      <c r="F2578" s="115"/>
    </row>
    <row r="2579" spans="1:6" x14ac:dyDescent="0.2">
      <c r="A2579" s="115"/>
      <c r="B2579" s="79"/>
      <c r="C2579" s="115"/>
      <c r="D2579" s="115"/>
      <c r="E2579" s="115"/>
      <c r="F2579" s="115"/>
    </row>
    <row r="2580" spans="1:6" x14ac:dyDescent="0.2">
      <c r="A2580" s="115"/>
      <c r="B2580" s="79"/>
      <c r="C2580" s="115"/>
      <c r="D2580" s="115"/>
      <c r="E2580" s="115"/>
      <c r="F2580" s="115"/>
    </row>
    <row r="2581" spans="1:6" x14ac:dyDescent="0.2">
      <c r="A2581" s="115"/>
      <c r="B2581" s="79"/>
      <c r="C2581" s="115"/>
      <c r="D2581" s="115"/>
      <c r="E2581" s="115"/>
      <c r="F2581" s="115"/>
    </row>
    <row r="2582" spans="1:6" x14ac:dyDescent="0.2">
      <c r="A2582" s="115"/>
      <c r="B2582" s="79"/>
      <c r="C2582" s="115"/>
      <c r="D2582" s="115"/>
      <c r="E2582" s="115"/>
      <c r="F2582" s="115"/>
    </row>
    <row r="2583" spans="1:6" x14ac:dyDescent="0.2">
      <c r="A2583" s="115"/>
      <c r="B2583" s="79"/>
      <c r="C2583" s="115"/>
      <c r="D2583" s="115"/>
      <c r="E2583" s="115"/>
      <c r="F2583" s="115"/>
    </row>
    <row r="2584" spans="1:6" x14ac:dyDescent="0.2">
      <c r="A2584" s="115"/>
      <c r="B2584" s="79"/>
      <c r="C2584" s="115"/>
      <c r="D2584" s="115"/>
      <c r="E2584" s="115"/>
      <c r="F2584" s="115"/>
    </row>
    <row r="2585" spans="1:6" x14ac:dyDescent="0.2">
      <c r="A2585" s="115"/>
      <c r="B2585" s="79"/>
      <c r="C2585" s="115"/>
      <c r="D2585" s="115"/>
      <c r="E2585" s="115"/>
      <c r="F2585" s="115"/>
    </row>
    <row r="2586" spans="1:6" x14ac:dyDescent="0.2">
      <c r="A2586" s="115"/>
      <c r="B2586" s="79"/>
      <c r="C2586" s="115"/>
      <c r="D2586" s="115"/>
      <c r="E2586" s="115"/>
      <c r="F2586" s="115"/>
    </row>
    <row r="2587" spans="1:6" x14ac:dyDescent="0.2">
      <c r="A2587" s="115"/>
      <c r="B2587" s="79"/>
      <c r="C2587" s="115"/>
      <c r="D2587" s="115"/>
      <c r="E2587" s="115"/>
      <c r="F2587" s="115"/>
    </row>
    <row r="2588" spans="1:6" x14ac:dyDescent="0.2">
      <c r="A2588" s="115"/>
      <c r="B2588" s="79"/>
      <c r="C2588" s="115"/>
      <c r="D2588" s="115"/>
      <c r="E2588" s="115"/>
      <c r="F2588" s="115"/>
    </row>
    <row r="2589" spans="1:6" x14ac:dyDescent="0.2">
      <c r="A2589" s="115"/>
      <c r="B2589" s="79"/>
      <c r="C2589" s="115"/>
      <c r="D2589" s="115"/>
      <c r="E2589" s="115"/>
      <c r="F2589" s="115"/>
    </row>
    <row r="2590" spans="1:6" x14ac:dyDescent="0.2">
      <c r="A2590" s="115"/>
      <c r="B2590" s="79"/>
      <c r="C2590" s="115"/>
      <c r="D2590" s="115"/>
      <c r="E2590" s="115"/>
      <c r="F2590" s="115"/>
    </row>
    <row r="2591" spans="1:6" x14ac:dyDescent="0.2">
      <c r="A2591" s="115"/>
      <c r="B2591" s="79"/>
      <c r="C2591" s="115"/>
      <c r="D2591" s="115"/>
      <c r="E2591" s="115"/>
      <c r="F2591" s="115"/>
    </row>
    <row r="2592" spans="1:6" x14ac:dyDescent="0.2">
      <c r="A2592" s="115"/>
      <c r="B2592" s="79"/>
      <c r="C2592" s="115"/>
      <c r="D2592" s="115"/>
      <c r="E2592" s="115"/>
      <c r="F2592" s="115"/>
    </row>
    <row r="2593" spans="1:6" x14ac:dyDescent="0.2">
      <c r="A2593" s="115"/>
      <c r="B2593" s="79"/>
      <c r="C2593" s="115"/>
      <c r="D2593" s="115"/>
      <c r="E2593" s="115"/>
      <c r="F2593" s="115"/>
    </row>
    <row r="2594" spans="1:6" x14ac:dyDescent="0.2">
      <c r="A2594" s="115"/>
      <c r="B2594" s="79"/>
      <c r="C2594" s="115"/>
      <c r="D2594" s="115"/>
      <c r="E2594" s="115"/>
      <c r="F2594" s="115"/>
    </row>
    <row r="2595" spans="1:6" x14ac:dyDescent="0.2">
      <c r="A2595" s="115"/>
      <c r="B2595" s="79"/>
      <c r="C2595" s="115"/>
      <c r="D2595" s="115"/>
      <c r="E2595" s="115"/>
      <c r="F2595" s="115"/>
    </row>
    <row r="2596" spans="1:6" x14ac:dyDescent="0.2">
      <c r="A2596" s="115"/>
      <c r="B2596" s="79"/>
      <c r="C2596" s="115"/>
      <c r="D2596" s="115"/>
      <c r="E2596" s="115"/>
      <c r="F2596" s="115"/>
    </row>
    <row r="2597" spans="1:6" x14ac:dyDescent="0.2">
      <c r="A2597" s="115"/>
      <c r="B2597" s="79"/>
      <c r="C2597" s="115"/>
      <c r="D2597" s="115"/>
      <c r="E2597" s="115"/>
      <c r="F2597" s="115"/>
    </row>
    <row r="2598" spans="1:6" x14ac:dyDescent="0.2">
      <c r="A2598" s="115"/>
      <c r="B2598" s="79"/>
      <c r="C2598" s="115"/>
      <c r="D2598" s="115"/>
      <c r="E2598" s="115"/>
      <c r="F2598" s="115"/>
    </row>
    <row r="2599" spans="1:6" x14ac:dyDescent="0.2">
      <c r="A2599" s="115"/>
      <c r="B2599" s="79"/>
      <c r="C2599" s="115"/>
      <c r="D2599" s="115"/>
      <c r="E2599" s="115"/>
      <c r="F2599" s="115"/>
    </row>
    <row r="2600" spans="1:6" x14ac:dyDescent="0.2">
      <c r="A2600" s="115"/>
      <c r="B2600" s="79"/>
      <c r="C2600" s="115"/>
      <c r="D2600" s="115"/>
      <c r="E2600" s="115"/>
      <c r="F2600" s="115"/>
    </row>
    <row r="2601" spans="1:6" x14ac:dyDescent="0.2">
      <c r="A2601" s="115"/>
      <c r="B2601" s="79"/>
      <c r="C2601" s="115"/>
      <c r="D2601" s="115"/>
      <c r="E2601" s="115"/>
      <c r="F2601" s="115"/>
    </row>
    <row r="2602" spans="1:6" x14ac:dyDescent="0.2">
      <c r="A2602" s="115"/>
      <c r="B2602" s="79"/>
      <c r="C2602" s="115"/>
      <c r="D2602" s="115"/>
      <c r="E2602" s="115"/>
      <c r="F2602" s="115"/>
    </row>
    <row r="2603" spans="1:6" x14ac:dyDescent="0.2">
      <c r="A2603" s="115"/>
      <c r="B2603" s="79"/>
      <c r="C2603" s="115"/>
      <c r="D2603" s="115"/>
      <c r="E2603" s="115"/>
      <c r="F2603" s="115"/>
    </row>
    <row r="2604" spans="1:6" x14ac:dyDescent="0.2">
      <c r="A2604" s="115"/>
      <c r="B2604" s="79"/>
      <c r="C2604" s="115"/>
      <c r="D2604" s="115"/>
      <c r="E2604" s="115"/>
      <c r="F2604" s="115"/>
    </row>
    <row r="2605" spans="1:6" x14ac:dyDescent="0.2">
      <c r="A2605" s="115"/>
      <c r="B2605" s="79"/>
      <c r="C2605" s="115"/>
      <c r="D2605" s="115"/>
      <c r="E2605" s="115"/>
      <c r="F2605" s="115"/>
    </row>
    <row r="2606" spans="1:6" x14ac:dyDescent="0.2">
      <c r="A2606" s="115"/>
      <c r="B2606" s="79"/>
      <c r="C2606" s="115"/>
      <c r="D2606" s="115"/>
      <c r="E2606" s="115"/>
      <c r="F2606" s="115"/>
    </row>
    <row r="2607" spans="1:6" x14ac:dyDescent="0.2">
      <c r="A2607" s="115"/>
      <c r="B2607" s="79"/>
      <c r="C2607" s="115"/>
      <c r="D2607" s="115"/>
      <c r="E2607" s="115"/>
      <c r="F2607" s="115"/>
    </row>
    <row r="2608" spans="1:6" x14ac:dyDescent="0.2">
      <c r="A2608" s="115"/>
      <c r="B2608" s="79"/>
      <c r="C2608" s="115"/>
      <c r="D2608" s="115"/>
      <c r="E2608" s="115"/>
      <c r="F2608" s="115"/>
    </row>
    <row r="2609" spans="1:6" x14ac:dyDescent="0.2">
      <c r="A2609" s="115"/>
      <c r="B2609" s="79"/>
      <c r="C2609" s="115"/>
      <c r="D2609" s="115"/>
      <c r="E2609" s="115"/>
      <c r="F2609" s="115"/>
    </row>
    <row r="2610" spans="1:6" x14ac:dyDescent="0.2">
      <c r="A2610" s="115"/>
      <c r="B2610" s="79"/>
      <c r="C2610" s="115"/>
      <c r="D2610" s="115"/>
      <c r="E2610" s="115"/>
      <c r="F2610" s="115"/>
    </row>
    <row r="2611" spans="1:6" x14ac:dyDescent="0.2">
      <c r="A2611" s="115"/>
      <c r="B2611" s="79"/>
      <c r="C2611" s="115"/>
      <c r="D2611" s="115"/>
      <c r="E2611" s="115"/>
      <c r="F2611" s="115"/>
    </row>
    <row r="2612" spans="1:6" x14ac:dyDescent="0.2">
      <c r="A2612" s="115"/>
      <c r="B2612" s="79"/>
      <c r="C2612" s="115"/>
      <c r="D2612" s="115"/>
      <c r="E2612" s="115"/>
      <c r="F2612" s="115"/>
    </row>
    <row r="2613" spans="1:6" x14ac:dyDescent="0.2">
      <c r="A2613" s="115"/>
      <c r="B2613" s="79"/>
      <c r="C2613" s="115"/>
      <c r="D2613" s="115"/>
      <c r="E2613" s="115"/>
      <c r="F2613" s="115"/>
    </row>
    <row r="2614" spans="1:6" x14ac:dyDescent="0.2">
      <c r="A2614" s="115"/>
      <c r="B2614" s="79"/>
      <c r="C2614" s="115"/>
      <c r="D2614" s="115"/>
      <c r="E2614" s="115"/>
      <c r="F2614" s="115"/>
    </row>
    <row r="2615" spans="1:6" x14ac:dyDescent="0.2">
      <c r="A2615" s="115"/>
      <c r="B2615" s="79"/>
      <c r="C2615" s="115"/>
      <c r="D2615" s="115"/>
      <c r="E2615" s="115"/>
      <c r="F2615" s="115"/>
    </row>
    <row r="2616" spans="1:6" x14ac:dyDescent="0.2">
      <c r="A2616" s="115"/>
      <c r="B2616" s="79"/>
      <c r="C2616" s="115"/>
      <c r="D2616" s="115"/>
      <c r="E2616" s="115"/>
      <c r="F2616" s="115"/>
    </row>
    <row r="2617" spans="1:6" x14ac:dyDescent="0.2">
      <c r="A2617" s="115"/>
      <c r="B2617" s="79"/>
      <c r="C2617" s="115"/>
      <c r="D2617" s="115"/>
      <c r="E2617" s="115"/>
      <c r="F2617" s="115"/>
    </row>
    <row r="2618" spans="1:6" x14ac:dyDescent="0.2">
      <c r="A2618" s="115"/>
      <c r="B2618" s="79"/>
      <c r="C2618" s="115"/>
      <c r="D2618" s="115"/>
      <c r="E2618" s="115"/>
      <c r="F2618" s="115"/>
    </row>
    <row r="2619" spans="1:6" x14ac:dyDescent="0.2">
      <c r="A2619" s="115"/>
      <c r="B2619" s="79"/>
      <c r="C2619" s="115"/>
      <c r="D2619" s="115"/>
      <c r="E2619" s="115"/>
      <c r="F2619" s="115"/>
    </row>
    <row r="2620" spans="1:6" x14ac:dyDescent="0.2">
      <c r="A2620" s="115"/>
      <c r="B2620" s="79"/>
      <c r="C2620" s="115"/>
      <c r="D2620" s="115"/>
      <c r="E2620" s="115"/>
      <c r="F2620" s="115"/>
    </row>
    <row r="2621" spans="1:6" x14ac:dyDescent="0.2">
      <c r="A2621" s="115"/>
      <c r="B2621" s="79"/>
      <c r="C2621" s="115"/>
      <c r="D2621" s="115"/>
      <c r="E2621" s="115"/>
      <c r="F2621" s="115"/>
    </row>
    <row r="2622" spans="1:6" x14ac:dyDescent="0.2">
      <c r="A2622" s="115"/>
      <c r="B2622" s="79"/>
      <c r="C2622" s="115"/>
      <c r="D2622" s="115"/>
      <c r="E2622" s="115"/>
      <c r="F2622" s="115"/>
    </row>
    <row r="2623" spans="1:6" x14ac:dyDescent="0.2">
      <c r="A2623" s="115"/>
      <c r="B2623" s="79"/>
      <c r="C2623" s="115"/>
      <c r="D2623" s="115"/>
      <c r="E2623" s="115"/>
      <c r="F2623" s="115"/>
    </row>
    <row r="2624" spans="1:6" x14ac:dyDescent="0.2">
      <c r="A2624" s="115"/>
      <c r="B2624" s="79"/>
      <c r="C2624" s="115"/>
      <c r="D2624" s="115"/>
      <c r="E2624" s="115"/>
      <c r="F2624" s="115"/>
    </row>
    <row r="2625" spans="1:6" x14ac:dyDescent="0.2">
      <c r="A2625" s="115"/>
      <c r="B2625" s="79"/>
      <c r="C2625" s="115"/>
      <c r="D2625" s="115"/>
      <c r="E2625" s="115"/>
      <c r="F2625" s="115"/>
    </row>
    <row r="2626" spans="1:6" x14ac:dyDescent="0.2">
      <c r="A2626" s="115"/>
      <c r="B2626" s="79"/>
      <c r="C2626" s="115"/>
      <c r="D2626" s="115"/>
      <c r="E2626" s="115"/>
      <c r="F2626" s="115"/>
    </row>
    <row r="2627" spans="1:6" x14ac:dyDescent="0.2">
      <c r="A2627" s="115"/>
      <c r="B2627" s="79"/>
      <c r="C2627" s="115"/>
      <c r="D2627" s="115"/>
      <c r="E2627" s="115"/>
      <c r="F2627" s="115"/>
    </row>
    <row r="2628" spans="1:6" x14ac:dyDescent="0.2">
      <c r="A2628" s="115"/>
      <c r="B2628" s="79"/>
      <c r="C2628" s="115"/>
      <c r="D2628" s="115"/>
      <c r="E2628" s="115"/>
      <c r="F2628" s="115"/>
    </row>
    <row r="2629" spans="1:6" x14ac:dyDescent="0.2">
      <c r="A2629" s="115"/>
      <c r="B2629" s="79"/>
      <c r="C2629" s="115"/>
      <c r="D2629" s="115"/>
      <c r="E2629" s="115"/>
      <c r="F2629" s="115"/>
    </row>
    <row r="2630" spans="1:6" x14ac:dyDescent="0.2">
      <c r="A2630" s="115"/>
      <c r="B2630" s="79"/>
      <c r="C2630" s="115"/>
      <c r="D2630" s="115"/>
      <c r="E2630" s="115"/>
      <c r="F2630" s="115"/>
    </row>
    <row r="2631" spans="1:6" x14ac:dyDescent="0.2">
      <c r="A2631" s="115"/>
      <c r="B2631" s="79"/>
      <c r="C2631" s="115"/>
      <c r="D2631" s="115"/>
      <c r="E2631" s="115"/>
      <c r="F2631" s="115"/>
    </row>
    <row r="2632" spans="1:6" x14ac:dyDescent="0.2">
      <c r="A2632" s="115"/>
      <c r="B2632" s="79"/>
      <c r="C2632" s="115"/>
      <c r="D2632" s="115"/>
      <c r="E2632" s="115"/>
      <c r="F2632" s="115"/>
    </row>
    <row r="2633" spans="1:6" x14ac:dyDescent="0.2">
      <c r="A2633" s="115"/>
      <c r="B2633" s="79"/>
      <c r="C2633" s="115"/>
      <c r="D2633" s="115"/>
      <c r="E2633" s="115"/>
      <c r="F2633" s="115"/>
    </row>
    <row r="2634" spans="1:6" x14ac:dyDescent="0.2">
      <c r="A2634" s="115"/>
      <c r="B2634" s="79"/>
      <c r="C2634" s="115"/>
      <c r="D2634" s="115"/>
      <c r="E2634" s="115"/>
      <c r="F2634" s="115"/>
    </row>
    <row r="2635" spans="1:6" x14ac:dyDescent="0.2">
      <c r="A2635" s="115"/>
      <c r="B2635" s="79"/>
      <c r="C2635" s="115"/>
      <c r="D2635" s="115"/>
      <c r="E2635" s="115"/>
      <c r="F2635" s="115"/>
    </row>
    <row r="2636" spans="1:6" x14ac:dyDescent="0.2">
      <c r="A2636" s="115"/>
      <c r="B2636" s="79"/>
      <c r="C2636" s="115"/>
      <c r="D2636" s="115"/>
      <c r="E2636" s="115"/>
      <c r="F2636" s="115"/>
    </row>
    <row r="2637" spans="1:6" x14ac:dyDescent="0.2">
      <c r="A2637" s="115"/>
      <c r="B2637" s="79"/>
      <c r="C2637" s="115"/>
      <c r="D2637" s="115"/>
      <c r="E2637" s="115"/>
      <c r="F2637" s="115"/>
    </row>
    <row r="2638" spans="1:6" x14ac:dyDescent="0.2">
      <c r="A2638" s="115"/>
      <c r="B2638" s="79"/>
      <c r="C2638" s="115"/>
      <c r="D2638" s="115"/>
      <c r="E2638" s="115"/>
      <c r="F2638" s="115"/>
    </row>
    <row r="2639" spans="1:6" x14ac:dyDescent="0.2">
      <c r="A2639" s="115"/>
      <c r="B2639" s="79"/>
      <c r="C2639" s="115"/>
      <c r="D2639" s="115"/>
      <c r="E2639" s="115"/>
      <c r="F2639" s="115"/>
    </row>
    <row r="2640" spans="1:6" x14ac:dyDescent="0.2">
      <c r="A2640" s="115"/>
      <c r="B2640" s="79"/>
      <c r="C2640" s="115"/>
      <c r="D2640" s="115"/>
      <c r="E2640" s="115"/>
      <c r="F2640" s="115"/>
    </row>
    <row r="2641" spans="1:6" x14ac:dyDescent="0.2">
      <c r="A2641" s="115"/>
      <c r="B2641" s="79"/>
      <c r="C2641" s="115"/>
      <c r="D2641" s="115"/>
      <c r="E2641" s="115"/>
      <c r="F2641" s="115"/>
    </row>
    <row r="2642" spans="1:6" x14ac:dyDescent="0.2">
      <c r="A2642" s="115"/>
      <c r="B2642" s="79"/>
      <c r="C2642" s="115"/>
      <c r="D2642" s="115"/>
      <c r="E2642" s="115"/>
      <c r="F2642" s="115"/>
    </row>
    <row r="2643" spans="1:6" x14ac:dyDescent="0.2">
      <c r="A2643" s="115"/>
      <c r="B2643" s="79"/>
      <c r="C2643" s="115"/>
      <c r="D2643" s="115"/>
      <c r="E2643" s="115"/>
      <c r="F2643" s="115"/>
    </row>
    <row r="2644" spans="1:6" x14ac:dyDescent="0.2">
      <c r="A2644" s="115"/>
      <c r="B2644" s="79"/>
      <c r="C2644" s="115"/>
      <c r="D2644" s="115"/>
      <c r="E2644" s="115"/>
      <c r="F2644" s="115"/>
    </row>
    <row r="2645" spans="1:6" x14ac:dyDescent="0.2">
      <c r="A2645" s="115"/>
      <c r="B2645" s="79"/>
      <c r="C2645" s="115"/>
      <c r="D2645" s="115"/>
      <c r="E2645" s="115"/>
      <c r="F2645" s="115"/>
    </row>
    <row r="2646" spans="1:6" x14ac:dyDescent="0.2">
      <c r="A2646" s="115"/>
      <c r="B2646" s="79"/>
      <c r="C2646" s="115"/>
      <c r="D2646" s="115"/>
      <c r="E2646" s="115"/>
      <c r="F2646" s="115"/>
    </row>
    <row r="2647" spans="1:6" x14ac:dyDescent="0.2">
      <c r="A2647" s="115"/>
      <c r="B2647" s="79"/>
      <c r="C2647" s="115"/>
      <c r="D2647" s="115"/>
      <c r="E2647" s="115"/>
      <c r="F2647" s="115"/>
    </row>
    <row r="2648" spans="1:6" x14ac:dyDescent="0.2">
      <c r="A2648" s="115"/>
      <c r="B2648" s="79"/>
      <c r="C2648" s="115"/>
      <c r="D2648" s="115"/>
      <c r="E2648" s="115"/>
      <c r="F2648" s="115"/>
    </row>
    <row r="2649" spans="1:6" x14ac:dyDescent="0.2">
      <c r="A2649" s="115"/>
      <c r="B2649" s="79"/>
      <c r="C2649" s="115"/>
      <c r="D2649" s="115"/>
      <c r="E2649" s="115"/>
      <c r="F2649" s="115"/>
    </row>
    <row r="2650" spans="1:6" x14ac:dyDescent="0.2">
      <c r="A2650" s="115"/>
      <c r="B2650" s="79"/>
      <c r="C2650" s="115"/>
      <c r="D2650" s="115"/>
      <c r="E2650" s="115"/>
      <c r="F2650" s="115"/>
    </row>
    <row r="2651" spans="1:6" x14ac:dyDescent="0.2">
      <c r="A2651" s="115"/>
      <c r="B2651" s="79"/>
      <c r="C2651" s="115"/>
      <c r="D2651" s="115"/>
      <c r="E2651" s="115"/>
      <c r="F2651" s="115"/>
    </row>
    <row r="2652" spans="1:6" x14ac:dyDescent="0.2">
      <c r="A2652" s="115"/>
      <c r="B2652" s="79"/>
      <c r="C2652" s="115"/>
      <c r="D2652" s="115"/>
      <c r="E2652" s="115"/>
      <c r="F2652" s="115"/>
    </row>
    <row r="2653" spans="1:6" x14ac:dyDescent="0.2">
      <c r="A2653" s="115"/>
      <c r="B2653" s="79"/>
      <c r="C2653" s="115"/>
      <c r="D2653" s="115"/>
      <c r="E2653" s="115"/>
      <c r="F2653" s="115"/>
    </row>
    <row r="2654" spans="1:6" x14ac:dyDescent="0.2">
      <c r="A2654" s="115"/>
      <c r="B2654" s="79"/>
      <c r="C2654" s="115"/>
      <c r="D2654" s="115"/>
      <c r="E2654" s="115"/>
      <c r="F2654" s="115"/>
    </row>
    <row r="2655" spans="1:6" x14ac:dyDescent="0.2">
      <c r="A2655" s="115"/>
      <c r="B2655" s="79"/>
      <c r="C2655" s="115"/>
      <c r="D2655" s="115"/>
      <c r="E2655" s="115"/>
      <c r="F2655" s="115"/>
    </row>
    <row r="2656" spans="1:6" x14ac:dyDescent="0.2">
      <c r="A2656" s="115"/>
      <c r="B2656" s="79"/>
      <c r="C2656" s="115"/>
      <c r="D2656" s="115"/>
      <c r="E2656" s="115"/>
      <c r="F2656" s="115"/>
    </row>
    <row r="2657" spans="1:6" x14ac:dyDescent="0.2">
      <c r="A2657" s="115"/>
      <c r="B2657" s="79"/>
      <c r="C2657" s="115"/>
      <c r="D2657" s="115"/>
      <c r="E2657" s="115"/>
      <c r="F2657" s="115"/>
    </row>
    <row r="2658" spans="1:6" x14ac:dyDescent="0.2">
      <c r="A2658" s="115"/>
      <c r="B2658" s="79"/>
      <c r="C2658" s="115"/>
      <c r="D2658" s="115"/>
      <c r="E2658" s="115"/>
      <c r="F2658" s="115"/>
    </row>
    <row r="2659" spans="1:6" x14ac:dyDescent="0.2">
      <c r="A2659" s="115"/>
      <c r="B2659" s="79"/>
      <c r="C2659" s="115"/>
      <c r="D2659" s="115"/>
      <c r="E2659" s="115"/>
      <c r="F2659" s="115"/>
    </row>
    <row r="2660" spans="1:6" x14ac:dyDescent="0.2">
      <c r="A2660" s="115"/>
      <c r="B2660" s="79"/>
      <c r="C2660" s="115"/>
      <c r="D2660" s="115"/>
      <c r="E2660" s="115"/>
      <c r="F2660" s="115"/>
    </row>
    <row r="2661" spans="1:6" x14ac:dyDescent="0.2">
      <c r="A2661" s="115"/>
      <c r="B2661" s="79"/>
      <c r="C2661" s="115"/>
      <c r="D2661" s="115"/>
      <c r="E2661" s="115"/>
      <c r="F2661" s="115"/>
    </row>
    <row r="2662" spans="1:6" x14ac:dyDescent="0.2">
      <c r="A2662" s="115"/>
      <c r="B2662" s="79"/>
      <c r="C2662" s="115"/>
      <c r="D2662" s="115"/>
      <c r="E2662" s="115"/>
      <c r="F2662" s="115"/>
    </row>
    <row r="2663" spans="1:6" x14ac:dyDescent="0.2">
      <c r="A2663" s="115"/>
      <c r="B2663" s="79"/>
      <c r="C2663" s="115"/>
      <c r="D2663" s="115"/>
      <c r="E2663" s="115"/>
      <c r="F2663" s="115"/>
    </row>
    <row r="2664" spans="1:6" x14ac:dyDescent="0.2">
      <c r="A2664" s="115"/>
      <c r="B2664" s="79"/>
      <c r="C2664" s="115"/>
      <c r="D2664" s="115"/>
      <c r="E2664" s="115"/>
      <c r="F2664" s="115"/>
    </row>
    <row r="2665" spans="1:6" x14ac:dyDescent="0.2">
      <c r="A2665" s="115"/>
      <c r="B2665" s="79"/>
      <c r="C2665" s="115"/>
      <c r="D2665" s="115"/>
      <c r="E2665" s="115"/>
      <c r="F2665" s="115"/>
    </row>
    <row r="2666" spans="1:6" x14ac:dyDescent="0.2">
      <c r="A2666" s="115"/>
      <c r="B2666" s="79"/>
      <c r="C2666" s="115"/>
      <c r="D2666" s="115"/>
      <c r="E2666" s="115"/>
      <c r="F2666" s="115"/>
    </row>
    <row r="2667" spans="1:6" x14ac:dyDescent="0.2">
      <c r="A2667" s="115"/>
      <c r="B2667" s="79"/>
      <c r="C2667" s="115"/>
      <c r="D2667" s="115"/>
      <c r="E2667" s="115"/>
      <c r="F2667" s="115"/>
    </row>
    <row r="2668" spans="1:6" x14ac:dyDescent="0.2">
      <c r="A2668" s="115"/>
      <c r="B2668" s="79"/>
      <c r="C2668" s="115"/>
      <c r="D2668" s="115"/>
      <c r="E2668" s="115"/>
      <c r="F2668" s="115"/>
    </row>
    <row r="2669" spans="1:6" x14ac:dyDescent="0.2">
      <c r="A2669" s="115"/>
      <c r="B2669" s="79"/>
      <c r="C2669" s="115"/>
      <c r="D2669" s="115"/>
      <c r="E2669" s="115"/>
      <c r="F2669" s="115"/>
    </row>
    <row r="2670" spans="1:6" x14ac:dyDescent="0.2">
      <c r="A2670" s="115"/>
      <c r="B2670" s="79"/>
      <c r="C2670" s="115"/>
      <c r="D2670" s="115"/>
      <c r="E2670" s="115"/>
      <c r="F2670" s="115"/>
    </row>
    <row r="2671" spans="1:6" x14ac:dyDescent="0.2">
      <c r="A2671" s="115"/>
      <c r="B2671" s="79"/>
      <c r="C2671" s="115"/>
      <c r="D2671" s="115"/>
      <c r="E2671" s="115"/>
      <c r="F2671" s="115"/>
    </row>
    <row r="2672" spans="1:6" x14ac:dyDescent="0.2">
      <c r="A2672" s="115"/>
      <c r="B2672" s="79"/>
      <c r="C2672" s="115"/>
      <c r="D2672" s="115"/>
      <c r="E2672" s="115"/>
      <c r="F2672" s="115"/>
    </row>
    <row r="2673" spans="1:6" x14ac:dyDescent="0.2">
      <c r="A2673" s="115"/>
      <c r="B2673" s="79"/>
      <c r="C2673" s="115"/>
      <c r="D2673" s="115"/>
      <c r="E2673" s="115"/>
      <c r="F2673" s="115"/>
    </row>
    <row r="2674" spans="1:6" x14ac:dyDescent="0.2">
      <c r="A2674" s="115"/>
      <c r="B2674" s="79"/>
      <c r="C2674" s="115"/>
      <c r="D2674" s="115"/>
      <c r="E2674" s="115"/>
      <c r="F2674" s="115"/>
    </row>
    <row r="2675" spans="1:6" x14ac:dyDescent="0.2">
      <c r="A2675" s="115"/>
      <c r="B2675" s="79"/>
      <c r="C2675" s="115"/>
      <c r="D2675" s="115"/>
      <c r="E2675" s="115"/>
      <c r="F2675" s="115"/>
    </row>
    <row r="2676" spans="1:6" x14ac:dyDescent="0.2">
      <c r="A2676" s="115"/>
      <c r="B2676" s="79"/>
      <c r="C2676" s="115"/>
      <c r="D2676" s="115"/>
      <c r="E2676" s="115"/>
      <c r="F2676" s="115"/>
    </row>
    <row r="2677" spans="1:6" x14ac:dyDescent="0.2">
      <c r="A2677" s="115"/>
      <c r="B2677" s="79"/>
      <c r="C2677" s="115"/>
      <c r="D2677" s="115"/>
      <c r="E2677" s="115"/>
      <c r="F2677" s="115"/>
    </row>
    <row r="2678" spans="1:6" x14ac:dyDescent="0.2">
      <c r="A2678" s="115"/>
      <c r="B2678" s="79"/>
      <c r="C2678" s="115"/>
      <c r="D2678" s="115"/>
      <c r="E2678" s="115"/>
      <c r="F2678" s="115"/>
    </row>
    <row r="2679" spans="1:6" x14ac:dyDescent="0.2">
      <c r="A2679" s="115"/>
      <c r="B2679" s="79"/>
      <c r="C2679" s="115"/>
      <c r="D2679" s="115"/>
      <c r="E2679" s="115"/>
      <c r="F2679" s="115"/>
    </row>
    <row r="2680" spans="1:6" x14ac:dyDescent="0.2">
      <c r="A2680" s="115"/>
      <c r="B2680" s="79"/>
      <c r="C2680" s="115"/>
      <c r="D2680" s="115"/>
      <c r="E2680" s="115"/>
      <c r="F2680" s="115"/>
    </row>
    <row r="2681" spans="1:6" x14ac:dyDescent="0.2">
      <c r="A2681" s="115"/>
      <c r="B2681" s="79"/>
      <c r="C2681" s="115"/>
      <c r="D2681" s="115"/>
      <c r="E2681" s="115"/>
      <c r="F2681" s="115"/>
    </row>
    <row r="2682" spans="1:6" x14ac:dyDescent="0.2">
      <c r="A2682" s="115"/>
      <c r="B2682" s="79"/>
      <c r="C2682" s="115"/>
      <c r="D2682" s="115"/>
      <c r="E2682" s="115"/>
      <c r="F2682" s="115"/>
    </row>
    <row r="2683" spans="1:6" x14ac:dyDescent="0.2">
      <c r="A2683" s="115"/>
      <c r="B2683" s="79"/>
      <c r="C2683" s="115"/>
      <c r="D2683" s="115"/>
      <c r="E2683" s="115"/>
      <c r="F2683" s="115"/>
    </row>
    <row r="2684" spans="1:6" x14ac:dyDescent="0.2">
      <c r="A2684" s="115"/>
      <c r="B2684" s="79"/>
      <c r="C2684" s="115"/>
      <c r="D2684" s="115"/>
      <c r="E2684" s="115"/>
      <c r="F2684" s="115"/>
    </row>
    <row r="2685" spans="1:6" x14ac:dyDescent="0.2">
      <c r="A2685" s="115"/>
      <c r="B2685" s="79"/>
      <c r="C2685" s="115"/>
      <c r="D2685" s="115"/>
      <c r="E2685" s="115"/>
      <c r="F2685" s="115"/>
    </row>
    <row r="2686" spans="1:6" x14ac:dyDescent="0.2">
      <c r="A2686" s="115"/>
      <c r="B2686" s="79"/>
      <c r="C2686" s="115"/>
      <c r="D2686" s="115"/>
      <c r="E2686" s="115"/>
      <c r="F2686" s="115"/>
    </row>
    <row r="2687" spans="1:6" x14ac:dyDescent="0.2">
      <c r="A2687" s="115"/>
      <c r="B2687" s="79"/>
      <c r="C2687" s="115"/>
      <c r="D2687" s="115"/>
      <c r="E2687" s="115"/>
      <c r="F2687" s="115"/>
    </row>
    <row r="2688" spans="1:6" x14ac:dyDescent="0.2">
      <c r="A2688" s="115"/>
      <c r="B2688" s="79"/>
      <c r="C2688" s="115"/>
      <c r="D2688" s="115"/>
      <c r="E2688" s="115"/>
      <c r="F2688" s="115"/>
    </row>
    <row r="2689" spans="1:6" x14ac:dyDescent="0.2">
      <c r="A2689" s="115"/>
      <c r="B2689" s="79"/>
      <c r="C2689" s="115"/>
      <c r="D2689" s="115"/>
      <c r="E2689" s="115"/>
      <c r="F2689" s="115"/>
    </row>
    <row r="2690" spans="1:6" x14ac:dyDescent="0.2">
      <c r="A2690" s="115"/>
      <c r="B2690" s="79"/>
      <c r="C2690" s="115"/>
      <c r="D2690" s="115"/>
      <c r="E2690" s="115"/>
      <c r="F2690" s="115"/>
    </row>
    <row r="2691" spans="1:6" x14ac:dyDescent="0.2">
      <c r="A2691" s="115"/>
      <c r="B2691" s="79"/>
      <c r="C2691" s="115"/>
      <c r="D2691" s="115"/>
      <c r="E2691" s="115"/>
      <c r="F2691" s="115"/>
    </row>
    <row r="2692" spans="1:6" x14ac:dyDescent="0.2">
      <c r="A2692" s="115"/>
      <c r="B2692" s="79"/>
      <c r="C2692" s="115"/>
      <c r="D2692" s="115"/>
      <c r="E2692" s="115"/>
      <c r="F2692" s="115"/>
    </row>
    <row r="2693" spans="1:6" x14ac:dyDescent="0.2">
      <c r="A2693" s="115"/>
      <c r="B2693" s="79"/>
      <c r="C2693" s="115"/>
      <c r="D2693" s="115"/>
      <c r="E2693" s="115"/>
      <c r="F2693" s="115"/>
    </row>
    <row r="2694" spans="1:6" x14ac:dyDescent="0.2">
      <c r="A2694" s="115"/>
      <c r="B2694" s="79"/>
      <c r="C2694" s="115"/>
      <c r="D2694" s="115"/>
      <c r="E2694" s="115"/>
      <c r="F2694" s="115"/>
    </row>
    <row r="2695" spans="1:6" x14ac:dyDescent="0.2">
      <c r="A2695" s="115"/>
      <c r="B2695" s="79"/>
      <c r="C2695" s="115"/>
      <c r="D2695" s="115"/>
      <c r="E2695" s="115"/>
      <c r="F2695" s="115"/>
    </row>
    <row r="2696" spans="1:6" x14ac:dyDescent="0.2">
      <c r="A2696" s="115"/>
      <c r="B2696" s="79"/>
      <c r="C2696" s="115"/>
      <c r="D2696" s="115"/>
      <c r="E2696" s="115"/>
      <c r="F2696" s="115"/>
    </row>
    <row r="2697" spans="1:6" x14ac:dyDescent="0.2">
      <c r="A2697" s="115"/>
      <c r="B2697" s="79"/>
      <c r="C2697" s="115"/>
      <c r="D2697" s="115"/>
      <c r="E2697" s="115"/>
      <c r="F2697" s="115"/>
    </row>
    <row r="2698" spans="1:6" x14ac:dyDescent="0.2">
      <c r="A2698" s="115"/>
      <c r="B2698" s="79"/>
      <c r="C2698" s="115"/>
      <c r="D2698" s="115"/>
      <c r="E2698" s="115"/>
      <c r="F2698" s="115"/>
    </row>
    <row r="2699" spans="1:6" x14ac:dyDescent="0.2">
      <c r="A2699" s="115"/>
      <c r="B2699" s="79"/>
      <c r="C2699" s="115"/>
      <c r="D2699" s="115"/>
      <c r="E2699" s="115"/>
      <c r="F2699" s="115"/>
    </row>
    <row r="2700" spans="1:6" x14ac:dyDescent="0.2">
      <c r="A2700" s="115"/>
      <c r="B2700" s="79"/>
      <c r="C2700" s="115"/>
      <c r="D2700" s="115"/>
      <c r="E2700" s="115"/>
      <c r="F2700" s="115"/>
    </row>
    <row r="2701" spans="1:6" x14ac:dyDescent="0.2">
      <c r="A2701" s="115"/>
      <c r="B2701" s="79"/>
      <c r="C2701" s="115"/>
      <c r="D2701" s="115"/>
      <c r="E2701" s="115"/>
      <c r="F2701" s="115"/>
    </row>
    <row r="2702" spans="1:6" x14ac:dyDescent="0.2">
      <c r="A2702" s="115"/>
      <c r="B2702" s="79"/>
      <c r="C2702" s="115"/>
      <c r="D2702" s="115"/>
      <c r="E2702" s="115"/>
      <c r="F2702" s="115"/>
    </row>
    <row r="2703" spans="1:6" x14ac:dyDescent="0.2">
      <c r="A2703" s="115"/>
      <c r="B2703" s="79"/>
      <c r="C2703" s="115"/>
      <c r="D2703" s="115"/>
      <c r="E2703" s="115"/>
      <c r="F2703" s="115"/>
    </row>
    <row r="2704" spans="1:6" x14ac:dyDescent="0.2">
      <c r="A2704" s="115"/>
      <c r="B2704" s="79"/>
      <c r="C2704" s="115"/>
      <c r="D2704" s="115"/>
      <c r="E2704" s="115"/>
      <c r="F2704" s="115"/>
    </row>
    <row r="2705" spans="1:6" x14ac:dyDescent="0.2">
      <c r="A2705" s="115"/>
      <c r="B2705" s="79"/>
      <c r="C2705" s="115"/>
      <c r="D2705" s="115"/>
      <c r="E2705" s="115"/>
      <c r="F2705" s="115"/>
    </row>
    <row r="2706" spans="1:6" x14ac:dyDescent="0.2">
      <c r="A2706" s="115"/>
      <c r="B2706" s="79"/>
      <c r="C2706" s="115"/>
      <c r="D2706" s="115"/>
      <c r="E2706" s="115"/>
      <c r="F2706" s="115"/>
    </row>
    <row r="2707" spans="1:6" x14ac:dyDescent="0.2">
      <c r="A2707" s="115"/>
      <c r="B2707" s="79"/>
      <c r="C2707" s="115"/>
      <c r="D2707" s="115"/>
      <c r="E2707" s="115"/>
      <c r="F2707" s="115"/>
    </row>
    <row r="2708" spans="1:6" x14ac:dyDescent="0.2">
      <c r="A2708" s="115"/>
      <c r="B2708" s="79"/>
      <c r="C2708" s="115"/>
      <c r="D2708" s="115"/>
      <c r="E2708" s="115"/>
      <c r="F2708" s="115"/>
    </row>
    <row r="2709" spans="1:6" x14ac:dyDescent="0.2">
      <c r="A2709" s="115"/>
      <c r="B2709" s="79"/>
      <c r="C2709" s="115"/>
      <c r="D2709" s="115"/>
      <c r="E2709" s="115"/>
      <c r="F2709" s="115"/>
    </row>
    <row r="2710" spans="1:6" x14ac:dyDescent="0.2">
      <c r="A2710" s="115"/>
      <c r="B2710" s="79"/>
      <c r="C2710" s="115"/>
      <c r="D2710" s="115"/>
      <c r="E2710" s="115"/>
      <c r="F2710" s="115"/>
    </row>
    <row r="2711" spans="1:6" x14ac:dyDescent="0.2">
      <c r="A2711" s="115"/>
      <c r="B2711" s="79"/>
      <c r="C2711" s="115"/>
      <c r="D2711" s="115"/>
      <c r="E2711" s="115"/>
      <c r="F2711" s="115"/>
    </row>
    <row r="2712" spans="1:6" x14ac:dyDescent="0.2">
      <c r="A2712" s="115"/>
      <c r="B2712" s="79"/>
      <c r="C2712" s="115"/>
      <c r="D2712" s="115"/>
      <c r="E2712" s="115"/>
      <c r="F2712" s="115"/>
    </row>
    <row r="2713" spans="1:6" x14ac:dyDescent="0.2">
      <c r="A2713" s="115"/>
      <c r="B2713" s="79"/>
      <c r="C2713" s="115"/>
      <c r="D2713" s="115"/>
      <c r="E2713" s="115"/>
      <c r="F2713" s="115"/>
    </row>
    <row r="2714" spans="1:6" x14ac:dyDescent="0.2">
      <c r="A2714" s="115"/>
      <c r="B2714" s="79"/>
      <c r="C2714" s="115"/>
      <c r="D2714" s="115"/>
      <c r="E2714" s="115"/>
      <c r="F2714" s="115"/>
    </row>
    <row r="2715" spans="1:6" x14ac:dyDescent="0.2">
      <c r="A2715" s="115"/>
      <c r="B2715" s="79"/>
      <c r="C2715" s="115"/>
      <c r="D2715" s="115"/>
      <c r="E2715" s="115"/>
      <c r="F2715" s="115"/>
    </row>
    <row r="2716" spans="1:6" x14ac:dyDescent="0.2">
      <c r="A2716" s="115"/>
      <c r="B2716" s="79"/>
      <c r="C2716" s="115"/>
      <c r="D2716" s="115"/>
      <c r="E2716" s="115"/>
      <c r="F2716" s="115"/>
    </row>
    <row r="2717" spans="1:6" x14ac:dyDescent="0.2">
      <c r="A2717" s="115"/>
      <c r="B2717" s="79"/>
      <c r="C2717" s="115"/>
      <c r="D2717" s="115"/>
      <c r="E2717" s="115"/>
      <c r="F2717" s="115"/>
    </row>
    <row r="2718" spans="1:6" x14ac:dyDescent="0.2">
      <c r="A2718" s="115"/>
      <c r="B2718" s="79"/>
      <c r="C2718" s="115"/>
      <c r="D2718" s="115"/>
      <c r="E2718" s="115"/>
      <c r="F2718" s="115"/>
    </row>
    <row r="2719" spans="1:6" x14ac:dyDescent="0.2">
      <c r="A2719" s="115"/>
      <c r="B2719" s="79"/>
      <c r="C2719" s="115"/>
      <c r="D2719" s="115"/>
      <c r="E2719" s="115"/>
      <c r="F2719" s="115"/>
    </row>
    <row r="2720" spans="1:6" x14ac:dyDescent="0.2">
      <c r="A2720" s="115"/>
      <c r="B2720" s="79"/>
      <c r="C2720" s="115"/>
      <c r="D2720" s="115"/>
      <c r="E2720" s="115"/>
      <c r="F2720" s="115"/>
    </row>
    <row r="2721" spans="1:6" x14ac:dyDescent="0.2">
      <c r="A2721" s="115"/>
      <c r="B2721" s="79"/>
      <c r="C2721" s="115"/>
      <c r="D2721" s="115"/>
      <c r="E2721" s="115"/>
      <c r="F2721" s="115"/>
    </row>
    <row r="2722" spans="1:6" x14ac:dyDescent="0.2">
      <c r="A2722" s="115"/>
      <c r="B2722" s="79"/>
      <c r="C2722" s="115"/>
      <c r="D2722" s="115"/>
      <c r="E2722" s="115"/>
      <c r="F2722" s="115"/>
    </row>
    <row r="2723" spans="1:6" x14ac:dyDescent="0.2">
      <c r="A2723" s="115"/>
      <c r="B2723" s="79"/>
      <c r="C2723" s="115"/>
      <c r="D2723" s="115"/>
      <c r="E2723" s="115"/>
      <c r="F2723" s="115"/>
    </row>
    <row r="2724" spans="1:6" x14ac:dyDescent="0.2">
      <c r="A2724" s="115"/>
      <c r="B2724" s="79"/>
      <c r="C2724" s="115"/>
      <c r="D2724" s="115"/>
      <c r="E2724" s="115"/>
      <c r="F2724" s="115"/>
    </row>
    <row r="2725" spans="1:6" x14ac:dyDescent="0.2">
      <c r="A2725" s="115"/>
      <c r="B2725" s="79"/>
      <c r="C2725" s="115"/>
      <c r="D2725" s="115"/>
      <c r="E2725" s="115"/>
      <c r="F2725" s="115"/>
    </row>
    <row r="2726" spans="1:6" x14ac:dyDescent="0.2">
      <c r="A2726" s="115"/>
      <c r="B2726" s="79"/>
      <c r="C2726" s="115"/>
      <c r="D2726" s="115"/>
      <c r="E2726" s="115"/>
      <c r="F2726" s="115"/>
    </row>
    <row r="2727" spans="1:6" x14ac:dyDescent="0.2">
      <c r="A2727" s="115"/>
      <c r="B2727" s="79"/>
      <c r="C2727" s="115"/>
      <c r="D2727" s="115"/>
      <c r="E2727" s="115"/>
      <c r="F2727" s="115"/>
    </row>
    <row r="2728" spans="1:6" x14ac:dyDescent="0.2">
      <c r="A2728" s="115"/>
      <c r="B2728" s="79"/>
      <c r="C2728" s="115"/>
      <c r="D2728" s="115"/>
      <c r="E2728" s="115"/>
      <c r="F2728" s="115"/>
    </row>
    <row r="2729" spans="1:6" x14ac:dyDescent="0.2">
      <c r="A2729" s="115"/>
      <c r="B2729" s="79"/>
      <c r="C2729" s="115"/>
      <c r="D2729" s="115"/>
      <c r="E2729" s="115"/>
      <c r="F2729" s="115"/>
    </row>
    <row r="2730" spans="1:6" x14ac:dyDescent="0.2">
      <c r="A2730" s="115"/>
      <c r="B2730" s="79"/>
      <c r="C2730" s="115"/>
      <c r="D2730" s="115"/>
      <c r="E2730" s="115"/>
      <c r="F2730" s="115"/>
    </row>
    <row r="2731" spans="1:6" x14ac:dyDescent="0.2">
      <c r="A2731" s="115"/>
      <c r="B2731" s="79"/>
      <c r="C2731" s="115"/>
      <c r="D2731" s="115"/>
      <c r="E2731" s="115"/>
      <c r="F2731" s="115"/>
    </row>
    <row r="2732" spans="1:6" x14ac:dyDescent="0.2">
      <c r="A2732" s="115"/>
      <c r="B2732" s="79"/>
      <c r="C2732" s="115"/>
      <c r="D2732" s="115"/>
      <c r="E2732" s="115"/>
      <c r="F2732" s="115"/>
    </row>
    <row r="2733" spans="1:6" x14ac:dyDescent="0.2">
      <c r="A2733" s="115"/>
      <c r="B2733" s="79"/>
      <c r="C2733" s="115"/>
      <c r="D2733" s="115"/>
      <c r="E2733" s="115"/>
      <c r="F2733" s="115"/>
    </row>
    <row r="2734" spans="1:6" x14ac:dyDescent="0.2">
      <c r="A2734" s="115"/>
      <c r="B2734" s="79"/>
      <c r="C2734" s="115"/>
      <c r="D2734" s="115"/>
      <c r="E2734" s="115"/>
      <c r="F2734" s="115"/>
    </row>
    <row r="2735" spans="1:6" x14ac:dyDescent="0.2">
      <c r="A2735" s="115"/>
      <c r="B2735" s="79"/>
      <c r="C2735" s="115"/>
      <c r="D2735" s="115"/>
      <c r="E2735" s="115"/>
      <c r="F2735" s="115"/>
    </row>
    <row r="2736" spans="1:6" x14ac:dyDescent="0.2">
      <c r="A2736" s="115"/>
      <c r="B2736" s="79"/>
      <c r="C2736" s="115"/>
      <c r="D2736" s="115"/>
      <c r="E2736" s="115"/>
      <c r="F2736" s="115"/>
    </row>
    <row r="2737" spans="1:6" x14ac:dyDescent="0.2">
      <c r="A2737" s="115"/>
      <c r="B2737" s="79"/>
      <c r="C2737" s="115"/>
      <c r="D2737" s="115"/>
      <c r="E2737" s="115"/>
      <c r="F2737" s="115"/>
    </row>
    <row r="2738" spans="1:6" x14ac:dyDescent="0.2">
      <c r="A2738" s="115"/>
      <c r="B2738" s="79"/>
      <c r="C2738" s="115"/>
      <c r="D2738" s="115"/>
      <c r="E2738" s="115"/>
      <c r="F2738" s="115"/>
    </row>
    <row r="2739" spans="1:6" x14ac:dyDescent="0.2">
      <c r="A2739" s="115"/>
      <c r="B2739" s="79"/>
      <c r="C2739" s="115"/>
      <c r="D2739" s="115"/>
      <c r="E2739" s="115"/>
      <c r="F2739" s="115"/>
    </row>
    <row r="2740" spans="1:6" x14ac:dyDescent="0.2">
      <c r="A2740" s="115"/>
      <c r="B2740" s="79"/>
      <c r="C2740" s="115"/>
      <c r="D2740" s="115"/>
      <c r="E2740" s="115"/>
      <c r="F2740" s="115"/>
    </row>
    <row r="2741" spans="1:6" x14ac:dyDescent="0.2">
      <c r="A2741" s="115"/>
      <c r="B2741" s="79"/>
      <c r="C2741" s="115"/>
      <c r="D2741" s="115"/>
      <c r="E2741" s="115"/>
      <c r="F2741" s="115"/>
    </row>
    <row r="2742" spans="1:6" x14ac:dyDescent="0.2">
      <c r="A2742" s="115"/>
      <c r="B2742" s="79"/>
      <c r="C2742" s="115"/>
      <c r="D2742" s="115"/>
      <c r="E2742" s="115"/>
      <c r="F2742" s="115"/>
    </row>
    <row r="2743" spans="1:6" x14ac:dyDescent="0.2">
      <c r="A2743" s="115"/>
      <c r="B2743" s="79"/>
      <c r="C2743" s="115"/>
      <c r="D2743" s="115"/>
      <c r="E2743" s="115"/>
      <c r="F2743" s="115"/>
    </row>
    <row r="2744" spans="1:6" x14ac:dyDescent="0.2">
      <c r="A2744" s="115"/>
      <c r="B2744" s="79"/>
      <c r="C2744" s="115"/>
      <c r="D2744" s="115"/>
      <c r="E2744" s="115"/>
      <c r="F2744" s="115"/>
    </row>
    <row r="2745" spans="1:6" x14ac:dyDescent="0.2">
      <c r="A2745" s="115"/>
      <c r="B2745" s="79"/>
      <c r="C2745" s="115"/>
      <c r="D2745" s="115"/>
      <c r="E2745" s="115"/>
      <c r="F2745" s="115"/>
    </row>
    <row r="2746" spans="1:6" x14ac:dyDescent="0.2">
      <c r="A2746" s="115"/>
      <c r="B2746" s="79"/>
      <c r="C2746" s="115"/>
      <c r="D2746" s="115"/>
      <c r="E2746" s="115"/>
      <c r="F2746" s="115"/>
    </row>
    <row r="2747" spans="1:6" x14ac:dyDescent="0.2">
      <c r="A2747" s="115"/>
      <c r="B2747" s="79"/>
      <c r="C2747" s="115"/>
      <c r="D2747" s="115"/>
      <c r="E2747" s="115"/>
      <c r="F2747" s="115"/>
    </row>
    <row r="2748" spans="1:6" x14ac:dyDescent="0.2">
      <c r="A2748" s="115"/>
      <c r="B2748" s="79"/>
      <c r="C2748" s="115"/>
      <c r="D2748" s="115"/>
      <c r="E2748" s="115"/>
      <c r="F2748" s="115"/>
    </row>
    <row r="2749" spans="1:6" x14ac:dyDescent="0.2">
      <c r="A2749" s="115"/>
      <c r="B2749" s="79"/>
      <c r="C2749" s="115"/>
      <c r="D2749" s="115"/>
      <c r="E2749" s="115"/>
      <c r="F2749" s="115"/>
    </row>
    <row r="2750" spans="1:6" x14ac:dyDescent="0.2">
      <c r="A2750" s="115"/>
      <c r="B2750" s="79"/>
      <c r="C2750" s="115"/>
      <c r="D2750" s="115"/>
      <c r="E2750" s="115"/>
      <c r="F2750" s="115"/>
    </row>
    <row r="2751" spans="1:6" x14ac:dyDescent="0.2">
      <c r="A2751" s="115"/>
      <c r="B2751" s="79"/>
      <c r="C2751" s="115"/>
      <c r="D2751" s="115"/>
      <c r="E2751" s="115"/>
      <c r="F2751" s="115"/>
    </row>
    <row r="2752" spans="1:6" x14ac:dyDescent="0.2">
      <c r="A2752" s="115"/>
      <c r="B2752" s="79"/>
      <c r="C2752" s="115"/>
      <c r="D2752" s="115"/>
      <c r="E2752" s="115"/>
      <c r="F2752" s="115"/>
    </row>
    <row r="2753" spans="1:6" x14ac:dyDescent="0.2">
      <c r="A2753" s="115"/>
      <c r="B2753" s="79"/>
      <c r="C2753" s="115"/>
      <c r="D2753" s="115"/>
      <c r="E2753" s="115"/>
      <c r="F2753" s="115"/>
    </row>
    <row r="2754" spans="1:6" x14ac:dyDescent="0.2">
      <c r="A2754" s="115"/>
      <c r="B2754" s="79"/>
      <c r="C2754" s="115"/>
      <c r="D2754" s="115"/>
      <c r="E2754" s="115"/>
      <c r="F2754" s="115"/>
    </row>
    <row r="2755" spans="1:6" x14ac:dyDescent="0.2">
      <c r="A2755" s="115"/>
      <c r="B2755" s="79"/>
      <c r="C2755" s="115"/>
      <c r="D2755" s="115"/>
      <c r="E2755" s="115"/>
      <c r="F2755" s="115"/>
    </row>
    <row r="2756" spans="1:6" x14ac:dyDescent="0.2">
      <c r="A2756" s="115"/>
      <c r="B2756" s="79"/>
      <c r="C2756" s="115"/>
      <c r="D2756" s="115"/>
      <c r="E2756" s="115"/>
      <c r="F2756" s="115"/>
    </row>
    <row r="2757" spans="1:6" x14ac:dyDescent="0.2">
      <c r="A2757" s="115"/>
      <c r="B2757" s="79"/>
      <c r="C2757" s="115"/>
      <c r="D2757" s="115"/>
      <c r="E2757" s="115"/>
      <c r="F2757" s="115"/>
    </row>
    <row r="2758" spans="1:6" x14ac:dyDescent="0.2">
      <c r="A2758" s="115"/>
      <c r="B2758" s="79"/>
      <c r="C2758" s="115"/>
      <c r="D2758" s="115"/>
      <c r="E2758" s="115"/>
      <c r="F2758" s="115"/>
    </row>
    <row r="2759" spans="1:6" x14ac:dyDescent="0.2">
      <c r="A2759" s="115"/>
      <c r="B2759" s="79"/>
      <c r="C2759" s="115"/>
      <c r="D2759" s="115"/>
      <c r="E2759" s="115"/>
      <c r="F2759" s="115"/>
    </row>
    <row r="2760" spans="1:6" x14ac:dyDescent="0.2">
      <c r="A2760" s="115"/>
      <c r="B2760" s="79"/>
      <c r="C2760" s="115"/>
      <c r="D2760" s="115"/>
      <c r="E2760" s="115"/>
      <c r="F2760" s="115"/>
    </row>
    <row r="2761" spans="1:6" x14ac:dyDescent="0.2">
      <c r="A2761" s="115"/>
      <c r="B2761" s="79"/>
      <c r="C2761" s="115"/>
      <c r="D2761" s="115"/>
      <c r="E2761" s="115"/>
      <c r="F2761" s="115"/>
    </row>
    <row r="2762" spans="1:6" x14ac:dyDescent="0.2">
      <c r="A2762" s="115"/>
      <c r="B2762" s="79"/>
      <c r="C2762" s="115"/>
      <c r="D2762" s="115"/>
      <c r="E2762" s="115"/>
      <c r="F2762" s="115"/>
    </row>
    <row r="2763" spans="1:6" x14ac:dyDescent="0.2">
      <c r="A2763" s="115"/>
      <c r="B2763" s="79"/>
      <c r="C2763" s="115"/>
      <c r="D2763" s="115"/>
      <c r="E2763" s="115"/>
      <c r="F2763" s="115"/>
    </row>
    <row r="2764" spans="1:6" x14ac:dyDescent="0.2">
      <c r="A2764" s="115"/>
      <c r="B2764" s="79"/>
      <c r="C2764" s="115"/>
      <c r="D2764" s="115"/>
      <c r="E2764" s="115"/>
      <c r="F2764" s="115"/>
    </row>
    <row r="2765" spans="1:6" x14ac:dyDescent="0.2">
      <c r="A2765" s="115"/>
      <c r="B2765" s="79"/>
      <c r="C2765" s="115"/>
      <c r="D2765" s="115"/>
      <c r="E2765" s="115"/>
      <c r="F2765" s="115"/>
    </row>
    <row r="2766" spans="1:6" x14ac:dyDescent="0.2">
      <c r="A2766" s="115"/>
      <c r="B2766" s="79"/>
      <c r="C2766" s="115"/>
      <c r="D2766" s="115"/>
      <c r="E2766" s="115"/>
      <c r="F2766" s="115"/>
    </row>
    <row r="2767" spans="1:6" x14ac:dyDescent="0.2">
      <c r="A2767" s="115"/>
      <c r="B2767" s="79"/>
      <c r="C2767" s="115"/>
      <c r="D2767" s="115"/>
      <c r="E2767" s="115"/>
      <c r="F2767" s="115"/>
    </row>
    <row r="2768" spans="1:6" x14ac:dyDescent="0.2">
      <c r="A2768" s="115"/>
      <c r="B2768" s="79"/>
      <c r="C2768" s="115"/>
      <c r="D2768" s="115"/>
      <c r="E2768" s="115"/>
      <c r="F2768" s="115"/>
    </row>
    <row r="2769" spans="1:6" x14ac:dyDescent="0.2">
      <c r="A2769" s="115"/>
      <c r="B2769" s="79"/>
      <c r="C2769" s="115"/>
      <c r="D2769" s="115"/>
      <c r="E2769" s="115"/>
      <c r="F2769" s="115"/>
    </row>
    <row r="2770" spans="1:6" x14ac:dyDescent="0.2">
      <c r="A2770" s="115"/>
      <c r="B2770" s="79"/>
      <c r="C2770" s="115"/>
      <c r="D2770" s="115"/>
      <c r="E2770" s="115"/>
      <c r="F2770" s="115"/>
    </row>
    <row r="2771" spans="1:6" x14ac:dyDescent="0.2">
      <c r="A2771" s="115"/>
      <c r="B2771" s="79"/>
      <c r="C2771" s="115"/>
      <c r="D2771" s="115"/>
      <c r="E2771" s="115"/>
      <c r="F2771" s="115"/>
    </row>
    <row r="2772" spans="1:6" x14ac:dyDescent="0.2">
      <c r="A2772" s="115"/>
      <c r="B2772" s="79"/>
      <c r="C2772" s="115"/>
      <c r="D2772" s="115"/>
      <c r="E2772" s="115"/>
      <c r="F2772" s="115"/>
    </row>
    <row r="2773" spans="1:6" x14ac:dyDescent="0.2">
      <c r="A2773" s="115"/>
      <c r="B2773" s="79"/>
      <c r="C2773" s="115"/>
      <c r="D2773" s="115"/>
      <c r="E2773" s="115"/>
      <c r="F2773" s="115"/>
    </row>
    <row r="2774" spans="1:6" x14ac:dyDescent="0.2">
      <c r="A2774" s="115"/>
      <c r="B2774" s="79"/>
      <c r="C2774" s="115"/>
      <c r="D2774" s="115"/>
      <c r="E2774" s="115"/>
      <c r="F2774" s="115"/>
    </row>
    <row r="2775" spans="1:6" x14ac:dyDescent="0.2">
      <c r="A2775" s="115"/>
      <c r="B2775" s="79"/>
      <c r="C2775" s="115"/>
      <c r="D2775" s="115"/>
      <c r="E2775" s="115"/>
      <c r="F2775" s="115"/>
    </row>
    <row r="2776" spans="1:6" x14ac:dyDescent="0.2">
      <c r="A2776" s="115"/>
      <c r="B2776" s="79"/>
      <c r="C2776" s="115"/>
      <c r="D2776" s="115"/>
      <c r="E2776" s="115"/>
      <c r="F2776" s="115"/>
    </row>
    <row r="2777" spans="1:6" x14ac:dyDescent="0.2">
      <c r="A2777" s="115"/>
      <c r="B2777" s="79"/>
      <c r="C2777" s="115"/>
      <c r="D2777" s="115"/>
      <c r="E2777" s="115"/>
      <c r="F2777" s="115"/>
    </row>
    <row r="2778" spans="1:6" x14ac:dyDescent="0.2">
      <c r="A2778" s="115"/>
      <c r="B2778" s="79"/>
      <c r="C2778" s="115"/>
      <c r="D2778" s="115"/>
      <c r="E2778" s="115"/>
      <c r="F2778" s="115"/>
    </row>
    <row r="2779" spans="1:6" x14ac:dyDescent="0.2">
      <c r="A2779" s="115"/>
      <c r="B2779" s="79"/>
      <c r="C2779" s="115"/>
      <c r="D2779" s="115"/>
      <c r="E2779" s="115"/>
      <c r="F2779" s="115"/>
    </row>
    <row r="2780" spans="1:6" x14ac:dyDescent="0.2">
      <c r="A2780" s="115"/>
      <c r="B2780" s="79"/>
      <c r="C2780" s="115"/>
      <c r="D2780" s="115"/>
      <c r="E2780" s="115"/>
      <c r="F2780" s="115"/>
    </row>
    <row r="2781" spans="1:6" x14ac:dyDescent="0.2">
      <c r="A2781" s="115"/>
      <c r="B2781" s="79"/>
      <c r="C2781" s="115"/>
      <c r="D2781" s="115"/>
      <c r="E2781" s="115"/>
      <c r="F2781" s="115"/>
    </row>
    <row r="2782" spans="1:6" x14ac:dyDescent="0.2">
      <c r="A2782" s="115"/>
      <c r="B2782" s="79"/>
      <c r="C2782" s="115"/>
      <c r="D2782" s="115"/>
      <c r="E2782" s="115"/>
      <c r="F2782" s="115"/>
    </row>
    <row r="2783" spans="1:6" x14ac:dyDescent="0.2">
      <c r="A2783" s="115"/>
      <c r="B2783" s="79"/>
      <c r="C2783" s="115"/>
      <c r="D2783" s="115"/>
      <c r="E2783" s="115"/>
      <c r="F2783" s="115"/>
    </row>
    <row r="2784" spans="1:6" x14ac:dyDescent="0.2">
      <c r="A2784" s="115"/>
      <c r="B2784" s="79"/>
      <c r="C2784" s="115"/>
      <c r="D2784" s="115"/>
      <c r="E2784" s="115"/>
      <c r="F2784" s="115"/>
    </row>
    <row r="2785" spans="1:6" x14ac:dyDescent="0.2">
      <c r="A2785" s="115"/>
      <c r="B2785" s="79"/>
      <c r="C2785" s="115"/>
      <c r="D2785" s="115"/>
      <c r="E2785" s="115"/>
      <c r="F2785" s="115"/>
    </row>
    <row r="2786" spans="1:6" x14ac:dyDescent="0.2">
      <c r="A2786" s="115"/>
      <c r="B2786" s="79"/>
      <c r="C2786" s="115"/>
      <c r="D2786" s="115"/>
      <c r="E2786" s="115"/>
      <c r="F2786" s="115"/>
    </row>
    <row r="2787" spans="1:6" x14ac:dyDescent="0.2">
      <c r="A2787" s="115"/>
      <c r="B2787" s="79"/>
      <c r="C2787" s="115"/>
      <c r="D2787" s="115"/>
      <c r="E2787" s="115"/>
      <c r="F2787" s="115"/>
    </row>
    <row r="2788" spans="1:6" x14ac:dyDescent="0.2">
      <c r="A2788" s="115"/>
      <c r="B2788" s="79"/>
      <c r="C2788" s="115"/>
      <c r="D2788" s="115"/>
      <c r="E2788" s="115"/>
      <c r="F2788" s="115"/>
    </row>
    <row r="2789" spans="1:6" x14ac:dyDescent="0.2">
      <c r="A2789" s="115"/>
      <c r="B2789" s="79"/>
      <c r="C2789" s="115"/>
      <c r="D2789" s="115"/>
      <c r="E2789" s="115"/>
      <c r="F2789" s="115"/>
    </row>
    <row r="2790" spans="1:6" x14ac:dyDescent="0.2">
      <c r="A2790" s="115"/>
      <c r="B2790" s="79"/>
      <c r="C2790" s="115"/>
      <c r="D2790" s="115"/>
      <c r="E2790" s="115"/>
      <c r="F2790" s="115"/>
    </row>
    <row r="2791" spans="1:6" x14ac:dyDescent="0.2">
      <c r="A2791" s="115"/>
      <c r="B2791" s="79"/>
      <c r="C2791" s="115"/>
      <c r="D2791" s="115"/>
      <c r="E2791" s="115"/>
      <c r="F2791" s="115"/>
    </row>
    <row r="2792" spans="1:6" x14ac:dyDescent="0.2">
      <c r="A2792" s="115"/>
      <c r="B2792" s="79"/>
      <c r="C2792" s="115"/>
      <c r="D2792" s="115"/>
      <c r="E2792" s="115"/>
      <c r="F2792" s="115"/>
    </row>
    <row r="2793" spans="1:6" x14ac:dyDescent="0.2">
      <c r="A2793" s="115"/>
      <c r="B2793" s="79"/>
      <c r="C2793" s="115"/>
      <c r="D2793" s="115"/>
      <c r="E2793" s="115"/>
      <c r="F2793" s="115"/>
    </row>
    <row r="2794" spans="1:6" x14ac:dyDescent="0.2">
      <c r="A2794" s="115"/>
      <c r="B2794" s="79"/>
      <c r="C2794" s="115"/>
      <c r="D2794" s="115"/>
      <c r="E2794" s="115"/>
      <c r="F2794" s="115"/>
    </row>
    <row r="2795" spans="1:6" x14ac:dyDescent="0.2">
      <c r="A2795" s="115"/>
      <c r="B2795" s="79"/>
      <c r="C2795" s="115"/>
      <c r="D2795" s="115"/>
      <c r="E2795" s="115"/>
      <c r="F2795" s="115"/>
    </row>
    <row r="2796" spans="1:6" x14ac:dyDescent="0.2">
      <c r="A2796" s="115"/>
      <c r="B2796" s="79"/>
      <c r="C2796" s="115"/>
      <c r="D2796" s="115"/>
      <c r="E2796" s="115"/>
      <c r="F2796" s="115"/>
    </row>
    <row r="2797" spans="1:6" x14ac:dyDescent="0.2">
      <c r="A2797" s="115"/>
      <c r="B2797" s="79"/>
      <c r="C2797" s="115"/>
      <c r="D2797" s="115"/>
      <c r="E2797" s="115"/>
      <c r="F2797" s="115"/>
    </row>
    <row r="2798" spans="1:6" x14ac:dyDescent="0.2">
      <c r="A2798" s="115"/>
      <c r="B2798" s="79"/>
      <c r="C2798" s="115"/>
      <c r="D2798" s="115"/>
      <c r="E2798" s="115"/>
      <c r="F2798" s="115"/>
    </row>
    <row r="2799" spans="1:6" x14ac:dyDescent="0.2">
      <c r="A2799" s="115"/>
      <c r="B2799" s="79"/>
      <c r="C2799" s="115"/>
      <c r="D2799" s="115"/>
      <c r="E2799" s="115"/>
      <c r="F2799" s="115"/>
    </row>
    <row r="2800" spans="1:6" x14ac:dyDescent="0.2">
      <c r="A2800" s="115"/>
      <c r="B2800" s="79"/>
      <c r="C2800" s="115"/>
      <c r="D2800" s="115"/>
      <c r="E2800" s="115"/>
      <c r="F2800" s="115"/>
    </row>
    <row r="2801" spans="1:6" x14ac:dyDescent="0.2">
      <c r="A2801" s="115"/>
      <c r="B2801" s="79"/>
      <c r="C2801" s="115"/>
      <c r="D2801" s="115"/>
      <c r="E2801" s="115"/>
      <c r="F2801" s="115"/>
    </row>
    <row r="2802" spans="1:6" x14ac:dyDescent="0.2">
      <c r="A2802" s="115"/>
      <c r="B2802" s="79"/>
      <c r="C2802" s="115"/>
      <c r="D2802" s="115"/>
      <c r="E2802" s="115"/>
      <c r="F2802" s="115"/>
    </row>
    <row r="2803" spans="1:6" x14ac:dyDescent="0.2">
      <c r="A2803" s="115"/>
      <c r="B2803" s="79"/>
      <c r="C2803" s="115"/>
      <c r="D2803" s="115"/>
      <c r="E2803" s="115"/>
      <c r="F2803" s="115"/>
    </row>
    <row r="2804" spans="1:6" x14ac:dyDescent="0.2">
      <c r="A2804" s="115"/>
      <c r="B2804" s="79"/>
      <c r="C2804" s="115"/>
      <c r="D2804" s="115"/>
      <c r="E2804" s="115"/>
      <c r="F2804" s="115"/>
    </row>
    <row r="2805" spans="1:6" x14ac:dyDescent="0.2">
      <c r="A2805" s="115"/>
      <c r="B2805" s="79"/>
      <c r="C2805" s="115"/>
      <c r="D2805" s="115"/>
      <c r="E2805" s="115"/>
      <c r="F2805" s="115"/>
    </row>
    <row r="2806" spans="1:6" x14ac:dyDescent="0.2">
      <c r="A2806" s="115"/>
      <c r="B2806" s="79"/>
      <c r="C2806" s="115"/>
      <c r="D2806" s="115"/>
      <c r="E2806" s="115"/>
      <c r="F2806" s="115"/>
    </row>
    <row r="2807" spans="1:6" x14ac:dyDescent="0.2">
      <c r="A2807" s="115"/>
      <c r="B2807" s="79"/>
      <c r="C2807" s="115"/>
      <c r="D2807" s="115"/>
      <c r="E2807" s="115"/>
      <c r="F2807" s="115"/>
    </row>
    <row r="2808" spans="1:6" x14ac:dyDescent="0.2">
      <c r="A2808" s="115"/>
      <c r="B2808" s="79"/>
      <c r="C2808" s="115"/>
      <c r="D2808" s="115"/>
      <c r="E2808" s="115"/>
      <c r="F2808" s="115"/>
    </row>
    <row r="2809" spans="1:6" x14ac:dyDescent="0.2">
      <c r="A2809" s="115"/>
      <c r="B2809" s="79"/>
      <c r="C2809" s="115"/>
      <c r="D2809" s="115"/>
      <c r="E2809" s="115"/>
      <c r="F2809" s="115"/>
    </row>
    <row r="2810" spans="1:6" x14ac:dyDescent="0.2">
      <c r="A2810" s="115"/>
      <c r="B2810" s="79"/>
      <c r="C2810" s="115"/>
      <c r="D2810" s="115"/>
      <c r="E2810" s="115"/>
      <c r="F2810" s="115"/>
    </row>
    <row r="2811" spans="1:6" x14ac:dyDescent="0.2">
      <c r="A2811" s="115"/>
      <c r="B2811" s="79"/>
      <c r="C2811" s="115"/>
      <c r="D2811" s="115"/>
      <c r="E2811" s="115"/>
      <c r="F2811" s="115"/>
    </row>
    <row r="2812" spans="1:6" x14ac:dyDescent="0.2">
      <c r="A2812" s="115"/>
      <c r="B2812" s="79"/>
      <c r="C2812" s="115"/>
      <c r="D2812" s="115"/>
      <c r="E2812" s="115"/>
      <c r="F2812" s="115"/>
    </row>
    <row r="2813" spans="1:6" x14ac:dyDescent="0.2">
      <c r="A2813" s="115"/>
      <c r="B2813" s="79"/>
      <c r="C2813" s="115"/>
      <c r="D2813" s="115"/>
      <c r="E2813" s="115"/>
      <c r="F2813" s="115"/>
    </row>
    <row r="2814" spans="1:6" x14ac:dyDescent="0.2">
      <c r="A2814" s="115"/>
      <c r="B2814" s="79"/>
      <c r="C2814" s="115"/>
      <c r="D2814" s="115"/>
      <c r="E2814" s="115"/>
      <c r="F2814" s="115"/>
    </row>
    <row r="2815" spans="1:6" x14ac:dyDescent="0.2">
      <c r="A2815" s="115"/>
      <c r="B2815" s="79"/>
      <c r="C2815" s="115"/>
      <c r="D2815" s="115"/>
      <c r="E2815" s="115"/>
      <c r="F2815" s="115"/>
    </row>
    <row r="2816" spans="1:6" x14ac:dyDescent="0.2">
      <c r="A2816" s="115"/>
      <c r="B2816" s="79"/>
      <c r="C2816" s="115"/>
      <c r="D2816" s="115"/>
      <c r="E2816" s="115"/>
      <c r="F2816" s="115"/>
    </row>
    <row r="2817" spans="1:6" x14ac:dyDescent="0.2">
      <c r="A2817" s="115"/>
      <c r="B2817" s="79"/>
      <c r="C2817" s="115"/>
      <c r="D2817" s="115"/>
      <c r="E2817" s="115"/>
      <c r="F2817" s="115"/>
    </row>
    <row r="2818" spans="1:6" x14ac:dyDescent="0.2">
      <c r="A2818" s="115"/>
      <c r="B2818" s="79"/>
      <c r="C2818" s="115"/>
      <c r="D2818" s="115"/>
      <c r="E2818" s="115"/>
      <c r="F2818" s="115"/>
    </row>
    <row r="2819" spans="1:6" x14ac:dyDescent="0.2">
      <c r="A2819" s="115"/>
      <c r="B2819" s="79"/>
      <c r="C2819" s="115"/>
      <c r="D2819" s="115"/>
      <c r="E2819" s="115"/>
      <c r="F2819" s="115"/>
    </row>
    <row r="2820" spans="1:6" x14ac:dyDescent="0.2">
      <c r="A2820" s="115"/>
      <c r="B2820" s="79"/>
      <c r="C2820" s="115"/>
      <c r="D2820" s="115"/>
      <c r="E2820" s="115"/>
      <c r="F2820" s="115"/>
    </row>
    <row r="2821" spans="1:6" x14ac:dyDescent="0.2">
      <c r="A2821" s="115"/>
      <c r="B2821" s="79"/>
      <c r="C2821" s="115"/>
      <c r="D2821" s="115"/>
      <c r="E2821" s="115"/>
      <c r="F2821" s="115"/>
    </row>
    <row r="2822" spans="1:6" x14ac:dyDescent="0.2">
      <c r="A2822" s="115"/>
      <c r="B2822" s="79"/>
      <c r="C2822" s="115"/>
      <c r="D2822" s="115"/>
      <c r="E2822" s="115"/>
      <c r="F2822" s="115"/>
    </row>
    <row r="2823" spans="1:6" x14ac:dyDescent="0.2">
      <c r="A2823" s="115"/>
      <c r="B2823" s="79"/>
      <c r="C2823" s="115"/>
      <c r="D2823" s="115"/>
      <c r="E2823" s="115"/>
      <c r="F2823" s="115"/>
    </row>
    <row r="2824" spans="1:6" x14ac:dyDescent="0.2">
      <c r="A2824" s="115"/>
      <c r="B2824" s="79"/>
      <c r="C2824" s="115"/>
      <c r="D2824" s="115"/>
      <c r="E2824" s="115"/>
      <c r="F2824" s="115"/>
    </row>
    <row r="2825" spans="1:6" x14ac:dyDescent="0.2">
      <c r="A2825" s="115"/>
      <c r="B2825" s="79"/>
      <c r="C2825" s="115"/>
      <c r="D2825" s="115"/>
      <c r="E2825" s="115"/>
      <c r="F2825" s="115"/>
    </row>
    <row r="2826" spans="1:6" x14ac:dyDescent="0.2">
      <c r="A2826" s="115"/>
      <c r="B2826" s="79"/>
      <c r="C2826" s="115"/>
      <c r="D2826" s="115"/>
      <c r="E2826" s="115"/>
      <c r="F2826" s="115"/>
    </row>
    <row r="2827" spans="1:6" x14ac:dyDescent="0.2">
      <c r="A2827" s="115"/>
      <c r="B2827" s="79"/>
      <c r="C2827" s="115"/>
      <c r="D2827" s="115"/>
      <c r="E2827" s="115"/>
      <c r="F2827" s="115"/>
    </row>
    <row r="2828" spans="1:6" x14ac:dyDescent="0.2">
      <c r="A2828" s="115"/>
      <c r="B2828" s="79"/>
      <c r="C2828" s="115"/>
      <c r="D2828" s="115"/>
      <c r="E2828" s="115"/>
      <c r="F2828" s="115"/>
    </row>
    <row r="2829" spans="1:6" x14ac:dyDescent="0.2">
      <c r="A2829" s="115"/>
      <c r="B2829" s="79"/>
      <c r="C2829" s="115"/>
      <c r="D2829" s="115"/>
      <c r="E2829" s="115"/>
      <c r="F2829" s="115"/>
    </row>
    <row r="2830" spans="1:6" x14ac:dyDescent="0.2">
      <c r="A2830" s="115"/>
      <c r="B2830" s="79"/>
      <c r="C2830" s="115"/>
      <c r="D2830" s="115"/>
      <c r="E2830" s="115"/>
      <c r="F2830" s="115"/>
    </row>
    <row r="2831" spans="1:6" x14ac:dyDescent="0.2">
      <c r="A2831" s="115"/>
      <c r="B2831" s="79"/>
      <c r="C2831" s="115"/>
      <c r="D2831" s="115"/>
      <c r="E2831" s="115"/>
      <c r="F2831" s="115"/>
    </row>
    <row r="2832" spans="1:6" x14ac:dyDescent="0.2">
      <c r="A2832" s="115"/>
      <c r="B2832" s="79"/>
      <c r="C2832" s="115"/>
      <c r="D2832" s="115"/>
      <c r="E2832" s="115"/>
      <c r="F2832" s="115"/>
    </row>
    <row r="2833" spans="1:6" x14ac:dyDescent="0.2">
      <c r="A2833" s="115"/>
      <c r="B2833" s="79"/>
      <c r="C2833" s="115"/>
      <c r="D2833" s="115"/>
      <c r="E2833" s="115"/>
      <c r="F2833" s="115"/>
    </row>
    <row r="2834" spans="1:6" x14ac:dyDescent="0.2">
      <c r="A2834" s="115"/>
      <c r="B2834" s="79"/>
      <c r="C2834" s="115"/>
      <c r="D2834" s="115"/>
      <c r="E2834" s="115"/>
      <c r="F2834" s="115"/>
    </row>
    <row r="2835" spans="1:6" x14ac:dyDescent="0.2">
      <c r="A2835" s="115"/>
      <c r="B2835" s="79"/>
      <c r="C2835" s="115"/>
      <c r="D2835" s="115"/>
      <c r="E2835" s="115"/>
      <c r="F2835" s="115"/>
    </row>
    <row r="2836" spans="1:6" x14ac:dyDescent="0.2">
      <c r="A2836" s="115"/>
      <c r="B2836" s="79"/>
      <c r="C2836" s="115"/>
      <c r="D2836" s="115"/>
      <c r="E2836" s="115"/>
      <c r="F2836" s="115"/>
    </row>
    <row r="2837" spans="1:6" x14ac:dyDescent="0.2">
      <c r="A2837" s="115"/>
      <c r="B2837" s="79"/>
      <c r="C2837" s="115"/>
      <c r="D2837" s="115"/>
      <c r="E2837" s="115"/>
      <c r="F2837" s="115"/>
    </row>
    <row r="2838" spans="1:6" x14ac:dyDescent="0.2">
      <c r="A2838" s="115"/>
      <c r="B2838" s="79"/>
      <c r="C2838" s="115"/>
      <c r="D2838" s="115"/>
      <c r="E2838" s="115"/>
      <c r="F2838" s="115"/>
    </row>
    <row r="2839" spans="1:6" x14ac:dyDescent="0.2">
      <c r="A2839" s="115"/>
      <c r="B2839" s="79"/>
      <c r="C2839" s="115"/>
      <c r="D2839" s="115"/>
      <c r="E2839" s="115"/>
      <c r="F2839" s="115"/>
    </row>
    <row r="2840" spans="1:6" x14ac:dyDescent="0.2">
      <c r="A2840" s="115"/>
      <c r="B2840" s="79"/>
      <c r="C2840" s="115"/>
      <c r="D2840" s="115"/>
      <c r="E2840" s="115"/>
      <c r="F2840" s="115"/>
    </row>
    <row r="2841" spans="1:6" x14ac:dyDescent="0.2">
      <c r="A2841" s="115"/>
      <c r="B2841" s="79"/>
      <c r="C2841" s="115"/>
      <c r="D2841" s="115"/>
      <c r="E2841" s="115"/>
      <c r="F2841" s="115"/>
    </row>
    <row r="2842" spans="1:6" x14ac:dyDescent="0.2">
      <c r="A2842" s="115"/>
      <c r="B2842" s="79"/>
      <c r="C2842" s="115"/>
      <c r="D2842" s="115"/>
      <c r="E2842" s="115"/>
      <c r="F2842" s="115"/>
    </row>
    <row r="2843" spans="1:6" x14ac:dyDescent="0.2">
      <c r="A2843" s="115"/>
      <c r="B2843" s="79"/>
      <c r="C2843" s="115"/>
      <c r="D2843" s="115"/>
      <c r="E2843" s="115"/>
      <c r="F2843" s="115"/>
    </row>
    <row r="2844" spans="1:6" x14ac:dyDescent="0.2">
      <c r="A2844" s="115"/>
      <c r="B2844" s="79"/>
      <c r="C2844" s="115"/>
      <c r="D2844" s="115"/>
      <c r="E2844" s="115"/>
      <c r="F2844" s="115"/>
    </row>
    <row r="2845" spans="1:6" x14ac:dyDescent="0.2">
      <c r="A2845" s="115"/>
      <c r="B2845" s="79"/>
      <c r="C2845" s="115"/>
      <c r="D2845" s="115"/>
      <c r="E2845" s="115"/>
      <c r="F2845" s="115"/>
    </row>
    <row r="2846" spans="1:6" x14ac:dyDescent="0.2">
      <c r="A2846" s="115"/>
      <c r="B2846" s="79"/>
      <c r="C2846" s="115"/>
      <c r="D2846" s="115"/>
      <c r="E2846" s="115"/>
      <c r="F2846" s="115"/>
    </row>
    <row r="2847" spans="1:6" x14ac:dyDescent="0.2">
      <c r="A2847" s="115"/>
      <c r="B2847" s="79"/>
      <c r="C2847" s="115"/>
      <c r="D2847" s="115"/>
      <c r="E2847" s="115"/>
      <c r="F2847" s="115"/>
    </row>
    <row r="2848" spans="1:6" x14ac:dyDescent="0.2">
      <c r="A2848" s="115"/>
      <c r="B2848" s="79"/>
      <c r="C2848" s="115"/>
      <c r="D2848" s="115"/>
      <c r="E2848" s="115"/>
      <c r="F2848" s="115"/>
    </row>
    <row r="2849" spans="1:6" x14ac:dyDescent="0.2">
      <c r="A2849" s="115"/>
      <c r="B2849" s="79"/>
      <c r="C2849" s="115"/>
      <c r="D2849" s="115"/>
      <c r="E2849" s="115"/>
      <c r="F2849" s="115"/>
    </row>
    <row r="2850" spans="1:6" x14ac:dyDescent="0.2">
      <c r="A2850" s="115"/>
      <c r="B2850" s="79"/>
      <c r="C2850" s="115"/>
      <c r="D2850" s="115"/>
      <c r="E2850" s="115"/>
      <c r="F2850" s="115"/>
    </row>
    <row r="2851" spans="1:6" x14ac:dyDescent="0.2">
      <c r="A2851" s="115"/>
      <c r="B2851" s="79"/>
      <c r="C2851" s="115"/>
      <c r="D2851" s="115"/>
      <c r="E2851" s="115"/>
      <c r="F2851" s="115"/>
    </row>
    <row r="2852" spans="1:6" x14ac:dyDescent="0.2">
      <c r="A2852" s="115"/>
      <c r="B2852" s="79"/>
      <c r="C2852" s="115"/>
      <c r="D2852" s="115"/>
      <c r="E2852" s="115"/>
      <c r="F2852" s="115"/>
    </row>
    <row r="2853" spans="1:6" x14ac:dyDescent="0.2">
      <c r="A2853" s="115"/>
      <c r="B2853" s="79"/>
      <c r="C2853" s="115"/>
      <c r="D2853" s="115"/>
      <c r="E2853" s="115"/>
      <c r="F2853" s="115"/>
    </row>
    <row r="2854" spans="1:6" x14ac:dyDescent="0.2">
      <c r="A2854" s="115"/>
      <c r="B2854" s="79"/>
      <c r="C2854" s="115"/>
      <c r="D2854" s="115"/>
      <c r="E2854" s="115"/>
      <c r="F2854" s="115"/>
    </row>
    <row r="2855" spans="1:6" x14ac:dyDescent="0.2">
      <c r="A2855" s="115"/>
      <c r="B2855" s="79"/>
      <c r="C2855" s="115"/>
      <c r="D2855" s="115"/>
      <c r="E2855" s="115"/>
      <c r="F2855" s="115"/>
    </row>
    <row r="2856" spans="1:6" x14ac:dyDescent="0.2">
      <c r="A2856" s="115"/>
      <c r="B2856" s="79"/>
      <c r="C2856" s="115"/>
      <c r="D2856" s="115"/>
      <c r="E2856" s="115"/>
      <c r="F2856" s="115"/>
    </row>
    <row r="2857" spans="1:6" x14ac:dyDescent="0.2">
      <c r="A2857" s="115"/>
      <c r="B2857" s="79"/>
      <c r="C2857" s="115"/>
      <c r="D2857" s="115"/>
      <c r="E2857" s="115"/>
      <c r="F2857" s="115"/>
    </row>
    <row r="2858" spans="1:6" x14ac:dyDescent="0.2">
      <c r="A2858" s="115"/>
      <c r="B2858" s="79"/>
      <c r="C2858" s="115"/>
      <c r="D2858" s="115"/>
      <c r="E2858" s="115"/>
      <c r="F2858" s="115"/>
    </row>
    <row r="2859" spans="1:6" x14ac:dyDescent="0.2">
      <c r="A2859" s="115"/>
      <c r="B2859" s="79"/>
      <c r="C2859" s="115"/>
      <c r="D2859" s="115"/>
      <c r="E2859" s="115"/>
      <c r="F2859" s="115"/>
    </row>
    <row r="2860" spans="1:6" x14ac:dyDescent="0.2">
      <c r="A2860" s="115"/>
      <c r="B2860" s="79"/>
      <c r="C2860" s="115"/>
      <c r="D2860" s="115"/>
      <c r="E2860" s="115"/>
      <c r="F2860" s="115"/>
    </row>
    <row r="2861" spans="1:6" x14ac:dyDescent="0.2">
      <c r="A2861" s="115"/>
      <c r="B2861" s="79"/>
      <c r="C2861" s="115"/>
      <c r="D2861" s="115"/>
      <c r="E2861" s="115"/>
      <c r="F2861" s="115"/>
    </row>
    <row r="2862" spans="1:6" x14ac:dyDescent="0.2">
      <c r="A2862" s="115"/>
      <c r="B2862" s="79"/>
      <c r="C2862" s="115"/>
      <c r="D2862" s="115"/>
      <c r="E2862" s="115"/>
      <c r="F2862" s="115"/>
    </row>
    <row r="2863" spans="1:6" x14ac:dyDescent="0.2">
      <c r="A2863" s="115"/>
      <c r="B2863" s="79"/>
      <c r="C2863" s="115"/>
      <c r="D2863" s="115"/>
      <c r="E2863" s="115"/>
      <c r="F2863" s="115"/>
    </row>
    <row r="2864" spans="1:6" x14ac:dyDescent="0.2">
      <c r="A2864" s="115"/>
      <c r="B2864" s="79"/>
      <c r="C2864" s="115"/>
      <c r="D2864" s="115"/>
      <c r="E2864" s="115"/>
      <c r="F2864" s="115"/>
    </row>
    <row r="2865" spans="1:6" x14ac:dyDescent="0.2">
      <c r="A2865" s="115"/>
      <c r="B2865" s="79"/>
      <c r="C2865" s="115"/>
      <c r="D2865" s="115"/>
      <c r="E2865" s="115"/>
      <c r="F2865" s="115"/>
    </row>
    <row r="2866" spans="1:6" x14ac:dyDescent="0.2">
      <c r="A2866" s="115"/>
      <c r="B2866" s="79"/>
      <c r="C2866" s="115"/>
      <c r="D2866" s="115"/>
      <c r="E2866" s="115"/>
      <c r="F2866" s="115"/>
    </row>
    <row r="2867" spans="1:6" x14ac:dyDescent="0.2">
      <c r="A2867" s="115"/>
      <c r="B2867" s="79"/>
      <c r="C2867" s="115"/>
      <c r="D2867" s="115"/>
      <c r="E2867" s="115"/>
      <c r="F2867" s="115"/>
    </row>
    <row r="2868" spans="1:6" x14ac:dyDescent="0.2">
      <c r="A2868" s="115"/>
      <c r="B2868" s="79"/>
      <c r="C2868" s="115"/>
      <c r="D2868" s="115"/>
      <c r="E2868" s="115"/>
      <c r="F2868" s="115"/>
    </row>
    <row r="2869" spans="1:6" x14ac:dyDescent="0.2">
      <c r="A2869" s="115"/>
      <c r="B2869" s="79"/>
      <c r="C2869" s="115"/>
      <c r="D2869" s="115"/>
      <c r="E2869" s="115"/>
      <c r="F2869" s="115"/>
    </row>
    <row r="2870" spans="1:6" x14ac:dyDescent="0.2">
      <c r="A2870" s="115"/>
      <c r="B2870" s="79"/>
      <c r="C2870" s="115"/>
      <c r="D2870" s="115"/>
      <c r="E2870" s="115"/>
      <c r="F2870" s="115"/>
    </row>
    <row r="2871" spans="1:6" x14ac:dyDescent="0.2">
      <c r="A2871" s="115"/>
      <c r="B2871" s="79"/>
      <c r="C2871" s="115"/>
      <c r="D2871" s="115"/>
      <c r="E2871" s="115"/>
      <c r="F2871" s="115"/>
    </row>
    <row r="2872" spans="1:6" x14ac:dyDescent="0.2">
      <c r="A2872" s="115"/>
      <c r="B2872" s="79"/>
      <c r="C2872" s="115"/>
      <c r="D2872" s="115"/>
      <c r="E2872" s="115"/>
      <c r="F2872" s="115"/>
    </row>
    <row r="2873" spans="1:6" x14ac:dyDescent="0.2">
      <c r="A2873" s="115"/>
      <c r="B2873" s="79"/>
      <c r="C2873" s="115"/>
      <c r="D2873" s="115"/>
      <c r="E2873" s="115"/>
      <c r="F2873" s="115"/>
    </row>
    <row r="2874" spans="1:6" x14ac:dyDescent="0.2">
      <c r="A2874" s="115"/>
      <c r="B2874" s="79"/>
      <c r="C2874" s="115"/>
      <c r="D2874" s="115"/>
      <c r="E2874" s="115"/>
      <c r="F2874" s="115"/>
    </row>
    <row r="2875" spans="1:6" x14ac:dyDescent="0.2">
      <c r="A2875" s="115"/>
      <c r="B2875" s="79"/>
      <c r="C2875" s="115"/>
      <c r="D2875" s="115"/>
      <c r="E2875" s="115"/>
      <c r="F2875" s="115"/>
    </row>
    <row r="2876" spans="1:6" x14ac:dyDescent="0.2">
      <c r="A2876" s="115"/>
      <c r="B2876" s="79"/>
      <c r="C2876" s="115"/>
      <c r="D2876" s="115"/>
      <c r="E2876" s="115"/>
      <c r="F2876" s="115"/>
    </row>
    <row r="2877" spans="1:6" x14ac:dyDescent="0.2">
      <c r="A2877" s="115"/>
      <c r="B2877" s="79"/>
      <c r="C2877" s="115"/>
      <c r="D2877" s="115"/>
      <c r="E2877" s="115"/>
      <c r="F2877" s="115"/>
    </row>
    <row r="2878" spans="1:6" x14ac:dyDescent="0.2">
      <c r="A2878" s="115"/>
      <c r="B2878" s="79"/>
      <c r="C2878" s="115"/>
      <c r="D2878" s="115"/>
      <c r="E2878" s="115"/>
      <c r="F2878" s="115"/>
    </row>
    <row r="2879" spans="1:6" x14ac:dyDescent="0.2">
      <c r="A2879" s="115"/>
      <c r="B2879" s="79"/>
      <c r="C2879" s="115"/>
      <c r="D2879" s="115"/>
      <c r="E2879" s="115"/>
      <c r="F2879" s="115"/>
    </row>
    <row r="2880" spans="1:6" x14ac:dyDescent="0.2">
      <c r="A2880" s="115"/>
      <c r="B2880" s="79"/>
      <c r="C2880" s="115"/>
      <c r="D2880" s="115"/>
      <c r="E2880" s="115"/>
      <c r="F2880" s="115"/>
    </row>
    <row r="2881" spans="1:6" x14ac:dyDescent="0.2">
      <c r="A2881" s="115"/>
      <c r="B2881" s="79"/>
      <c r="C2881" s="115"/>
      <c r="D2881" s="115"/>
      <c r="E2881" s="115"/>
      <c r="F2881" s="115"/>
    </row>
    <row r="2882" spans="1:6" x14ac:dyDescent="0.2">
      <c r="A2882" s="115"/>
      <c r="B2882" s="79"/>
      <c r="C2882" s="115"/>
      <c r="D2882" s="115"/>
      <c r="E2882" s="115"/>
      <c r="F2882" s="115"/>
    </row>
    <row r="2883" spans="1:6" x14ac:dyDescent="0.2">
      <c r="A2883" s="115"/>
      <c r="B2883" s="79"/>
      <c r="C2883" s="115"/>
      <c r="D2883" s="115"/>
      <c r="E2883" s="115"/>
      <c r="F2883" s="115"/>
    </row>
    <row r="2884" spans="1:6" x14ac:dyDescent="0.2">
      <c r="A2884" s="115"/>
      <c r="B2884" s="79"/>
      <c r="C2884" s="115"/>
      <c r="D2884" s="115"/>
      <c r="E2884" s="115"/>
      <c r="F2884" s="115"/>
    </row>
    <row r="2885" spans="1:6" x14ac:dyDescent="0.2">
      <c r="A2885" s="115"/>
      <c r="B2885" s="79"/>
      <c r="C2885" s="115"/>
      <c r="D2885" s="115"/>
      <c r="E2885" s="115"/>
      <c r="F2885" s="115"/>
    </row>
    <row r="2886" spans="1:6" x14ac:dyDescent="0.2">
      <c r="A2886" s="115"/>
      <c r="B2886" s="79"/>
      <c r="C2886" s="115"/>
      <c r="D2886" s="115"/>
      <c r="E2886" s="115"/>
      <c r="F2886" s="115"/>
    </row>
    <row r="2887" spans="1:6" x14ac:dyDescent="0.2">
      <c r="A2887" s="115"/>
      <c r="B2887" s="79"/>
      <c r="C2887" s="115"/>
      <c r="D2887" s="115"/>
      <c r="E2887" s="115"/>
      <c r="F2887" s="115"/>
    </row>
    <row r="2888" spans="1:6" x14ac:dyDescent="0.2">
      <c r="A2888" s="115"/>
      <c r="B2888" s="79"/>
      <c r="C2888" s="115"/>
      <c r="D2888" s="115"/>
      <c r="E2888" s="115"/>
      <c r="F2888" s="115"/>
    </row>
    <row r="2889" spans="1:6" x14ac:dyDescent="0.2">
      <c r="A2889" s="115"/>
      <c r="B2889" s="79"/>
      <c r="C2889" s="115"/>
      <c r="D2889" s="115"/>
      <c r="E2889" s="115"/>
      <c r="F2889" s="115"/>
    </row>
    <row r="2890" spans="1:6" x14ac:dyDescent="0.2">
      <c r="A2890" s="115"/>
      <c r="B2890" s="79"/>
      <c r="C2890" s="115"/>
      <c r="D2890" s="115"/>
      <c r="E2890" s="115"/>
      <c r="F2890" s="115"/>
    </row>
    <row r="2891" spans="1:6" x14ac:dyDescent="0.2">
      <c r="A2891" s="115"/>
      <c r="B2891" s="79"/>
      <c r="C2891" s="115"/>
      <c r="D2891" s="115"/>
      <c r="E2891" s="115"/>
      <c r="F2891" s="115"/>
    </row>
    <row r="2892" spans="1:6" x14ac:dyDescent="0.2">
      <c r="A2892" s="115"/>
      <c r="B2892" s="79"/>
      <c r="C2892" s="115"/>
      <c r="D2892" s="115"/>
      <c r="E2892" s="115"/>
      <c r="F2892" s="115"/>
    </row>
    <row r="2893" spans="1:6" x14ac:dyDescent="0.2">
      <c r="A2893" s="115"/>
      <c r="B2893" s="79"/>
      <c r="C2893" s="115"/>
      <c r="D2893" s="115"/>
      <c r="E2893" s="115"/>
      <c r="F2893" s="115"/>
    </row>
    <row r="2894" spans="1:6" x14ac:dyDescent="0.2">
      <c r="A2894" s="115"/>
      <c r="B2894" s="79"/>
      <c r="C2894" s="115"/>
      <c r="D2894" s="115"/>
      <c r="E2894" s="115"/>
      <c r="F2894" s="115"/>
    </row>
    <row r="2895" spans="1:6" x14ac:dyDescent="0.2">
      <c r="A2895" s="115"/>
      <c r="B2895" s="79"/>
      <c r="C2895" s="115"/>
      <c r="D2895" s="115"/>
      <c r="E2895" s="115"/>
      <c r="F2895" s="115"/>
    </row>
    <row r="2896" spans="1:6" x14ac:dyDescent="0.2">
      <c r="A2896" s="115"/>
      <c r="B2896" s="79"/>
      <c r="C2896" s="115"/>
      <c r="D2896" s="115"/>
      <c r="E2896" s="115"/>
      <c r="F2896" s="115"/>
    </row>
    <row r="2897" spans="1:6" x14ac:dyDescent="0.2">
      <c r="A2897" s="115"/>
      <c r="B2897" s="79"/>
      <c r="C2897" s="115"/>
      <c r="D2897" s="115"/>
      <c r="E2897" s="115"/>
      <c r="F2897" s="115"/>
    </row>
    <row r="2898" spans="1:6" x14ac:dyDescent="0.2">
      <c r="A2898" s="115"/>
      <c r="B2898" s="79"/>
      <c r="C2898" s="115"/>
      <c r="D2898" s="115"/>
      <c r="E2898" s="115"/>
      <c r="F2898" s="115"/>
    </row>
    <row r="2899" spans="1:6" x14ac:dyDescent="0.2">
      <c r="A2899" s="115"/>
      <c r="B2899" s="79"/>
      <c r="C2899" s="115"/>
      <c r="D2899" s="115"/>
      <c r="E2899" s="115"/>
      <c r="F2899" s="115"/>
    </row>
    <row r="2900" spans="1:6" x14ac:dyDescent="0.2">
      <c r="A2900" s="115"/>
      <c r="B2900" s="79"/>
      <c r="C2900" s="115"/>
      <c r="D2900" s="115"/>
      <c r="E2900" s="115"/>
      <c r="F2900" s="115"/>
    </row>
    <row r="2901" spans="1:6" x14ac:dyDescent="0.2">
      <c r="A2901" s="115"/>
      <c r="B2901" s="79"/>
      <c r="C2901" s="115"/>
      <c r="D2901" s="115"/>
      <c r="E2901" s="115"/>
      <c r="F2901" s="115"/>
    </row>
    <row r="2902" spans="1:6" x14ac:dyDescent="0.2">
      <c r="A2902" s="115"/>
      <c r="B2902" s="79"/>
      <c r="C2902" s="115"/>
      <c r="D2902" s="115"/>
      <c r="E2902" s="115"/>
      <c r="F2902" s="115"/>
    </row>
    <row r="2903" spans="1:6" x14ac:dyDescent="0.2">
      <c r="A2903" s="115"/>
      <c r="B2903" s="79"/>
      <c r="C2903" s="115"/>
      <c r="D2903" s="115"/>
      <c r="E2903" s="115"/>
      <c r="F2903" s="115"/>
    </row>
    <row r="2904" spans="1:6" x14ac:dyDescent="0.2">
      <c r="A2904" s="115"/>
      <c r="B2904" s="79"/>
      <c r="C2904" s="115"/>
      <c r="D2904" s="115"/>
      <c r="E2904" s="115"/>
      <c r="F2904" s="115"/>
    </row>
    <row r="2905" spans="1:6" x14ac:dyDescent="0.2">
      <c r="A2905" s="115"/>
      <c r="B2905" s="79"/>
      <c r="C2905" s="115"/>
      <c r="D2905" s="115"/>
      <c r="E2905" s="115"/>
      <c r="F2905" s="115"/>
    </row>
    <row r="2906" spans="1:6" x14ac:dyDescent="0.2">
      <c r="A2906" s="115"/>
      <c r="B2906" s="79"/>
      <c r="C2906" s="115"/>
      <c r="D2906" s="115"/>
      <c r="E2906" s="115"/>
      <c r="F2906" s="115"/>
    </row>
    <row r="2907" spans="1:6" x14ac:dyDescent="0.2">
      <c r="A2907" s="115"/>
      <c r="B2907" s="79"/>
      <c r="C2907" s="115"/>
      <c r="D2907" s="115"/>
      <c r="E2907" s="115"/>
      <c r="F2907" s="115"/>
    </row>
    <row r="2908" spans="1:6" x14ac:dyDescent="0.2">
      <c r="A2908" s="115"/>
      <c r="B2908" s="79"/>
      <c r="C2908" s="115"/>
      <c r="D2908" s="115"/>
      <c r="E2908" s="115"/>
      <c r="F2908" s="115"/>
    </row>
    <row r="2909" spans="1:6" x14ac:dyDescent="0.2">
      <c r="A2909" s="115"/>
      <c r="B2909" s="79"/>
      <c r="C2909" s="115"/>
      <c r="D2909" s="115"/>
      <c r="E2909" s="115"/>
      <c r="F2909" s="115"/>
    </row>
    <row r="2910" spans="1:6" x14ac:dyDescent="0.2">
      <c r="A2910" s="115"/>
      <c r="B2910" s="79"/>
      <c r="C2910" s="115"/>
      <c r="D2910" s="115"/>
      <c r="E2910" s="115"/>
      <c r="F2910" s="115"/>
    </row>
    <row r="2911" spans="1:6" x14ac:dyDescent="0.2">
      <c r="A2911" s="115"/>
      <c r="B2911" s="79"/>
      <c r="C2911" s="115"/>
      <c r="D2911" s="115"/>
      <c r="E2911" s="115"/>
      <c r="F2911" s="115"/>
    </row>
    <row r="2912" spans="1:6" x14ac:dyDescent="0.2">
      <c r="A2912" s="115"/>
      <c r="B2912" s="79"/>
      <c r="C2912" s="115"/>
      <c r="D2912" s="115"/>
      <c r="E2912" s="115"/>
      <c r="F2912" s="115"/>
    </row>
    <row r="2913" spans="1:6" x14ac:dyDescent="0.2">
      <c r="A2913" s="115"/>
      <c r="B2913" s="79"/>
      <c r="C2913" s="115"/>
      <c r="D2913" s="115"/>
      <c r="E2913" s="115"/>
      <c r="F2913" s="115"/>
    </row>
    <row r="2914" spans="1:6" x14ac:dyDescent="0.2">
      <c r="A2914" s="115"/>
      <c r="B2914" s="79"/>
      <c r="C2914" s="115"/>
      <c r="D2914" s="115"/>
      <c r="E2914" s="115"/>
      <c r="F2914" s="115"/>
    </row>
    <row r="2915" spans="1:6" x14ac:dyDescent="0.2">
      <c r="A2915" s="115"/>
      <c r="B2915" s="79"/>
      <c r="C2915" s="115"/>
      <c r="D2915" s="115"/>
      <c r="E2915" s="115"/>
      <c r="F2915" s="115"/>
    </row>
    <row r="2916" spans="1:6" x14ac:dyDescent="0.2">
      <c r="A2916" s="115"/>
      <c r="B2916" s="79"/>
      <c r="C2916" s="115"/>
      <c r="D2916" s="115"/>
      <c r="E2916" s="115"/>
      <c r="F2916" s="115"/>
    </row>
    <row r="2917" spans="1:6" x14ac:dyDescent="0.2">
      <c r="A2917" s="115"/>
      <c r="B2917" s="79"/>
      <c r="C2917" s="115"/>
      <c r="D2917" s="115"/>
      <c r="E2917" s="115"/>
      <c r="F2917" s="115"/>
    </row>
    <row r="2918" spans="1:6" x14ac:dyDescent="0.2">
      <c r="A2918" s="115"/>
      <c r="B2918" s="79"/>
      <c r="C2918" s="115"/>
      <c r="D2918" s="115"/>
      <c r="E2918" s="115"/>
      <c r="F2918" s="115"/>
    </row>
    <row r="2919" spans="1:6" x14ac:dyDescent="0.2">
      <c r="A2919" s="115"/>
      <c r="B2919" s="79"/>
      <c r="C2919" s="115"/>
      <c r="D2919" s="115"/>
      <c r="E2919" s="115"/>
      <c r="F2919" s="115"/>
    </row>
    <row r="2920" spans="1:6" x14ac:dyDescent="0.2">
      <c r="A2920" s="115"/>
      <c r="B2920" s="79"/>
      <c r="C2920" s="115"/>
      <c r="D2920" s="115"/>
      <c r="E2920" s="115"/>
      <c r="F2920" s="115"/>
    </row>
    <row r="2921" spans="1:6" x14ac:dyDescent="0.2">
      <c r="A2921" s="115"/>
      <c r="B2921" s="79"/>
      <c r="C2921" s="115"/>
      <c r="D2921" s="115"/>
      <c r="E2921" s="115"/>
      <c r="F2921" s="115"/>
    </row>
    <row r="2922" spans="1:6" x14ac:dyDescent="0.2">
      <c r="A2922" s="115"/>
      <c r="B2922" s="79"/>
      <c r="C2922" s="115"/>
      <c r="D2922" s="115"/>
      <c r="E2922" s="115"/>
      <c r="F2922" s="115"/>
    </row>
    <row r="2923" spans="1:6" x14ac:dyDescent="0.2">
      <c r="A2923" s="115"/>
      <c r="B2923" s="79"/>
      <c r="C2923" s="115"/>
      <c r="D2923" s="115"/>
      <c r="E2923" s="115"/>
      <c r="F2923" s="115"/>
    </row>
    <row r="2924" spans="1:6" x14ac:dyDescent="0.2">
      <c r="A2924" s="115"/>
      <c r="B2924" s="79"/>
      <c r="C2924" s="115"/>
      <c r="D2924" s="115"/>
      <c r="E2924" s="115"/>
      <c r="F2924" s="115"/>
    </row>
    <row r="2925" spans="1:6" x14ac:dyDescent="0.2">
      <c r="A2925" s="115"/>
      <c r="B2925" s="79"/>
      <c r="C2925" s="115"/>
      <c r="D2925" s="115"/>
      <c r="E2925" s="115"/>
      <c r="F2925" s="115"/>
    </row>
    <row r="2926" spans="1:6" x14ac:dyDescent="0.2">
      <c r="A2926" s="115"/>
      <c r="B2926" s="79"/>
      <c r="C2926" s="115"/>
      <c r="D2926" s="115"/>
      <c r="E2926" s="115"/>
      <c r="F2926" s="115"/>
    </row>
    <row r="2927" spans="1:6" x14ac:dyDescent="0.2">
      <c r="A2927" s="115"/>
      <c r="B2927" s="79"/>
      <c r="C2927" s="115"/>
      <c r="D2927" s="115"/>
      <c r="E2927" s="115"/>
      <c r="F2927" s="115"/>
    </row>
    <row r="2928" spans="1:6" x14ac:dyDescent="0.2">
      <c r="A2928" s="115"/>
      <c r="B2928" s="79"/>
      <c r="C2928" s="115"/>
      <c r="D2928" s="115"/>
      <c r="E2928" s="115"/>
      <c r="F2928" s="115"/>
    </row>
    <row r="2929" spans="1:6" x14ac:dyDescent="0.2">
      <c r="A2929" s="115"/>
      <c r="B2929" s="79"/>
      <c r="C2929" s="115"/>
      <c r="D2929" s="115"/>
      <c r="E2929" s="115"/>
      <c r="F2929" s="115"/>
    </row>
    <row r="2930" spans="1:6" x14ac:dyDescent="0.2">
      <c r="A2930" s="115"/>
      <c r="B2930" s="79"/>
      <c r="C2930" s="115"/>
      <c r="D2930" s="115"/>
      <c r="E2930" s="115"/>
      <c r="F2930" s="115"/>
    </row>
    <row r="2931" spans="1:6" x14ac:dyDescent="0.2">
      <c r="A2931" s="115"/>
      <c r="B2931" s="79"/>
      <c r="C2931" s="115"/>
      <c r="D2931" s="115"/>
      <c r="E2931" s="115"/>
      <c r="F2931" s="115"/>
    </row>
    <row r="2932" spans="1:6" x14ac:dyDescent="0.2">
      <c r="A2932" s="115"/>
      <c r="B2932" s="79"/>
      <c r="C2932" s="115"/>
      <c r="D2932" s="115"/>
      <c r="E2932" s="115"/>
      <c r="F2932" s="115"/>
    </row>
    <row r="2933" spans="1:6" x14ac:dyDescent="0.2">
      <c r="A2933" s="115"/>
      <c r="B2933" s="79"/>
      <c r="C2933" s="115"/>
      <c r="D2933" s="115"/>
      <c r="E2933" s="115"/>
      <c r="F2933" s="115"/>
    </row>
    <row r="2934" spans="1:6" x14ac:dyDescent="0.2">
      <c r="A2934" s="115"/>
      <c r="B2934" s="79"/>
      <c r="C2934" s="115"/>
      <c r="D2934" s="115"/>
      <c r="E2934" s="115"/>
      <c r="F2934" s="115"/>
    </row>
    <row r="2935" spans="1:6" x14ac:dyDescent="0.2">
      <c r="A2935" s="115"/>
      <c r="B2935" s="79"/>
      <c r="C2935" s="115"/>
      <c r="D2935" s="115"/>
      <c r="E2935" s="115"/>
      <c r="F2935" s="115"/>
    </row>
    <row r="2936" spans="1:6" x14ac:dyDescent="0.2">
      <c r="A2936" s="115"/>
      <c r="B2936" s="79"/>
      <c r="C2936" s="115"/>
      <c r="D2936" s="115"/>
      <c r="E2936" s="115"/>
      <c r="F2936" s="115"/>
    </row>
    <row r="2937" spans="1:6" x14ac:dyDescent="0.2">
      <c r="A2937" s="115"/>
      <c r="B2937" s="79"/>
      <c r="C2937" s="115"/>
      <c r="D2937" s="115"/>
      <c r="E2937" s="115"/>
      <c r="F2937" s="115"/>
    </row>
    <row r="2938" spans="1:6" x14ac:dyDescent="0.2">
      <c r="A2938" s="115"/>
      <c r="B2938" s="79"/>
      <c r="C2938" s="115"/>
      <c r="D2938" s="115"/>
      <c r="E2938" s="115"/>
      <c r="F2938" s="115"/>
    </row>
    <row r="2939" spans="1:6" x14ac:dyDescent="0.2">
      <c r="A2939" s="115"/>
      <c r="B2939" s="79"/>
      <c r="C2939" s="115"/>
      <c r="D2939" s="115"/>
      <c r="E2939" s="115"/>
      <c r="F2939" s="115"/>
    </row>
    <row r="2940" spans="1:6" x14ac:dyDescent="0.2">
      <c r="A2940" s="115"/>
      <c r="B2940" s="79"/>
      <c r="C2940" s="115"/>
      <c r="D2940" s="115"/>
      <c r="E2940" s="115"/>
      <c r="F2940" s="115"/>
    </row>
    <row r="2941" spans="1:6" x14ac:dyDescent="0.2">
      <c r="A2941" s="115"/>
      <c r="B2941" s="79"/>
      <c r="C2941" s="115"/>
      <c r="D2941" s="115"/>
      <c r="E2941" s="115"/>
      <c r="F2941" s="115"/>
    </row>
    <row r="2942" spans="1:6" x14ac:dyDescent="0.2">
      <c r="A2942" s="115"/>
      <c r="B2942" s="79"/>
      <c r="C2942" s="115"/>
      <c r="D2942" s="115"/>
      <c r="E2942" s="115"/>
      <c r="F2942" s="115"/>
    </row>
    <row r="2943" spans="1:6" x14ac:dyDescent="0.2">
      <c r="A2943" s="115"/>
      <c r="B2943" s="79"/>
      <c r="C2943" s="115"/>
      <c r="D2943" s="115"/>
      <c r="E2943" s="115"/>
      <c r="F2943" s="115"/>
    </row>
    <row r="2944" spans="1:6" x14ac:dyDescent="0.2">
      <c r="A2944" s="115"/>
      <c r="B2944" s="79"/>
      <c r="C2944" s="115"/>
      <c r="D2944" s="115"/>
      <c r="E2944" s="115"/>
      <c r="F2944" s="115"/>
    </row>
    <row r="2945" spans="1:6" x14ac:dyDescent="0.2">
      <c r="A2945" s="115"/>
      <c r="B2945" s="79"/>
      <c r="C2945" s="115"/>
      <c r="D2945" s="115"/>
      <c r="E2945" s="115"/>
      <c r="F2945" s="115"/>
    </row>
    <row r="2946" spans="1:6" x14ac:dyDescent="0.2">
      <c r="A2946" s="115"/>
      <c r="B2946" s="79"/>
      <c r="C2946" s="115"/>
      <c r="D2946" s="115"/>
      <c r="E2946" s="115"/>
      <c r="F2946" s="115"/>
    </row>
    <row r="2947" spans="1:6" x14ac:dyDescent="0.2">
      <c r="A2947" s="115"/>
      <c r="B2947" s="79"/>
      <c r="C2947" s="115"/>
      <c r="D2947" s="115"/>
      <c r="E2947" s="115"/>
      <c r="F2947" s="115"/>
    </row>
    <row r="2948" spans="1:6" x14ac:dyDescent="0.2">
      <c r="A2948" s="115"/>
      <c r="B2948" s="79"/>
      <c r="C2948" s="115"/>
      <c r="D2948" s="115"/>
      <c r="E2948" s="115"/>
      <c r="F2948" s="115"/>
    </row>
    <row r="2949" spans="1:6" x14ac:dyDescent="0.2">
      <c r="A2949" s="115"/>
      <c r="B2949" s="79"/>
      <c r="C2949" s="115"/>
      <c r="D2949" s="115"/>
      <c r="E2949" s="115"/>
      <c r="F2949" s="115"/>
    </row>
    <row r="2950" spans="1:6" x14ac:dyDescent="0.2">
      <c r="A2950" s="115"/>
      <c r="B2950" s="79"/>
      <c r="C2950" s="115"/>
      <c r="D2950" s="115"/>
      <c r="E2950" s="115"/>
      <c r="F2950" s="115"/>
    </row>
    <row r="2951" spans="1:6" x14ac:dyDescent="0.2">
      <c r="A2951" s="115"/>
      <c r="B2951" s="79"/>
      <c r="C2951" s="115"/>
      <c r="D2951" s="115"/>
      <c r="E2951" s="115"/>
      <c r="F2951" s="115"/>
    </row>
    <row r="2952" spans="1:6" x14ac:dyDescent="0.2">
      <c r="A2952" s="115"/>
      <c r="B2952" s="79"/>
      <c r="C2952" s="115"/>
      <c r="D2952" s="115"/>
      <c r="E2952" s="115"/>
      <c r="F2952" s="115"/>
    </row>
    <row r="2953" spans="1:6" x14ac:dyDescent="0.2">
      <c r="A2953" s="115"/>
      <c r="B2953" s="79"/>
      <c r="C2953" s="115"/>
      <c r="D2953" s="115"/>
      <c r="E2953" s="115"/>
      <c r="F2953" s="115"/>
    </row>
    <row r="2954" spans="1:6" x14ac:dyDescent="0.2">
      <c r="A2954" s="115"/>
      <c r="B2954" s="79"/>
      <c r="C2954" s="115"/>
      <c r="D2954" s="115"/>
      <c r="E2954" s="115"/>
      <c r="F2954" s="115"/>
    </row>
    <row r="2955" spans="1:6" x14ac:dyDescent="0.2">
      <c r="A2955" s="115"/>
      <c r="B2955" s="79"/>
      <c r="C2955" s="115"/>
      <c r="D2955" s="115"/>
      <c r="E2955" s="115"/>
      <c r="F2955" s="115"/>
    </row>
    <row r="2956" spans="1:6" x14ac:dyDescent="0.2">
      <c r="A2956" s="115"/>
      <c r="B2956" s="79"/>
      <c r="C2956" s="115"/>
      <c r="D2956" s="115"/>
      <c r="E2956" s="115"/>
      <c r="F2956" s="115"/>
    </row>
    <row r="2957" spans="1:6" x14ac:dyDescent="0.2">
      <c r="A2957" s="115"/>
      <c r="B2957" s="79"/>
      <c r="C2957" s="115"/>
      <c r="D2957" s="115"/>
      <c r="E2957" s="115"/>
      <c r="F2957" s="115"/>
    </row>
    <row r="2958" spans="1:6" x14ac:dyDescent="0.2">
      <c r="A2958" s="115"/>
      <c r="B2958" s="79"/>
      <c r="C2958" s="115"/>
      <c r="D2958" s="115"/>
      <c r="E2958" s="115"/>
      <c r="F2958" s="115"/>
    </row>
    <row r="2959" spans="1:6" x14ac:dyDescent="0.2">
      <c r="A2959" s="115"/>
      <c r="B2959" s="79"/>
      <c r="C2959" s="115"/>
      <c r="D2959" s="115"/>
      <c r="E2959" s="115"/>
      <c r="F2959" s="115"/>
    </row>
    <row r="2960" spans="1:6" x14ac:dyDescent="0.2">
      <c r="A2960" s="115"/>
      <c r="B2960" s="79"/>
      <c r="C2960" s="115"/>
      <c r="D2960" s="115"/>
      <c r="E2960" s="115"/>
      <c r="F2960" s="115"/>
    </row>
    <row r="2961" spans="1:6" x14ac:dyDescent="0.2">
      <c r="A2961" s="115"/>
      <c r="B2961" s="79"/>
      <c r="C2961" s="115"/>
      <c r="D2961" s="115"/>
      <c r="E2961" s="115"/>
      <c r="F2961" s="115"/>
    </row>
    <row r="2962" spans="1:6" x14ac:dyDescent="0.2">
      <c r="A2962" s="115"/>
      <c r="B2962" s="79"/>
      <c r="C2962" s="115"/>
      <c r="D2962" s="115"/>
      <c r="E2962" s="115"/>
      <c r="F2962" s="115"/>
    </row>
    <row r="2963" spans="1:6" x14ac:dyDescent="0.2">
      <c r="A2963" s="115"/>
      <c r="B2963" s="79"/>
      <c r="C2963" s="115"/>
      <c r="D2963" s="115"/>
      <c r="E2963" s="115"/>
      <c r="F2963" s="115"/>
    </row>
    <row r="2964" spans="1:6" x14ac:dyDescent="0.2">
      <c r="A2964" s="115"/>
      <c r="B2964" s="79"/>
      <c r="C2964" s="115"/>
      <c r="D2964" s="115"/>
      <c r="E2964" s="115"/>
      <c r="F2964" s="115"/>
    </row>
    <row r="2965" spans="1:6" x14ac:dyDescent="0.2">
      <c r="A2965" s="115"/>
      <c r="B2965" s="79"/>
      <c r="C2965" s="115"/>
      <c r="D2965" s="115"/>
      <c r="E2965" s="115"/>
      <c r="F2965" s="115"/>
    </row>
    <row r="2966" spans="1:6" x14ac:dyDescent="0.2">
      <c r="A2966" s="115"/>
      <c r="B2966" s="79"/>
      <c r="C2966" s="115"/>
      <c r="D2966" s="115"/>
      <c r="E2966" s="115"/>
      <c r="F2966" s="115"/>
    </row>
    <row r="2967" spans="1:6" x14ac:dyDescent="0.2">
      <c r="A2967" s="115"/>
      <c r="B2967" s="79"/>
      <c r="C2967" s="115"/>
      <c r="D2967" s="115"/>
      <c r="E2967" s="115"/>
      <c r="F2967" s="115"/>
    </row>
    <row r="2968" spans="1:6" x14ac:dyDescent="0.2">
      <c r="A2968" s="115"/>
      <c r="B2968" s="79"/>
      <c r="C2968" s="115"/>
      <c r="D2968" s="115"/>
      <c r="E2968" s="115"/>
      <c r="F2968" s="115"/>
    </row>
    <row r="2969" spans="1:6" x14ac:dyDescent="0.2">
      <c r="A2969" s="115"/>
      <c r="B2969" s="79"/>
      <c r="C2969" s="115"/>
      <c r="D2969" s="115"/>
      <c r="E2969" s="115"/>
      <c r="F2969" s="115"/>
    </row>
    <row r="2970" spans="1:6" x14ac:dyDescent="0.2">
      <c r="A2970" s="115"/>
      <c r="B2970" s="79"/>
      <c r="C2970" s="115"/>
      <c r="D2970" s="115"/>
      <c r="E2970" s="115"/>
      <c r="F2970" s="115"/>
    </row>
    <row r="2971" spans="1:6" x14ac:dyDescent="0.2">
      <c r="A2971" s="115"/>
      <c r="B2971" s="79"/>
      <c r="C2971" s="115"/>
      <c r="D2971" s="115"/>
      <c r="E2971" s="115"/>
      <c r="F2971" s="115"/>
    </row>
    <row r="2972" spans="1:6" x14ac:dyDescent="0.2">
      <c r="A2972" s="115"/>
      <c r="B2972" s="79"/>
      <c r="C2972" s="115"/>
      <c r="D2972" s="115"/>
      <c r="E2972" s="115"/>
      <c r="F2972" s="115"/>
    </row>
    <row r="2973" spans="1:6" x14ac:dyDescent="0.2">
      <c r="A2973" s="115"/>
      <c r="B2973" s="79"/>
      <c r="C2973" s="115"/>
      <c r="D2973" s="115"/>
      <c r="E2973" s="115"/>
      <c r="F2973" s="115"/>
    </row>
    <row r="2974" spans="1:6" x14ac:dyDescent="0.2">
      <c r="A2974" s="115"/>
      <c r="B2974" s="79"/>
      <c r="C2974" s="115"/>
      <c r="D2974" s="115"/>
      <c r="E2974" s="115"/>
      <c r="F2974" s="115"/>
    </row>
    <row r="2975" spans="1:6" x14ac:dyDescent="0.2">
      <c r="A2975" s="115"/>
      <c r="B2975" s="79"/>
      <c r="C2975" s="115"/>
      <c r="D2975" s="115"/>
      <c r="E2975" s="115"/>
      <c r="F2975" s="115"/>
    </row>
    <row r="2976" spans="1:6" x14ac:dyDescent="0.2">
      <c r="A2976" s="115"/>
      <c r="B2976" s="79"/>
      <c r="C2976" s="115"/>
      <c r="D2976" s="115"/>
      <c r="E2976" s="115"/>
      <c r="F2976" s="115"/>
    </row>
    <row r="2977" spans="1:6" x14ac:dyDescent="0.2">
      <c r="A2977" s="115"/>
      <c r="B2977" s="79"/>
      <c r="C2977" s="115"/>
      <c r="D2977" s="115"/>
      <c r="E2977" s="115"/>
      <c r="F2977" s="115"/>
    </row>
    <row r="2978" spans="1:6" x14ac:dyDescent="0.2">
      <c r="A2978" s="115"/>
      <c r="B2978" s="79"/>
      <c r="C2978" s="115"/>
      <c r="D2978" s="115"/>
      <c r="E2978" s="115"/>
      <c r="F2978" s="115"/>
    </row>
    <row r="2979" spans="1:6" x14ac:dyDescent="0.2">
      <c r="A2979" s="115"/>
      <c r="B2979" s="79"/>
      <c r="C2979" s="115"/>
      <c r="D2979" s="115"/>
      <c r="E2979" s="115"/>
      <c r="F2979" s="115"/>
    </row>
    <row r="2980" spans="1:6" x14ac:dyDescent="0.2">
      <c r="A2980" s="115"/>
      <c r="B2980" s="79"/>
      <c r="C2980" s="115"/>
      <c r="D2980" s="115"/>
      <c r="E2980" s="115"/>
      <c r="F2980" s="115"/>
    </row>
    <row r="2981" spans="1:6" x14ac:dyDescent="0.2">
      <c r="A2981" s="115"/>
      <c r="B2981" s="79"/>
      <c r="C2981" s="115"/>
      <c r="D2981" s="115"/>
      <c r="E2981" s="115"/>
      <c r="F2981" s="115"/>
    </row>
    <row r="2982" spans="1:6" x14ac:dyDescent="0.2">
      <c r="A2982" s="115"/>
      <c r="B2982" s="79"/>
      <c r="C2982" s="115"/>
      <c r="D2982" s="115"/>
      <c r="E2982" s="115"/>
      <c r="F2982" s="115"/>
    </row>
    <row r="2983" spans="1:6" x14ac:dyDescent="0.2">
      <c r="A2983" s="115"/>
      <c r="B2983" s="79"/>
      <c r="C2983" s="115"/>
      <c r="D2983" s="115"/>
      <c r="E2983" s="115"/>
      <c r="F2983" s="115"/>
    </row>
    <row r="2984" spans="1:6" x14ac:dyDescent="0.2">
      <c r="A2984" s="115"/>
      <c r="B2984" s="79"/>
      <c r="C2984" s="115"/>
      <c r="D2984" s="115"/>
      <c r="E2984" s="115"/>
      <c r="F2984" s="115"/>
    </row>
    <row r="2985" spans="1:6" x14ac:dyDescent="0.2">
      <c r="A2985" s="115"/>
      <c r="B2985" s="79"/>
      <c r="C2985" s="115"/>
      <c r="D2985" s="115"/>
      <c r="E2985" s="115"/>
      <c r="F2985" s="115"/>
    </row>
    <row r="2986" spans="1:6" x14ac:dyDescent="0.2">
      <c r="A2986" s="115"/>
      <c r="B2986" s="79"/>
      <c r="C2986" s="115"/>
      <c r="D2986" s="115"/>
      <c r="E2986" s="115"/>
      <c r="F2986" s="115"/>
    </row>
    <row r="2987" spans="1:6" x14ac:dyDescent="0.2">
      <c r="A2987" s="115"/>
      <c r="B2987" s="79"/>
      <c r="C2987" s="115"/>
      <c r="D2987" s="115"/>
      <c r="E2987" s="115"/>
      <c r="F2987" s="115"/>
    </row>
    <row r="2988" spans="1:6" x14ac:dyDescent="0.2">
      <c r="A2988" s="115"/>
      <c r="B2988" s="79"/>
      <c r="C2988" s="115"/>
      <c r="D2988" s="115"/>
      <c r="E2988" s="115"/>
      <c r="F2988" s="115"/>
    </row>
    <row r="2989" spans="1:6" x14ac:dyDescent="0.2">
      <c r="A2989" s="115"/>
      <c r="B2989" s="79"/>
      <c r="C2989" s="115"/>
      <c r="D2989" s="115"/>
      <c r="E2989" s="115"/>
      <c r="F2989" s="115"/>
    </row>
    <row r="2990" spans="1:6" x14ac:dyDescent="0.2">
      <c r="A2990" s="115"/>
      <c r="B2990" s="79"/>
      <c r="C2990" s="115"/>
      <c r="D2990" s="115"/>
      <c r="E2990" s="115"/>
      <c r="F2990" s="115"/>
    </row>
    <row r="2991" spans="1:6" x14ac:dyDescent="0.2">
      <c r="A2991" s="115"/>
      <c r="B2991" s="79"/>
      <c r="C2991" s="115"/>
      <c r="D2991" s="115"/>
      <c r="E2991" s="115"/>
      <c r="F2991" s="115"/>
    </row>
    <row r="2992" spans="1:6" x14ac:dyDescent="0.2">
      <c r="A2992" s="115"/>
      <c r="B2992" s="79"/>
      <c r="C2992" s="115"/>
      <c r="D2992" s="115"/>
      <c r="E2992" s="115"/>
      <c r="F2992" s="115"/>
    </row>
    <row r="2993" spans="1:6" x14ac:dyDescent="0.2">
      <c r="A2993" s="115"/>
      <c r="B2993" s="79"/>
      <c r="C2993" s="115"/>
      <c r="D2993" s="115"/>
      <c r="E2993" s="115"/>
      <c r="F2993" s="115"/>
    </row>
    <row r="2994" spans="1:6" x14ac:dyDescent="0.2">
      <c r="A2994" s="115"/>
      <c r="B2994" s="79"/>
      <c r="C2994" s="115"/>
      <c r="D2994" s="115"/>
      <c r="E2994" s="115"/>
      <c r="F2994" s="115"/>
    </row>
    <row r="2995" spans="1:6" x14ac:dyDescent="0.2">
      <c r="A2995" s="115"/>
      <c r="B2995" s="79"/>
      <c r="C2995" s="115"/>
      <c r="D2995" s="115"/>
      <c r="E2995" s="115"/>
      <c r="F2995" s="115"/>
    </row>
    <row r="2996" spans="1:6" x14ac:dyDescent="0.2">
      <c r="A2996" s="115"/>
      <c r="B2996" s="79"/>
      <c r="C2996" s="115"/>
      <c r="D2996" s="115"/>
      <c r="E2996" s="115"/>
      <c r="F2996" s="115"/>
    </row>
    <row r="2997" spans="1:6" x14ac:dyDescent="0.2">
      <c r="A2997" s="115"/>
      <c r="B2997" s="79"/>
      <c r="C2997" s="115"/>
      <c r="D2997" s="115"/>
      <c r="E2997" s="115"/>
      <c r="F2997" s="115"/>
    </row>
    <row r="2998" spans="1:6" x14ac:dyDescent="0.2">
      <c r="A2998" s="115"/>
      <c r="B2998" s="79"/>
      <c r="C2998" s="115"/>
      <c r="D2998" s="115"/>
      <c r="E2998" s="115"/>
      <c r="F2998" s="115"/>
    </row>
    <row r="2999" spans="1:6" x14ac:dyDescent="0.2">
      <c r="A2999" s="115"/>
      <c r="B2999" s="79"/>
      <c r="C2999" s="115"/>
      <c r="D2999" s="115"/>
      <c r="E2999" s="115"/>
      <c r="F2999" s="115"/>
    </row>
    <row r="3000" spans="1:6" x14ac:dyDescent="0.2">
      <c r="A3000" s="115"/>
      <c r="B3000" s="79"/>
      <c r="C3000" s="115"/>
      <c r="D3000" s="115"/>
      <c r="E3000" s="115"/>
      <c r="F3000" s="115"/>
    </row>
    <row r="3001" spans="1:6" x14ac:dyDescent="0.2">
      <c r="A3001" s="115"/>
      <c r="B3001" s="79"/>
      <c r="C3001" s="115"/>
      <c r="D3001" s="115"/>
      <c r="E3001" s="115"/>
      <c r="F3001" s="115"/>
    </row>
    <row r="3002" spans="1:6" x14ac:dyDescent="0.2">
      <c r="A3002" s="115"/>
      <c r="B3002" s="79"/>
      <c r="C3002" s="115"/>
      <c r="D3002" s="115"/>
      <c r="E3002" s="115"/>
      <c r="F3002" s="115"/>
    </row>
    <row r="3003" spans="1:6" x14ac:dyDescent="0.2">
      <c r="A3003" s="115"/>
      <c r="B3003" s="79"/>
      <c r="C3003" s="115"/>
      <c r="D3003" s="115"/>
      <c r="E3003" s="115"/>
      <c r="F3003" s="115"/>
    </row>
    <row r="3004" spans="1:6" x14ac:dyDescent="0.2">
      <c r="A3004" s="115"/>
      <c r="B3004" s="79"/>
      <c r="C3004" s="115"/>
      <c r="D3004" s="115"/>
      <c r="E3004" s="115"/>
      <c r="F3004" s="115"/>
    </row>
    <row r="3005" spans="1:6" x14ac:dyDescent="0.2">
      <c r="A3005" s="115"/>
      <c r="B3005" s="79"/>
      <c r="C3005" s="115"/>
      <c r="D3005" s="115"/>
      <c r="E3005" s="115"/>
      <c r="F3005" s="115"/>
    </row>
    <row r="3006" spans="1:6" x14ac:dyDescent="0.2">
      <c r="A3006" s="115"/>
      <c r="B3006" s="79"/>
      <c r="C3006" s="115"/>
      <c r="D3006" s="115"/>
      <c r="E3006" s="115"/>
      <c r="F3006" s="115"/>
    </row>
    <row r="3007" spans="1:6" x14ac:dyDescent="0.2">
      <c r="A3007" s="115"/>
      <c r="B3007" s="79"/>
      <c r="C3007" s="115"/>
      <c r="D3007" s="115"/>
      <c r="E3007" s="115"/>
      <c r="F3007" s="115"/>
    </row>
    <row r="3008" spans="1:6" x14ac:dyDescent="0.2">
      <c r="A3008" s="115"/>
      <c r="B3008" s="79"/>
      <c r="C3008" s="115"/>
      <c r="D3008" s="115"/>
      <c r="E3008" s="115"/>
      <c r="F3008" s="115"/>
    </row>
    <row r="3009" spans="1:6" x14ac:dyDescent="0.2">
      <c r="A3009" s="115"/>
      <c r="B3009" s="79"/>
      <c r="C3009" s="115"/>
      <c r="D3009" s="115"/>
      <c r="E3009" s="115"/>
      <c r="F3009" s="115"/>
    </row>
    <row r="3010" spans="1:6" x14ac:dyDescent="0.2">
      <c r="A3010" s="115"/>
      <c r="B3010" s="79"/>
      <c r="C3010" s="115"/>
      <c r="D3010" s="115"/>
      <c r="E3010" s="115"/>
      <c r="F3010" s="115"/>
    </row>
    <row r="3011" spans="1:6" x14ac:dyDescent="0.2">
      <c r="A3011" s="115"/>
      <c r="B3011" s="79"/>
      <c r="C3011" s="115"/>
      <c r="D3011" s="115"/>
      <c r="E3011" s="115"/>
      <c r="F3011" s="115"/>
    </row>
    <row r="3012" spans="1:6" x14ac:dyDescent="0.2">
      <c r="A3012" s="115"/>
      <c r="B3012" s="79"/>
      <c r="C3012" s="115"/>
      <c r="D3012" s="115"/>
      <c r="E3012" s="115"/>
      <c r="F3012" s="115"/>
    </row>
    <row r="3013" spans="1:6" x14ac:dyDescent="0.2">
      <c r="A3013" s="115"/>
      <c r="B3013" s="79"/>
      <c r="C3013" s="115"/>
      <c r="D3013" s="115"/>
      <c r="E3013" s="115"/>
      <c r="F3013" s="115"/>
    </row>
    <row r="3014" spans="1:6" x14ac:dyDescent="0.2">
      <c r="A3014" s="115"/>
      <c r="B3014" s="79"/>
      <c r="C3014" s="115"/>
      <c r="D3014" s="115"/>
      <c r="E3014" s="115"/>
      <c r="F3014" s="115"/>
    </row>
    <row r="3015" spans="1:6" x14ac:dyDescent="0.2">
      <c r="A3015" s="115"/>
      <c r="B3015" s="79"/>
      <c r="C3015" s="115"/>
      <c r="D3015" s="115"/>
      <c r="E3015" s="115"/>
      <c r="F3015" s="115"/>
    </row>
    <row r="3016" spans="1:6" x14ac:dyDescent="0.2">
      <c r="A3016" s="115"/>
      <c r="B3016" s="79"/>
      <c r="C3016" s="115"/>
      <c r="D3016" s="115"/>
      <c r="E3016" s="115"/>
      <c r="F3016" s="115"/>
    </row>
    <row r="3017" spans="1:6" x14ac:dyDescent="0.2">
      <c r="A3017" s="115"/>
      <c r="B3017" s="79"/>
      <c r="C3017" s="115"/>
      <c r="D3017" s="115"/>
      <c r="E3017" s="115"/>
      <c r="F3017" s="115"/>
    </row>
    <row r="3018" spans="1:6" x14ac:dyDescent="0.2">
      <c r="A3018" s="115"/>
      <c r="B3018" s="79"/>
      <c r="C3018" s="115"/>
      <c r="D3018" s="115"/>
      <c r="E3018" s="115"/>
      <c r="F3018" s="115"/>
    </row>
    <row r="3019" spans="1:6" x14ac:dyDescent="0.2">
      <c r="A3019" s="115"/>
      <c r="B3019" s="79"/>
      <c r="C3019" s="115"/>
      <c r="D3019" s="115"/>
      <c r="E3019" s="115"/>
      <c r="F3019" s="115"/>
    </row>
    <row r="3020" spans="1:6" x14ac:dyDescent="0.2">
      <c r="A3020" s="115"/>
      <c r="B3020" s="79"/>
      <c r="C3020" s="115"/>
      <c r="D3020" s="115"/>
      <c r="E3020" s="115"/>
      <c r="F3020" s="115"/>
    </row>
    <row r="3021" spans="1:6" x14ac:dyDescent="0.2">
      <c r="A3021" s="115"/>
      <c r="B3021" s="79"/>
      <c r="C3021" s="115"/>
      <c r="D3021" s="115"/>
      <c r="E3021" s="115"/>
      <c r="F3021" s="115"/>
    </row>
    <row r="3022" spans="1:6" x14ac:dyDescent="0.2">
      <c r="A3022" s="115"/>
      <c r="B3022" s="79"/>
      <c r="C3022" s="115"/>
      <c r="D3022" s="115"/>
      <c r="E3022" s="115"/>
      <c r="F3022" s="115"/>
    </row>
    <row r="3023" spans="1:6" x14ac:dyDescent="0.2">
      <c r="A3023" s="115"/>
      <c r="B3023" s="79"/>
      <c r="C3023" s="115"/>
      <c r="D3023" s="115"/>
      <c r="E3023" s="115"/>
      <c r="F3023" s="115"/>
    </row>
    <row r="3024" spans="1:6" x14ac:dyDescent="0.2">
      <c r="A3024" s="115"/>
      <c r="B3024" s="79"/>
      <c r="C3024" s="115"/>
      <c r="D3024" s="115"/>
      <c r="E3024" s="115"/>
      <c r="F3024" s="115"/>
    </row>
    <row r="3025" spans="1:6" x14ac:dyDescent="0.2">
      <c r="A3025" s="115"/>
      <c r="B3025" s="79"/>
      <c r="C3025" s="115"/>
      <c r="D3025" s="115"/>
      <c r="E3025" s="115"/>
      <c r="F3025" s="115"/>
    </row>
    <row r="3026" spans="1:6" x14ac:dyDescent="0.2">
      <c r="A3026" s="115"/>
      <c r="B3026" s="79"/>
      <c r="C3026" s="115"/>
      <c r="D3026" s="115"/>
      <c r="E3026" s="115"/>
      <c r="F3026" s="115"/>
    </row>
    <row r="3027" spans="1:6" x14ac:dyDescent="0.2">
      <c r="A3027" s="115"/>
      <c r="B3027" s="79"/>
      <c r="C3027" s="115"/>
      <c r="D3027" s="115"/>
      <c r="E3027" s="115"/>
      <c r="F3027" s="115"/>
    </row>
    <row r="3028" spans="1:6" x14ac:dyDescent="0.2">
      <c r="A3028" s="115"/>
      <c r="B3028" s="79"/>
      <c r="C3028" s="115"/>
      <c r="D3028" s="115"/>
      <c r="E3028" s="115"/>
      <c r="F3028" s="115"/>
    </row>
    <row r="3029" spans="1:6" x14ac:dyDescent="0.2">
      <c r="A3029" s="115"/>
      <c r="B3029" s="79"/>
      <c r="C3029" s="115"/>
      <c r="D3029" s="115"/>
      <c r="E3029" s="115"/>
      <c r="F3029" s="115"/>
    </row>
    <row r="3030" spans="1:6" x14ac:dyDescent="0.2">
      <c r="A3030" s="115"/>
      <c r="B3030" s="79"/>
      <c r="C3030" s="115"/>
      <c r="D3030" s="115"/>
      <c r="E3030" s="115"/>
      <c r="F3030" s="115"/>
    </row>
    <row r="3031" spans="1:6" x14ac:dyDescent="0.2">
      <c r="A3031" s="115"/>
      <c r="B3031" s="79"/>
      <c r="C3031" s="115"/>
      <c r="D3031" s="115"/>
      <c r="E3031" s="115"/>
      <c r="F3031" s="115"/>
    </row>
    <row r="3032" spans="1:6" x14ac:dyDescent="0.2">
      <c r="A3032" s="115"/>
      <c r="B3032" s="79"/>
      <c r="C3032" s="115"/>
      <c r="D3032" s="115"/>
      <c r="E3032" s="115"/>
      <c r="F3032" s="115"/>
    </row>
    <row r="3033" spans="1:6" x14ac:dyDescent="0.2">
      <c r="A3033" s="115"/>
      <c r="B3033" s="79"/>
      <c r="C3033" s="115"/>
      <c r="D3033" s="115"/>
      <c r="E3033" s="115"/>
      <c r="F3033" s="115"/>
    </row>
    <row r="3034" spans="1:6" x14ac:dyDescent="0.2">
      <c r="A3034" s="115"/>
      <c r="B3034" s="79"/>
      <c r="C3034" s="115"/>
      <c r="D3034" s="115"/>
      <c r="E3034" s="115"/>
      <c r="F3034" s="115"/>
    </row>
    <row r="3035" spans="1:6" x14ac:dyDescent="0.2">
      <c r="A3035" s="115"/>
      <c r="B3035" s="79"/>
      <c r="C3035" s="115"/>
      <c r="D3035" s="115"/>
      <c r="E3035" s="115"/>
      <c r="F3035" s="115"/>
    </row>
    <row r="3036" spans="1:6" x14ac:dyDescent="0.2">
      <c r="A3036" s="115"/>
      <c r="B3036" s="79"/>
      <c r="C3036" s="115"/>
      <c r="D3036" s="115"/>
      <c r="E3036" s="115"/>
      <c r="F3036" s="115"/>
    </row>
    <row r="3037" spans="1:6" x14ac:dyDescent="0.2">
      <c r="A3037" s="115"/>
      <c r="B3037" s="79"/>
      <c r="C3037" s="115"/>
      <c r="D3037" s="115"/>
      <c r="E3037" s="115"/>
      <c r="F3037" s="115"/>
    </row>
    <row r="3038" spans="1:6" x14ac:dyDescent="0.2">
      <c r="A3038" s="115"/>
      <c r="B3038" s="79"/>
      <c r="C3038" s="115"/>
      <c r="D3038" s="115"/>
      <c r="E3038" s="115"/>
      <c r="F3038" s="115"/>
    </row>
    <row r="3039" spans="1:6" x14ac:dyDescent="0.2">
      <c r="A3039" s="115"/>
      <c r="B3039" s="79"/>
      <c r="C3039" s="115"/>
      <c r="D3039" s="115"/>
      <c r="E3039" s="115"/>
      <c r="F3039" s="115"/>
    </row>
    <row r="3040" spans="1:6" x14ac:dyDescent="0.2">
      <c r="A3040" s="115"/>
      <c r="B3040" s="79"/>
      <c r="C3040" s="115"/>
      <c r="D3040" s="115"/>
      <c r="E3040" s="115"/>
      <c r="F3040" s="115"/>
    </row>
    <row r="3041" spans="1:6" x14ac:dyDescent="0.2">
      <c r="A3041" s="115"/>
      <c r="B3041" s="79"/>
      <c r="C3041" s="115"/>
      <c r="D3041" s="115"/>
      <c r="E3041" s="115"/>
      <c r="F3041" s="115"/>
    </row>
    <row r="3042" spans="1:6" x14ac:dyDescent="0.2">
      <c r="A3042" s="115"/>
      <c r="B3042" s="79"/>
      <c r="C3042" s="115"/>
      <c r="D3042" s="115"/>
      <c r="E3042" s="115"/>
      <c r="F3042" s="115"/>
    </row>
    <row r="3043" spans="1:6" x14ac:dyDescent="0.2">
      <c r="A3043" s="115"/>
      <c r="B3043" s="79"/>
      <c r="C3043" s="115"/>
      <c r="D3043" s="115"/>
      <c r="E3043" s="115"/>
      <c r="F3043" s="115"/>
    </row>
    <row r="3044" spans="1:6" x14ac:dyDescent="0.2">
      <c r="A3044" s="115"/>
      <c r="B3044" s="79"/>
      <c r="C3044" s="115"/>
      <c r="D3044" s="115"/>
      <c r="E3044" s="115"/>
      <c r="F3044" s="115"/>
    </row>
    <row r="3045" spans="1:6" x14ac:dyDescent="0.2">
      <c r="A3045" s="115"/>
      <c r="B3045" s="79"/>
      <c r="C3045" s="115"/>
      <c r="D3045" s="115"/>
      <c r="E3045" s="115"/>
      <c r="F3045" s="115"/>
    </row>
    <row r="3046" spans="1:6" x14ac:dyDescent="0.2">
      <c r="A3046" s="115"/>
      <c r="B3046" s="79"/>
      <c r="C3046" s="115"/>
      <c r="D3046" s="115"/>
      <c r="E3046" s="115"/>
      <c r="F3046" s="115"/>
    </row>
    <row r="3047" spans="1:6" x14ac:dyDescent="0.2">
      <c r="A3047" s="115"/>
      <c r="B3047" s="79"/>
      <c r="C3047" s="115"/>
      <c r="D3047" s="115"/>
      <c r="E3047" s="115"/>
      <c r="F3047" s="115"/>
    </row>
    <row r="3048" spans="1:6" x14ac:dyDescent="0.2">
      <c r="A3048" s="115"/>
      <c r="B3048" s="79"/>
      <c r="C3048" s="115"/>
      <c r="D3048" s="115"/>
      <c r="E3048" s="115"/>
      <c r="F3048" s="115"/>
    </row>
    <row r="3049" spans="1:6" x14ac:dyDescent="0.2">
      <c r="A3049" s="115"/>
      <c r="B3049" s="79"/>
      <c r="C3049" s="115"/>
      <c r="D3049" s="115"/>
      <c r="E3049" s="115"/>
      <c r="F3049" s="115"/>
    </row>
    <row r="3050" spans="1:6" x14ac:dyDescent="0.2">
      <c r="A3050" s="115"/>
      <c r="B3050" s="79"/>
      <c r="C3050" s="115"/>
      <c r="D3050" s="115"/>
      <c r="E3050" s="115"/>
      <c r="F3050" s="115"/>
    </row>
    <row r="3051" spans="1:6" x14ac:dyDescent="0.2">
      <c r="A3051" s="115"/>
      <c r="B3051" s="79"/>
      <c r="C3051" s="115"/>
      <c r="D3051" s="115"/>
      <c r="E3051" s="115"/>
      <c r="F3051" s="115"/>
    </row>
    <row r="3052" spans="1:6" x14ac:dyDescent="0.2">
      <c r="A3052" s="115"/>
      <c r="B3052" s="79"/>
      <c r="C3052" s="115"/>
      <c r="D3052" s="115"/>
      <c r="E3052" s="115"/>
      <c r="F3052" s="115"/>
    </row>
    <row r="3053" spans="1:6" x14ac:dyDescent="0.2">
      <c r="A3053" s="115"/>
      <c r="B3053" s="79"/>
      <c r="C3053" s="115"/>
      <c r="D3053" s="115"/>
      <c r="E3053" s="115"/>
      <c r="F3053" s="115"/>
    </row>
    <row r="3054" spans="1:6" x14ac:dyDescent="0.2">
      <c r="A3054" s="115"/>
      <c r="B3054" s="79"/>
      <c r="C3054" s="115"/>
      <c r="D3054" s="115"/>
      <c r="E3054" s="115"/>
      <c r="F3054" s="115"/>
    </row>
    <row r="3055" spans="1:6" x14ac:dyDescent="0.2">
      <c r="A3055" s="115"/>
      <c r="B3055" s="79"/>
      <c r="C3055" s="115"/>
      <c r="D3055" s="115"/>
      <c r="E3055" s="115"/>
      <c r="F3055" s="115"/>
    </row>
    <row r="3056" spans="1:6" x14ac:dyDescent="0.2">
      <c r="A3056" s="115"/>
      <c r="B3056" s="79"/>
      <c r="C3056" s="115"/>
      <c r="D3056" s="115"/>
      <c r="E3056" s="115"/>
      <c r="F3056" s="115"/>
    </row>
    <row r="3057" spans="1:6" x14ac:dyDescent="0.2">
      <c r="A3057" s="115"/>
      <c r="B3057" s="79"/>
      <c r="C3057" s="115"/>
      <c r="D3057" s="115"/>
      <c r="E3057" s="115"/>
      <c r="F3057" s="115"/>
    </row>
    <row r="3058" spans="1:6" x14ac:dyDescent="0.2">
      <c r="A3058" s="115"/>
      <c r="B3058" s="79"/>
      <c r="C3058" s="115"/>
      <c r="D3058" s="115"/>
      <c r="E3058" s="115"/>
      <c r="F3058" s="115"/>
    </row>
    <row r="3059" spans="1:6" x14ac:dyDescent="0.2">
      <c r="A3059" s="115"/>
      <c r="B3059" s="79"/>
      <c r="C3059" s="115"/>
      <c r="D3059" s="115"/>
      <c r="E3059" s="115"/>
      <c r="F3059" s="115"/>
    </row>
    <row r="3060" spans="1:6" x14ac:dyDescent="0.2">
      <c r="A3060" s="115"/>
      <c r="B3060" s="79"/>
      <c r="C3060" s="115"/>
      <c r="D3060" s="115"/>
      <c r="E3060" s="115"/>
      <c r="F3060" s="115"/>
    </row>
    <row r="3061" spans="1:6" x14ac:dyDescent="0.2">
      <c r="A3061" s="115"/>
      <c r="B3061" s="79"/>
      <c r="C3061" s="115"/>
      <c r="D3061" s="115"/>
      <c r="E3061" s="115"/>
      <c r="F3061" s="115"/>
    </row>
    <row r="3062" spans="1:6" x14ac:dyDescent="0.2">
      <c r="A3062" s="115"/>
      <c r="B3062" s="79"/>
      <c r="C3062" s="115"/>
      <c r="D3062" s="115"/>
      <c r="E3062" s="115"/>
      <c r="F3062" s="115"/>
    </row>
    <row r="3063" spans="1:6" x14ac:dyDescent="0.2">
      <c r="A3063" s="115"/>
      <c r="B3063" s="79"/>
      <c r="C3063" s="115"/>
      <c r="D3063" s="115"/>
      <c r="E3063" s="115"/>
      <c r="F3063" s="115"/>
    </row>
    <row r="3064" spans="1:6" x14ac:dyDescent="0.2">
      <c r="A3064" s="115"/>
      <c r="B3064" s="79"/>
      <c r="C3064" s="115"/>
      <c r="D3064" s="115"/>
      <c r="E3064" s="115"/>
      <c r="F3064" s="115"/>
    </row>
    <row r="3065" spans="1:6" x14ac:dyDescent="0.2">
      <c r="A3065" s="115"/>
      <c r="B3065" s="79"/>
      <c r="C3065" s="115"/>
      <c r="D3065" s="115"/>
      <c r="E3065" s="115"/>
      <c r="F3065" s="115"/>
    </row>
    <row r="3066" spans="1:6" x14ac:dyDescent="0.2">
      <c r="A3066" s="115"/>
      <c r="B3066" s="79"/>
      <c r="C3066" s="115"/>
      <c r="D3066" s="115"/>
      <c r="E3066" s="115"/>
      <c r="F3066" s="115"/>
    </row>
    <row r="3067" spans="1:6" x14ac:dyDescent="0.2">
      <c r="A3067" s="115"/>
      <c r="B3067" s="79"/>
      <c r="C3067" s="115"/>
      <c r="D3067" s="115"/>
      <c r="E3067" s="115"/>
      <c r="F3067" s="115"/>
    </row>
    <row r="3068" spans="1:6" x14ac:dyDescent="0.2">
      <c r="A3068" s="115"/>
      <c r="B3068" s="79"/>
      <c r="C3068" s="115"/>
      <c r="D3068" s="115"/>
      <c r="E3068" s="115"/>
      <c r="F3068" s="115"/>
    </row>
    <row r="3069" spans="1:6" x14ac:dyDescent="0.2">
      <c r="A3069" s="115"/>
      <c r="B3069" s="79"/>
      <c r="C3069" s="115"/>
      <c r="D3069" s="115"/>
      <c r="E3069" s="115"/>
      <c r="F3069" s="115"/>
    </row>
    <row r="3070" spans="1:6" x14ac:dyDescent="0.2">
      <c r="A3070" s="115"/>
      <c r="B3070" s="79"/>
      <c r="C3070" s="115"/>
      <c r="D3070" s="115"/>
      <c r="E3070" s="115"/>
      <c r="F3070" s="115"/>
    </row>
    <row r="3071" spans="1:6" x14ac:dyDescent="0.2">
      <c r="A3071" s="115"/>
      <c r="B3071" s="79"/>
      <c r="C3071" s="115"/>
      <c r="D3071" s="115"/>
      <c r="E3071" s="115"/>
      <c r="F3071" s="115"/>
    </row>
    <row r="3072" spans="1:6" x14ac:dyDescent="0.2">
      <c r="A3072" s="115"/>
      <c r="B3072" s="79"/>
      <c r="C3072" s="115"/>
      <c r="D3072" s="115"/>
      <c r="E3072" s="115"/>
      <c r="F3072" s="115"/>
    </row>
    <row r="3073" spans="1:6" x14ac:dyDescent="0.2">
      <c r="A3073" s="115"/>
      <c r="B3073" s="79"/>
      <c r="C3073" s="115"/>
      <c r="D3073" s="115"/>
      <c r="E3073" s="115"/>
      <c r="F3073" s="115"/>
    </row>
    <row r="3074" spans="1:6" x14ac:dyDescent="0.2">
      <c r="A3074" s="115"/>
      <c r="B3074" s="79"/>
      <c r="C3074" s="115"/>
      <c r="D3074" s="115"/>
      <c r="E3074" s="115"/>
      <c r="F3074" s="115"/>
    </row>
    <row r="3075" spans="1:6" x14ac:dyDescent="0.2">
      <c r="A3075" s="115"/>
      <c r="B3075" s="79"/>
      <c r="C3075" s="115"/>
      <c r="D3075" s="115"/>
      <c r="E3075" s="115"/>
      <c r="F3075" s="115"/>
    </row>
    <row r="3076" spans="1:6" x14ac:dyDescent="0.2">
      <c r="A3076" s="115"/>
      <c r="B3076" s="79"/>
      <c r="C3076" s="115"/>
      <c r="D3076" s="115"/>
      <c r="E3076" s="115"/>
      <c r="F3076" s="115"/>
    </row>
    <row r="3077" spans="1:6" x14ac:dyDescent="0.2">
      <c r="A3077" s="115"/>
      <c r="B3077" s="79"/>
      <c r="C3077" s="115"/>
      <c r="D3077" s="115"/>
      <c r="E3077" s="115"/>
      <c r="F3077" s="115"/>
    </row>
    <row r="3078" spans="1:6" x14ac:dyDescent="0.2">
      <c r="A3078" s="115"/>
      <c r="B3078" s="79"/>
      <c r="C3078" s="115"/>
      <c r="D3078" s="115"/>
      <c r="E3078" s="115"/>
      <c r="F3078" s="115"/>
    </row>
    <row r="3079" spans="1:6" x14ac:dyDescent="0.2">
      <c r="A3079" s="115"/>
      <c r="B3079" s="79"/>
      <c r="C3079" s="115"/>
      <c r="D3079" s="115"/>
      <c r="E3079" s="115"/>
      <c r="F3079" s="115"/>
    </row>
    <row r="3080" spans="1:6" x14ac:dyDescent="0.2">
      <c r="A3080" s="115"/>
      <c r="B3080" s="79"/>
      <c r="C3080" s="115"/>
      <c r="D3080" s="115"/>
      <c r="E3080" s="115"/>
      <c r="F3080" s="115"/>
    </row>
    <row r="3081" spans="1:6" x14ac:dyDescent="0.2">
      <c r="A3081" s="115"/>
      <c r="B3081" s="79"/>
      <c r="C3081" s="115"/>
      <c r="D3081" s="115"/>
      <c r="E3081" s="115"/>
      <c r="F3081" s="115"/>
    </row>
    <row r="3082" spans="1:6" x14ac:dyDescent="0.2">
      <c r="A3082" s="115"/>
      <c r="B3082" s="79"/>
      <c r="C3082" s="115"/>
      <c r="D3082" s="115"/>
      <c r="E3082" s="115"/>
      <c r="F3082" s="115"/>
    </row>
    <row r="3083" spans="1:6" x14ac:dyDescent="0.2">
      <c r="A3083" s="115"/>
      <c r="B3083" s="79"/>
      <c r="C3083" s="115"/>
      <c r="D3083" s="115"/>
      <c r="E3083" s="115"/>
      <c r="F3083" s="115"/>
    </row>
    <row r="3084" spans="1:6" x14ac:dyDescent="0.2">
      <c r="A3084" s="115"/>
      <c r="B3084" s="79"/>
      <c r="C3084" s="115"/>
      <c r="D3084" s="115"/>
      <c r="E3084" s="115"/>
      <c r="F3084" s="115"/>
    </row>
    <row r="3085" spans="1:6" x14ac:dyDescent="0.2">
      <c r="A3085" s="115"/>
      <c r="B3085" s="79"/>
      <c r="C3085" s="115"/>
      <c r="D3085" s="115"/>
      <c r="E3085" s="115"/>
      <c r="F3085" s="115"/>
    </row>
    <row r="3086" spans="1:6" x14ac:dyDescent="0.2">
      <c r="A3086" s="115"/>
      <c r="B3086" s="79"/>
      <c r="C3086" s="115"/>
      <c r="D3086" s="115"/>
      <c r="E3086" s="115"/>
      <c r="F3086" s="115"/>
    </row>
    <row r="3087" spans="1:6" x14ac:dyDescent="0.2">
      <c r="A3087" s="115"/>
      <c r="B3087" s="79"/>
      <c r="C3087" s="115"/>
      <c r="D3087" s="115"/>
      <c r="E3087" s="115"/>
      <c r="F3087" s="115"/>
    </row>
    <row r="3088" spans="1:6" x14ac:dyDescent="0.2">
      <c r="A3088" s="115"/>
      <c r="B3088" s="79"/>
      <c r="C3088" s="115"/>
      <c r="D3088" s="115"/>
      <c r="E3088" s="115"/>
      <c r="F3088" s="115"/>
    </row>
    <row r="3089" spans="1:6" x14ac:dyDescent="0.2">
      <c r="A3089" s="115"/>
      <c r="B3089" s="79"/>
      <c r="C3089" s="115"/>
      <c r="D3089" s="115"/>
      <c r="E3089" s="115"/>
      <c r="F3089" s="115"/>
    </row>
    <row r="3090" spans="1:6" x14ac:dyDescent="0.2">
      <c r="A3090" s="115"/>
      <c r="B3090" s="79"/>
      <c r="C3090" s="115"/>
      <c r="D3090" s="115"/>
      <c r="E3090" s="115"/>
      <c r="F3090" s="115"/>
    </row>
    <row r="3091" spans="1:6" x14ac:dyDescent="0.2">
      <c r="A3091" s="115"/>
      <c r="B3091" s="79"/>
      <c r="C3091" s="115"/>
      <c r="D3091" s="115"/>
      <c r="E3091" s="115"/>
      <c r="F3091" s="115"/>
    </row>
    <row r="3092" spans="1:6" x14ac:dyDescent="0.2">
      <c r="A3092" s="115"/>
      <c r="B3092" s="79"/>
      <c r="C3092" s="115"/>
      <c r="D3092" s="115"/>
      <c r="E3092" s="115"/>
      <c r="F3092" s="115"/>
    </row>
    <row r="3093" spans="1:6" x14ac:dyDescent="0.2">
      <c r="A3093" s="115"/>
      <c r="B3093" s="79"/>
      <c r="C3093" s="115"/>
      <c r="D3093" s="115"/>
      <c r="E3093" s="115"/>
      <c r="F3093" s="115"/>
    </row>
    <row r="3094" spans="1:6" x14ac:dyDescent="0.2">
      <c r="A3094" s="115"/>
      <c r="B3094" s="79"/>
      <c r="C3094" s="115"/>
      <c r="D3094" s="115"/>
      <c r="E3094" s="115"/>
      <c r="F3094" s="115"/>
    </row>
    <row r="3095" spans="1:6" x14ac:dyDescent="0.2">
      <c r="A3095" s="115"/>
      <c r="B3095" s="79"/>
      <c r="C3095" s="115"/>
      <c r="D3095" s="115"/>
      <c r="E3095" s="115"/>
      <c r="F3095" s="115"/>
    </row>
    <row r="3096" spans="1:6" x14ac:dyDescent="0.2">
      <c r="A3096" s="115"/>
      <c r="B3096" s="79"/>
      <c r="C3096" s="115"/>
      <c r="D3096" s="115"/>
      <c r="E3096" s="115"/>
      <c r="F3096" s="115"/>
    </row>
    <row r="3097" spans="1:6" x14ac:dyDescent="0.2">
      <c r="A3097" s="115"/>
      <c r="B3097" s="79"/>
      <c r="C3097" s="115"/>
      <c r="D3097" s="115"/>
      <c r="E3097" s="115"/>
      <c r="F3097" s="115"/>
    </row>
    <row r="3098" spans="1:6" x14ac:dyDescent="0.2">
      <c r="A3098" s="115"/>
      <c r="B3098" s="79"/>
      <c r="C3098" s="115"/>
      <c r="D3098" s="115"/>
      <c r="E3098" s="115"/>
      <c r="F3098" s="115"/>
    </row>
    <row r="3099" spans="1:6" x14ac:dyDescent="0.2">
      <c r="A3099" s="115"/>
      <c r="B3099" s="79"/>
      <c r="C3099" s="115"/>
      <c r="D3099" s="115"/>
      <c r="E3099" s="115"/>
      <c r="F3099" s="115"/>
    </row>
    <row r="3100" spans="1:6" x14ac:dyDescent="0.2">
      <c r="A3100" s="115"/>
      <c r="B3100" s="79"/>
      <c r="C3100" s="115"/>
      <c r="D3100" s="115"/>
      <c r="E3100" s="115"/>
      <c r="F3100" s="115"/>
    </row>
    <row r="3101" spans="1:6" x14ac:dyDescent="0.2">
      <c r="A3101" s="115"/>
      <c r="B3101" s="79"/>
      <c r="C3101" s="115"/>
      <c r="D3101" s="115"/>
      <c r="E3101" s="115"/>
      <c r="F3101" s="115"/>
    </row>
    <row r="3102" spans="1:6" x14ac:dyDescent="0.2">
      <c r="A3102" s="115"/>
      <c r="B3102" s="79"/>
      <c r="C3102" s="115"/>
      <c r="D3102" s="115"/>
      <c r="E3102" s="115"/>
      <c r="F3102" s="115"/>
    </row>
    <row r="3103" spans="1:6" x14ac:dyDescent="0.2">
      <c r="A3103" s="115"/>
      <c r="B3103" s="79"/>
      <c r="C3103" s="115"/>
      <c r="D3103" s="115"/>
      <c r="E3103" s="115"/>
      <c r="F3103" s="115"/>
    </row>
    <row r="3104" spans="1:6" x14ac:dyDescent="0.2">
      <c r="A3104" s="115"/>
      <c r="B3104" s="79"/>
      <c r="C3104" s="115"/>
      <c r="D3104" s="115"/>
      <c r="E3104" s="115"/>
      <c r="F3104" s="115"/>
    </row>
    <row r="3105" spans="1:6" x14ac:dyDescent="0.2">
      <c r="A3105" s="115"/>
      <c r="B3105" s="79"/>
      <c r="C3105" s="115"/>
      <c r="D3105" s="115"/>
      <c r="E3105" s="115"/>
      <c r="F3105" s="115"/>
    </row>
    <row r="3106" spans="1:6" x14ac:dyDescent="0.2">
      <c r="A3106" s="115"/>
      <c r="B3106" s="79"/>
      <c r="C3106" s="115"/>
      <c r="D3106" s="115"/>
      <c r="E3106" s="115"/>
      <c r="F3106" s="115"/>
    </row>
    <row r="3107" spans="1:6" x14ac:dyDescent="0.2">
      <c r="A3107" s="115"/>
      <c r="B3107" s="79"/>
      <c r="C3107" s="115"/>
      <c r="D3107" s="115"/>
      <c r="E3107" s="115"/>
      <c r="F3107" s="115"/>
    </row>
    <row r="3108" spans="1:6" x14ac:dyDescent="0.2">
      <c r="A3108" s="115"/>
      <c r="B3108" s="79"/>
      <c r="C3108" s="115"/>
      <c r="D3108" s="115"/>
      <c r="E3108" s="115"/>
      <c r="F3108" s="115"/>
    </row>
    <row r="3109" spans="1:6" x14ac:dyDescent="0.2">
      <c r="A3109" s="115"/>
      <c r="B3109" s="79"/>
      <c r="C3109" s="115"/>
      <c r="D3109" s="115"/>
      <c r="E3109" s="115"/>
      <c r="F3109" s="115"/>
    </row>
    <row r="3110" spans="1:6" x14ac:dyDescent="0.2">
      <c r="A3110" s="115"/>
      <c r="B3110" s="79"/>
      <c r="C3110" s="115"/>
      <c r="D3110" s="115"/>
      <c r="E3110" s="115"/>
      <c r="F3110" s="115"/>
    </row>
    <row r="3111" spans="1:6" x14ac:dyDescent="0.2">
      <c r="A3111" s="115"/>
      <c r="B3111" s="79"/>
      <c r="C3111" s="115"/>
      <c r="D3111" s="115"/>
      <c r="E3111" s="115"/>
      <c r="F3111" s="115"/>
    </row>
    <row r="3112" spans="1:6" x14ac:dyDescent="0.2">
      <c r="A3112" s="115"/>
      <c r="B3112" s="79"/>
      <c r="C3112" s="115"/>
      <c r="D3112" s="115"/>
      <c r="E3112" s="115"/>
      <c r="F3112" s="115"/>
    </row>
    <row r="3113" spans="1:6" x14ac:dyDescent="0.2">
      <c r="A3113" s="115"/>
      <c r="B3113" s="79"/>
      <c r="C3113" s="115"/>
      <c r="D3113" s="115"/>
      <c r="E3113" s="115"/>
      <c r="F3113" s="115"/>
    </row>
    <row r="3114" spans="1:6" x14ac:dyDescent="0.2">
      <c r="A3114" s="115"/>
      <c r="B3114" s="79"/>
      <c r="C3114" s="115"/>
      <c r="D3114" s="115"/>
      <c r="E3114" s="115"/>
      <c r="F3114" s="115"/>
    </row>
    <row r="3115" spans="1:6" x14ac:dyDescent="0.2">
      <c r="A3115" s="115"/>
      <c r="B3115" s="79"/>
      <c r="C3115" s="115"/>
      <c r="D3115" s="115"/>
      <c r="E3115" s="115"/>
      <c r="F3115" s="115"/>
    </row>
    <row r="3116" spans="1:6" x14ac:dyDescent="0.2">
      <c r="A3116" s="115"/>
      <c r="B3116" s="79"/>
      <c r="C3116" s="115"/>
      <c r="D3116" s="115"/>
      <c r="E3116" s="115"/>
      <c r="F3116" s="115"/>
    </row>
    <row r="3117" spans="1:6" x14ac:dyDescent="0.2">
      <c r="A3117" s="115"/>
      <c r="B3117" s="79"/>
      <c r="C3117" s="115"/>
      <c r="D3117" s="115"/>
      <c r="E3117" s="115"/>
      <c r="F3117" s="115"/>
    </row>
    <row r="3118" spans="1:6" x14ac:dyDescent="0.2">
      <c r="A3118" s="115"/>
      <c r="B3118" s="79"/>
      <c r="C3118" s="115"/>
      <c r="D3118" s="115"/>
      <c r="E3118" s="115"/>
      <c r="F3118" s="115"/>
    </row>
    <row r="3119" spans="1:6" x14ac:dyDescent="0.2">
      <c r="A3119" s="115"/>
      <c r="B3119" s="79"/>
      <c r="C3119" s="115"/>
      <c r="D3119" s="115"/>
      <c r="E3119" s="115"/>
      <c r="F3119" s="115"/>
    </row>
    <row r="3120" spans="1:6" x14ac:dyDescent="0.2">
      <c r="A3120" s="115"/>
      <c r="B3120" s="79"/>
      <c r="C3120" s="115"/>
      <c r="D3120" s="115"/>
      <c r="E3120" s="115"/>
      <c r="F3120" s="115"/>
    </row>
    <row r="3121" spans="1:6" x14ac:dyDescent="0.2">
      <c r="A3121" s="115"/>
      <c r="B3121" s="79"/>
      <c r="C3121" s="115"/>
      <c r="D3121" s="115"/>
      <c r="E3121" s="115"/>
      <c r="F3121" s="115"/>
    </row>
    <row r="3122" spans="1:6" x14ac:dyDescent="0.2">
      <c r="A3122" s="115"/>
      <c r="B3122" s="79"/>
      <c r="C3122" s="115"/>
      <c r="D3122" s="115"/>
      <c r="E3122" s="115"/>
      <c r="F3122" s="115"/>
    </row>
    <row r="3123" spans="1:6" x14ac:dyDescent="0.2">
      <c r="A3123" s="115"/>
      <c r="B3123" s="79"/>
      <c r="C3123" s="115"/>
      <c r="D3123" s="115"/>
      <c r="E3123" s="115"/>
      <c r="F3123" s="115"/>
    </row>
    <row r="3124" spans="1:6" x14ac:dyDescent="0.2">
      <c r="A3124" s="115"/>
      <c r="B3124" s="79"/>
      <c r="C3124" s="115"/>
      <c r="D3124" s="115"/>
      <c r="E3124" s="115"/>
      <c r="F3124" s="115"/>
    </row>
    <row r="3125" spans="1:6" x14ac:dyDescent="0.2">
      <c r="A3125" s="115"/>
      <c r="B3125" s="79"/>
      <c r="C3125" s="115"/>
      <c r="D3125" s="115"/>
      <c r="E3125" s="115"/>
      <c r="F3125" s="115"/>
    </row>
    <row r="3126" spans="1:6" x14ac:dyDescent="0.2">
      <c r="A3126" s="115"/>
      <c r="B3126" s="79"/>
      <c r="C3126" s="115"/>
      <c r="D3126" s="115"/>
      <c r="E3126" s="115"/>
      <c r="F3126" s="115"/>
    </row>
    <row r="3127" spans="1:6" x14ac:dyDescent="0.2">
      <c r="A3127" s="115"/>
      <c r="B3127" s="79"/>
      <c r="C3127" s="115"/>
      <c r="D3127" s="115"/>
      <c r="E3127" s="115"/>
      <c r="F3127" s="115"/>
    </row>
    <row r="3128" spans="1:6" x14ac:dyDescent="0.2">
      <c r="A3128" s="115"/>
      <c r="B3128" s="79"/>
      <c r="C3128" s="115"/>
      <c r="D3128" s="115"/>
      <c r="E3128" s="115"/>
      <c r="F3128" s="115"/>
    </row>
    <row r="3129" spans="1:6" x14ac:dyDescent="0.2">
      <c r="A3129" s="115"/>
      <c r="B3129" s="79"/>
      <c r="C3129" s="115"/>
      <c r="D3129" s="115"/>
      <c r="E3129" s="115"/>
      <c r="F3129" s="115"/>
    </row>
    <row r="3130" spans="1:6" x14ac:dyDescent="0.2">
      <c r="A3130" s="115"/>
      <c r="B3130" s="79"/>
      <c r="C3130" s="115"/>
      <c r="D3130" s="115"/>
      <c r="E3130" s="115"/>
      <c r="F3130" s="115"/>
    </row>
    <row r="3131" spans="1:6" x14ac:dyDescent="0.2">
      <c r="A3131" s="115"/>
      <c r="B3131" s="79"/>
      <c r="C3131" s="115"/>
      <c r="D3131" s="115"/>
      <c r="E3131" s="115"/>
      <c r="F3131" s="115"/>
    </row>
    <row r="3132" spans="1:6" x14ac:dyDescent="0.2">
      <c r="A3132" s="115"/>
      <c r="B3132" s="79"/>
      <c r="C3132" s="115"/>
      <c r="D3132" s="115"/>
      <c r="E3132" s="115"/>
      <c r="F3132" s="115"/>
    </row>
    <row r="3133" spans="1:6" x14ac:dyDescent="0.2">
      <c r="A3133" s="115"/>
      <c r="B3133" s="79"/>
      <c r="C3133" s="115"/>
      <c r="D3133" s="115"/>
      <c r="E3133" s="115"/>
      <c r="F3133" s="115"/>
    </row>
    <row r="3134" spans="1:6" x14ac:dyDescent="0.2">
      <c r="A3134" s="115"/>
      <c r="B3134" s="79"/>
      <c r="C3134" s="115"/>
      <c r="D3134" s="115"/>
      <c r="E3134" s="115"/>
      <c r="F3134" s="115"/>
    </row>
    <row r="3135" spans="1:6" x14ac:dyDescent="0.2">
      <c r="A3135" s="115"/>
      <c r="B3135" s="79"/>
      <c r="C3135" s="115"/>
      <c r="D3135" s="115"/>
      <c r="E3135" s="115"/>
      <c r="F3135" s="115"/>
    </row>
    <row r="3136" spans="1:6" x14ac:dyDescent="0.2">
      <c r="A3136" s="115"/>
      <c r="B3136" s="79"/>
      <c r="C3136" s="115"/>
      <c r="D3136" s="115"/>
      <c r="E3136" s="115"/>
      <c r="F3136" s="115"/>
    </row>
    <row r="3137" spans="1:6" x14ac:dyDescent="0.2">
      <c r="A3137" s="115"/>
      <c r="B3137" s="79"/>
      <c r="C3137" s="115"/>
      <c r="D3137" s="115"/>
      <c r="E3137" s="115"/>
      <c r="F3137" s="115"/>
    </row>
    <row r="3138" spans="1:6" x14ac:dyDescent="0.2">
      <c r="A3138" s="115"/>
      <c r="B3138" s="79"/>
      <c r="C3138" s="115"/>
      <c r="D3138" s="115"/>
      <c r="E3138" s="115"/>
      <c r="F3138" s="115"/>
    </row>
    <row r="3139" spans="1:6" x14ac:dyDescent="0.2">
      <c r="A3139" s="115"/>
      <c r="B3139" s="79"/>
      <c r="C3139" s="115"/>
      <c r="D3139" s="115"/>
      <c r="E3139" s="115"/>
      <c r="F3139" s="115"/>
    </row>
    <row r="3140" spans="1:6" x14ac:dyDescent="0.2">
      <c r="A3140" s="115"/>
      <c r="B3140" s="79"/>
      <c r="C3140" s="115"/>
      <c r="D3140" s="115"/>
      <c r="E3140" s="115"/>
      <c r="F3140" s="115"/>
    </row>
    <row r="3141" spans="1:6" x14ac:dyDescent="0.2">
      <c r="A3141" s="115"/>
      <c r="B3141" s="79"/>
      <c r="C3141" s="115"/>
      <c r="D3141" s="115"/>
      <c r="E3141" s="115"/>
      <c r="F3141" s="115"/>
    </row>
    <row r="3142" spans="1:6" x14ac:dyDescent="0.2">
      <c r="A3142" s="115"/>
      <c r="B3142" s="79"/>
      <c r="C3142" s="115"/>
      <c r="D3142" s="115"/>
      <c r="E3142" s="115"/>
      <c r="F3142" s="115"/>
    </row>
    <row r="3143" spans="1:6" x14ac:dyDescent="0.2">
      <c r="A3143" s="115"/>
      <c r="B3143" s="79"/>
      <c r="C3143" s="115"/>
      <c r="D3143" s="115"/>
      <c r="E3143" s="115"/>
      <c r="F3143" s="115"/>
    </row>
    <row r="3144" spans="1:6" x14ac:dyDescent="0.2">
      <c r="A3144" s="115"/>
      <c r="B3144" s="79"/>
      <c r="C3144" s="115"/>
      <c r="D3144" s="115"/>
      <c r="E3144" s="115"/>
      <c r="F3144" s="115"/>
    </row>
    <row r="3145" spans="1:6" x14ac:dyDescent="0.2">
      <c r="A3145" s="115"/>
      <c r="B3145" s="79"/>
      <c r="C3145" s="115"/>
      <c r="D3145" s="115"/>
      <c r="E3145" s="115"/>
      <c r="F3145" s="115"/>
    </row>
    <row r="3146" spans="1:6" x14ac:dyDescent="0.2">
      <c r="A3146" s="115"/>
      <c r="B3146" s="79"/>
      <c r="C3146" s="115"/>
      <c r="D3146" s="115"/>
      <c r="E3146" s="115"/>
      <c r="F3146" s="115"/>
    </row>
    <row r="3147" spans="1:6" x14ac:dyDescent="0.2">
      <c r="A3147" s="115"/>
      <c r="B3147" s="79"/>
      <c r="C3147" s="115"/>
      <c r="D3147" s="115"/>
      <c r="E3147" s="115"/>
      <c r="F3147" s="115"/>
    </row>
    <row r="3148" spans="1:6" x14ac:dyDescent="0.2">
      <c r="A3148" s="115"/>
      <c r="B3148" s="79"/>
      <c r="C3148" s="115"/>
      <c r="D3148" s="115"/>
      <c r="E3148" s="115"/>
      <c r="F3148" s="115"/>
    </row>
    <row r="3149" spans="1:6" x14ac:dyDescent="0.2">
      <c r="A3149" s="115"/>
      <c r="B3149" s="79"/>
      <c r="C3149" s="115"/>
      <c r="D3149" s="115"/>
      <c r="E3149" s="115"/>
      <c r="F3149" s="115"/>
    </row>
    <row r="3150" spans="1:6" x14ac:dyDescent="0.2">
      <c r="A3150" s="115"/>
      <c r="B3150" s="79"/>
      <c r="C3150" s="115"/>
      <c r="D3150" s="115"/>
      <c r="E3150" s="115"/>
      <c r="F3150" s="115"/>
    </row>
    <row r="3151" spans="1:6" x14ac:dyDescent="0.2">
      <c r="A3151" s="115"/>
      <c r="B3151" s="79"/>
      <c r="C3151" s="115"/>
      <c r="D3151" s="115"/>
      <c r="E3151" s="115"/>
      <c r="F3151" s="115"/>
    </row>
    <row r="3152" spans="1:6" x14ac:dyDescent="0.2">
      <c r="A3152" s="115"/>
      <c r="B3152" s="79"/>
      <c r="C3152" s="115"/>
      <c r="D3152" s="115"/>
      <c r="E3152" s="115"/>
      <c r="F3152" s="115"/>
    </row>
    <row r="3153" spans="1:6" x14ac:dyDescent="0.2">
      <c r="A3153" s="115"/>
      <c r="B3153" s="79"/>
      <c r="C3153" s="115"/>
      <c r="D3153" s="115"/>
      <c r="E3153" s="115"/>
      <c r="F3153" s="115"/>
    </row>
    <row r="3154" spans="1:6" x14ac:dyDescent="0.2">
      <c r="A3154" s="115"/>
      <c r="B3154" s="79"/>
      <c r="C3154" s="115"/>
      <c r="D3154" s="115"/>
      <c r="E3154" s="115"/>
      <c r="F3154" s="115"/>
    </row>
    <row r="3155" spans="1:6" x14ac:dyDescent="0.2">
      <c r="A3155" s="115"/>
      <c r="B3155" s="79"/>
      <c r="C3155" s="115"/>
      <c r="D3155" s="115"/>
      <c r="E3155" s="115"/>
      <c r="F3155" s="115"/>
    </row>
    <row r="3156" spans="1:6" x14ac:dyDescent="0.2">
      <c r="A3156" s="115"/>
      <c r="B3156" s="79"/>
      <c r="C3156" s="115"/>
      <c r="D3156" s="115"/>
      <c r="E3156" s="115"/>
      <c r="F3156" s="115"/>
    </row>
    <row r="3157" spans="1:6" x14ac:dyDescent="0.2">
      <c r="A3157" s="115"/>
      <c r="B3157" s="79"/>
      <c r="C3157" s="115"/>
      <c r="D3157" s="115"/>
      <c r="E3157" s="115"/>
      <c r="F3157" s="115"/>
    </row>
    <row r="3158" spans="1:6" x14ac:dyDescent="0.2">
      <c r="A3158" s="115"/>
      <c r="B3158" s="79"/>
      <c r="C3158" s="115"/>
      <c r="D3158" s="115"/>
      <c r="E3158" s="115"/>
      <c r="F3158" s="115"/>
    </row>
    <row r="3159" spans="1:6" x14ac:dyDescent="0.2">
      <c r="A3159" s="115"/>
      <c r="B3159" s="79"/>
      <c r="C3159" s="115"/>
      <c r="D3159" s="115"/>
      <c r="E3159" s="115"/>
      <c r="F3159" s="115"/>
    </row>
    <row r="3160" spans="1:6" x14ac:dyDescent="0.2">
      <c r="A3160" s="115"/>
      <c r="B3160" s="79"/>
      <c r="C3160" s="115"/>
      <c r="D3160" s="115"/>
      <c r="E3160" s="115"/>
      <c r="F3160" s="115"/>
    </row>
    <row r="3161" spans="1:6" x14ac:dyDescent="0.2">
      <c r="A3161" s="115"/>
      <c r="B3161" s="79"/>
      <c r="C3161" s="115"/>
      <c r="D3161" s="115"/>
      <c r="E3161" s="115"/>
      <c r="F3161" s="115"/>
    </row>
    <row r="3162" spans="1:6" x14ac:dyDescent="0.2">
      <c r="A3162" s="115"/>
      <c r="B3162" s="79"/>
      <c r="C3162" s="115"/>
      <c r="D3162" s="115"/>
      <c r="E3162" s="115"/>
      <c r="F3162" s="115"/>
    </row>
    <row r="3163" spans="1:6" x14ac:dyDescent="0.2">
      <c r="A3163" s="115"/>
      <c r="B3163" s="79"/>
      <c r="C3163" s="115"/>
      <c r="D3163" s="115"/>
      <c r="E3163" s="115"/>
      <c r="F3163" s="115"/>
    </row>
    <row r="3164" spans="1:6" x14ac:dyDescent="0.2">
      <c r="A3164" s="115"/>
      <c r="B3164" s="79"/>
      <c r="C3164" s="115"/>
      <c r="D3164" s="115"/>
      <c r="E3164" s="115"/>
      <c r="F3164" s="115"/>
    </row>
    <row r="3165" spans="1:6" x14ac:dyDescent="0.2">
      <c r="A3165" s="115"/>
      <c r="B3165" s="79"/>
      <c r="C3165" s="115"/>
      <c r="D3165" s="115"/>
      <c r="E3165" s="115"/>
      <c r="F3165" s="115"/>
    </row>
    <row r="3166" spans="1:6" x14ac:dyDescent="0.2">
      <c r="A3166" s="115"/>
      <c r="B3166" s="79"/>
      <c r="C3166" s="115"/>
      <c r="D3166" s="115"/>
      <c r="E3166" s="115"/>
      <c r="F3166" s="115"/>
    </row>
    <row r="3167" spans="1:6" x14ac:dyDescent="0.2">
      <c r="A3167" s="115"/>
      <c r="B3167" s="79"/>
      <c r="C3167" s="115"/>
      <c r="D3167" s="115"/>
      <c r="E3167" s="115"/>
      <c r="F3167" s="115"/>
    </row>
    <row r="3168" spans="1:6" x14ac:dyDescent="0.2">
      <c r="A3168" s="115"/>
      <c r="B3168" s="79"/>
      <c r="C3168" s="115"/>
      <c r="D3168" s="115"/>
      <c r="E3168" s="115"/>
      <c r="F3168" s="115"/>
    </row>
    <row r="3169" spans="1:6" x14ac:dyDescent="0.2">
      <c r="A3169" s="115"/>
      <c r="B3169" s="79"/>
      <c r="C3169" s="115"/>
      <c r="D3169" s="115"/>
      <c r="E3169" s="115"/>
      <c r="F3169" s="115"/>
    </row>
    <row r="3170" spans="1:6" x14ac:dyDescent="0.2">
      <c r="A3170" s="115"/>
      <c r="B3170" s="79"/>
      <c r="C3170" s="115"/>
      <c r="D3170" s="115"/>
      <c r="E3170" s="115"/>
      <c r="F3170" s="115"/>
    </row>
    <row r="3171" spans="1:6" x14ac:dyDescent="0.2">
      <c r="A3171" s="115"/>
      <c r="B3171" s="79"/>
      <c r="C3171" s="115"/>
      <c r="D3171" s="115"/>
      <c r="E3171" s="115"/>
      <c r="F3171" s="115"/>
    </row>
    <row r="3172" spans="1:6" x14ac:dyDescent="0.2">
      <c r="A3172" s="115"/>
      <c r="B3172" s="79"/>
      <c r="C3172" s="115"/>
      <c r="D3172" s="115"/>
      <c r="E3172" s="115"/>
      <c r="F3172" s="115"/>
    </row>
    <row r="3173" spans="1:6" x14ac:dyDescent="0.2">
      <c r="A3173" s="115"/>
      <c r="B3173" s="79"/>
      <c r="C3173" s="115"/>
      <c r="D3173" s="115"/>
      <c r="E3173" s="115"/>
      <c r="F3173" s="115"/>
    </row>
    <row r="3174" spans="1:6" x14ac:dyDescent="0.2">
      <c r="A3174" s="115"/>
      <c r="B3174" s="79"/>
      <c r="C3174" s="115"/>
      <c r="D3174" s="115"/>
      <c r="E3174" s="115"/>
      <c r="F3174" s="115"/>
    </row>
    <row r="3175" spans="1:6" x14ac:dyDescent="0.2">
      <c r="A3175" s="115"/>
      <c r="B3175" s="79"/>
      <c r="C3175" s="115"/>
      <c r="D3175" s="115"/>
      <c r="E3175" s="115"/>
      <c r="F3175" s="115"/>
    </row>
    <row r="3176" spans="1:6" x14ac:dyDescent="0.2">
      <c r="A3176" s="115"/>
      <c r="B3176" s="79"/>
      <c r="C3176" s="115"/>
      <c r="D3176" s="115"/>
      <c r="E3176" s="115"/>
      <c r="F3176" s="115"/>
    </row>
    <row r="3177" spans="1:6" x14ac:dyDescent="0.2">
      <c r="A3177" s="115"/>
      <c r="B3177" s="79"/>
      <c r="C3177" s="115"/>
      <c r="D3177" s="115"/>
      <c r="E3177" s="115"/>
      <c r="F3177" s="115"/>
    </row>
    <row r="3178" spans="1:6" x14ac:dyDescent="0.2">
      <c r="A3178" s="115"/>
      <c r="B3178" s="79"/>
      <c r="C3178" s="115"/>
      <c r="D3178" s="115"/>
      <c r="E3178" s="115"/>
      <c r="F3178" s="115"/>
    </row>
    <row r="3179" spans="1:6" x14ac:dyDescent="0.2">
      <c r="A3179" s="115"/>
      <c r="B3179" s="79"/>
      <c r="C3179" s="115"/>
      <c r="D3179" s="115"/>
      <c r="E3179" s="115"/>
      <c r="F3179" s="115"/>
    </row>
    <row r="3180" spans="1:6" x14ac:dyDescent="0.2">
      <c r="A3180" s="115"/>
      <c r="B3180" s="79"/>
      <c r="C3180" s="115"/>
      <c r="D3180" s="115"/>
      <c r="E3180" s="115"/>
      <c r="F3180" s="115"/>
    </row>
    <row r="3181" spans="1:6" x14ac:dyDescent="0.2">
      <c r="A3181" s="115"/>
      <c r="B3181" s="79"/>
      <c r="C3181" s="115"/>
      <c r="D3181" s="115"/>
      <c r="E3181" s="115"/>
      <c r="F3181" s="115"/>
    </row>
    <row r="3182" spans="1:6" x14ac:dyDescent="0.2">
      <c r="A3182" s="115"/>
      <c r="B3182" s="79"/>
      <c r="C3182" s="115"/>
      <c r="D3182" s="115"/>
      <c r="E3182" s="115"/>
      <c r="F3182" s="115"/>
    </row>
    <row r="3183" spans="1:6" x14ac:dyDescent="0.2">
      <c r="A3183" s="115"/>
      <c r="B3183" s="79"/>
      <c r="C3183" s="115"/>
      <c r="D3183" s="115"/>
      <c r="E3183" s="115"/>
      <c r="F3183" s="115"/>
    </row>
    <row r="3184" spans="1:6" x14ac:dyDescent="0.2">
      <c r="A3184" s="115"/>
      <c r="B3184" s="79"/>
      <c r="C3184" s="115"/>
      <c r="D3184" s="115"/>
      <c r="E3184" s="115"/>
      <c r="F3184" s="115"/>
    </row>
    <row r="3185" spans="1:6" x14ac:dyDescent="0.2">
      <c r="A3185" s="115"/>
      <c r="B3185" s="79"/>
      <c r="C3185" s="115"/>
      <c r="D3185" s="115"/>
      <c r="E3185" s="115"/>
      <c r="F3185" s="115"/>
    </row>
    <row r="3186" spans="1:6" x14ac:dyDescent="0.2">
      <c r="A3186" s="115"/>
      <c r="B3186" s="79"/>
      <c r="C3186" s="115"/>
      <c r="D3186" s="115"/>
      <c r="E3186" s="115"/>
      <c r="F3186" s="115"/>
    </row>
    <row r="3187" spans="1:6" x14ac:dyDescent="0.2">
      <c r="A3187" s="115"/>
      <c r="B3187" s="79"/>
      <c r="C3187" s="115"/>
      <c r="D3187" s="115"/>
      <c r="E3187" s="115"/>
      <c r="F3187" s="115"/>
    </row>
    <row r="3188" spans="1:6" x14ac:dyDescent="0.2">
      <c r="A3188" s="115"/>
      <c r="B3188" s="79"/>
      <c r="C3188" s="115"/>
      <c r="D3188" s="115"/>
      <c r="E3188" s="115"/>
      <c r="F3188" s="115"/>
    </row>
    <row r="3189" spans="1:6" x14ac:dyDescent="0.2">
      <c r="A3189" s="115"/>
      <c r="B3189" s="79"/>
      <c r="C3189" s="115"/>
      <c r="D3189" s="115"/>
      <c r="E3189" s="115"/>
      <c r="F3189" s="115"/>
    </row>
    <row r="3190" spans="1:6" x14ac:dyDescent="0.2">
      <c r="A3190" s="115"/>
      <c r="B3190" s="79"/>
      <c r="C3190" s="115"/>
      <c r="D3190" s="115"/>
      <c r="E3190" s="115"/>
      <c r="F3190" s="115"/>
    </row>
    <row r="3191" spans="1:6" x14ac:dyDescent="0.2">
      <c r="A3191" s="115"/>
      <c r="B3191" s="79"/>
      <c r="C3191" s="115"/>
      <c r="D3191" s="115"/>
      <c r="E3191" s="115"/>
      <c r="F3191" s="115"/>
    </row>
    <row r="3192" spans="1:6" x14ac:dyDescent="0.2">
      <c r="A3192" s="115"/>
      <c r="B3192" s="79"/>
      <c r="C3192" s="115"/>
      <c r="D3192" s="115"/>
      <c r="E3192" s="115"/>
      <c r="F3192" s="115"/>
    </row>
    <row r="3193" spans="1:6" x14ac:dyDescent="0.2">
      <c r="A3193" s="115"/>
      <c r="B3193" s="79"/>
      <c r="C3193" s="115"/>
      <c r="D3193" s="115"/>
      <c r="E3193" s="115"/>
      <c r="F3193" s="115"/>
    </row>
    <row r="3194" spans="1:6" x14ac:dyDescent="0.2">
      <c r="A3194" s="115"/>
      <c r="B3194" s="79"/>
      <c r="C3194" s="115"/>
      <c r="D3194" s="115"/>
      <c r="E3194" s="115"/>
      <c r="F3194" s="115"/>
    </row>
    <row r="3195" spans="1:6" x14ac:dyDescent="0.2">
      <c r="A3195" s="115"/>
      <c r="B3195" s="79"/>
      <c r="C3195" s="115"/>
      <c r="D3195" s="115"/>
      <c r="E3195" s="115"/>
      <c r="F3195" s="115"/>
    </row>
    <row r="3196" spans="1:6" x14ac:dyDescent="0.2">
      <c r="A3196" s="115"/>
      <c r="B3196" s="79"/>
      <c r="C3196" s="115"/>
      <c r="D3196" s="115"/>
      <c r="E3196" s="115"/>
      <c r="F3196" s="115"/>
    </row>
    <row r="3197" spans="1:6" x14ac:dyDescent="0.2">
      <c r="A3197" s="115"/>
      <c r="B3197" s="79"/>
      <c r="C3197" s="115"/>
      <c r="D3197" s="115"/>
      <c r="E3197" s="115"/>
      <c r="F3197" s="115"/>
    </row>
    <row r="3198" spans="1:6" x14ac:dyDescent="0.2">
      <c r="A3198" s="115"/>
      <c r="B3198" s="79"/>
      <c r="C3198" s="115"/>
      <c r="D3198" s="115"/>
      <c r="E3198" s="115"/>
      <c r="F3198" s="115"/>
    </row>
    <row r="3199" spans="1:6" x14ac:dyDescent="0.2">
      <c r="A3199" s="115"/>
      <c r="B3199" s="79"/>
      <c r="C3199" s="115"/>
      <c r="D3199" s="115"/>
      <c r="E3199" s="115"/>
      <c r="F3199" s="115"/>
    </row>
    <row r="3200" spans="1:6" x14ac:dyDescent="0.2">
      <c r="A3200" s="115"/>
      <c r="B3200" s="79"/>
      <c r="C3200" s="115"/>
      <c r="D3200" s="115"/>
      <c r="E3200" s="115"/>
      <c r="F3200" s="115"/>
    </row>
    <row r="3201" spans="1:6" x14ac:dyDescent="0.2">
      <c r="A3201" s="115"/>
      <c r="B3201" s="79"/>
      <c r="C3201" s="115"/>
      <c r="D3201" s="115"/>
      <c r="E3201" s="115"/>
      <c r="F3201" s="115"/>
    </row>
    <row r="3202" spans="1:6" x14ac:dyDescent="0.2">
      <c r="A3202" s="115"/>
      <c r="B3202" s="79"/>
      <c r="C3202" s="115"/>
      <c r="D3202" s="115"/>
      <c r="E3202" s="115"/>
      <c r="F3202" s="115"/>
    </row>
    <row r="3203" spans="1:6" x14ac:dyDescent="0.2">
      <c r="A3203" s="115"/>
      <c r="B3203" s="79"/>
      <c r="C3203" s="115"/>
      <c r="D3203" s="115"/>
      <c r="E3203" s="115"/>
      <c r="F3203" s="115"/>
    </row>
    <row r="3204" spans="1:6" x14ac:dyDescent="0.2">
      <c r="A3204" s="115"/>
      <c r="B3204" s="79"/>
      <c r="C3204" s="115"/>
      <c r="D3204" s="115"/>
      <c r="E3204" s="115"/>
      <c r="F3204" s="115"/>
    </row>
    <row r="3205" spans="1:6" x14ac:dyDescent="0.2">
      <c r="A3205" s="115"/>
      <c r="B3205" s="79"/>
      <c r="C3205" s="115"/>
      <c r="D3205" s="115"/>
      <c r="E3205" s="115"/>
      <c r="F3205" s="115"/>
    </row>
    <row r="3206" spans="1:6" x14ac:dyDescent="0.2">
      <c r="A3206" s="115"/>
      <c r="B3206" s="79"/>
      <c r="C3206" s="115"/>
      <c r="D3206" s="115"/>
      <c r="E3206" s="115"/>
      <c r="F3206" s="115"/>
    </row>
    <row r="3207" spans="1:6" x14ac:dyDescent="0.2">
      <c r="A3207" s="115"/>
      <c r="B3207" s="79"/>
      <c r="C3207" s="115"/>
      <c r="D3207" s="115"/>
      <c r="E3207" s="115"/>
      <c r="F3207" s="115"/>
    </row>
    <row r="3208" spans="1:6" x14ac:dyDescent="0.2">
      <c r="A3208" s="115"/>
      <c r="B3208" s="79"/>
      <c r="C3208" s="115"/>
      <c r="D3208" s="115"/>
      <c r="E3208" s="115"/>
      <c r="F3208" s="115"/>
    </row>
    <row r="3209" spans="1:6" x14ac:dyDescent="0.2">
      <c r="A3209" s="115"/>
      <c r="B3209" s="79"/>
      <c r="C3209" s="115"/>
      <c r="D3209" s="115"/>
      <c r="E3209" s="115"/>
      <c r="F3209" s="115"/>
    </row>
    <row r="3210" spans="1:6" x14ac:dyDescent="0.2">
      <c r="A3210" s="115"/>
      <c r="B3210" s="79"/>
      <c r="C3210" s="115"/>
      <c r="D3210" s="115"/>
      <c r="E3210" s="115"/>
      <c r="F3210" s="115"/>
    </row>
    <row r="3211" spans="1:6" x14ac:dyDescent="0.2">
      <c r="A3211" s="115"/>
      <c r="B3211" s="79"/>
      <c r="C3211" s="115"/>
      <c r="D3211" s="115"/>
      <c r="E3211" s="115"/>
      <c r="F3211" s="115"/>
    </row>
    <row r="3212" spans="1:6" x14ac:dyDescent="0.2">
      <c r="A3212" s="115"/>
      <c r="B3212" s="79"/>
      <c r="C3212" s="115"/>
      <c r="D3212" s="115"/>
      <c r="E3212" s="115"/>
      <c r="F3212" s="115"/>
    </row>
    <row r="3213" spans="1:6" x14ac:dyDescent="0.2">
      <c r="A3213" s="115"/>
      <c r="B3213" s="79"/>
      <c r="C3213" s="115"/>
      <c r="D3213" s="115"/>
      <c r="E3213" s="115"/>
      <c r="F3213" s="115"/>
    </row>
    <row r="3214" spans="1:6" x14ac:dyDescent="0.2">
      <c r="A3214" s="115"/>
      <c r="B3214" s="79"/>
      <c r="C3214" s="115"/>
      <c r="D3214" s="115"/>
      <c r="E3214" s="115"/>
      <c r="F3214" s="115"/>
    </row>
    <row r="3215" spans="1:6" x14ac:dyDescent="0.2">
      <c r="A3215" s="115"/>
      <c r="B3215" s="79"/>
      <c r="C3215" s="115"/>
      <c r="D3215" s="115"/>
      <c r="E3215" s="115"/>
      <c r="F3215" s="115"/>
    </row>
    <row r="3216" spans="1:6" x14ac:dyDescent="0.2">
      <c r="A3216" s="115"/>
      <c r="B3216" s="79"/>
      <c r="C3216" s="115"/>
      <c r="D3216" s="115"/>
      <c r="E3216" s="115"/>
      <c r="F3216" s="115"/>
    </row>
    <row r="3217" spans="1:6" x14ac:dyDescent="0.2">
      <c r="A3217" s="115"/>
      <c r="B3217" s="79"/>
      <c r="C3217" s="115"/>
      <c r="D3217" s="115"/>
      <c r="E3217" s="115"/>
      <c r="F3217" s="115"/>
    </row>
    <row r="3218" spans="1:6" x14ac:dyDescent="0.2">
      <c r="A3218" s="115"/>
      <c r="B3218" s="79"/>
      <c r="C3218" s="115"/>
      <c r="D3218" s="115"/>
      <c r="E3218" s="115"/>
      <c r="F3218" s="115"/>
    </row>
    <row r="3219" spans="1:6" x14ac:dyDescent="0.2">
      <c r="A3219" s="115"/>
      <c r="B3219" s="79"/>
      <c r="C3219" s="115"/>
      <c r="D3219" s="115"/>
      <c r="E3219" s="115"/>
      <c r="F3219" s="115"/>
    </row>
    <row r="3220" spans="1:6" x14ac:dyDescent="0.2">
      <c r="A3220" s="115"/>
      <c r="B3220" s="79"/>
      <c r="C3220" s="115"/>
      <c r="D3220" s="115"/>
      <c r="E3220" s="115"/>
      <c r="F3220" s="115"/>
    </row>
    <row r="3221" spans="1:6" x14ac:dyDescent="0.2">
      <c r="A3221" s="115"/>
      <c r="B3221" s="79"/>
      <c r="C3221" s="115"/>
      <c r="D3221" s="115"/>
      <c r="E3221" s="115"/>
      <c r="F3221" s="115"/>
    </row>
    <row r="3222" spans="1:6" x14ac:dyDescent="0.2">
      <c r="A3222" s="115"/>
      <c r="B3222" s="79"/>
      <c r="C3222" s="115"/>
      <c r="D3222" s="115"/>
      <c r="E3222" s="115"/>
      <c r="F3222" s="115"/>
    </row>
    <row r="3223" spans="1:6" x14ac:dyDescent="0.2">
      <c r="A3223" s="115"/>
      <c r="B3223" s="79"/>
      <c r="C3223" s="115"/>
      <c r="D3223" s="115"/>
      <c r="E3223" s="115"/>
      <c r="F3223" s="115"/>
    </row>
    <row r="3224" spans="1:6" x14ac:dyDescent="0.2">
      <c r="A3224" s="115"/>
      <c r="B3224" s="79"/>
      <c r="C3224" s="115"/>
      <c r="D3224" s="115"/>
      <c r="E3224" s="115"/>
      <c r="F3224" s="115"/>
    </row>
    <row r="3225" spans="1:6" x14ac:dyDescent="0.2">
      <c r="A3225" s="115"/>
      <c r="B3225" s="79"/>
      <c r="C3225" s="115"/>
      <c r="D3225" s="115"/>
      <c r="E3225" s="115"/>
      <c r="F3225" s="115"/>
    </row>
    <row r="3226" spans="1:6" x14ac:dyDescent="0.2">
      <c r="A3226" s="115"/>
      <c r="B3226" s="79"/>
      <c r="C3226" s="115"/>
      <c r="D3226" s="115"/>
      <c r="E3226" s="115"/>
      <c r="F3226" s="115"/>
    </row>
    <row r="3227" spans="1:6" x14ac:dyDescent="0.2">
      <c r="A3227" s="115"/>
      <c r="B3227" s="79"/>
      <c r="C3227" s="115"/>
      <c r="D3227" s="115"/>
      <c r="E3227" s="115"/>
      <c r="F3227" s="115"/>
    </row>
    <row r="3228" spans="1:6" x14ac:dyDescent="0.2">
      <c r="A3228" s="115"/>
      <c r="B3228" s="79"/>
      <c r="C3228" s="115"/>
      <c r="D3228" s="115"/>
      <c r="E3228" s="115"/>
      <c r="F3228" s="115"/>
    </row>
    <row r="3229" spans="1:6" x14ac:dyDescent="0.2">
      <c r="A3229" s="115"/>
      <c r="B3229" s="79"/>
      <c r="C3229" s="115"/>
      <c r="D3229" s="115"/>
      <c r="E3229" s="115"/>
      <c r="F3229" s="115"/>
    </row>
    <row r="3230" spans="1:6" x14ac:dyDescent="0.2">
      <c r="A3230" s="115"/>
      <c r="B3230" s="79"/>
      <c r="C3230" s="115"/>
      <c r="D3230" s="115"/>
      <c r="E3230" s="115"/>
      <c r="F3230" s="115"/>
    </row>
    <row r="3231" spans="1:6" x14ac:dyDescent="0.2">
      <c r="A3231" s="115"/>
      <c r="B3231" s="79"/>
      <c r="C3231" s="115"/>
      <c r="D3231" s="115"/>
      <c r="E3231" s="115"/>
      <c r="F3231" s="115"/>
    </row>
    <row r="3232" spans="1:6" x14ac:dyDescent="0.2">
      <c r="A3232" s="115"/>
      <c r="B3232" s="79"/>
      <c r="C3232" s="115"/>
      <c r="D3232" s="115"/>
      <c r="E3232" s="115"/>
      <c r="F3232" s="115"/>
    </row>
    <row r="3233" spans="1:6" x14ac:dyDescent="0.2">
      <c r="A3233" s="115"/>
      <c r="B3233" s="79"/>
      <c r="C3233" s="115"/>
      <c r="D3233" s="115"/>
      <c r="E3233" s="115"/>
      <c r="F3233" s="115"/>
    </row>
    <row r="3234" spans="1:6" x14ac:dyDescent="0.2">
      <c r="A3234" s="115"/>
      <c r="B3234" s="79"/>
      <c r="C3234" s="115"/>
      <c r="D3234" s="115"/>
      <c r="E3234" s="115"/>
      <c r="F3234" s="115"/>
    </row>
    <row r="3235" spans="1:6" x14ac:dyDescent="0.2">
      <c r="A3235" s="115"/>
      <c r="B3235" s="79"/>
      <c r="C3235" s="115"/>
      <c r="D3235" s="115"/>
      <c r="E3235" s="115"/>
      <c r="F3235" s="115"/>
    </row>
    <row r="3236" spans="1:6" x14ac:dyDescent="0.2">
      <c r="A3236" s="115"/>
      <c r="B3236" s="79"/>
      <c r="C3236" s="115"/>
      <c r="D3236" s="115"/>
      <c r="E3236" s="115"/>
      <c r="F3236" s="115"/>
    </row>
    <row r="3237" spans="1:6" x14ac:dyDescent="0.2">
      <c r="A3237" s="115"/>
      <c r="B3237" s="79"/>
      <c r="C3237" s="115"/>
      <c r="D3237" s="115"/>
      <c r="E3237" s="115"/>
      <c r="F3237" s="115"/>
    </row>
    <row r="3238" spans="1:6" x14ac:dyDescent="0.2">
      <c r="A3238" s="115"/>
      <c r="B3238" s="79"/>
      <c r="C3238" s="115"/>
      <c r="D3238" s="115"/>
      <c r="E3238" s="115"/>
      <c r="F3238" s="115"/>
    </row>
    <row r="3239" spans="1:6" x14ac:dyDescent="0.2">
      <c r="A3239" s="115"/>
      <c r="B3239" s="79"/>
      <c r="C3239" s="115"/>
      <c r="D3239" s="115"/>
      <c r="E3239" s="115"/>
      <c r="F3239" s="115"/>
    </row>
    <row r="3240" spans="1:6" x14ac:dyDescent="0.2">
      <c r="A3240" s="115"/>
      <c r="B3240" s="79"/>
      <c r="C3240" s="115"/>
      <c r="D3240" s="115"/>
      <c r="E3240" s="115"/>
      <c r="F3240" s="115"/>
    </row>
    <row r="3241" spans="1:6" x14ac:dyDescent="0.2">
      <c r="A3241" s="115"/>
      <c r="B3241" s="79"/>
      <c r="C3241" s="115"/>
      <c r="D3241" s="115"/>
      <c r="E3241" s="115"/>
      <c r="F3241" s="115"/>
    </row>
    <row r="3242" spans="1:6" x14ac:dyDescent="0.2">
      <c r="A3242" s="115"/>
      <c r="B3242" s="79"/>
      <c r="C3242" s="115"/>
      <c r="D3242" s="115"/>
      <c r="E3242" s="115"/>
      <c r="F3242" s="115"/>
    </row>
    <row r="3243" spans="1:6" x14ac:dyDescent="0.2">
      <c r="A3243" s="115"/>
      <c r="B3243" s="79"/>
      <c r="C3243" s="115"/>
      <c r="D3243" s="115"/>
      <c r="E3243" s="115"/>
      <c r="F3243" s="115"/>
    </row>
    <row r="3244" spans="1:6" x14ac:dyDescent="0.2">
      <c r="A3244" s="115"/>
      <c r="B3244" s="79"/>
      <c r="C3244" s="115"/>
      <c r="D3244" s="115"/>
      <c r="E3244" s="115"/>
      <c r="F3244" s="115"/>
    </row>
    <row r="3245" spans="1:6" x14ac:dyDescent="0.2">
      <c r="A3245" s="115"/>
      <c r="B3245" s="79"/>
      <c r="C3245" s="115"/>
      <c r="D3245" s="115"/>
      <c r="E3245" s="115"/>
      <c r="F3245" s="115"/>
    </row>
    <row r="3246" spans="1:6" x14ac:dyDescent="0.2">
      <c r="A3246" s="115"/>
      <c r="B3246" s="79"/>
      <c r="C3246" s="115"/>
      <c r="D3246" s="115"/>
      <c r="E3246" s="115"/>
      <c r="F3246" s="115"/>
    </row>
    <row r="3247" spans="1:6" x14ac:dyDescent="0.2">
      <c r="A3247" s="115"/>
      <c r="B3247" s="79"/>
      <c r="C3247" s="115"/>
      <c r="D3247" s="115"/>
      <c r="E3247" s="115"/>
      <c r="F3247" s="115"/>
    </row>
    <row r="3248" spans="1:6" x14ac:dyDescent="0.2">
      <c r="A3248" s="115"/>
      <c r="B3248" s="79"/>
      <c r="C3248" s="115"/>
      <c r="D3248" s="115"/>
      <c r="E3248" s="115"/>
      <c r="F3248" s="115"/>
    </row>
    <row r="3249" spans="1:6" x14ac:dyDescent="0.2">
      <c r="A3249" s="115"/>
      <c r="B3249" s="79"/>
      <c r="C3249" s="115"/>
      <c r="D3249" s="115"/>
      <c r="E3249" s="115"/>
      <c r="F3249" s="115"/>
    </row>
    <row r="3250" spans="1:6" x14ac:dyDescent="0.2">
      <c r="A3250" s="115"/>
      <c r="B3250" s="79"/>
      <c r="C3250" s="115"/>
      <c r="D3250" s="115"/>
      <c r="E3250" s="115"/>
      <c r="F3250" s="115"/>
    </row>
    <row r="3251" spans="1:6" x14ac:dyDescent="0.2">
      <c r="A3251" s="115"/>
      <c r="B3251" s="79"/>
      <c r="C3251" s="115"/>
      <c r="D3251" s="115"/>
      <c r="E3251" s="115"/>
      <c r="F3251" s="115"/>
    </row>
    <row r="3252" spans="1:6" x14ac:dyDescent="0.2">
      <c r="A3252" s="115"/>
      <c r="B3252" s="79"/>
      <c r="C3252" s="115"/>
      <c r="D3252" s="115"/>
      <c r="E3252" s="115"/>
      <c r="F3252" s="115"/>
    </row>
    <row r="3253" spans="1:6" x14ac:dyDescent="0.2">
      <c r="A3253" s="115"/>
      <c r="B3253" s="79"/>
      <c r="C3253" s="115"/>
      <c r="D3253" s="115"/>
      <c r="E3253" s="115"/>
      <c r="F3253" s="115"/>
    </row>
    <row r="3254" spans="1:6" x14ac:dyDescent="0.2">
      <c r="A3254" s="115"/>
      <c r="B3254" s="79"/>
      <c r="C3254" s="115"/>
      <c r="D3254" s="115"/>
      <c r="E3254" s="115"/>
      <c r="F3254" s="115"/>
    </row>
    <row r="3255" spans="1:6" x14ac:dyDescent="0.2">
      <c r="A3255" s="115"/>
      <c r="B3255" s="79"/>
      <c r="C3255" s="115"/>
      <c r="D3255" s="115"/>
      <c r="E3255" s="115"/>
      <c r="F3255" s="115"/>
    </row>
    <row r="3256" spans="1:6" x14ac:dyDescent="0.2">
      <c r="A3256" s="115"/>
      <c r="B3256" s="79"/>
      <c r="C3256" s="115"/>
      <c r="D3256" s="115"/>
      <c r="E3256" s="115"/>
      <c r="F3256" s="115"/>
    </row>
    <row r="3257" spans="1:6" x14ac:dyDescent="0.2">
      <c r="A3257" s="115"/>
      <c r="B3257" s="79"/>
      <c r="C3257" s="115"/>
      <c r="D3257" s="115"/>
      <c r="E3257" s="115"/>
      <c r="F3257" s="115"/>
    </row>
    <row r="3258" spans="1:6" x14ac:dyDescent="0.2">
      <c r="A3258" s="115"/>
      <c r="B3258" s="79"/>
      <c r="C3258" s="115"/>
      <c r="D3258" s="115"/>
      <c r="E3258" s="115"/>
      <c r="F3258" s="115"/>
    </row>
    <row r="3259" spans="1:6" x14ac:dyDescent="0.2">
      <c r="A3259" s="115"/>
      <c r="B3259" s="79"/>
      <c r="C3259" s="115"/>
      <c r="D3259" s="115"/>
      <c r="E3259" s="115"/>
      <c r="F3259" s="115"/>
    </row>
    <row r="3260" spans="1:6" x14ac:dyDescent="0.2">
      <c r="A3260" s="115"/>
      <c r="B3260" s="79"/>
      <c r="C3260" s="115"/>
      <c r="D3260" s="115"/>
      <c r="E3260" s="115"/>
      <c r="F3260" s="115"/>
    </row>
    <row r="3261" spans="1:6" x14ac:dyDescent="0.2">
      <c r="A3261" s="115"/>
      <c r="B3261" s="79"/>
      <c r="C3261" s="115"/>
      <c r="D3261" s="115"/>
      <c r="E3261" s="115"/>
      <c r="F3261" s="115"/>
    </row>
    <row r="3262" spans="1:6" x14ac:dyDescent="0.2">
      <c r="A3262" s="115"/>
      <c r="B3262" s="79"/>
      <c r="C3262" s="115"/>
      <c r="D3262" s="115"/>
      <c r="E3262" s="115"/>
      <c r="F3262" s="115"/>
    </row>
    <row r="3263" spans="1:6" x14ac:dyDescent="0.2">
      <c r="A3263" s="115"/>
      <c r="B3263" s="79"/>
      <c r="C3263" s="115"/>
      <c r="D3263" s="115"/>
      <c r="E3263" s="115"/>
      <c r="F3263" s="115"/>
    </row>
    <row r="3264" spans="1:6" x14ac:dyDescent="0.2">
      <c r="A3264" s="115"/>
      <c r="B3264" s="79"/>
      <c r="C3264" s="115"/>
      <c r="D3264" s="115"/>
      <c r="E3264" s="115"/>
      <c r="F3264" s="115"/>
    </row>
    <row r="3265" spans="1:6" x14ac:dyDescent="0.2">
      <c r="A3265" s="115"/>
      <c r="B3265" s="79"/>
      <c r="C3265" s="115"/>
      <c r="D3265" s="115"/>
      <c r="E3265" s="115"/>
      <c r="F3265" s="115"/>
    </row>
    <row r="3266" spans="1:6" x14ac:dyDescent="0.2">
      <c r="A3266" s="115"/>
      <c r="B3266" s="79"/>
      <c r="C3266" s="115"/>
      <c r="D3266" s="115"/>
      <c r="E3266" s="115"/>
      <c r="F3266" s="115"/>
    </row>
    <row r="3267" spans="1:6" x14ac:dyDescent="0.2">
      <c r="A3267" s="115"/>
      <c r="B3267" s="79"/>
      <c r="C3267" s="115"/>
      <c r="D3267" s="115"/>
      <c r="E3267" s="115"/>
      <c r="F3267" s="115"/>
    </row>
    <row r="3268" spans="1:6" x14ac:dyDescent="0.2">
      <c r="A3268" s="115"/>
      <c r="B3268" s="79"/>
      <c r="C3268" s="115"/>
      <c r="D3268" s="115"/>
      <c r="E3268" s="115"/>
      <c r="F3268" s="115"/>
    </row>
    <row r="3269" spans="1:6" x14ac:dyDescent="0.2">
      <c r="A3269" s="115"/>
      <c r="B3269" s="79"/>
      <c r="C3269" s="115"/>
      <c r="D3269" s="115"/>
      <c r="E3269" s="115"/>
      <c r="F3269" s="115"/>
    </row>
    <row r="3270" spans="1:6" x14ac:dyDescent="0.2">
      <c r="A3270" s="115"/>
      <c r="B3270" s="79"/>
      <c r="C3270" s="115"/>
      <c r="D3270" s="115"/>
      <c r="E3270" s="115"/>
      <c r="F3270" s="115"/>
    </row>
    <row r="3271" spans="1:6" x14ac:dyDescent="0.2">
      <c r="A3271" s="115"/>
      <c r="B3271" s="79"/>
      <c r="C3271" s="115"/>
      <c r="D3271" s="115"/>
      <c r="E3271" s="115"/>
      <c r="F3271" s="115"/>
    </row>
    <row r="3272" spans="1:6" x14ac:dyDescent="0.2">
      <c r="A3272" s="115"/>
      <c r="B3272" s="79"/>
      <c r="C3272" s="115"/>
      <c r="D3272" s="115"/>
      <c r="E3272" s="115"/>
      <c r="F3272" s="115"/>
    </row>
    <row r="3273" spans="1:6" x14ac:dyDescent="0.2">
      <c r="A3273" s="115"/>
      <c r="B3273" s="79"/>
      <c r="C3273" s="115"/>
      <c r="D3273" s="115"/>
      <c r="E3273" s="115"/>
      <c r="F3273" s="115"/>
    </row>
    <row r="3274" spans="1:6" x14ac:dyDescent="0.2">
      <c r="A3274" s="115"/>
      <c r="B3274" s="79"/>
      <c r="C3274" s="115"/>
      <c r="D3274" s="115"/>
      <c r="E3274" s="115"/>
      <c r="F3274" s="115"/>
    </row>
    <row r="3275" spans="1:6" x14ac:dyDescent="0.2">
      <c r="A3275" s="115"/>
      <c r="B3275" s="79"/>
      <c r="C3275" s="115"/>
      <c r="D3275" s="115"/>
      <c r="E3275" s="115"/>
      <c r="F3275" s="115"/>
    </row>
    <row r="3276" spans="1:6" x14ac:dyDescent="0.2">
      <c r="A3276" s="115"/>
      <c r="B3276" s="79"/>
      <c r="C3276" s="115"/>
      <c r="D3276" s="115"/>
      <c r="E3276" s="115"/>
      <c r="F3276" s="115"/>
    </row>
    <row r="3277" spans="1:6" x14ac:dyDescent="0.2">
      <c r="A3277" s="115"/>
      <c r="B3277" s="79"/>
      <c r="C3277" s="115"/>
      <c r="D3277" s="115"/>
      <c r="E3277" s="115"/>
      <c r="F3277" s="115"/>
    </row>
    <row r="3278" spans="1:6" x14ac:dyDescent="0.2">
      <c r="A3278" s="115"/>
      <c r="B3278" s="79"/>
      <c r="C3278" s="115"/>
      <c r="D3278" s="115"/>
      <c r="E3278" s="115"/>
      <c r="F3278" s="115"/>
    </row>
    <row r="3279" spans="1:6" x14ac:dyDescent="0.2">
      <c r="A3279" s="115"/>
      <c r="B3279" s="79"/>
      <c r="C3279" s="115"/>
      <c r="D3279" s="115"/>
      <c r="E3279" s="115"/>
      <c r="F3279" s="115"/>
    </row>
    <row r="3280" spans="1:6" x14ac:dyDescent="0.2">
      <c r="A3280" s="115"/>
      <c r="B3280" s="79"/>
      <c r="C3280" s="115"/>
      <c r="D3280" s="115"/>
      <c r="E3280" s="115"/>
      <c r="F3280" s="115"/>
    </row>
    <row r="3281" spans="1:6" x14ac:dyDescent="0.2">
      <c r="A3281" s="115"/>
      <c r="B3281" s="79"/>
      <c r="C3281" s="115"/>
      <c r="D3281" s="115"/>
      <c r="E3281" s="115"/>
      <c r="F3281" s="115"/>
    </row>
    <row r="3282" spans="1:6" x14ac:dyDescent="0.2">
      <c r="A3282" s="115"/>
      <c r="B3282" s="79"/>
      <c r="C3282" s="115"/>
      <c r="D3282" s="115"/>
      <c r="E3282" s="115"/>
      <c r="F3282" s="115"/>
    </row>
    <row r="3283" spans="1:6" x14ac:dyDescent="0.2">
      <c r="A3283" s="115"/>
      <c r="B3283" s="79"/>
      <c r="C3283" s="115"/>
      <c r="D3283" s="115"/>
      <c r="E3283" s="115"/>
      <c r="F3283" s="115"/>
    </row>
    <row r="3284" spans="1:6" x14ac:dyDescent="0.2">
      <c r="A3284" s="115"/>
      <c r="B3284" s="79"/>
      <c r="C3284" s="115"/>
      <c r="D3284" s="115"/>
      <c r="E3284" s="115"/>
      <c r="F3284" s="115"/>
    </row>
    <row r="3285" spans="1:6" x14ac:dyDescent="0.2">
      <c r="A3285" s="115"/>
      <c r="B3285" s="79"/>
      <c r="C3285" s="115"/>
      <c r="D3285" s="115"/>
      <c r="E3285" s="115"/>
      <c r="F3285" s="115"/>
    </row>
    <row r="3286" spans="1:6" x14ac:dyDescent="0.2">
      <c r="A3286" s="115"/>
      <c r="B3286" s="79"/>
      <c r="C3286" s="115"/>
      <c r="D3286" s="115"/>
      <c r="E3286" s="115"/>
      <c r="F3286" s="115"/>
    </row>
    <row r="3287" spans="1:6" x14ac:dyDescent="0.2">
      <c r="A3287" s="115"/>
      <c r="B3287" s="79"/>
      <c r="C3287" s="115"/>
      <c r="D3287" s="115"/>
      <c r="E3287" s="115"/>
      <c r="F3287" s="115"/>
    </row>
    <row r="3288" spans="1:6" x14ac:dyDescent="0.2">
      <c r="A3288" s="115"/>
      <c r="B3288" s="79"/>
      <c r="C3288" s="115"/>
      <c r="D3288" s="115"/>
      <c r="E3288" s="115"/>
      <c r="F3288" s="115"/>
    </row>
    <row r="3289" spans="1:6" x14ac:dyDescent="0.2">
      <c r="A3289" s="115"/>
      <c r="B3289" s="79"/>
      <c r="C3289" s="115"/>
      <c r="D3289" s="115"/>
      <c r="E3289" s="115"/>
      <c r="F3289" s="115"/>
    </row>
    <row r="3290" spans="1:6" x14ac:dyDescent="0.2">
      <c r="A3290" s="115"/>
      <c r="B3290" s="79"/>
      <c r="C3290" s="115"/>
      <c r="D3290" s="115"/>
      <c r="E3290" s="115"/>
      <c r="F3290" s="115"/>
    </row>
    <row r="3291" spans="1:6" x14ac:dyDescent="0.2">
      <c r="A3291" s="115"/>
      <c r="B3291" s="79"/>
      <c r="C3291" s="115"/>
      <c r="D3291" s="115"/>
      <c r="E3291" s="115"/>
      <c r="F3291" s="115"/>
    </row>
    <row r="3292" spans="1:6" x14ac:dyDescent="0.2">
      <c r="A3292" s="115"/>
      <c r="B3292" s="79"/>
      <c r="C3292" s="115"/>
      <c r="D3292" s="115"/>
      <c r="E3292" s="115"/>
      <c r="F3292" s="115"/>
    </row>
    <row r="3293" spans="1:6" x14ac:dyDescent="0.2">
      <c r="A3293" s="115"/>
      <c r="B3293" s="79"/>
      <c r="C3293" s="115"/>
      <c r="D3293" s="115"/>
      <c r="E3293" s="115"/>
      <c r="F3293" s="115"/>
    </row>
    <row r="3294" spans="1:6" x14ac:dyDescent="0.2">
      <c r="A3294" s="115"/>
      <c r="B3294" s="79"/>
      <c r="C3294" s="115"/>
      <c r="D3294" s="115"/>
      <c r="E3294" s="115"/>
      <c r="F3294" s="115"/>
    </row>
    <row r="3295" spans="1:6" x14ac:dyDescent="0.2">
      <c r="A3295" s="115"/>
      <c r="B3295" s="79"/>
      <c r="C3295" s="115"/>
      <c r="D3295" s="115"/>
      <c r="E3295" s="115"/>
      <c r="F3295" s="115"/>
    </row>
    <row r="3296" spans="1:6" x14ac:dyDescent="0.2">
      <c r="A3296" s="115"/>
      <c r="B3296" s="79"/>
      <c r="C3296" s="115"/>
      <c r="D3296" s="115"/>
      <c r="E3296" s="115"/>
      <c r="F3296" s="115"/>
    </row>
    <row r="3297" spans="1:6" x14ac:dyDescent="0.2">
      <c r="A3297" s="115"/>
      <c r="B3297" s="79"/>
      <c r="C3297" s="115"/>
      <c r="D3297" s="115"/>
      <c r="E3297" s="115"/>
      <c r="F3297" s="115"/>
    </row>
    <row r="3298" spans="1:6" x14ac:dyDescent="0.2">
      <c r="A3298" s="115"/>
      <c r="B3298" s="79"/>
      <c r="C3298" s="115"/>
      <c r="D3298" s="115"/>
      <c r="E3298" s="115"/>
      <c r="F3298" s="115"/>
    </row>
    <row r="3299" spans="1:6" x14ac:dyDescent="0.2">
      <c r="A3299" s="115"/>
      <c r="B3299" s="79"/>
      <c r="C3299" s="115"/>
      <c r="D3299" s="115"/>
      <c r="E3299" s="115"/>
      <c r="F3299" s="115"/>
    </row>
    <row r="3300" spans="1:6" x14ac:dyDescent="0.2">
      <c r="A3300" s="115"/>
      <c r="B3300" s="79"/>
      <c r="C3300" s="115"/>
      <c r="D3300" s="115"/>
      <c r="E3300" s="115"/>
      <c r="F3300" s="115"/>
    </row>
    <row r="3301" spans="1:6" x14ac:dyDescent="0.2">
      <c r="A3301" s="115"/>
      <c r="B3301" s="79"/>
      <c r="C3301" s="115"/>
      <c r="D3301" s="115"/>
      <c r="E3301" s="115"/>
      <c r="F3301" s="115"/>
    </row>
    <row r="3302" spans="1:6" x14ac:dyDescent="0.2">
      <c r="A3302" s="115"/>
      <c r="B3302" s="79"/>
      <c r="C3302" s="115"/>
      <c r="D3302" s="115"/>
      <c r="E3302" s="115"/>
      <c r="F3302" s="115"/>
    </row>
    <row r="3303" spans="1:6" x14ac:dyDescent="0.2">
      <c r="A3303" s="115"/>
      <c r="B3303" s="79"/>
      <c r="C3303" s="115"/>
      <c r="D3303" s="115"/>
      <c r="E3303" s="115"/>
      <c r="F3303" s="115"/>
    </row>
    <row r="3304" spans="1:6" x14ac:dyDescent="0.2">
      <c r="A3304" s="115"/>
      <c r="B3304" s="79"/>
      <c r="C3304" s="115"/>
      <c r="D3304" s="115"/>
      <c r="E3304" s="115"/>
      <c r="F3304" s="115"/>
    </row>
    <row r="3305" spans="1:6" x14ac:dyDescent="0.2">
      <c r="A3305" s="115"/>
      <c r="B3305" s="79"/>
      <c r="C3305" s="115"/>
      <c r="D3305" s="115"/>
      <c r="E3305" s="115"/>
      <c r="F3305" s="115"/>
    </row>
    <row r="3306" spans="1:6" x14ac:dyDescent="0.2">
      <c r="A3306" s="115"/>
      <c r="B3306" s="79"/>
      <c r="C3306" s="115"/>
      <c r="D3306" s="115"/>
      <c r="E3306" s="115"/>
      <c r="F3306" s="115"/>
    </row>
    <row r="3307" spans="1:6" x14ac:dyDescent="0.2">
      <c r="A3307" s="115"/>
      <c r="B3307" s="79"/>
      <c r="C3307" s="115"/>
      <c r="D3307" s="115"/>
      <c r="E3307" s="115"/>
      <c r="F3307" s="115"/>
    </row>
    <row r="3308" spans="1:6" x14ac:dyDescent="0.2">
      <c r="A3308" s="115"/>
      <c r="B3308" s="79"/>
      <c r="C3308" s="115"/>
      <c r="D3308" s="115"/>
      <c r="E3308" s="115"/>
      <c r="F3308" s="115"/>
    </row>
    <row r="3309" spans="1:6" x14ac:dyDescent="0.2">
      <c r="A3309" s="115"/>
      <c r="B3309" s="79"/>
      <c r="C3309" s="115"/>
      <c r="D3309" s="115"/>
      <c r="E3309" s="115"/>
      <c r="F3309" s="115"/>
    </row>
    <row r="3310" spans="1:6" x14ac:dyDescent="0.2">
      <c r="A3310" s="115"/>
      <c r="B3310" s="79"/>
      <c r="C3310" s="115"/>
      <c r="D3310" s="115"/>
      <c r="E3310" s="115"/>
      <c r="F3310" s="115"/>
    </row>
    <row r="3311" spans="1:6" x14ac:dyDescent="0.2">
      <c r="A3311" s="115"/>
      <c r="B3311" s="79"/>
      <c r="C3311" s="115"/>
      <c r="D3311" s="115"/>
      <c r="E3311" s="115"/>
      <c r="F3311" s="115"/>
    </row>
    <row r="3312" spans="1:6" x14ac:dyDescent="0.2">
      <c r="A3312" s="115"/>
      <c r="B3312" s="79"/>
      <c r="C3312" s="115"/>
      <c r="D3312" s="115"/>
      <c r="E3312" s="115"/>
      <c r="F3312" s="115"/>
    </row>
    <row r="3313" spans="1:6" x14ac:dyDescent="0.2">
      <c r="A3313" s="115"/>
      <c r="B3313" s="79"/>
      <c r="C3313" s="115"/>
      <c r="D3313" s="115"/>
      <c r="E3313" s="115"/>
      <c r="F3313" s="115"/>
    </row>
    <row r="3314" spans="1:6" x14ac:dyDescent="0.2">
      <c r="A3314" s="115"/>
      <c r="B3314" s="79"/>
      <c r="C3314" s="115"/>
      <c r="D3314" s="115"/>
      <c r="E3314" s="115"/>
      <c r="F3314" s="115"/>
    </row>
    <row r="3315" spans="1:6" x14ac:dyDescent="0.2">
      <c r="A3315" s="115"/>
      <c r="B3315" s="79"/>
      <c r="C3315" s="115"/>
      <c r="D3315" s="115"/>
      <c r="E3315" s="115"/>
      <c r="F3315" s="115"/>
    </row>
    <row r="3316" spans="1:6" x14ac:dyDescent="0.2">
      <c r="A3316" s="115"/>
      <c r="B3316" s="79"/>
      <c r="C3316" s="115"/>
      <c r="D3316" s="115"/>
      <c r="E3316" s="115"/>
      <c r="F3316" s="115"/>
    </row>
    <row r="3317" spans="1:6" x14ac:dyDescent="0.2">
      <c r="A3317" s="115"/>
      <c r="B3317" s="79"/>
      <c r="C3317" s="115"/>
      <c r="D3317" s="115"/>
      <c r="E3317" s="115"/>
      <c r="F3317" s="115"/>
    </row>
    <row r="3318" spans="1:6" x14ac:dyDescent="0.2">
      <c r="A3318" s="115"/>
      <c r="B3318" s="79"/>
      <c r="C3318" s="115"/>
      <c r="D3318" s="115"/>
      <c r="E3318" s="115"/>
      <c r="F3318" s="115"/>
    </row>
    <row r="3319" spans="1:6" x14ac:dyDescent="0.2">
      <c r="A3319" s="115"/>
      <c r="B3319" s="79"/>
      <c r="C3319" s="115"/>
      <c r="D3319" s="115"/>
      <c r="E3319" s="115"/>
      <c r="F3319" s="115"/>
    </row>
    <row r="3320" spans="1:6" x14ac:dyDescent="0.2">
      <c r="A3320" s="115"/>
      <c r="B3320" s="79"/>
      <c r="C3320" s="115"/>
      <c r="D3320" s="115"/>
      <c r="E3320" s="115"/>
      <c r="F3320" s="115"/>
    </row>
    <row r="3321" spans="1:6" x14ac:dyDescent="0.2">
      <c r="A3321" s="115"/>
      <c r="B3321" s="79"/>
      <c r="C3321" s="115"/>
      <c r="D3321" s="115"/>
      <c r="E3321" s="115"/>
      <c r="F3321" s="115"/>
    </row>
    <row r="3322" spans="1:6" x14ac:dyDescent="0.2">
      <c r="A3322" s="115"/>
      <c r="B3322" s="79"/>
      <c r="C3322" s="115"/>
      <c r="D3322" s="115"/>
      <c r="E3322" s="115"/>
      <c r="F3322" s="115"/>
    </row>
    <row r="3323" spans="1:6" x14ac:dyDescent="0.2">
      <c r="A3323" s="115"/>
      <c r="B3323" s="79"/>
      <c r="C3323" s="115"/>
      <c r="D3323" s="115"/>
      <c r="E3323" s="115"/>
      <c r="F3323" s="115"/>
    </row>
    <row r="3324" spans="1:6" x14ac:dyDescent="0.2">
      <c r="A3324" s="115"/>
      <c r="B3324" s="79"/>
      <c r="C3324" s="115"/>
      <c r="D3324" s="115"/>
      <c r="E3324" s="115"/>
      <c r="F3324" s="115"/>
    </row>
    <row r="3325" spans="1:6" x14ac:dyDescent="0.2">
      <c r="A3325" s="115"/>
      <c r="B3325" s="79"/>
      <c r="C3325" s="115"/>
      <c r="D3325" s="115"/>
      <c r="E3325" s="115"/>
      <c r="F3325" s="115"/>
    </row>
    <row r="3326" spans="1:6" x14ac:dyDescent="0.2">
      <c r="A3326" s="115"/>
      <c r="B3326" s="79"/>
      <c r="C3326" s="115"/>
      <c r="D3326" s="115"/>
      <c r="E3326" s="115"/>
      <c r="F3326" s="115"/>
    </row>
    <row r="3327" spans="1:6" x14ac:dyDescent="0.2">
      <c r="A3327" s="115"/>
      <c r="B3327" s="79"/>
      <c r="C3327" s="115"/>
      <c r="D3327" s="115"/>
      <c r="E3327" s="115"/>
      <c r="F3327" s="115"/>
    </row>
    <row r="3328" spans="1:6" x14ac:dyDescent="0.2">
      <c r="A3328" s="115"/>
      <c r="B3328" s="79"/>
      <c r="C3328" s="115"/>
      <c r="D3328" s="115"/>
      <c r="E3328" s="115"/>
      <c r="F3328" s="115"/>
    </row>
    <row r="3329" spans="1:6" x14ac:dyDescent="0.2">
      <c r="A3329" s="115"/>
      <c r="B3329" s="79"/>
      <c r="C3329" s="115"/>
      <c r="D3329" s="115"/>
      <c r="E3329" s="115"/>
      <c r="F3329" s="115"/>
    </row>
    <row r="3330" spans="1:6" x14ac:dyDescent="0.2">
      <c r="A3330" s="115"/>
      <c r="B3330" s="79"/>
      <c r="C3330" s="115"/>
      <c r="D3330" s="115"/>
      <c r="E3330" s="115"/>
      <c r="F3330" s="115"/>
    </row>
    <row r="3331" spans="1:6" x14ac:dyDescent="0.2">
      <c r="A3331" s="115"/>
      <c r="B3331" s="79"/>
      <c r="C3331" s="115"/>
      <c r="D3331" s="115"/>
      <c r="E3331" s="115"/>
      <c r="F3331" s="115"/>
    </row>
    <row r="3332" spans="1:6" x14ac:dyDescent="0.2">
      <c r="A3332" s="115"/>
      <c r="B3332" s="79"/>
      <c r="C3332" s="115"/>
      <c r="D3332" s="115"/>
      <c r="E3332" s="115"/>
      <c r="F3332" s="115"/>
    </row>
    <row r="3333" spans="1:6" x14ac:dyDescent="0.2">
      <c r="A3333" s="115"/>
      <c r="B3333" s="79"/>
      <c r="C3333" s="115"/>
      <c r="D3333" s="115"/>
      <c r="E3333" s="115"/>
      <c r="F3333" s="115"/>
    </row>
    <row r="3334" spans="1:6" x14ac:dyDescent="0.2">
      <c r="A3334" s="115"/>
      <c r="B3334" s="79"/>
      <c r="C3334" s="115"/>
      <c r="D3334" s="115"/>
      <c r="E3334" s="115"/>
      <c r="F3334" s="115"/>
    </row>
    <row r="3335" spans="1:6" x14ac:dyDescent="0.2">
      <c r="A3335" s="115"/>
      <c r="B3335" s="79"/>
      <c r="C3335" s="115"/>
      <c r="D3335" s="115"/>
      <c r="E3335" s="115"/>
      <c r="F3335" s="115"/>
    </row>
    <row r="3336" spans="1:6" x14ac:dyDescent="0.2">
      <c r="A3336" s="115"/>
      <c r="B3336" s="79"/>
      <c r="C3336" s="115"/>
      <c r="D3336" s="115"/>
      <c r="E3336" s="115"/>
      <c r="F3336" s="115"/>
    </row>
    <row r="3337" spans="1:6" x14ac:dyDescent="0.2">
      <c r="A3337" s="115"/>
      <c r="B3337" s="79"/>
      <c r="C3337" s="115"/>
      <c r="D3337" s="115"/>
      <c r="E3337" s="115"/>
      <c r="F3337" s="115"/>
    </row>
    <row r="3338" spans="1:6" x14ac:dyDescent="0.2">
      <c r="A3338" s="115"/>
      <c r="B3338" s="79"/>
      <c r="C3338" s="115"/>
      <c r="D3338" s="115"/>
      <c r="E3338" s="115"/>
      <c r="F3338" s="115"/>
    </row>
    <row r="3339" spans="1:6" x14ac:dyDescent="0.2">
      <c r="A3339" s="115"/>
      <c r="B3339" s="79"/>
      <c r="C3339" s="115"/>
      <c r="D3339" s="115"/>
      <c r="E3339" s="115"/>
      <c r="F3339" s="115"/>
    </row>
    <row r="3340" spans="1:6" x14ac:dyDescent="0.2">
      <c r="A3340" s="115"/>
      <c r="B3340" s="79"/>
      <c r="C3340" s="115"/>
      <c r="D3340" s="115"/>
      <c r="E3340" s="115"/>
      <c r="F3340" s="115"/>
    </row>
    <row r="3341" spans="1:6" x14ac:dyDescent="0.2">
      <c r="A3341" s="115"/>
      <c r="B3341" s="79"/>
      <c r="C3341" s="115"/>
      <c r="D3341" s="115"/>
      <c r="E3341" s="115"/>
      <c r="F3341" s="115"/>
    </row>
    <row r="3342" spans="1:6" x14ac:dyDescent="0.2">
      <c r="A3342" s="115"/>
      <c r="B3342" s="79"/>
      <c r="C3342" s="115"/>
      <c r="D3342" s="115"/>
      <c r="E3342" s="115"/>
      <c r="F3342" s="115"/>
    </row>
    <row r="3343" spans="1:6" x14ac:dyDescent="0.2">
      <c r="A3343" s="115"/>
      <c r="B3343" s="79"/>
      <c r="C3343" s="115"/>
      <c r="D3343" s="115"/>
      <c r="E3343" s="115"/>
      <c r="F3343" s="115"/>
    </row>
    <row r="3344" spans="1:6" x14ac:dyDescent="0.2">
      <c r="A3344" s="115"/>
      <c r="B3344" s="79"/>
      <c r="C3344" s="115"/>
      <c r="D3344" s="115"/>
      <c r="E3344" s="115"/>
      <c r="F3344" s="115"/>
    </row>
    <row r="3345" spans="1:6" x14ac:dyDescent="0.2">
      <c r="A3345" s="115"/>
      <c r="B3345" s="79"/>
      <c r="C3345" s="115"/>
      <c r="D3345" s="115"/>
      <c r="E3345" s="115"/>
      <c r="F3345" s="115"/>
    </row>
    <row r="3346" spans="1:6" x14ac:dyDescent="0.2">
      <c r="A3346" s="115"/>
      <c r="B3346" s="79"/>
      <c r="C3346" s="115"/>
      <c r="D3346" s="115"/>
      <c r="E3346" s="115"/>
      <c r="F3346" s="115"/>
    </row>
    <row r="3347" spans="1:6" x14ac:dyDescent="0.2">
      <c r="A3347" s="115"/>
      <c r="B3347" s="79"/>
      <c r="C3347" s="115"/>
      <c r="D3347" s="115"/>
      <c r="E3347" s="115"/>
      <c r="F3347" s="115"/>
    </row>
    <row r="3348" spans="1:6" x14ac:dyDescent="0.2">
      <c r="A3348" s="115"/>
      <c r="B3348" s="79"/>
      <c r="C3348" s="115"/>
      <c r="D3348" s="115"/>
      <c r="E3348" s="115"/>
      <c r="F3348" s="115"/>
    </row>
    <row r="3349" spans="1:6" x14ac:dyDescent="0.2">
      <c r="A3349" s="115"/>
      <c r="B3349" s="79"/>
      <c r="C3349" s="115"/>
      <c r="D3349" s="115"/>
      <c r="E3349" s="115"/>
      <c r="F3349" s="115"/>
    </row>
    <row r="3350" spans="1:6" x14ac:dyDescent="0.2">
      <c r="A3350" s="115"/>
      <c r="B3350" s="79"/>
      <c r="C3350" s="115"/>
      <c r="D3350" s="115"/>
      <c r="E3350" s="115"/>
      <c r="F3350" s="115"/>
    </row>
    <row r="3351" spans="1:6" x14ac:dyDescent="0.2">
      <c r="A3351" s="115"/>
      <c r="B3351" s="79"/>
      <c r="C3351" s="115"/>
      <c r="D3351" s="115"/>
      <c r="E3351" s="115"/>
      <c r="F3351" s="115"/>
    </row>
    <row r="3352" spans="1:6" x14ac:dyDescent="0.2">
      <c r="A3352" s="115"/>
      <c r="B3352" s="79"/>
      <c r="C3352" s="115"/>
      <c r="D3352" s="115"/>
      <c r="E3352" s="115"/>
      <c r="F3352" s="115"/>
    </row>
    <row r="3353" spans="1:6" x14ac:dyDescent="0.2">
      <c r="A3353" s="115"/>
      <c r="B3353" s="79"/>
      <c r="C3353" s="115"/>
      <c r="D3353" s="115"/>
      <c r="E3353" s="115"/>
      <c r="F3353" s="115"/>
    </row>
    <row r="3354" spans="1:6" x14ac:dyDescent="0.2">
      <c r="A3354" s="115"/>
      <c r="B3354" s="79"/>
      <c r="C3354" s="115"/>
      <c r="D3354" s="115"/>
      <c r="E3354" s="115"/>
      <c r="F3354" s="115"/>
    </row>
    <row r="3355" spans="1:6" x14ac:dyDescent="0.2">
      <c r="A3355" s="115"/>
      <c r="B3355" s="79"/>
      <c r="C3355" s="115"/>
      <c r="D3355" s="115"/>
      <c r="E3355" s="115"/>
      <c r="F3355" s="115"/>
    </row>
    <row r="3356" spans="1:6" x14ac:dyDescent="0.2">
      <c r="A3356" s="115"/>
      <c r="B3356" s="79"/>
      <c r="C3356" s="115"/>
      <c r="D3356" s="115"/>
      <c r="E3356" s="115"/>
      <c r="F3356" s="115"/>
    </row>
    <row r="3357" spans="1:6" x14ac:dyDescent="0.2">
      <c r="A3357" s="115"/>
      <c r="B3357" s="79"/>
      <c r="C3357" s="115"/>
      <c r="D3357" s="115"/>
      <c r="E3357" s="115"/>
      <c r="F3357" s="115"/>
    </row>
    <row r="3358" spans="1:6" x14ac:dyDescent="0.2">
      <c r="A3358" s="115"/>
      <c r="B3358" s="79"/>
      <c r="C3358" s="115"/>
      <c r="D3358" s="115"/>
      <c r="E3358" s="115"/>
      <c r="F3358" s="115"/>
    </row>
    <row r="3359" spans="1:6" x14ac:dyDescent="0.2">
      <c r="A3359" s="115"/>
      <c r="B3359" s="79"/>
      <c r="C3359" s="115"/>
      <c r="D3359" s="115"/>
      <c r="E3359" s="115"/>
      <c r="F3359" s="115"/>
    </row>
    <row r="3360" spans="1:6" x14ac:dyDescent="0.2">
      <c r="A3360" s="115"/>
      <c r="B3360" s="79"/>
      <c r="C3360" s="115"/>
      <c r="D3360" s="115"/>
      <c r="E3360" s="115"/>
      <c r="F3360" s="115"/>
    </row>
    <row r="3361" spans="1:6" x14ac:dyDescent="0.2">
      <c r="A3361" s="115"/>
      <c r="B3361" s="79"/>
      <c r="C3361" s="115"/>
      <c r="D3361" s="115"/>
      <c r="E3361" s="115"/>
      <c r="F3361" s="115"/>
    </row>
    <row r="3362" spans="1:6" x14ac:dyDescent="0.2">
      <c r="A3362" s="115"/>
      <c r="B3362" s="79"/>
      <c r="C3362" s="115"/>
      <c r="D3362" s="115"/>
      <c r="E3362" s="115"/>
      <c r="F3362" s="115"/>
    </row>
    <row r="3363" spans="1:6" x14ac:dyDescent="0.2">
      <c r="A3363" s="115"/>
      <c r="B3363" s="79"/>
      <c r="C3363" s="115"/>
      <c r="D3363" s="115"/>
      <c r="E3363" s="115"/>
      <c r="F3363" s="115"/>
    </row>
    <row r="3364" spans="1:6" x14ac:dyDescent="0.2">
      <c r="A3364" s="115"/>
      <c r="B3364" s="79"/>
      <c r="C3364" s="115"/>
      <c r="D3364" s="115"/>
      <c r="E3364" s="115"/>
      <c r="F3364" s="115"/>
    </row>
    <row r="3365" spans="1:6" x14ac:dyDescent="0.2">
      <c r="A3365" s="115"/>
      <c r="B3365" s="79"/>
      <c r="C3365" s="115"/>
      <c r="D3365" s="115"/>
      <c r="E3365" s="115"/>
      <c r="F3365" s="115"/>
    </row>
    <row r="3366" spans="1:6" x14ac:dyDescent="0.2">
      <c r="A3366" s="115"/>
      <c r="B3366" s="79"/>
      <c r="C3366" s="115"/>
      <c r="D3366" s="115"/>
      <c r="E3366" s="115"/>
      <c r="F3366" s="115"/>
    </row>
    <row r="3367" spans="1:6" x14ac:dyDescent="0.2">
      <c r="A3367" s="115"/>
      <c r="B3367" s="79"/>
      <c r="C3367" s="115"/>
      <c r="D3367" s="115"/>
      <c r="E3367" s="115"/>
      <c r="F3367" s="115"/>
    </row>
    <row r="3368" spans="1:6" x14ac:dyDescent="0.2">
      <c r="A3368" s="115"/>
      <c r="B3368" s="79"/>
      <c r="C3368" s="115"/>
      <c r="D3368" s="115"/>
      <c r="E3368" s="115"/>
      <c r="F3368" s="115"/>
    </row>
    <row r="3369" spans="1:6" x14ac:dyDescent="0.2">
      <c r="A3369" s="115"/>
      <c r="B3369" s="79"/>
      <c r="C3369" s="115"/>
      <c r="D3369" s="115"/>
      <c r="E3369" s="115"/>
      <c r="F3369" s="115"/>
    </row>
    <row r="3370" spans="1:6" x14ac:dyDescent="0.2">
      <c r="A3370" s="115"/>
      <c r="B3370" s="79"/>
      <c r="C3370" s="115"/>
      <c r="D3370" s="115"/>
      <c r="E3370" s="115"/>
      <c r="F3370" s="115"/>
    </row>
    <row r="3371" spans="1:6" x14ac:dyDescent="0.2">
      <c r="A3371" s="115"/>
      <c r="B3371" s="79"/>
      <c r="C3371" s="115"/>
      <c r="D3371" s="115"/>
      <c r="E3371" s="115"/>
      <c r="F3371" s="115"/>
    </row>
    <row r="3372" spans="1:6" x14ac:dyDescent="0.2">
      <c r="A3372" s="115"/>
      <c r="B3372" s="79"/>
      <c r="C3372" s="115"/>
      <c r="D3372" s="115"/>
      <c r="E3372" s="115"/>
      <c r="F3372" s="115"/>
    </row>
    <row r="3373" spans="1:6" x14ac:dyDescent="0.2">
      <c r="A3373" s="115"/>
      <c r="B3373" s="79"/>
      <c r="C3373" s="115"/>
      <c r="D3373" s="115"/>
      <c r="E3373" s="115"/>
      <c r="F3373" s="115"/>
    </row>
    <row r="3374" spans="1:6" x14ac:dyDescent="0.2">
      <c r="A3374" s="115"/>
      <c r="B3374" s="79"/>
      <c r="C3374" s="115"/>
      <c r="D3374" s="115"/>
      <c r="E3374" s="115"/>
      <c r="F3374" s="115"/>
    </row>
    <row r="3375" spans="1:6" x14ac:dyDescent="0.2">
      <c r="A3375" s="115"/>
      <c r="B3375" s="79"/>
      <c r="C3375" s="115"/>
      <c r="D3375" s="115"/>
      <c r="E3375" s="115"/>
      <c r="F3375" s="115"/>
    </row>
    <row r="3376" spans="1:6" x14ac:dyDescent="0.2">
      <c r="A3376" s="115"/>
      <c r="B3376" s="79"/>
      <c r="C3376" s="115"/>
      <c r="D3376" s="115"/>
      <c r="E3376" s="115"/>
      <c r="F3376" s="115"/>
    </row>
    <row r="3377" spans="1:6" x14ac:dyDescent="0.2">
      <c r="A3377" s="115"/>
      <c r="B3377" s="79"/>
      <c r="C3377" s="115"/>
      <c r="D3377" s="115"/>
      <c r="E3377" s="115"/>
      <c r="F3377" s="115"/>
    </row>
    <row r="3378" spans="1:6" x14ac:dyDescent="0.2">
      <c r="A3378" s="115"/>
      <c r="B3378" s="79"/>
      <c r="C3378" s="115"/>
      <c r="D3378" s="115"/>
      <c r="E3378" s="115"/>
      <c r="F3378" s="115"/>
    </row>
    <row r="3379" spans="1:6" x14ac:dyDescent="0.2">
      <c r="A3379" s="115"/>
      <c r="B3379" s="79"/>
      <c r="C3379" s="115"/>
      <c r="D3379" s="115"/>
      <c r="E3379" s="115"/>
      <c r="F3379" s="115"/>
    </row>
    <row r="3380" spans="1:6" x14ac:dyDescent="0.2">
      <c r="A3380" s="115"/>
      <c r="B3380" s="79"/>
      <c r="C3380" s="115"/>
      <c r="D3380" s="115"/>
      <c r="E3380" s="115"/>
      <c r="F3380" s="115"/>
    </row>
    <row r="3381" spans="1:6" x14ac:dyDescent="0.2">
      <c r="A3381" s="115"/>
      <c r="B3381" s="79"/>
      <c r="C3381" s="115"/>
      <c r="D3381" s="115"/>
      <c r="E3381" s="115"/>
      <c r="F3381" s="115"/>
    </row>
    <row r="3382" spans="1:6" x14ac:dyDescent="0.2">
      <c r="A3382" s="115"/>
      <c r="B3382" s="79"/>
      <c r="C3382" s="115"/>
      <c r="D3382" s="115"/>
      <c r="E3382" s="115"/>
      <c r="F3382" s="115"/>
    </row>
    <row r="3383" spans="1:6" x14ac:dyDescent="0.2">
      <c r="A3383" s="115"/>
      <c r="B3383" s="79"/>
      <c r="C3383" s="115"/>
      <c r="D3383" s="115"/>
      <c r="E3383" s="115"/>
      <c r="F3383" s="115"/>
    </row>
    <row r="3384" spans="1:6" x14ac:dyDescent="0.2">
      <c r="A3384" s="115"/>
      <c r="B3384" s="79"/>
      <c r="C3384" s="115"/>
      <c r="D3384" s="115"/>
      <c r="E3384" s="115"/>
      <c r="F3384" s="115"/>
    </row>
    <row r="3385" spans="1:6" x14ac:dyDescent="0.2">
      <c r="A3385" s="115"/>
      <c r="B3385" s="79"/>
      <c r="C3385" s="115"/>
      <c r="D3385" s="115"/>
      <c r="E3385" s="115"/>
      <c r="F3385" s="115"/>
    </row>
    <row r="3386" spans="1:6" x14ac:dyDescent="0.2">
      <c r="A3386" s="115"/>
      <c r="B3386" s="79"/>
      <c r="C3386" s="115"/>
      <c r="D3386" s="115"/>
      <c r="E3386" s="115"/>
      <c r="F3386" s="115"/>
    </row>
    <row r="3387" spans="1:6" x14ac:dyDescent="0.2">
      <c r="A3387" s="115"/>
      <c r="B3387" s="79"/>
      <c r="C3387" s="115"/>
      <c r="D3387" s="115"/>
      <c r="E3387" s="115"/>
      <c r="F3387" s="115"/>
    </row>
    <row r="3388" spans="1:6" x14ac:dyDescent="0.2">
      <c r="A3388" s="115"/>
      <c r="B3388" s="79"/>
      <c r="C3388" s="115"/>
      <c r="D3388" s="115"/>
      <c r="E3388" s="115"/>
      <c r="F3388" s="115"/>
    </row>
    <row r="3389" spans="1:6" x14ac:dyDescent="0.2">
      <c r="A3389" s="115"/>
      <c r="B3389" s="79"/>
      <c r="C3389" s="115"/>
      <c r="D3389" s="115"/>
      <c r="E3389" s="115"/>
      <c r="F3389" s="115"/>
    </row>
    <row r="3390" spans="1:6" x14ac:dyDescent="0.2">
      <c r="A3390" s="115"/>
      <c r="B3390" s="79"/>
      <c r="C3390" s="115"/>
      <c r="D3390" s="115"/>
      <c r="E3390" s="115"/>
      <c r="F3390" s="115"/>
    </row>
    <row r="3391" spans="1:6" x14ac:dyDescent="0.2">
      <c r="A3391" s="115"/>
      <c r="B3391" s="79"/>
      <c r="C3391" s="115"/>
      <c r="D3391" s="115"/>
      <c r="E3391" s="115"/>
      <c r="F3391" s="115"/>
    </row>
    <row r="3392" spans="1:6" x14ac:dyDescent="0.2">
      <c r="A3392" s="115"/>
      <c r="B3392" s="79"/>
      <c r="C3392" s="115"/>
      <c r="D3392" s="115"/>
      <c r="E3392" s="115"/>
      <c r="F3392" s="115"/>
    </row>
    <row r="3393" spans="1:6" x14ac:dyDescent="0.2">
      <c r="A3393" s="115"/>
      <c r="B3393" s="79"/>
      <c r="C3393" s="115"/>
      <c r="D3393" s="115"/>
      <c r="E3393" s="115"/>
      <c r="F3393" s="115"/>
    </row>
    <row r="3394" spans="1:6" x14ac:dyDescent="0.2">
      <c r="A3394" s="115"/>
      <c r="B3394" s="79"/>
      <c r="C3394" s="115"/>
      <c r="D3394" s="115"/>
      <c r="E3394" s="115"/>
      <c r="F3394" s="115"/>
    </row>
    <row r="3395" spans="1:6" x14ac:dyDescent="0.2">
      <c r="A3395" s="115"/>
      <c r="B3395" s="79"/>
      <c r="C3395" s="115"/>
      <c r="D3395" s="115"/>
      <c r="E3395" s="115"/>
      <c r="F3395" s="115"/>
    </row>
    <row r="3396" spans="1:6" x14ac:dyDescent="0.2">
      <c r="A3396" s="115"/>
      <c r="B3396" s="79"/>
      <c r="C3396" s="115"/>
      <c r="D3396" s="115"/>
      <c r="E3396" s="115"/>
      <c r="F3396" s="115"/>
    </row>
    <row r="3397" spans="1:6" x14ac:dyDescent="0.2">
      <c r="A3397" s="115"/>
      <c r="B3397" s="79"/>
      <c r="C3397" s="115"/>
      <c r="D3397" s="115"/>
      <c r="E3397" s="115"/>
      <c r="F3397" s="115"/>
    </row>
    <row r="3398" spans="1:6" x14ac:dyDescent="0.2">
      <c r="A3398" s="115"/>
      <c r="B3398" s="79"/>
      <c r="C3398" s="115"/>
      <c r="D3398" s="115"/>
      <c r="E3398" s="115"/>
      <c r="F3398" s="115"/>
    </row>
    <row r="3399" spans="1:6" x14ac:dyDescent="0.2">
      <c r="A3399" s="115"/>
      <c r="B3399" s="79"/>
      <c r="C3399" s="115"/>
      <c r="D3399" s="115"/>
      <c r="E3399" s="115"/>
      <c r="F3399" s="115"/>
    </row>
    <row r="3400" spans="1:6" x14ac:dyDescent="0.2">
      <c r="A3400" s="115"/>
      <c r="B3400" s="79"/>
      <c r="C3400" s="115"/>
      <c r="D3400" s="115"/>
      <c r="E3400" s="115"/>
      <c r="F3400" s="115"/>
    </row>
    <row r="3401" spans="1:6" x14ac:dyDescent="0.2">
      <c r="A3401" s="115"/>
      <c r="B3401" s="79"/>
      <c r="C3401" s="115"/>
      <c r="D3401" s="115"/>
      <c r="E3401" s="115"/>
      <c r="F3401" s="115"/>
    </row>
    <row r="3402" spans="1:6" x14ac:dyDescent="0.2">
      <c r="A3402" s="115"/>
      <c r="B3402" s="79"/>
      <c r="C3402" s="115"/>
      <c r="D3402" s="115"/>
      <c r="E3402" s="115"/>
      <c r="F3402" s="115"/>
    </row>
    <row r="3403" spans="1:6" x14ac:dyDescent="0.2">
      <c r="A3403" s="115"/>
      <c r="B3403" s="79"/>
      <c r="C3403" s="115"/>
      <c r="D3403" s="115"/>
      <c r="E3403" s="115"/>
      <c r="F3403" s="115"/>
    </row>
    <row r="3404" spans="1:6" x14ac:dyDescent="0.2">
      <c r="A3404" s="115"/>
      <c r="B3404" s="79"/>
      <c r="C3404" s="115"/>
      <c r="D3404" s="115"/>
      <c r="E3404" s="115"/>
      <c r="F3404" s="115"/>
    </row>
    <row r="3405" spans="1:6" x14ac:dyDescent="0.2">
      <c r="A3405" s="115"/>
      <c r="B3405" s="79"/>
      <c r="C3405" s="115"/>
      <c r="D3405" s="115"/>
      <c r="E3405" s="115"/>
      <c r="F3405" s="115"/>
    </row>
    <row r="3406" spans="1:6" x14ac:dyDescent="0.2">
      <c r="A3406" s="115"/>
      <c r="B3406" s="79"/>
      <c r="C3406" s="115"/>
      <c r="D3406" s="115"/>
      <c r="E3406" s="115"/>
      <c r="F3406" s="115"/>
    </row>
    <row r="3407" spans="1:6" x14ac:dyDescent="0.2">
      <c r="A3407" s="115"/>
      <c r="B3407" s="79"/>
      <c r="C3407" s="115"/>
      <c r="D3407" s="115"/>
      <c r="E3407" s="115"/>
      <c r="F3407" s="115"/>
    </row>
    <row r="3408" spans="1:6" x14ac:dyDescent="0.2">
      <c r="A3408" s="115"/>
      <c r="B3408" s="79"/>
      <c r="C3408" s="115"/>
      <c r="D3408" s="115"/>
      <c r="E3408" s="115"/>
      <c r="F3408" s="115"/>
    </row>
    <row r="3409" spans="1:6" x14ac:dyDescent="0.2">
      <c r="A3409" s="115"/>
      <c r="B3409" s="79"/>
      <c r="C3409" s="115"/>
      <c r="D3409" s="115"/>
      <c r="E3409" s="115"/>
      <c r="F3409" s="115"/>
    </row>
    <row r="3410" spans="1:6" x14ac:dyDescent="0.2">
      <c r="A3410" s="115"/>
      <c r="B3410" s="79"/>
      <c r="C3410" s="115"/>
      <c r="D3410" s="115"/>
      <c r="E3410" s="115"/>
      <c r="F3410" s="115"/>
    </row>
    <row r="3411" spans="1:6" x14ac:dyDescent="0.2">
      <c r="A3411" s="115"/>
      <c r="B3411" s="79"/>
      <c r="C3411" s="115"/>
      <c r="D3411" s="115"/>
      <c r="E3411" s="115"/>
      <c r="F3411" s="115"/>
    </row>
    <row r="3412" spans="1:6" x14ac:dyDescent="0.2">
      <c r="A3412" s="115"/>
      <c r="B3412" s="79"/>
      <c r="C3412" s="115"/>
      <c r="D3412" s="115"/>
      <c r="E3412" s="115"/>
      <c r="F3412" s="115"/>
    </row>
    <row r="3413" spans="1:6" x14ac:dyDescent="0.2">
      <c r="A3413" s="115"/>
      <c r="B3413" s="79"/>
      <c r="C3413" s="115"/>
      <c r="D3413" s="115"/>
      <c r="E3413" s="115"/>
      <c r="F3413" s="115"/>
    </row>
    <row r="3414" spans="1:6" x14ac:dyDescent="0.2">
      <c r="A3414" s="115"/>
      <c r="B3414" s="79"/>
      <c r="C3414" s="115"/>
      <c r="D3414" s="115"/>
      <c r="E3414" s="115"/>
      <c r="F3414" s="115"/>
    </row>
    <row r="3415" spans="1:6" x14ac:dyDescent="0.2">
      <c r="A3415" s="115"/>
      <c r="B3415" s="79"/>
      <c r="C3415" s="115"/>
      <c r="D3415" s="115"/>
      <c r="E3415" s="115"/>
      <c r="F3415" s="115"/>
    </row>
    <row r="3416" spans="1:6" x14ac:dyDescent="0.2">
      <c r="A3416" s="115"/>
      <c r="B3416" s="79"/>
      <c r="C3416" s="115"/>
      <c r="D3416" s="115"/>
      <c r="E3416" s="115"/>
      <c r="F3416" s="115"/>
    </row>
    <row r="3417" spans="1:6" x14ac:dyDescent="0.2">
      <c r="A3417" s="115"/>
      <c r="B3417" s="79"/>
      <c r="C3417" s="115"/>
      <c r="D3417" s="115"/>
      <c r="E3417" s="115"/>
      <c r="F3417" s="115"/>
    </row>
    <row r="3418" spans="1:6" x14ac:dyDescent="0.2">
      <c r="A3418" s="115"/>
      <c r="B3418" s="79"/>
      <c r="C3418" s="115"/>
      <c r="D3418" s="115"/>
      <c r="E3418" s="115"/>
      <c r="F3418" s="115"/>
    </row>
    <row r="3419" spans="1:6" x14ac:dyDescent="0.2">
      <c r="A3419" s="115"/>
      <c r="B3419" s="79"/>
      <c r="C3419" s="115"/>
      <c r="D3419" s="115"/>
      <c r="E3419" s="115"/>
      <c r="F3419" s="115"/>
    </row>
    <row r="3420" spans="1:6" x14ac:dyDescent="0.2">
      <c r="A3420" s="115"/>
      <c r="B3420" s="79"/>
      <c r="C3420" s="115"/>
      <c r="D3420" s="115"/>
      <c r="E3420" s="115"/>
      <c r="F3420" s="115"/>
    </row>
    <row r="3421" spans="1:6" x14ac:dyDescent="0.2">
      <c r="A3421" s="115"/>
      <c r="B3421" s="79"/>
      <c r="C3421" s="115"/>
      <c r="D3421" s="115"/>
      <c r="E3421" s="115"/>
      <c r="F3421" s="115"/>
    </row>
    <row r="3422" spans="1:6" x14ac:dyDescent="0.2">
      <c r="A3422" s="115"/>
      <c r="B3422" s="79"/>
      <c r="C3422" s="115"/>
      <c r="D3422" s="115"/>
      <c r="E3422" s="115"/>
      <c r="F3422" s="115"/>
    </row>
    <row r="3423" spans="1:6" x14ac:dyDescent="0.2">
      <c r="A3423" s="115"/>
      <c r="B3423" s="79"/>
      <c r="C3423" s="115"/>
      <c r="D3423" s="115"/>
      <c r="E3423" s="115"/>
      <c r="F3423" s="115"/>
    </row>
    <row r="3424" spans="1:6" x14ac:dyDescent="0.2">
      <c r="A3424" s="115"/>
      <c r="B3424" s="79"/>
      <c r="C3424" s="115"/>
      <c r="D3424" s="115"/>
      <c r="E3424" s="115"/>
      <c r="F3424" s="115"/>
    </row>
    <row r="3425" spans="1:6" x14ac:dyDescent="0.2">
      <c r="A3425" s="115"/>
      <c r="B3425" s="79"/>
      <c r="C3425" s="115"/>
      <c r="D3425" s="115"/>
      <c r="E3425" s="115"/>
      <c r="F3425" s="115"/>
    </row>
    <row r="3426" spans="1:6" x14ac:dyDescent="0.2">
      <c r="A3426" s="115"/>
      <c r="B3426" s="79"/>
      <c r="C3426" s="115"/>
      <c r="D3426" s="115"/>
      <c r="E3426" s="115"/>
      <c r="F3426" s="115"/>
    </row>
    <row r="3427" spans="1:6" x14ac:dyDescent="0.2">
      <c r="A3427" s="115"/>
      <c r="B3427" s="79"/>
      <c r="C3427" s="115"/>
      <c r="D3427" s="115"/>
      <c r="E3427" s="115"/>
      <c r="F3427" s="115"/>
    </row>
    <row r="3428" spans="1:6" x14ac:dyDescent="0.2">
      <c r="A3428" s="115"/>
      <c r="B3428" s="79"/>
      <c r="C3428" s="115"/>
      <c r="D3428" s="115"/>
      <c r="E3428" s="115"/>
      <c r="F3428" s="115"/>
    </row>
    <row r="3429" spans="1:6" x14ac:dyDescent="0.2">
      <c r="A3429" s="115"/>
      <c r="B3429" s="79"/>
      <c r="C3429" s="115"/>
      <c r="D3429" s="115"/>
      <c r="E3429" s="115"/>
      <c r="F3429" s="115"/>
    </row>
    <row r="3430" spans="1:6" x14ac:dyDescent="0.2">
      <c r="A3430" s="115"/>
      <c r="B3430" s="79"/>
      <c r="C3430" s="115"/>
      <c r="D3430" s="115"/>
      <c r="E3430" s="115"/>
      <c r="F3430" s="115"/>
    </row>
    <row r="3431" spans="1:6" x14ac:dyDescent="0.2">
      <c r="A3431" s="115"/>
      <c r="B3431" s="79"/>
      <c r="C3431" s="115"/>
      <c r="D3431" s="115"/>
      <c r="E3431" s="115"/>
      <c r="F3431" s="115"/>
    </row>
    <row r="3432" spans="1:6" x14ac:dyDescent="0.2">
      <c r="A3432" s="115"/>
      <c r="B3432" s="79"/>
      <c r="C3432" s="115"/>
      <c r="D3432" s="115"/>
      <c r="E3432" s="115"/>
      <c r="F3432" s="115"/>
    </row>
    <row r="3433" spans="1:6" x14ac:dyDescent="0.2">
      <c r="A3433" s="115"/>
      <c r="B3433" s="79"/>
      <c r="C3433" s="115"/>
      <c r="D3433" s="115"/>
      <c r="E3433" s="115"/>
      <c r="F3433" s="115"/>
    </row>
    <row r="3434" spans="1:6" x14ac:dyDescent="0.2">
      <c r="A3434" s="115"/>
      <c r="B3434" s="79"/>
      <c r="C3434" s="115"/>
      <c r="D3434" s="115"/>
      <c r="E3434" s="115"/>
      <c r="F3434" s="115"/>
    </row>
    <row r="3435" spans="1:6" x14ac:dyDescent="0.2">
      <c r="A3435" s="115"/>
      <c r="B3435" s="79"/>
      <c r="C3435" s="115"/>
      <c r="D3435" s="115"/>
      <c r="E3435" s="115"/>
      <c r="F3435" s="115"/>
    </row>
    <row r="3436" spans="1:6" x14ac:dyDescent="0.2">
      <c r="A3436" s="115"/>
      <c r="B3436" s="79"/>
      <c r="C3436" s="115"/>
      <c r="D3436" s="115"/>
      <c r="E3436" s="115"/>
      <c r="F3436" s="115"/>
    </row>
    <row r="3437" spans="1:6" x14ac:dyDescent="0.2">
      <c r="A3437" s="115"/>
      <c r="B3437" s="79"/>
      <c r="C3437" s="115"/>
      <c r="D3437" s="115"/>
      <c r="E3437" s="115"/>
      <c r="F3437" s="115"/>
    </row>
    <row r="3438" spans="1:6" x14ac:dyDescent="0.2">
      <c r="A3438" s="115"/>
      <c r="B3438" s="79"/>
      <c r="C3438" s="115"/>
      <c r="D3438" s="115"/>
      <c r="E3438" s="115"/>
      <c r="F3438" s="115"/>
    </row>
    <row r="3439" spans="1:6" x14ac:dyDescent="0.2">
      <c r="A3439" s="115"/>
      <c r="B3439" s="79"/>
      <c r="C3439" s="115"/>
      <c r="D3439" s="115"/>
      <c r="E3439" s="115"/>
      <c r="F3439" s="115"/>
    </row>
    <row r="3440" spans="1:6" x14ac:dyDescent="0.2">
      <c r="A3440" s="115"/>
      <c r="B3440" s="79"/>
      <c r="C3440" s="115"/>
      <c r="D3440" s="115"/>
      <c r="E3440" s="115"/>
      <c r="F3440" s="115"/>
    </row>
    <row r="3441" spans="1:6" x14ac:dyDescent="0.2">
      <c r="A3441" s="115"/>
      <c r="B3441" s="79"/>
      <c r="C3441" s="115"/>
      <c r="D3441" s="115"/>
      <c r="E3441" s="115"/>
      <c r="F3441" s="115"/>
    </row>
    <row r="3442" spans="1:6" x14ac:dyDescent="0.2">
      <c r="A3442" s="115"/>
      <c r="B3442" s="79"/>
      <c r="C3442" s="115"/>
      <c r="D3442" s="115"/>
      <c r="E3442" s="115"/>
      <c r="F3442" s="115"/>
    </row>
    <row r="3443" spans="1:6" x14ac:dyDescent="0.2">
      <c r="A3443" s="115"/>
      <c r="B3443" s="79"/>
      <c r="C3443" s="115"/>
      <c r="D3443" s="115"/>
      <c r="E3443" s="115"/>
      <c r="F3443" s="115"/>
    </row>
    <row r="3444" spans="1:6" x14ac:dyDescent="0.2">
      <c r="A3444" s="115"/>
      <c r="B3444" s="79"/>
      <c r="C3444" s="115"/>
      <c r="D3444" s="115"/>
      <c r="E3444" s="115"/>
      <c r="F3444" s="115"/>
    </row>
    <row r="3445" spans="1:6" x14ac:dyDescent="0.2">
      <c r="A3445" s="115"/>
      <c r="B3445" s="79"/>
      <c r="C3445" s="115"/>
      <c r="D3445" s="115"/>
      <c r="E3445" s="115"/>
      <c r="F3445" s="115"/>
    </row>
    <row r="3446" spans="1:6" x14ac:dyDescent="0.2">
      <c r="A3446" s="115"/>
      <c r="B3446" s="79"/>
      <c r="C3446" s="115"/>
      <c r="D3446" s="115"/>
      <c r="E3446" s="115"/>
      <c r="F3446" s="115"/>
    </row>
    <row r="3447" spans="1:6" x14ac:dyDescent="0.2">
      <c r="A3447" s="115"/>
      <c r="B3447" s="79"/>
      <c r="C3447" s="115"/>
      <c r="D3447" s="115"/>
      <c r="E3447" s="115"/>
      <c r="F3447" s="115"/>
    </row>
    <row r="3448" spans="1:6" x14ac:dyDescent="0.2">
      <c r="A3448" s="115"/>
      <c r="B3448" s="79"/>
      <c r="C3448" s="115"/>
      <c r="D3448" s="115"/>
      <c r="E3448" s="115"/>
      <c r="F3448" s="115"/>
    </row>
    <row r="3449" spans="1:6" x14ac:dyDescent="0.2">
      <c r="A3449" s="115"/>
      <c r="B3449" s="79"/>
      <c r="C3449" s="115"/>
      <c r="D3449" s="115"/>
      <c r="E3449" s="115"/>
      <c r="F3449" s="115"/>
    </row>
    <row r="3450" spans="1:6" x14ac:dyDescent="0.2">
      <c r="A3450" s="115"/>
      <c r="B3450" s="79"/>
      <c r="C3450" s="115"/>
      <c r="D3450" s="115"/>
      <c r="E3450" s="115"/>
      <c r="F3450" s="115"/>
    </row>
    <row r="3451" spans="1:6" x14ac:dyDescent="0.2">
      <c r="A3451" s="115"/>
      <c r="B3451" s="79"/>
      <c r="C3451" s="115"/>
      <c r="D3451" s="115"/>
      <c r="E3451" s="115"/>
      <c r="F3451" s="115"/>
    </row>
    <row r="3452" spans="1:6" x14ac:dyDescent="0.2">
      <c r="A3452" s="115"/>
      <c r="B3452" s="79"/>
      <c r="C3452" s="115"/>
      <c r="D3452" s="115"/>
      <c r="E3452" s="115"/>
      <c r="F3452" s="115"/>
    </row>
    <row r="3453" spans="1:6" x14ac:dyDescent="0.2">
      <c r="A3453" s="115"/>
      <c r="B3453" s="79"/>
      <c r="C3453" s="115"/>
      <c r="D3453" s="115"/>
      <c r="E3453" s="115"/>
      <c r="F3453" s="115"/>
    </row>
    <row r="3454" spans="1:6" x14ac:dyDescent="0.2">
      <c r="A3454" s="115"/>
      <c r="B3454" s="79"/>
      <c r="C3454" s="115"/>
      <c r="D3454" s="115"/>
      <c r="E3454" s="115"/>
      <c r="F3454" s="115"/>
    </row>
    <row r="3455" spans="1:6" x14ac:dyDescent="0.2">
      <c r="A3455" s="115"/>
      <c r="B3455" s="79"/>
      <c r="C3455" s="115"/>
      <c r="D3455" s="115"/>
      <c r="E3455" s="115"/>
      <c r="F3455" s="115"/>
    </row>
    <row r="3456" spans="1:6" x14ac:dyDescent="0.2">
      <c r="A3456" s="115"/>
      <c r="B3456" s="79"/>
      <c r="C3456" s="115"/>
      <c r="D3456" s="115"/>
      <c r="E3456" s="115"/>
      <c r="F3456" s="115"/>
    </row>
    <row r="3457" spans="1:6" x14ac:dyDescent="0.2">
      <c r="A3457" s="115"/>
      <c r="B3457" s="79"/>
      <c r="C3457" s="115"/>
      <c r="D3457" s="115"/>
      <c r="E3457" s="115"/>
      <c r="F3457" s="115"/>
    </row>
    <row r="3458" spans="1:6" x14ac:dyDescent="0.2">
      <c r="A3458" s="115"/>
      <c r="B3458" s="79"/>
      <c r="C3458" s="115"/>
      <c r="D3458" s="115"/>
      <c r="E3458" s="115"/>
      <c r="F3458" s="115"/>
    </row>
    <row r="3459" spans="1:6" x14ac:dyDescent="0.2">
      <c r="A3459" s="115"/>
      <c r="B3459" s="79"/>
      <c r="C3459" s="115"/>
      <c r="D3459" s="115"/>
      <c r="E3459" s="115"/>
      <c r="F3459" s="115"/>
    </row>
    <row r="3460" spans="1:6" x14ac:dyDescent="0.2">
      <c r="A3460" s="115"/>
      <c r="B3460" s="79"/>
      <c r="C3460" s="115"/>
      <c r="D3460" s="115"/>
      <c r="E3460" s="115"/>
      <c r="F3460" s="115"/>
    </row>
    <row r="3461" spans="1:6" x14ac:dyDescent="0.2">
      <c r="A3461" s="115"/>
      <c r="B3461" s="79"/>
      <c r="C3461" s="115"/>
      <c r="D3461" s="115"/>
      <c r="E3461" s="115"/>
      <c r="F3461" s="115"/>
    </row>
    <row r="3462" spans="1:6" x14ac:dyDescent="0.2">
      <c r="A3462" s="115"/>
      <c r="B3462" s="79"/>
      <c r="C3462" s="115"/>
      <c r="D3462" s="115"/>
      <c r="E3462" s="115"/>
      <c r="F3462" s="115"/>
    </row>
    <row r="3463" spans="1:6" x14ac:dyDescent="0.2">
      <c r="A3463" s="115"/>
      <c r="B3463" s="79"/>
      <c r="C3463" s="115"/>
      <c r="D3463" s="115"/>
      <c r="E3463" s="115"/>
      <c r="F3463" s="115"/>
    </row>
    <row r="3464" spans="1:6" x14ac:dyDescent="0.2">
      <c r="A3464" s="115"/>
      <c r="B3464" s="79"/>
      <c r="C3464" s="115"/>
      <c r="D3464" s="115"/>
      <c r="E3464" s="115"/>
      <c r="F3464" s="115"/>
    </row>
    <row r="3465" spans="1:6" x14ac:dyDescent="0.2">
      <c r="A3465" s="115"/>
      <c r="B3465" s="79"/>
      <c r="C3465" s="115"/>
      <c r="D3465" s="115"/>
      <c r="E3465" s="115"/>
      <c r="F3465" s="115"/>
    </row>
    <row r="3466" spans="1:6" x14ac:dyDescent="0.2">
      <c r="A3466" s="115"/>
      <c r="B3466" s="79"/>
      <c r="C3466" s="115"/>
      <c r="D3466" s="115"/>
      <c r="E3466" s="115"/>
      <c r="F3466" s="115"/>
    </row>
    <row r="3467" spans="1:6" x14ac:dyDescent="0.2">
      <c r="A3467" s="115"/>
      <c r="B3467" s="79"/>
      <c r="C3467" s="115"/>
      <c r="D3467" s="115"/>
      <c r="E3467" s="115"/>
      <c r="F3467" s="115"/>
    </row>
    <row r="3468" spans="1:6" x14ac:dyDescent="0.2">
      <c r="A3468" s="115"/>
      <c r="B3468" s="79"/>
      <c r="C3468" s="115"/>
      <c r="D3468" s="115"/>
      <c r="E3468" s="115"/>
      <c r="F3468" s="115"/>
    </row>
    <row r="3469" spans="1:6" x14ac:dyDescent="0.2">
      <c r="A3469" s="115"/>
      <c r="B3469" s="79"/>
      <c r="C3469" s="115"/>
      <c r="D3469" s="115"/>
      <c r="E3469" s="115"/>
      <c r="F3469" s="115"/>
    </row>
    <row r="3470" spans="1:6" x14ac:dyDescent="0.2">
      <c r="A3470" s="115"/>
      <c r="B3470" s="79"/>
      <c r="C3470" s="115"/>
      <c r="D3470" s="115"/>
      <c r="E3470" s="115"/>
      <c r="F3470" s="115"/>
    </row>
    <row r="3471" spans="1:6" x14ac:dyDescent="0.2">
      <c r="A3471" s="115"/>
      <c r="B3471" s="79"/>
      <c r="C3471" s="115"/>
      <c r="D3471" s="115"/>
      <c r="E3471" s="115"/>
      <c r="F3471" s="115"/>
    </row>
    <row r="3472" spans="1:6" x14ac:dyDescent="0.2">
      <c r="A3472" s="115"/>
      <c r="B3472" s="79"/>
      <c r="C3472" s="115"/>
      <c r="D3472" s="115"/>
      <c r="E3472" s="115"/>
      <c r="F3472" s="115"/>
    </row>
    <row r="3473" spans="1:6" x14ac:dyDescent="0.2">
      <c r="A3473" s="115"/>
      <c r="B3473" s="79"/>
      <c r="C3473" s="115"/>
      <c r="D3473" s="115"/>
      <c r="E3473" s="115"/>
      <c r="F3473" s="115"/>
    </row>
    <row r="3474" spans="1:6" x14ac:dyDescent="0.2">
      <c r="A3474" s="115"/>
      <c r="B3474" s="79"/>
      <c r="C3474" s="115"/>
      <c r="D3474" s="115"/>
      <c r="E3474" s="115"/>
      <c r="F3474" s="115"/>
    </row>
    <row r="3475" spans="1:6" x14ac:dyDescent="0.2">
      <c r="A3475" s="115"/>
      <c r="B3475" s="79"/>
      <c r="C3475" s="115"/>
      <c r="D3475" s="115"/>
      <c r="E3475" s="115"/>
      <c r="F3475" s="115"/>
    </row>
    <row r="3476" spans="1:6" x14ac:dyDescent="0.2">
      <c r="A3476" s="115"/>
      <c r="B3476" s="79"/>
      <c r="C3476" s="115"/>
      <c r="D3476" s="115"/>
      <c r="E3476" s="115"/>
      <c r="F3476" s="115"/>
    </row>
    <row r="3477" spans="1:6" x14ac:dyDescent="0.2">
      <c r="A3477" s="115"/>
      <c r="B3477" s="79"/>
      <c r="C3477" s="115"/>
      <c r="D3477" s="115"/>
      <c r="E3477" s="115"/>
      <c r="F3477" s="115"/>
    </row>
    <row r="3478" spans="1:6" x14ac:dyDescent="0.2">
      <c r="A3478" s="115"/>
      <c r="B3478" s="79"/>
      <c r="C3478" s="115"/>
      <c r="D3478" s="115"/>
      <c r="E3478" s="115"/>
      <c r="F3478" s="115"/>
    </row>
    <row r="3479" spans="1:6" x14ac:dyDescent="0.2">
      <c r="A3479" s="115"/>
      <c r="B3479" s="79"/>
      <c r="C3479" s="115"/>
      <c r="D3479" s="115"/>
      <c r="E3479" s="115"/>
      <c r="F3479" s="115"/>
    </row>
    <row r="3480" spans="1:6" x14ac:dyDescent="0.2">
      <c r="A3480" s="115"/>
      <c r="B3480" s="79"/>
      <c r="C3480" s="115"/>
      <c r="D3480" s="115"/>
      <c r="E3480" s="115"/>
      <c r="F3480" s="115"/>
    </row>
    <row r="3481" spans="1:6" x14ac:dyDescent="0.2">
      <c r="A3481" s="115"/>
      <c r="B3481" s="79"/>
      <c r="C3481" s="115"/>
      <c r="D3481" s="115"/>
      <c r="E3481" s="115"/>
      <c r="F3481" s="115"/>
    </row>
    <row r="3482" spans="1:6" x14ac:dyDescent="0.2">
      <c r="A3482" s="115"/>
      <c r="B3482" s="79"/>
      <c r="C3482" s="115"/>
      <c r="D3482" s="115"/>
      <c r="E3482" s="115"/>
      <c r="F3482" s="115"/>
    </row>
    <row r="3483" spans="1:6" x14ac:dyDescent="0.2">
      <c r="A3483" s="115"/>
      <c r="B3483" s="79"/>
      <c r="C3483" s="115"/>
      <c r="D3483" s="115"/>
      <c r="E3483" s="115"/>
      <c r="F3483" s="115"/>
    </row>
    <row r="3484" spans="1:6" x14ac:dyDescent="0.2">
      <c r="A3484" s="115"/>
      <c r="B3484" s="79"/>
      <c r="C3484" s="115"/>
      <c r="D3484" s="115"/>
      <c r="E3484" s="115"/>
      <c r="F3484" s="115"/>
    </row>
    <row r="3485" spans="1:6" x14ac:dyDescent="0.2">
      <c r="A3485" s="115"/>
      <c r="B3485" s="79"/>
      <c r="C3485" s="115"/>
      <c r="D3485" s="115"/>
      <c r="E3485" s="115"/>
      <c r="F3485" s="115"/>
    </row>
    <row r="3486" spans="1:6" x14ac:dyDescent="0.2">
      <c r="A3486" s="115"/>
      <c r="B3486" s="79"/>
      <c r="C3486" s="115"/>
      <c r="D3486" s="115"/>
      <c r="E3486" s="115"/>
      <c r="F3486" s="115"/>
    </row>
    <row r="3487" spans="1:6" x14ac:dyDescent="0.2">
      <c r="A3487" s="115"/>
      <c r="B3487" s="79"/>
      <c r="C3487" s="115"/>
      <c r="D3487" s="115"/>
      <c r="E3487" s="115"/>
      <c r="F3487" s="115"/>
    </row>
    <row r="3488" spans="1:6" x14ac:dyDescent="0.2">
      <c r="A3488" s="115"/>
      <c r="B3488" s="79"/>
      <c r="C3488" s="115"/>
      <c r="D3488" s="115"/>
      <c r="E3488" s="115"/>
      <c r="F3488" s="115"/>
    </row>
    <row r="3489" spans="1:6" x14ac:dyDescent="0.2">
      <c r="A3489" s="115"/>
      <c r="B3489" s="79"/>
      <c r="C3489" s="115"/>
      <c r="D3489" s="115"/>
      <c r="E3489" s="115"/>
      <c r="F3489" s="115"/>
    </row>
    <row r="3490" spans="1:6" x14ac:dyDescent="0.2">
      <c r="A3490" s="115"/>
      <c r="B3490" s="79"/>
      <c r="C3490" s="115"/>
      <c r="D3490" s="115"/>
      <c r="E3490" s="115"/>
      <c r="F3490" s="115"/>
    </row>
    <row r="3491" spans="1:6" x14ac:dyDescent="0.2">
      <c r="A3491" s="115"/>
      <c r="B3491" s="79"/>
      <c r="C3491" s="115"/>
      <c r="D3491" s="115"/>
      <c r="E3491" s="115"/>
      <c r="F3491" s="115"/>
    </row>
    <row r="3492" spans="1:6" x14ac:dyDescent="0.2">
      <c r="A3492" s="115"/>
      <c r="B3492" s="79"/>
      <c r="C3492" s="115"/>
      <c r="D3492" s="115"/>
      <c r="E3492" s="115"/>
      <c r="F3492" s="115"/>
    </row>
    <row r="3493" spans="1:6" x14ac:dyDescent="0.2">
      <c r="A3493" s="115"/>
      <c r="B3493" s="79"/>
      <c r="C3493" s="115"/>
      <c r="D3493" s="115"/>
      <c r="E3493" s="115"/>
      <c r="F3493" s="115"/>
    </row>
    <row r="3494" spans="1:6" x14ac:dyDescent="0.2">
      <c r="A3494" s="115"/>
      <c r="B3494" s="79"/>
      <c r="C3494" s="115"/>
      <c r="D3494" s="115"/>
      <c r="E3494" s="115"/>
      <c r="F3494" s="115"/>
    </row>
    <row r="3495" spans="1:6" x14ac:dyDescent="0.2">
      <c r="A3495" s="115"/>
      <c r="B3495" s="79"/>
      <c r="C3495" s="115"/>
      <c r="D3495" s="115"/>
      <c r="E3495" s="115"/>
      <c r="F3495" s="115"/>
    </row>
    <row r="3496" spans="1:6" x14ac:dyDescent="0.2">
      <c r="A3496" s="115"/>
      <c r="B3496" s="79"/>
      <c r="C3496" s="115"/>
      <c r="D3496" s="115"/>
      <c r="E3496" s="115"/>
      <c r="F3496" s="115"/>
    </row>
    <row r="3497" spans="1:6" x14ac:dyDescent="0.2">
      <c r="A3497" s="115"/>
      <c r="B3497" s="79"/>
      <c r="C3497" s="115"/>
      <c r="D3497" s="115"/>
      <c r="E3497" s="115"/>
      <c r="F3497" s="115"/>
    </row>
    <row r="3498" spans="1:6" x14ac:dyDescent="0.2">
      <c r="A3498" s="115"/>
      <c r="B3498" s="79"/>
      <c r="C3498" s="115"/>
      <c r="D3498" s="115"/>
      <c r="E3498" s="115"/>
      <c r="F3498" s="115"/>
    </row>
    <row r="3499" spans="1:6" x14ac:dyDescent="0.2">
      <c r="A3499" s="115"/>
      <c r="B3499" s="79"/>
      <c r="C3499" s="115"/>
      <c r="D3499" s="115"/>
      <c r="E3499" s="115"/>
      <c r="F3499" s="115"/>
    </row>
    <row r="3500" spans="1:6" x14ac:dyDescent="0.2">
      <c r="A3500" s="115"/>
      <c r="B3500" s="79"/>
      <c r="C3500" s="115"/>
      <c r="D3500" s="115"/>
      <c r="E3500" s="115"/>
      <c r="F3500" s="115"/>
    </row>
    <row r="3501" spans="1:6" x14ac:dyDescent="0.2">
      <c r="A3501" s="115"/>
      <c r="B3501" s="79"/>
      <c r="C3501" s="115"/>
      <c r="D3501" s="115"/>
      <c r="E3501" s="115"/>
      <c r="F3501" s="115"/>
    </row>
    <row r="3502" spans="1:6" x14ac:dyDescent="0.2">
      <c r="A3502" s="115"/>
      <c r="B3502" s="79"/>
      <c r="C3502" s="115"/>
      <c r="D3502" s="115"/>
      <c r="E3502" s="115"/>
      <c r="F3502" s="115"/>
    </row>
    <row r="3503" spans="1:6" x14ac:dyDescent="0.2">
      <c r="A3503" s="115"/>
      <c r="B3503" s="79"/>
      <c r="C3503" s="115"/>
      <c r="D3503" s="115"/>
      <c r="E3503" s="115"/>
      <c r="F3503" s="115"/>
    </row>
    <row r="3504" spans="1:6" x14ac:dyDescent="0.2">
      <c r="A3504" s="115"/>
      <c r="B3504" s="79"/>
      <c r="C3504" s="115"/>
      <c r="D3504" s="115"/>
      <c r="E3504" s="115"/>
      <c r="F3504" s="115"/>
    </row>
    <row r="3505" spans="1:6" x14ac:dyDescent="0.2">
      <c r="A3505" s="115"/>
      <c r="B3505" s="79"/>
      <c r="C3505" s="115"/>
      <c r="D3505" s="115"/>
      <c r="E3505" s="115"/>
      <c r="F3505" s="115"/>
    </row>
    <row r="3506" spans="1:6" x14ac:dyDescent="0.2">
      <c r="A3506" s="115"/>
      <c r="B3506" s="79"/>
      <c r="C3506" s="115"/>
      <c r="D3506" s="115"/>
      <c r="E3506" s="115"/>
      <c r="F3506" s="115"/>
    </row>
    <row r="3507" spans="1:6" x14ac:dyDescent="0.2">
      <c r="A3507" s="115"/>
      <c r="B3507" s="79"/>
      <c r="C3507" s="115"/>
      <c r="D3507" s="115"/>
      <c r="E3507" s="115"/>
      <c r="F3507" s="115"/>
    </row>
    <row r="3508" spans="1:6" x14ac:dyDescent="0.2">
      <c r="A3508" s="115"/>
      <c r="B3508" s="79"/>
      <c r="C3508" s="115"/>
      <c r="D3508" s="115"/>
      <c r="E3508" s="115"/>
      <c r="F3508" s="115"/>
    </row>
    <row r="3509" spans="1:6" x14ac:dyDescent="0.2">
      <c r="A3509" s="115"/>
      <c r="B3509" s="79"/>
      <c r="C3509" s="115"/>
      <c r="D3509" s="115"/>
      <c r="E3509" s="115"/>
      <c r="F3509" s="115"/>
    </row>
    <row r="3510" spans="1:6" x14ac:dyDescent="0.2">
      <c r="A3510" s="115"/>
      <c r="B3510" s="79"/>
      <c r="C3510" s="115"/>
      <c r="D3510" s="115"/>
      <c r="E3510" s="115"/>
      <c r="F3510" s="115"/>
    </row>
    <row r="3511" spans="1:6" x14ac:dyDescent="0.2">
      <c r="A3511" s="115"/>
      <c r="B3511" s="79"/>
      <c r="C3511" s="115"/>
      <c r="D3511" s="115"/>
      <c r="E3511" s="115"/>
      <c r="F3511" s="115"/>
    </row>
    <row r="3512" spans="1:6" x14ac:dyDescent="0.2">
      <c r="A3512" s="115"/>
      <c r="B3512" s="79"/>
      <c r="C3512" s="115"/>
      <c r="D3512" s="115"/>
      <c r="E3512" s="115"/>
      <c r="F3512" s="115"/>
    </row>
    <row r="3513" spans="1:6" x14ac:dyDescent="0.2">
      <c r="A3513" s="115"/>
      <c r="B3513" s="79"/>
      <c r="C3513" s="115"/>
      <c r="D3513" s="115"/>
      <c r="E3513" s="115"/>
      <c r="F3513" s="115"/>
    </row>
    <row r="3514" spans="1:6" x14ac:dyDescent="0.2">
      <c r="A3514" s="115"/>
      <c r="B3514" s="79"/>
      <c r="C3514" s="115"/>
      <c r="D3514" s="115"/>
      <c r="E3514" s="115"/>
      <c r="F3514" s="115"/>
    </row>
    <row r="3515" spans="1:6" x14ac:dyDescent="0.2">
      <c r="A3515" s="115"/>
      <c r="B3515" s="79"/>
      <c r="C3515" s="115"/>
      <c r="D3515" s="115"/>
      <c r="E3515" s="115"/>
      <c r="F3515" s="115"/>
    </row>
    <row r="3516" spans="1:6" x14ac:dyDescent="0.2">
      <c r="A3516" s="115"/>
      <c r="B3516" s="79"/>
      <c r="C3516" s="115"/>
      <c r="D3516" s="115"/>
      <c r="E3516" s="115"/>
      <c r="F3516" s="115"/>
    </row>
    <row r="3517" spans="1:6" x14ac:dyDescent="0.2">
      <c r="A3517" s="115"/>
      <c r="B3517" s="79"/>
      <c r="C3517" s="115"/>
      <c r="D3517" s="115"/>
      <c r="E3517" s="115"/>
      <c r="F3517" s="115"/>
    </row>
    <row r="3518" spans="1:6" x14ac:dyDescent="0.2">
      <c r="A3518" s="115"/>
      <c r="B3518" s="79"/>
      <c r="C3518" s="115"/>
      <c r="D3518" s="115"/>
      <c r="E3518" s="115"/>
      <c r="F3518" s="115"/>
    </row>
    <row r="3519" spans="1:6" x14ac:dyDescent="0.2">
      <c r="A3519" s="115"/>
      <c r="B3519" s="79"/>
      <c r="C3519" s="115"/>
      <c r="D3519" s="115"/>
      <c r="E3519" s="115"/>
      <c r="F3519" s="115"/>
    </row>
    <row r="3520" spans="1:6" x14ac:dyDescent="0.2">
      <c r="A3520" s="115"/>
      <c r="B3520" s="79"/>
      <c r="C3520" s="115"/>
      <c r="D3520" s="115"/>
      <c r="E3520" s="115"/>
      <c r="F3520" s="115"/>
    </row>
    <row r="3521" spans="1:6" x14ac:dyDescent="0.2">
      <c r="A3521" s="115"/>
      <c r="B3521" s="79"/>
      <c r="C3521" s="115"/>
      <c r="D3521" s="115"/>
      <c r="E3521" s="115"/>
      <c r="F3521" s="115"/>
    </row>
    <row r="3522" spans="1:6" x14ac:dyDescent="0.2">
      <c r="A3522" s="115"/>
      <c r="B3522" s="79"/>
      <c r="C3522" s="115"/>
      <c r="D3522" s="115"/>
      <c r="E3522" s="115"/>
      <c r="F3522" s="115"/>
    </row>
    <row r="3523" spans="1:6" x14ac:dyDescent="0.2">
      <c r="A3523" s="115"/>
      <c r="B3523" s="79"/>
      <c r="C3523" s="115"/>
      <c r="D3523" s="115"/>
      <c r="E3523" s="115"/>
      <c r="F3523" s="115"/>
    </row>
    <row r="3524" spans="1:6" x14ac:dyDescent="0.2">
      <c r="A3524" s="115"/>
      <c r="B3524" s="79"/>
      <c r="C3524" s="115"/>
      <c r="D3524" s="115"/>
      <c r="E3524" s="115"/>
      <c r="F3524" s="115"/>
    </row>
    <row r="3525" spans="1:6" x14ac:dyDescent="0.2">
      <c r="A3525" s="115"/>
      <c r="B3525" s="79"/>
      <c r="C3525" s="115"/>
      <c r="D3525" s="115"/>
      <c r="E3525" s="115"/>
      <c r="F3525" s="115"/>
    </row>
    <row r="3526" spans="1:6" x14ac:dyDescent="0.2">
      <c r="A3526" s="115"/>
      <c r="B3526" s="79"/>
      <c r="C3526" s="115"/>
      <c r="D3526" s="115"/>
      <c r="E3526" s="115"/>
      <c r="F3526" s="115"/>
    </row>
    <row r="3527" spans="1:6" x14ac:dyDescent="0.2">
      <c r="A3527" s="115"/>
      <c r="B3527" s="79"/>
      <c r="C3527" s="115"/>
      <c r="D3527" s="115"/>
      <c r="E3527" s="115"/>
      <c r="F3527" s="115"/>
    </row>
    <row r="3528" spans="1:6" x14ac:dyDescent="0.2">
      <c r="A3528" s="115"/>
      <c r="B3528" s="79"/>
      <c r="C3528" s="115"/>
      <c r="D3528" s="115"/>
      <c r="E3528" s="115"/>
      <c r="F3528" s="115"/>
    </row>
    <row r="3529" spans="1:6" x14ac:dyDescent="0.2">
      <c r="A3529" s="115"/>
      <c r="B3529" s="79"/>
      <c r="C3529" s="115"/>
      <c r="D3529" s="115"/>
      <c r="E3529" s="115"/>
      <c r="F3529" s="115"/>
    </row>
    <row r="3530" spans="1:6" x14ac:dyDescent="0.2">
      <c r="A3530" s="115"/>
      <c r="B3530" s="79"/>
      <c r="C3530" s="115"/>
      <c r="D3530" s="115"/>
      <c r="E3530" s="115"/>
      <c r="F3530" s="115"/>
    </row>
    <row r="3531" spans="1:6" x14ac:dyDescent="0.2">
      <c r="A3531" s="115"/>
      <c r="B3531" s="79"/>
      <c r="C3531" s="115"/>
      <c r="D3531" s="115"/>
      <c r="E3531" s="115"/>
      <c r="F3531" s="115"/>
    </row>
    <row r="3532" spans="1:6" x14ac:dyDescent="0.2">
      <c r="A3532" s="115"/>
      <c r="B3532" s="79"/>
      <c r="C3532" s="115"/>
      <c r="D3532" s="115"/>
      <c r="E3532" s="115"/>
      <c r="F3532" s="115"/>
    </row>
    <row r="3533" spans="1:6" x14ac:dyDescent="0.2">
      <c r="A3533" s="115"/>
      <c r="B3533" s="79"/>
      <c r="C3533" s="115"/>
      <c r="D3533" s="115"/>
      <c r="E3533" s="115"/>
      <c r="F3533" s="115"/>
    </row>
    <row r="3534" spans="1:6" x14ac:dyDescent="0.2">
      <c r="A3534" s="115"/>
      <c r="B3534" s="79"/>
      <c r="C3534" s="115"/>
      <c r="D3534" s="115"/>
      <c r="E3534" s="115"/>
      <c r="F3534" s="115"/>
    </row>
    <row r="3535" spans="1:6" x14ac:dyDescent="0.2">
      <c r="A3535" s="115"/>
      <c r="B3535" s="79"/>
      <c r="C3535" s="115"/>
      <c r="D3535" s="115"/>
      <c r="E3535" s="115"/>
      <c r="F3535" s="115"/>
    </row>
    <row r="3536" spans="1:6" x14ac:dyDescent="0.2">
      <c r="A3536" s="115"/>
      <c r="B3536" s="79"/>
      <c r="C3536" s="115"/>
      <c r="D3536" s="115"/>
      <c r="E3536" s="115"/>
      <c r="F3536" s="115"/>
    </row>
    <row r="3537" spans="1:6" x14ac:dyDescent="0.2">
      <c r="A3537" s="115"/>
      <c r="B3537" s="79"/>
      <c r="C3537" s="115"/>
      <c r="D3537" s="115"/>
      <c r="E3537" s="115"/>
      <c r="F3537" s="115"/>
    </row>
    <row r="3538" spans="1:6" x14ac:dyDescent="0.2">
      <c r="A3538" s="115"/>
      <c r="B3538" s="79"/>
      <c r="C3538" s="115"/>
      <c r="D3538" s="115"/>
      <c r="E3538" s="115"/>
      <c r="F3538" s="115"/>
    </row>
    <row r="3539" spans="1:6" x14ac:dyDescent="0.2">
      <c r="A3539" s="115"/>
      <c r="B3539" s="79"/>
      <c r="C3539" s="115"/>
      <c r="D3539" s="115"/>
      <c r="E3539" s="115"/>
      <c r="F3539" s="115"/>
    </row>
    <row r="3540" spans="1:6" x14ac:dyDescent="0.2">
      <c r="A3540" s="115"/>
      <c r="B3540" s="79"/>
      <c r="C3540" s="115"/>
      <c r="D3540" s="115"/>
      <c r="E3540" s="115"/>
      <c r="F3540" s="115"/>
    </row>
    <row r="3541" spans="1:6" x14ac:dyDescent="0.2">
      <c r="A3541" s="115"/>
      <c r="B3541" s="79"/>
      <c r="C3541" s="115"/>
      <c r="D3541" s="115"/>
      <c r="E3541" s="115"/>
      <c r="F3541" s="115"/>
    </row>
    <row r="3542" spans="1:6" x14ac:dyDescent="0.2">
      <c r="A3542" s="115"/>
      <c r="B3542" s="79"/>
      <c r="C3542" s="115"/>
      <c r="D3542" s="115"/>
      <c r="E3542" s="115"/>
      <c r="F3542" s="115"/>
    </row>
    <row r="3543" spans="1:6" x14ac:dyDescent="0.2">
      <c r="A3543" s="115"/>
      <c r="B3543" s="79"/>
      <c r="C3543" s="115"/>
      <c r="D3543" s="115"/>
      <c r="E3543" s="115"/>
      <c r="F3543" s="115"/>
    </row>
    <row r="3544" spans="1:6" x14ac:dyDescent="0.2">
      <c r="A3544" s="115"/>
      <c r="B3544" s="79"/>
      <c r="C3544" s="115"/>
      <c r="D3544" s="115"/>
      <c r="E3544" s="115"/>
      <c r="F3544" s="115"/>
    </row>
    <row r="3545" spans="1:6" x14ac:dyDescent="0.2">
      <c r="A3545" s="115"/>
      <c r="B3545" s="79"/>
      <c r="C3545" s="115"/>
      <c r="D3545" s="115"/>
      <c r="E3545" s="115"/>
      <c r="F3545" s="115"/>
    </row>
    <row r="3546" spans="1:6" x14ac:dyDescent="0.2">
      <c r="A3546" s="115"/>
      <c r="B3546" s="79"/>
      <c r="C3546" s="115"/>
      <c r="D3546" s="115"/>
      <c r="E3546" s="115"/>
      <c r="F3546" s="115"/>
    </row>
    <row r="3547" spans="1:6" x14ac:dyDescent="0.2">
      <c r="A3547" s="115"/>
      <c r="B3547" s="79"/>
      <c r="C3547" s="115"/>
      <c r="D3547" s="115"/>
      <c r="E3547" s="115"/>
      <c r="F3547" s="115"/>
    </row>
    <row r="3548" spans="1:6" x14ac:dyDescent="0.2">
      <c r="A3548" s="115"/>
      <c r="B3548" s="79"/>
      <c r="C3548" s="115"/>
      <c r="D3548" s="115"/>
      <c r="E3548" s="115"/>
      <c r="F3548" s="115"/>
    </row>
    <row r="3549" spans="1:6" x14ac:dyDescent="0.2">
      <c r="A3549" s="115"/>
      <c r="B3549" s="79"/>
      <c r="C3549" s="115"/>
      <c r="D3549" s="115"/>
      <c r="E3549" s="115"/>
      <c r="F3549" s="115"/>
    </row>
    <row r="3550" spans="1:6" x14ac:dyDescent="0.2">
      <c r="A3550" s="115"/>
      <c r="B3550" s="79"/>
      <c r="C3550" s="115"/>
      <c r="D3550" s="115"/>
      <c r="E3550" s="115"/>
      <c r="F3550" s="115"/>
    </row>
    <row r="3551" spans="1:6" x14ac:dyDescent="0.2">
      <c r="A3551" s="115"/>
      <c r="B3551" s="79"/>
      <c r="C3551" s="115"/>
      <c r="D3551" s="115"/>
      <c r="E3551" s="115"/>
      <c r="F3551" s="115"/>
    </row>
    <row r="3552" spans="1:6" x14ac:dyDescent="0.2">
      <c r="A3552" s="115"/>
      <c r="B3552" s="79"/>
      <c r="C3552" s="115"/>
      <c r="D3552" s="115"/>
      <c r="E3552" s="115"/>
      <c r="F3552" s="115"/>
    </row>
    <row r="3553" spans="1:6" x14ac:dyDescent="0.2">
      <c r="A3553" s="115"/>
      <c r="B3553" s="79"/>
      <c r="C3553" s="115"/>
      <c r="D3553" s="115"/>
      <c r="E3553" s="115"/>
      <c r="F3553" s="115"/>
    </row>
    <row r="3554" spans="1:6" x14ac:dyDescent="0.2">
      <c r="A3554" s="115"/>
      <c r="B3554" s="79"/>
      <c r="C3554" s="115"/>
      <c r="D3554" s="115"/>
      <c r="E3554" s="115"/>
      <c r="F3554" s="115"/>
    </row>
    <row r="3555" spans="1:6" x14ac:dyDescent="0.2">
      <c r="A3555" s="115"/>
      <c r="B3555" s="79"/>
      <c r="C3555" s="115"/>
      <c r="D3555" s="115"/>
      <c r="E3555" s="115"/>
      <c r="F3555" s="115"/>
    </row>
    <row r="3556" spans="1:6" x14ac:dyDescent="0.2">
      <c r="A3556" s="115"/>
      <c r="B3556" s="79"/>
      <c r="C3556" s="115"/>
      <c r="D3556" s="115"/>
      <c r="E3556" s="115"/>
      <c r="F3556" s="115"/>
    </row>
    <row r="3557" spans="1:6" x14ac:dyDescent="0.2">
      <c r="A3557" s="115"/>
      <c r="B3557" s="79"/>
      <c r="C3557" s="115"/>
      <c r="D3557" s="115"/>
      <c r="E3557" s="115"/>
      <c r="F3557" s="115"/>
    </row>
    <row r="3558" spans="1:6" x14ac:dyDescent="0.2">
      <c r="A3558" s="115"/>
      <c r="B3558" s="79"/>
      <c r="C3558" s="115"/>
      <c r="D3558" s="115"/>
      <c r="E3558" s="115"/>
      <c r="F3558" s="115"/>
    </row>
    <row r="3559" spans="1:6" x14ac:dyDescent="0.2">
      <c r="A3559" s="115"/>
      <c r="B3559" s="79"/>
      <c r="C3559" s="115"/>
      <c r="D3559" s="115"/>
      <c r="E3559" s="115"/>
      <c r="F3559" s="115"/>
    </row>
    <row r="3560" spans="1:6" x14ac:dyDescent="0.2">
      <c r="A3560" s="115"/>
      <c r="B3560" s="79"/>
      <c r="C3560" s="115"/>
      <c r="D3560" s="115"/>
      <c r="E3560" s="115"/>
      <c r="F3560" s="115"/>
    </row>
    <row r="3561" spans="1:6" x14ac:dyDescent="0.2">
      <c r="A3561" s="115"/>
      <c r="B3561" s="79"/>
      <c r="C3561" s="115"/>
      <c r="D3561" s="115"/>
      <c r="E3561" s="115"/>
      <c r="F3561" s="115"/>
    </row>
    <row r="3562" spans="1:6" x14ac:dyDescent="0.2">
      <c r="A3562" s="115"/>
      <c r="B3562" s="79"/>
      <c r="C3562" s="115"/>
      <c r="D3562" s="115"/>
      <c r="E3562" s="115"/>
      <c r="F3562" s="115"/>
    </row>
    <row r="3563" spans="1:6" x14ac:dyDescent="0.2">
      <c r="A3563" s="115"/>
      <c r="B3563" s="79"/>
      <c r="C3563" s="115"/>
      <c r="D3563" s="115"/>
      <c r="E3563" s="115"/>
      <c r="F3563" s="115"/>
    </row>
    <row r="3564" spans="1:6" x14ac:dyDescent="0.2">
      <c r="A3564" s="115"/>
      <c r="B3564" s="79"/>
      <c r="C3564" s="115"/>
      <c r="D3564" s="115"/>
      <c r="E3564" s="115"/>
      <c r="F3564" s="115"/>
    </row>
    <row r="3565" spans="1:6" x14ac:dyDescent="0.2">
      <c r="A3565" s="115"/>
      <c r="B3565" s="79"/>
      <c r="C3565" s="115"/>
      <c r="D3565" s="115"/>
      <c r="E3565" s="115"/>
      <c r="F3565" s="115"/>
    </row>
    <row r="3566" spans="1:6" x14ac:dyDescent="0.2">
      <c r="A3566" s="115"/>
      <c r="B3566" s="79"/>
      <c r="C3566" s="115"/>
      <c r="D3566" s="115"/>
      <c r="E3566" s="115"/>
      <c r="F3566" s="115"/>
    </row>
    <row r="3567" spans="1:6" x14ac:dyDescent="0.2">
      <c r="A3567" s="115"/>
      <c r="B3567" s="79"/>
      <c r="C3567" s="115"/>
      <c r="D3567" s="115"/>
      <c r="E3567" s="115"/>
      <c r="F3567" s="115"/>
    </row>
    <row r="3568" spans="1:6" x14ac:dyDescent="0.2">
      <c r="A3568" s="115"/>
      <c r="B3568" s="79"/>
      <c r="C3568" s="115"/>
      <c r="D3568" s="115"/>
      <c r="E3568" s="115"/>
      <c r="F3568" s="115"/>
    </row>
    <row r="3569" spans="1:6" x14ac:dyDescent="0.2">
      <c r="A3569" s="115"/>
      <c r="B3569" s="79"/>
      <c r="C3569" s="115"/>
      <c r="D3569" s="115"/>
      <c r="E3569" s="115"/>
      <c r="F3569" s="115"/>
    </row>
    <row r="3570" spans="1:6" x14ac:dyDescent="0.2">
      <c r="A3570" s="115"/>
      <c r="B3570" s="79"/>
      <c r="C3570" s="115"/>
      <c r="D3570" s="115"/>
      <c r="E3570" s="115"/>
      <c r="F3570" s="115"/>
    </row>
    <row r="3571" spans="1:6" x14ac:dyDescent="0.2">
      <c r="A3571" s="115"/>
      <c r="B3571" s="79"/>
      <c r="C3571" s="115"/>
      <c r="D3571" s="115"/>
      <c r="E3571" s="115"/>
      <c r="F3571" s="115"/>
    </row>
    <row r="3572" spans="1:6" x14ac:dyDescent="0.2">
      <c r="A3572" s="115"/>
      <c r="B3572" s="79"/>
      <c r="C3572" s="115"/>
      <c r="D3572" s="115"/>
      <c r="E3572" s="115"/>
      <c r="F3572" s="115"/>
    </row>
    <row r="3573" spans="1:6" x14ac:dyDescent="0.2">
      <c r="A3573" s="115"/>
      <c r="B3573" s="79"/>
      <c r="C3573" s="115"/>
      <c r="D3573" s="115"/>
      <c r="E3573" s="115"/>
      <c r="F3573" s="115"/>
    </row>
    <row r="3574" spans="1:6" x14ac:dyDescent="0.2">
      <c r="A3574" s="115"/>
      <c r="B3574" s="79"/>
      <c r="C3574" s="115"/>
      <c r="D3574" s="115"/>
      <c r="E3574" s="115"/>
      <c r="F3574" s="115"/>
    </row>
    <row r="3575" spans="1:6" x14ac:dyDescent="0.2">
      <c r="A3575" s="115"/>
      <c r="B3575" s="79"/>
      <c r="C3575" s="115"/>
      <c r="D3575" s="115"/>
      <c r="E3575" s="115"/>
      <c r="F3575" s="115"/>
    </row>
    <row r="3576" spans="1:6" x14ac:dyDescent="0.2">
      <c r="A3576" s="115"/>
      <c r="B3576" s="79"/>
      <c r="C3576" s="115"/>
      <c r="D3576" s="115"/>
      <c r="E3576" s="115"/>
      <c r="F3576" s="115"/>
    </row>
    <row r="3577" spans="1:6" x14ac:dyDescent="0.2">
      <c r="A3577" s="115"/>
      <c r="B3577" s="79"/>
      <c r="C3577" s="115"/>
      <c r="D3577" s="115"/>
      <c r="E3577" s="115"/>
      <c r="F3577" s="115"/>
    </row>
    <row r="3578" spans="1:6" x14ac:dyDescent="0.2">
      <c r="A3578" s="115"/>
      <c r="B3578" s="79"/>
      <c r="C3578" s="115"/>
      <c r="D3578" s="115"/>
      <c r="E3578" s="115"/>
      <c r="F3578" s="115"/>
    </row>
    <row r="3579" spans="1:6" x14ac:dyDescent="0.2">
      <c r="A3579" s="115"/>
      <c r="B3579" s="79"/>
      <c r="C3579" s="115"/>
      <c r="D3579" s="115"/>
      <c r="E3579" s="115"/>
      <c r="F3579" s="115"/>
    </row>
    <row r="3580" spans="1:6" x14ac:dyDescent="0.2">
      <c r="A3580" s="115"/>
      <c r="B3580" s="79"/>
      <c r="C3580" s="115"/>
      <c r="D3580" s="115"/>
      <c r="E3580" s="115"/>
      <c r="F3580" s="115"/>
    </row>
    <row r="3581" spans="1:6" x14ac:dyDescent="0.2">
      <c r="A3581" s="115"/>
      <c r="B3581" s="79"/>
      <c r="C3581" s="115"/>
      <c r="D3581" s="115"/>
      <c r="E3581" s="115"/>
      <c r="F3581" s="115"/>
    </row>
    <row r="3582" spans="1:6" x14ac:dyDescent="0.2">
      <c r="A3582" s="115"/>
      <c r="B3582" s="79"/>
      <c r="C3582" s="115"/>
      <c r="D3582" s="115"/>
      <c r="E3582" s="115"/>
      <c r="F3582" s="115"/>
    </row>
    <row r="3583" spans="1:6" x14ac:dyDescent="0.2">
      <c r="A3583" s="115"/>
      <c r="B3583" s="79"/>
      <c r="C3583" s="115"/>
      <c r="D3583" s="115"/>
      <c r="E3583" s="115"/>
      <c r="F3583" s="115"/>
    </row>
    <row r="3584" spans="1:6" x14ac:dyDescent="0.2">
      <c r="A3584" s="115"/>
      <c r="B3584" s="79"/>
      <c r="C3584" s="115"/>
      <c r="D3584" s="115"/>
      <c r="E3584" s="115"/>
      <c r="F3584" s="115"/>
    </row>
    <row r="3585" spans="1:6" x14ac:dyDescent="0.2">
      <c r="A3585" s="115"/>
      <c r="B3585" s="79"/>
      <c r="C3585" s="115"/>
      <c r="D3585" s="115"/>
      <c r="E3585" s="115"/>
      <c r="F3585" s="115"/>
    </row>
    <row r="3586" spans="1:6" x14ac:dyDescent="0.2">
      <c r="A3586" s="115"/>
      <c r="B3586" s="79"/>
      <c r="C3586" s="115"/>
      <c r="D3586" s="115"/>
      <c r="E3586" s="115"/>
      <c r="F3586" s="115"/>
    </row>
    <row r="3587" spans="1:6" x14ac:dyDescent="0.2">
      <c r="A3587" s="115"/>
      <c r="B3587" s="79"/>
      <c r="C3587" s="115"/>
      <c r="D3587" s="115"/>
      <c r="E3587" s="115"/>
      <c r="F3587" s="115"/>
    </row>
    <row r="3588" spans="1:6" x14ac:dyDescent="0.2">
      <c r="A3588" s="115"/>
      <c r="B3588" s="79"/>
      <c r="C3588" s="115"/>
      <c r="D3588" s="115"/>
      <c r="E3588" s="115"/>
      <c r="F3588" s="115"/>
    </row>
    <row r="3589" spans="1:6" x14ac:dyDescent="0.2">
      <c r="A3589" s="115"/>
      <c r="B3589" s="79"/>
      <c r="C3589" s="115"/>
      <c r="D3589" s="115"/>
      <c r="E3589" s="115"/>
      <c r="F3589" s="115"/>
    </row>
    <row r="3590" spans="1:6" x14ac:dyDescent="0.2">
      <c r="A3590" s="115"/>
      <c r="B3590" s="79"/>
      <c r="C3590" s="115"/>
      <c r="D3590" s="115"/>
      <c r="E3590" s="115"/>
      <c r="F3590" s="115"/>
    </row>
    <row r="3591" spans="1:6" x14ac:dyDescent="0.2">
      <c r="A3591" s="115"/>
      <c r="B3591" s="79"/>
      <c r="C3591" s="115"/>
      <c r="D3591" s="115"/>
      <c r="E3591" s="115"/>
      <c r="F3591" s="115"/>
    </row>
    <row r="3592" spans="1:6" x14ac:dyDescent="0.2">
      <c r="A3592" s="115"/>
      <c r="B3592" s="79"/>
      <c r="C3592" s="115"/>
      <c r="D3592" s="115"/>
      <c r="E3592" s="115"/>
      <c r="F3592" s="115"/>
    </row>
    <row r="3593" spans="1:6" x14ac:dyDescent="0.2">
      <c r="A3593" s="115"/>
      <c r="B3593" s="79"/>
      <c r="C3593" s="115"/>
      <c r="D3593" s="115"/>
      <c r="E3593" s="115"/>
      <c r="F3593" s="115"/>
    </row>
    <row r="3594" spans="1:6" x14ac:dyDescent="0.2">
      <c r="A3594" s="115"/>
      <c r="B3594" s="79"/>
      <c r="C3594" s="115"/>
      <c r="D3594" s="115"/>
      <c r="E3594" s="115"/>
      <c r="F3594" s="115"/>
    </row>
    <row r="3595" spans="1:6" x14ac:dyDescent="0.2">
      <c r="A3595" s="115"/>
      <c r="B3595" s="79"/>
      <c r="C3595" s="115"/>
      <c r="D3595" s="115"/>
      <c r="E3595" s="115"/>
      <c r="F3595" s="115"/>
    </row>
    <row r="3596" spans="1:6" x14ac:dyDescent="0.2">
      <c r="A3596" s="115"/>
      <c r="B3596" s="79"/>
      <c r="C3596" s="115"/>
      <c r="D3596" s="115"/>
      <c r="E3596" s="115"/>
      <c r="F3596" s="115"/>
    </row>
    <row r="3597" spans="1:6" x14ac:dyDescent="0.2">
      <c r="A3597" s="115"/>
      <c r="B3597" s="79"/>
      <c r="C3597" s="115"/>
      <c r="D3597" s="115"/>
      <c r="E3597" s="115"/>
      <c r="F3597" s="115"/>
    </row>
    <row r="3598" spans="1:6" x14ac:dyDescent="0.2">
      <c r="A3598" s="115"/>
      <c r="B3598" s="79"/>
      <c r="C3598" s="115"/>
      <c r="D3598" s="115"/>
      <c r="E3598" s="115"/>
      <c r="F3598" s="115"/>
    </row>
    <row r="3599" spans="1:6" x14ac:dyDescent="0.2">
      <c r="A3599" s="115"/>
      <c r="B3599" s="79"/>
      <c r="C3599" s="115"/>
      <c r="D3599" s="115"/>
      <c r="E3599" s="115"/>
      <c r="F3599" s="115"/>
    </row>
    <row r="3600" spans="1:6" x14ac:dyDescent="0.2">
      <c r="A3600" s="115"/>
      <c r="B3600" s="79"/>
      <c r="C3600" s="115"/>
      <c r="D3600" s="115"/>
      <c r="E3600" s="115"/>
      <c r="F3600" s="115"/>
    </row>
    <row r="3601" spans="1:6" x14ac:dyDescent="0.2">
      <c r="A3601" s="115"/>
      <c r="B3601" s="79"/>
      <c r="C3601" s="115"/>
      <c r="D3601" s="115"/>
      <c r="E3601" s="115"/>
      <c r="F3601" s="115"/>
    </row>
    <row r="3602" spans="1:6" x14ac:dyDescent="0.2">
      <c r="A3602" s="115"/>
      <c r="B3602" s="79"/>
      <c r="C3602" s="115"/>
      <c r="D3602" s="115"/>
      <c r="E3602" s="115"/>
      <c r="F3602" s="115"/>
    </row>
    <row r="3603" spans="1:6" x14ac:dyDescent="0.2">
      <c r="A3603" s="115"/>
      <c r="B3603" s="79"/>
      <c r="C3603" s="115"/>
      <c r="D3603" s="115"/>
      <c r="E3603" s="115"/>
      <c r="F3603" s="115"/>
    </row>
    <row r="3604" spans="1:6" x14ac:dyDescent="0.2">
      <c r="A3604" s="115"/>
      <c r="B3604" s="79"/>
      <c r="C3604" s="115"/>
      <c r="D3604" s="115"/>
      <c r="E3604" s="115"/>
      <c r="F3604" s="115"/>
    </row>
    <row r="3605" spans="1:6" x14ac:dyDescent="0.2">
      <c r="A3605" s="115"/>
      <c r="B3605" s="79"/>
      <c r="C3605" s="115"/>
      <c r="D3605" s="115"/>
      <c r="E3605" s="115"/>
      <c r="F3605" s="115"/>
    </row>
    <row r="3606" spans="1:6" x14ac:dyDescent="0.2">
      <c r="A3606" s="115"/>
      <c r="B3606" s="79"/>
      <c r="C3606" s="115"/>
      <c r="D3606" s="115"/>
      <c r="E3606" s="115"/>
      <c r="F3606" s="115"/>
    </row>
    <row r="3607" spans="1:6" x14ac:dyDescent="0.2">
      <c r="A3607" s="115"/>
      <c r="B3607" s="79"/>
      <c r="C3607" s="115"/>
      <c r="D3607" s="115"/>
      <c r="E3607" s="115"/>
      <c r="F3607" s="115"/>
    </row>
    <row r="3608" spans="1:6" x14ac:dyDescent="0.2">
      <c r="A3608" s="115"/>
      <c r="B3608" s="79"/>
      <c r="C3608" s="115"/>
      <c r="D3608" s="115"/>
      <c r="E3608" s="115"/>
      <c r="F3608" s="115"/>
    </row>
    <row r="3609" spans="1:6" x14ac:dyDescent="0.2">
      <c r="A3609" s="115"/>
      <c r="B3609" s="79"/>
      <c r="C3609" s="115"/>
      <c r="D3609" s="115"/>
      <c r="E3609" s="115"/>
      <c r="F3609" s="115"/>
    </row>
    <row r="3610" spans="1:6" x14ac:dyDescent="0.2">
      <c r="A3610" s="115"/>
      <c r="B3610" s="79"/>
      <c r="C3610" s="115"/>
      <c r="D3610" s="115"/>
      <c r="E3610" s="115"/>
      <c r="F3610" s="115"/>
    </row>
    <row r="3611" spans="1:6" x14ac:dyDescent="0.2">
      <c r="A3611" s="115"/>
      <c r="B3611" s="79"/>
      <c r="C3611" s="115"/>
      <c r="D3611" s="115"/>
      <c r="E3611" s="115"/>
      <c r="F3611" s="115"/>
    </row>
    <row r="3612" spans="1:6" x14ac:dyDescent="0.2">
      <c r="A3612" s="115"/>
      <c r="B3612" s="79"/>
      <c r="C3612" s="115"/>
      <c r="D3612" s="115"/>
      <c r="E3612" s="115"/>
      <c r="F3612" s="115"/>
    </row>
    <row r="3613" spans="1:6" x14ac:dyDescent="0.2">
      <c r="A3613" s="115"/>
      <c r="B3613" s="79"/>
      <c r="C3613" s="115"/>
      <c r="D3613" s="115"/>
      <c r="E3613" s="115"/>
      <c r="F3613" s="115"/>
    </row>
    <row r="3614" spans="1:6" x14ac:dyDescent="0.2">
      <c r="A3614" s="115"/>
      <c r="B3614" s="79"/>
      <c r="C3614" s="115"/>
      <c r="D3614" s="115"/>
      <c r="E3614" s="115"/>
      <c r="F3614" s="115"/>
    </row>
    <row r="3615" spans="1:6" x14ac:dyDescent="0.2">
      <c r="A3615" s="115"/>
      <c r="B3615" s="79"/>
      <c r="C3615" s="115"/>
      <c r="D3615" s="115"/>
      <c r="E3615" s="115"/>
      <c r="F3615" s="115"/>
    </row>
    <row r="3616" spans="1:6" x14ac:dyDescent="0.2">
      <c r="A3616" s="115"/>
      <c r="B3616" s="79"/>
      <c r="C3616" s="115"/>
      <c r="D3616" s="115"/>
      <c r="E3616" s="115"/>
      <c r="F3616" s="115"/>
    </row>
    <row r="3617" spans="1:6" x14ac:dyDescent="0.2">
      <c r="A3617" s="115"/>
      <c r="B3617" s="79"/>
      <c r="C3617" s="115"/>
      <c r="D3617" s="115"/>
      <c r="E3617" s="115"/>
      <c r="F3617" s="115"/>
    </row>
    <row r="3618" spans="1:6" x14ac:dyDescent="0.2">
      <c r="A3618" s="115"/>
      <c r="B3618" s="79"/>
      <c r="C3618" s="115"/>
      <c r="D3618" s="115"/>
      <c r="E3618" s="115"/>
      <c r="F3618" s="115"/>
    </row>
    <row r="3619" spans="1:6" x14ac:dyDescent="0.2">
      <c r="A3619" s="115"/>
      <c r="B3619" s="79"/>
      <c r="C3619" s="115"/>
      <c r="D3619" s="115"/>
      <c r="E3619" s="115"/>
      <c r="F3619" s="115"/>
    </row>
    <row r="3620" spans="1:6" x14ac:dyDescent="0.2">
      <c r="A3620" s="115"/>
      <c r="B3620" s="79"/>
      <c r="C3620" s="115"/>
      <c r="D3620" s="115"/>
      <c r="E3620" s="115"/>
      <c r="F3620" s="115"/>
    </row>
    <row r="3621" spans="1:6" x14ac:dyDescent="0.2">
      <c r="A3621" s="115"/>
      <c r="B3621" s="79"/>
      <c r="C3621" s="115"/>
      <c r="D3621" s="115"/>
      <c r="E3621" s="115"/>
      <c r="F3621" s="115"/>
    </row>
    <row r="3622" spans="1:6" x14ac:dyDescent="0.2">
      <c r="A3622" s="115"/>
      <c r="B3622" s="79"/>
      <c r="C3622" s="115"/>
      <c r="D3622" s="115"/>
      <c r="E3622" s="115"/>
      <c r="F3622" s="115"/>
    </row>
    <row r="3623" spans="1:6" x14ac:dyDescent="0.2">
      <c r="A3623" s="115"/>
      <c r="B3623" s="79"/>
      <c r="C3623" s="115"/>
      <c r="D3623" s="115"/>
      <c r="E3623" s="115"/>
      <c r="F3623" s="115"/>
    </row>
    <row r="3624" spans="1:6" x14ac:dyDescent="0.2">
      <c r="A3624" s="115"/>
      <c r="B3624" s="79"/>
      <c r="C3624" s="115"/>
      <c r="D3624" s="115"/>
      <c r="E3624" s="115"/>
      <c r="F3624" s="115"/>
    </row>
    <row r="3625" spans="1:6" x14ac:dyDescent="0.2">
      <c r="A3625" s="115"/>
      <c r="B3625" s="79"/>
      <c r="C3625" s="115"/>
      <c r="D3625" s="115"/>
      <c r="E3625" s="115"/>
      <c r="F3625" s="115"/>
    </row>
    <row r="3626" spans="1:6" x14ac:dyDescent="0.2">
      <c r="A3626" s="115"/>
      <c r="B3626" s="79"/>
      <c r="C3626" s="115"/>
      <c r="D3626" s="115"/>
      <c r="E3626" s="115"/>
      <c r="F3626" s="115"/>
    </row>
    <row r="3627" spans="1:6" x14ac:dyDescent="0.2">
      <c r="A3627" s="115"/>
      <c r="B3627" s="79"/>
      <c r="C3627" s="115"/>
      <c r="D3627" s="115"/>
      <c r="E3627" s="115"/>
      <c r="F3627" s="115"/>
    </row>
    <row r="3628" spans="1:6" x14ac:dyDescent="0.2">
      <c r="A3628" s="115"/>
      <c r="B3628" s="79"/>
      <c r="C3628" s="115"/>
      <c r="D3628" s="115"/>
      <c r="E3628" s="115"/>
      <c r="F3628" s="115"/>
    </row>
    <row r="3629" spans="1:6" x14ac:dyDescent="0.2">
      <c r="A3629" s="115"/>
      <c r="B3629" s="79"/>
      <c r="C3629" s="115"/>
      <c r="D3629" s="115"/>
      <c r="E3629" s="115"/>
      <c r="F3629" s="115"/>
    </row>
    <row r="3630" spans="1:6" x14ac:dyDescent="0.2">
      <c r="A3630" s="115"/>
      <c r="B3630" s="79"/>
      <c r="C3630" s="115"/>
      <c r="D3630" s="115"/>
      <c r="E3630" s="115"/>
      <c r="F3630" s="115"/>
    </row>
    <row r="3631" spans="1:6" x14ac:dyDescent="0.2">
      <c r="A3631" s="115"/>
      <c r="B3631" s="79"/>
      <c r="C3631" s="115"/>
      <c r="D3631" s="115"/>
      <c r="E3631" s="115"/>
      <c r="F3631" s="115"/>
    </row>
    <row r="3632" spans="1:6" x14ac:dyDescent="0.2">
      <c r="A3632" s="115"/>
      <c r="B3632" s="79"/>
      <c r="C3632" s="115"/>
      <c r="D3632" s="115"/>
      <c r="E3632" s="115"/>
      <c r="F3632" s="115"/>
    </row>
    <row r="3633" spans="1:6" x14ac:dyDescent="0.2">
      <c r="A3633" s="115"/>
      <c r="B3633" s="79"/>
      <c r="C3633" s="115"/>
      <c r="D3633" s="115"/>
      <c r="E3633" s="115"/>
      <c r="F3633" s="115"/>
    </row>
    <row r="3634" spans="1:6" x14ac:dyDescent="0.2">
      <c r="A3634" s="115"/>
      <c r="B3634" s="79"/>
      <c r="C3634" s="115"/>
      <c r="D3634" s="115"/>
      <c r="E3634" s="115"/>
      <c r="F3634" s="115"/>
    </row>
    <row r="3635" spans="1:6" x14ac:dyDescent="0.2">
      <c r="A3635" s="115"/>
      <c r="B3635" s="79"/>
      <c r="C3635" s="115"/>
      <c r="D3635" s="115"/>
      <c r="E3635" s="115"/>
      <c r="F3635" s="115"/>
    </row>
    <row r="3636" spans="1:6" x14ac:dyDescent="0.2">
      <c r="A3636" s="115"/>
      <c r="B3636" s="79"/>
      <c r="C3636" s="115"/>
      <c r="D3636" s="115"/>
      <c r="E3636" s="115"/>
      <c r="F3636" s="115"/>
    </row>
    <row r="3637" spans="1:6" x14ac:dyDescent="0.2">
      <c r="A3637" s="115"/>
      <c r="B3637" s="79"/>
      <c r="C3637" s="115"/>
      <c r="D3637" s="115"/>
      <c r="E3637" s="115"/>
      <c r="F3637" s="115"/>
    </row>
    <row r="3638" spans="1:6" x14ac:dyDescent="0.2">
      <c r="A3638" s="115"/>
      <c r="B3638" s="79"/>
      <c r="C3638" s="115"/>
      <c r="D3638" s="115"/>
      <c r="E3638" s="115"/>
      <c r="F3638" s="115"/>
    </row>
    <row r="3639" spans="1:6" x14ac:dyDescent="0.2">
      <c r="A3639" s="115"/>
      <c r="B3639" s="79"/>
      <c r="C3639" s="115"/>
      <c r="D3639" s="115"/>
      <c r="E3639" s="115"/>
      <c r="F3639" s="115"/>
    </row>
    <row r="3640" spans="1:6" x14ac:dyDescent="0.2">
      <c r="A3640" s="115"/>
      <c r="B3640" s="79"/>
      <c r="C3640" s="115"/>
      <c r="D3640" s="115"/>
      <c r="E3640" s="115"/>
      <c r="F3640" s="115"/>
    </row>
    <row r="3641" spans="1:6" x14ac:dyDescent="0.2">
      <c r="A3641" s="115"/>
      <c r="B3641" s="79"/>
      <c r="C3641" s="115"/>
      <c r="D3641" s="115"/>
      <c r="E3641" s="115"/>
      <c r="F3641" s="115"/>
    </row>
    <row r="3642" spans="1:6" x14ac:dyDescent="0.2">
      <c r="A3642" s="115"/>
      <c r="B3642" s="79"/>
      <c r="C3642" s="115"/>
      <c r="D3642" s="115"/>
      <c r="E3642" s="115"/>
      <c r="F3642" s="115"/>
    </row>
    <row r="3643" spans="1:6" x14ac:dyDescent="0.2">
      <c r="A3643" s="115"/>
      <c r="B3643" s="79"/>
      <c r="C3643" s="115"/>
      <c r="D3643" s="115"/>
      <c r="E3643" s="115"/>
      <c r="F3643" s="115"/>
    </row>
    <row r="3644" spans="1:6" x14ac:dyDescent="0.2">
      <c r="A3644" s="115"/>
      <c r="B3644" s="79"/>
      <c r="C3644" s="115"/>
      <c r="D3644" s="115"/>
      <c r="E3644" s="115"/>
      <c r="F3644" s="115"/>
    </row>
    <row r="3645" spans="1:6" x14ac:dyDescent="0.2">
      <c r="A3645" s="115"/>
      <c r="B3645" s="79"/>
      <c r="C3645" s="115"/>
      <c r="D3645" s="115"/>
      <c r="E3645" s="115"/>
      <c r="F3645" s="115"/>
    </row>
    <row r="3646" spans="1:6" x14ac:dyDescent="0.2">
      <c r="A3646" s="115"/>
      <c r="B3646" s="79"/>
      <c r="C3646" s="115"/>
      <c r="D3646" s="115"/>
      <c r="E3646" s="115"/>
      <c r="F3646" s="115"/>
    </row>
    <row r="3647" spans="1:6" x14ac:dyDescent="0.2">
      <c r="A3647" s="115"/>
      <c r="B3647" s="79"/>
      <c r="C3647" s="115"/>
      <c r="D3647" s="115"/>
      <c r="E3647" s="115"/>
      <c r="F3647" s="115"/>
    </row>
    <row r="3648" spans="1:6" x14ac:dyDescent="0.2">
      <c r="A3648" s="115"/>
      <c r="B3648" s="79"/>
      <c r="C3648" s="115"/>
      <c r="D3648" s="115"/>
      <c r="E3648" s="115"/>
      <c r="F3648" s="115"/>
    </row>
    <row r="3649" spans="1:6" x14ac:dyDescent="0.2">
      <c r="A3649" s="115"/>
      <c r="B3649" s="79"/>
      <c r="C3649" s="115"/>
      <c r="D3649" s="115"/>
      <c r="E3649" s="115"/>
      <c r="F3649" s="115"/>
    </row>
    <row r="3650" spans="1:6" x14ac:dyDescent="0.2">
      <c r="A3650" s="115"/>
      <c r="B3650" s="79"/>
      <c r="C3650" s="115"/>
      <c r="D3650" s="115"/>
      <c r="E3650" s="115"/>
      <c r="F3650" s="115"/>
    </row>
    <row r="3651" spans="1:6" x14ac:dyDescent="0.2">
      <c r="A3651" s="115"/>
      <c r="B3651" s="79"/>
      <c r="C3651" s="115"/>
      <c r="D3651" s="115"/>
      <c r="E3651" s="115"/>
      <c r="F3651" s="115"/>
    </row>
    <row r="3652" spans="1:6" x14ac:dyDescent="0.2">
      <c r="A3652" s="115"/>
      <c r="B3652" s="79"/>
      <c r="C3652" s="115"/>
      <c r="D3652" s="115"/>
      <c r="E3652" s="115"/>
      <c r="F3652" s="115"/>
    </row>
    <row r="3653" spans="1:6" x14ac:dyDescent="0.2">
      <c r="A3653" s="115"/>
      <c r="B3653" s="79"/>
      <c r="C3653" s="115"/>
      <c r="D3653" s="115"/>
      <c r="E3653" s="115"/>
      <c r="F3653" s="115"/>
    </row>
    <row r="3654" spans="1:6" x14ac:dyDescent="0.2">
      <c r="A3654" s="115"/>
      <c r="B3654" s="79"/>
      <c r="C3654" s="115"/>
      <c r="D3654" s="115"/>
      <c r="E3654" s="115"/>
      <c r="F3654" s="115"/>
    </row>
    <row r="3655" spans="1:6" x14ac:dyDescent="0.2">
      <c r="A3655" s="115"/>
      <c r="B3655" s="79"/>
      <c r="C3655" s="115"/>
      <c r="D3655" s="115"/>
      <c r="E3655" s="115"/>
      <c r="F3655" s="115"/>
    </row>
    <row r="3656" spans="1:6" x14ac:dyDescent="0.2">
      <c r="A3656" s="115"/>
      <c r="B3656" s="79"/>
      <c r="C3656" s="115"/>
      <c r="D3656" s="115"/>
      <c r="E3656" s="115"/>
      <c r="F3656" s="115"/>
    </row>
    <row r="3657" spans="1:6" x14ac:dyDescent="0.2">
      <c r="A3657" s="115"/>
      <c r="B3657" s="79"/>
      <c r="C3657" s="115"/>
      <c r="D3657" s="115"/>
      <c r="E3657" s="115"/>
      <c r="F3657" s="115"/>
    </row>
    <row r="3658" spans="1:6" x14ac:dyDescent="0.2">
      <c r="A3658" s="115"/>
      <c r="B3658" s="79"/>
      <c r="C3658" s="115"/>
      <c r="D3658" s="115"/>
      <c r="E3658" s="115"/>
      <c r="F3658" s="115"/>
    </row>
    <row r="3659" spans="1:6" x14ac:dyDescent="0.2">
      <c r="A3659" s="115"/>
      <c r="B3659" s="79"/>
      <c r="C3659" s="115"/>
      <c r="D3659" s="115"/>
      <c r="E3659" s="115"/>
      <c r="F3659" s="115"/>
    </row>
    <row r="3660" spans="1:6" x14ac:dyDescent="0.2">
      <c r="A3660" s="115"/>
      <c r="B3660" s="79"/>
      <c r="C3660" s="115"/>
      <c r="D3660" s="115"/>
      <c r="E3660" s="115"/>
      <c r="F3660" s="115"/>
    </row>
    <row r="3661" spans="1:6" x14ac:dyDescent="0.2">
      <c r="A3661" s="115"/>
      <c r="B3661" s="79"/>
      <c r="C3661" s="115"/>
      <c r="D3661" s="115"/>
      <c r="E3661" s="115"/>
      <c r="F3661" s="115"/>
    </row>
    <row r="3662" spans="1:6" x14ac:dyDescent="0.2">
      <c r="A3662" s="115"/>
      <c r="B3662" s="79"/>
      <c r="C3662" s="115"/>
      <c r="D3662" s="115"/>
      <c r="E3662" s="115"/>
      <c r="F3662" s="115"/>
    </row>
    <row r="3663" spans="1:6" x14ac:dyDescent="0.2">
      <c r="A3663" s="115"/>
      <c r="B3663" s="79"/>
      <c r="C3663" s="115"/>
      <c r="D3663" s="115"/>
      <c r="E3663" s="115"/>
      <c r="F3663" s="115"/>
    </row>
    <row r="3664" spans="1:6" x14ac:dyDescent="0.2">
      <c r="A3664" s="115"/>
      <c r="B3664" s="79"/>
      <c r="C3664" s="115"/>
      <c r="D3664" s="115"/>
      <c r="E3664" s="115"/>
      <c r="F3664" s="115"/>
    </row>
    <row r="3665" spans="1:6" x14ac:dyDescent="0.2">
      <c r="A3665" s="115"/>
      <c r="B3665" s="79"/>
      <c r="C3665" s="115"/>
      <c r="D3665" s="115"/>
      <c r="E3665" s="115"/>
      <c r="F3665" s="115"/>
    </row>
    <row r="3666" spans="1:6" x14ac:dyDescent="0.2">
      <c r="A3666" s="115"/>
      <c r="B3666" s="79"/>
      <c r="C3666" s="115"/>
      <c r="D3666" s="115"/>
      <c r="E3666" s="115"/>
      <c r="F3666" s="115"/>
    </row>
    <row r="3667" spans="1:6" x14ac:dyDescent="0.2">
      <c r="A3667" s="115"/>
      <c r="B3667" s="79"/>
      <c r="C3667" s="115"/>
      <c r="D3667" s="115"/>
      <c r="E3667" s="115"/>
      <c r="F3667" s="115"/>
    </row>
    <row r="3668" spans="1:6" x14ac:dyDescent="0.2">
      <c r="A3668" s="115"/>
      <c r="B3668" s="79"/>
      <c r="C3668" s="115"/>
      <c r="D3668" s="115"/>
      <c r="E3668" s="115"/>
      <c r="F3668" s="115"/>
    </row>
    <row r="3669" spans="1:6" x14ac:dyDescent="0.2">
      <c r="A3669" s="115"/>
      <c r="B3669" s="79"/>
      <c r="C3669" s="115"/>
      <c r="D3669" s="115"/>
      <c r="E3669" s="115"/>
      <c r="F3669" s="115"/>
    </row>
    <row r="3670" spans="1:6" x14ac:dyDescent="0.2">
      <c r="A3670" s="115"/>
      <c r="B3670" s="79"/>
      <c r="C3670" s="115"/>
      <c r="D3670" s="115"/>
      <c r="E3670" s="115"/>
      <c r="F3670" s="115"/>
    </row>
    <row r="3671" spans="1:6" x14ac:dyDescent="0.2">
      <c r="A3671" s="115"/>
      <c r="B3671" s="79"/>
      <c r="C3671" s="115"/>
      <c r="D3671" s="115"/>
      <c r="E3671" s="115"/>
      <c r="F3671" s="115"/>
    </row>
    <row r="3672" spans="1:6" x14ac:dyDescent="0.2">
      <c r="A3672" s="115"/>
      <c r="B3672" s="79"/>
      <c r="C3672" s="115"/>
      <c r="D3672" s="115"/>
      <c r="E3672" s="115"/>
      <c r="F3672" s="115"/>
    </row>
    <row r="3673" spans="1:6" x14ac:dyDescent="0.2">
      <c r="A3673" s="115"/>
      <c r="B3673" s="79"/>
      <c r="C3673" s="115"/>
      <c r="D3673" s="115"/>
      <c r="E3673" s="115"/>
      <c r="F3673" s="115"/>
    </row>
    <row r="3674" spans="1:6" x14ac:dyDescent="0.2">
      <c r="A3674" s="115"/>
      <c r="B3674" s="79"/>
      <c r="C3674" s="115"/>
      <c r="D3674" s="115"/>
      <c r="E3674" s="115"/>
      <c r="F3674" s="115"/>
    </row>
    <row r="3675" spans="1:6" x14ac:dyDescent="0.2">
      <c r="A3675" s="115"/>
      <c r="B3675" s="79"/>
      <c r="C3675" s="115"/>
      <c r="D3675" s="115"/>
      <c r="E3675" s="115"/>
      <c r="F3675" s="115"/>
    </row>
    <row r="3676" spans="1:6" x14ac:dyDescent="0.2">
      <c r="A3676" s="115"/>
      <c r="B3676" s="79"/>
      <c r="C3676" s="115"/>
      <c r="D3676" s="115"/>
      <c r="E3676" s="115"/>
      <c r="F3676" s="115"/>
    </row>
    <row r="3677" spans="1:6" x14ac:dyDescent="0.2">
      <c r="A3677" s="115"/>
      <c r="B3677" s="79"/>
      <c r="C3677" s="115"/>
      <c r="D3677" s="115"/>
      <c r="E3677" s="115"/>
      <c r="F3677" s="115"/>
    </row>
    <row r="3678" spans="1:6" x14ac:dyDescent="0.2">
      <c r="A3678" s="115"/>
      <c r="B3678" s="79"/>
      <c r="C3678" s="115"/>
      <c r="D3678" s="115"/>
      <c r="E3678" s="115"/>
      <c r="F3678" s="115"/>
    </row>
    <row r="3679" spans="1:6" x14ac:dyDescent="0.2">
      <c r="A3679" s="115"/>
      <c r="B3679" s="79"/>
      <c r="C3679" s="115"/>
      <c r="D3679" s="115"/>
      <c r="E3679" s="115"/>
      <c r="F3679" s="115"/>
    </row>
    <row r="3680" spans="1:6" x14ac:dyDescent="0.2">
      <c r="A3680" s="115"/>
      <c r="B3680" s="79"/>
      <c r="C3680" s="115"/>
      <c r="D3680" s="115"/>
      <c r="E3680" s="115"/>
      <c r="F3680" s="115"/>
    </row>
    <row r="3681" spans="1:6" x14ac:dyDescent="0.2">
      <c r="A3681" s="115"/>
      <c r="B3681" s="79"/>
      <c r="C3681" s="115"/>
      <c r="D3681" s="115"/>
      <c r="E3681" s="115"/>
      <c r="F3681" s="115"/>
    </row>
    <row r="3682" spans="1:6" x14ac:dyDescent="0.2">
      <c r="A3682" s="115"/>
      <c r="B3682" s="79"/>
      <c r="C3682" s="115"/>
      <c r="D3682" s="115"/>
      <c r="E3682" s="115"/>
      <c r="F3682" s="115"/>
    </row>
    <row r="3683" spans="1:6" x14ac:dyDescent="0.2">
      <c r="A3683" s="115"/>
      <c r="B3683" s="79"/>
      <c r="C3683" s="115"/>
      <c r="D3683" s="115"/>
      <c r="E3683" s="115"/>
      <c r="F3683" s="115"/>
    </row>
    <row r="3684" spans="1:6" x14ac:dyDescent="0.2">
      <c r="A3684" s="115"/>
      <c r="B3684" s="79"/>
      <c r="C3684" s="115"/>
      <c r="D3684" s="115"/>
      <c r="E3684" s="115"/>
      <c r="F3684" s="115"/>
    </row>
    <row r="3685" spans="1:6" x14ac:dyDescent="0.2">
      <c r="A3685" s="115"/>
      <c r="B3685" s="79"/>
      <c r="C3685" s="115"/>
      <c r="D3685" s="115"/>
      <c r="E3685" s="115"/>
      <c r="F3685" s="115"/>
    </row>
    <row r="3686" spans="1:6" x14ac:dyDescent="0.2">
      <c r="A3686" s="115"/>
      <c r="B3686" s="79"/>
      <c r="C3686" s="115"/>
      <c r="D3686" s="115"/>
      <c r="E3686" s="115"/>
      <c r="F3686" s="115"/>
    </row>
    <row r="3687" spans="1:6" x14ac:dyDescent="0.2">
      <c r="A3687" s="115"/>
      <c r="B3687" s="79"/>
      <c r="C3687" s="115"/>
      <c r="D3687" s="115"/>
      <c r="E3687" s="115"/>
      <c r="F3687" s="115"/>
    </row>
    <row r="3688" spans="1:6" x14ac:dyDescent="0.2">
      <c r="A3688" s="115"/>
      <c r="B3688" s="79"/>
      <c r="C3688" s="115"/>
      <c r="D3688" s="115"/>
      <c r="E3688" s="115"/>
      <c r="F3688" s="115"/>
    </row>
    <row r="3689" spans="1:6" x14ac:dyDescent="0.2">
      <c r="A3689" s="115"/>
      <c r="B3689" s="79"/>
      <c r="C3689" s="115"/>
      <c r="D3689" s="115"/>
      <c r="E3689" s="115"/>
      <c r="F3689" s="115"/>
    </row>
    <row r="3690" spans="1:6" x14ac:dyDescent="0.2">
      <c r="A3690" s="115"/>
      <c r="B3690" s="79"/>
      <c r="C3690" s="115"/>
      <c r="D3690" s="115"/>
      <c r="E3690" s="115"/>
      <c r="F3690" s="115"/>
    </row>
    <row r="3691" spans="1:6" x14ac:dyDescent="0.2">
      <c r="A3691" s="115"/>
      <c r="B3691" s="79"/>
      <c r="C3691" s="115"/>
      <c r="D3691" s="115"/>
      <c r="E3691" s="115"/>
      <c r="F3691" s="115"/>
    </row>
    <row r="3692" spans="1:6" x14ac:dyDescent="0.2">
      <c r="A3692" s="115"/>
      <c r="B3692" s="79"/>
      <c r="C3692" s="115"/>
      <c r="D3692" s="115"/>
      <c r="E3692" s="115"/>
      <c r="F3692" s="115"/>
    </row>
    <row r="3693" spans="1:6" x14ac:dyDescent="0.2">
      <c r="A3693" s="115"/>
      <c r="B3693" s="79"/>
      <c r="C3693" s="115"/>
      <c r="D3693" s="115"/>
      <c r="E3693" s="115"/>
      <c r="F3693" s="115"/>
    </row>
    <row r="3694" spans="1:6" x14ac:dyDescent="0.2">
      <c r="A3694" s="115"/>
      <c r="B3694" s="79"/>
      <c r="C3694" s="115"/>
      <c r="D3694" s="115"/>
      <c r="E3694" s="115"/>
      <c r="F3694" s="115"/>
    </row>
    <row r="3695" spans="1:6" x14ac:dyDescent="0.2">
      <c r="A3695" s="115"/>
      <c r="B3695" s="79"/>
      <c r="C3695" s="115"/>
      <c r="D3695" s="115"/>
      <c r="E3695" s="115"/>
      <c r="F3695" s="115"/>
    </row>
    <row r="3696" spans="1:6" x14ac:dyDescent="0.2">
      <c r="A3696" s="115"/>
      <c r="B3696" s="79"/>
      <c r="C3696" s="115"/>
      <c r="D3696" s="115"/>
      <c r="E3696" s="115"/>
      <c r="F3696" s="115"/>
    </row>
    <row r="3697" spans="1:6" x14ac:dyDescent="0.2">
      <c r="A3697" s="115"/>
      <c r="B3697" s="79"/>
      <c r="C3697" s="115"/>
      <c r="D3697" s="115"/>
      <c r="E3697" s="115"/>
      <c r="F3697" s="115"/>
    </row>
    <row r="3698" spans="1:6" x14ac:dyDescent="0.2">
      <c r="A3698" s="115"/>
      <c r="B3698" s="79"/>
      <c r="C3698" s="115"/>
      <c r="D3698" s="115"/>
      <c r="E3698" s="115"/>
      <c r="F3698" s="115"/>
    </row>
    <row r="3699" spans="1:6" x14ac:dyDescent="0.2">
      <c r="A3699" s="115"/>
      <c r="B3699" s="79"/>
      <c r="C3699" s="115"/>
      <c r="D3699" s="115"/>
      <c r="E3699" s="115"/>
      <c r="F3699" s="115"/>
    </row>
    <row r="3700" spans="1:6" x14ac:dyDescent="0.2">
      <c r="A3700" s="115"/>
      <c r="B3700" s="79"/>
      <c r="C3700" s="115"/>
      <c r="D3700" s="115"/>
      <c r="E3700" s="115"/>
      <c r="F3700" s="115"/>
    </row>
    <row r="3701" spans="1:6" x14ac:dyDescent="0.2">
      <c r="A3701" s="115"/>
      <c r="B3701" s="79"/>
      <c r="C3701" s="115"/>
      <c r="D3701" s="115"/>
      <c r="E3701" s="115"/>
      <c r="F3701" s="115"/>
    </row>
    <row r="3702" spans="1:6" x14ac:dyDescent="0.2">
      <c r="A3702" s="115"/>
      <c r="B3702" s="79"/>
      <c r="C3702" s="115"/>
      <c r="D3702" s="115"/>
      <c r="E3702" s="115"/>
      <c r="F3702" s="115"/>
    </row>
    <row r="3703" spans="1:6" x14ac:dyDescent="0.2">
      <c r="A3703" s="115"/>
      <c r="B3703" s="79"/>
      <c r="C3703" s="115"/>
      <c r="D3703" s="115"/>
      <c r="E3703" s="115"/>
      <c r="F3703" s="115"/>
    </row>
    <row r="3704" spans="1:6" x14ac:dyDescent="0.2">
      <c r="A3704" s="115"/>
      <c r="B3704" s="79"/>
      <c r="C3704" s="115"/>
      <c r="D3704" s="115"/>
      <c r="E3704" s="115"/>
      <c r="F3704" s="115"/>
    </row>
    <row r="3705" spans="1:6" x14ac:dyDescent="0.2">
      <c r="A3705" s="115"/>
      <c r="B3705" s="79"/>
      <c r="C3705" s="115"/>
      <c r="D3705" s="115"/>
      <c r="E3705" s="115"/>
      <c r="F3705" s="115"/>
    </row>
    <row r="3706" spans="1:6" x14ac:dyDescent="0.2">
      <c r="A3706" s="115"/>
      <c r="B3706" s="79"/>
      <c r="C3706" s="115"/>
      <c r="D3706" s="115"/>
      <c r="E3706" s="115"/>
      <c r="F3706" s="115"/>
    </row>
    <row r="3707" spans="1:6" x14ac:dyDescent="0.2">
      <c r="A3707" s="115"/>
      <c r="B3707" s="79"/>
      <c r="C3707" s="115"/>
      <c r="D3707" s="115"/>
      <c r="E3707" s="115"/>
      <c r="F3707" s="115"/>
    </row>
    <row r="3708" spans="1:6" x14ac:dyDescent="0.2">
      <c r="A3708" s="115"/>
      <c r="B3708" s="79"/>
      <c r="C3708" s="115"/>
      <c r="D3708" s="115"/>
      <c r="E3708" s="115"/>
      <c r="F3708" s="115"/>
    </row>
    <row r="3709" spans="1:6" x14ac:dyDescent="0.2">
      <c r="A3709" s="115"/>
      <c r="B3709" s="79"/>
      <c r="C3709" s="115"/>
      <c r="D3709" s="115"/>
      <c r="E3709" s="115"/>
      <c r="F3709" s="115"/>
    </row>
    <row r="3710" spans="1:6" x14ac:dyDescent="0.2">
      <c r="A3710" s="115"/>
      <c r="B3710" s="79"/>
      <c r="C3710" s="115"/>
      <c r="D3710" s="115"/>
      <c r="E3710" s="115"/>
      <c r="F3710" s="115"/>
    </row>
    <row r="3711" spans="1:6" x14ac:dyDescent="0.2">
      <c r="A3711" s="115"/>
      <c r="B3711" s="79"/>
      <c r="C3711" s="115"/>
      <c r="D3711" s="115"/>
      <c r="E3711" s="115"/>
      <c r="F3711" s="115"/>
    </row>
    <row r="3712" spans="1:6" x14ac:dyDescent="0.2">
      <c r="A3712" s="115"/>
      <c r="B3712" s="79"/>
      <c r="C3712" s="115"/>
      <c r="D3712" s="115"/>
      <c r="E3712" s="115"/>
      <c r="F3712" s="115"/>
    </row>
    <row r="3713" spans="1:6" x14ac:dyDescent="0.2">
      <c r="A3713" s="115"/>
      <c r="B3713" s="79"/>
      <c r="C3713" s="115"/>
      <c r="D3713" s="115"/>
      <c r="E3713" s="115"/>
      <c r="F3713" s="115"/>
    </row>
    <row r="3714" spans="1:6" x14ac:dyDescent="0.2">
      <c r="A3714" s="115"/>
      <c r="B3714" s="79"/>
      <c r="C3714" s="115"/>
      <c r="D3714" s="115"/>
      <c r="E3714" s="115"/>
      <c r="F3714" s="115"/>
    </row>
    <row r="3715" spans="1:6" x14ac:dyDescent="0.2">
      <c r="A3715" s="115"/>
      <c r="B3715" s="79"/>
      <c r="C3715" s="115"/>
      <c r="D3715" s="115"/>
      <c r="E3715" s="115"/>
      <c r="F3715" s="115"/>
    </row>
    <row r="3716" spans="1:6" x14ac:dyDescent="0.2">
      <c r="A3716" s="115"/>
      <c r="B3716" s="79"/>
      <c r="C3716" s="115"/>
      <c r="D3716" s="115"/>
      <c r="E3716" s="115"/>
      <c r="F3716" s="115"/>
    </row>
    <row r="3717" spans="1:6" x14ac:dyDescent="0.2">
      <c r="A3717" s="115"/>
      <c r="B3717" s="79"/>
      <c r="C3717" s="115"/>
      <c r="D3717" s="115"/>
      <c r="E3717" s="115"/>
      <c r="F3717" s="115"/>
    </row>
    <row r="3718" spans="1:6" x14ac:dyDescent="0.2">
      <c r="A3718" s="115"/>
      <c r="B3718" s="79"/>
      <c r="C3718" s="115"/>
      <c r="D3718" s="115"/>
      <c r="E3718" s="115"/>
      <c r="F3718" s="115"/>
    </row>
    <row r="3719" spans="1:6" x14ac:dyDescent="0.2">
      <c r="A3719" s="115"/>
      <c r="B3719" s="79"/>
      <c r="C3719" s="115"/>
      <c r="D3719" s="115"/>
      <c r="E3719" s="115"/>
      <c r="F3719" s="115"/>
    </row>
    <row r="3720" spans="1:6" x14ac:dyDescent="0.2">
      <c r="A3720" s="115"/>
      <c r="B3720" s="79"/>
      <c r="C3720" s="115"/>
      <c r="D3720" s="115"/>
      <c r="E3720" s="115"/>
      <c r="F3720" s="115"/>
    </row>
    <row r="3721" spans="1:6" x14ac:dyDescent="0.2">
      <c r="A3721" s="115"/>
      <c r="B3721" s="79"/>
      <c r="C3721" s="115"/>
      <c r="D3721" s="115"/>
      <c r="E3721" s="115"/>
      <c r="F3721" s="115"/>
    </row>
    <row r="3722" spans="1:6" x14ac:dyDescent="0.2">
      <c r="A3722" s="115"/>
      <c r="B3722" s="79"/>
      <c r="C3722" s="115"/>
      <c r="D3722" s="115"/>
      <c r="E3722" s="115"/>
      <c r="F3722" s="115"/>
    </row>
    <row r="3723" spans="1:6" x14ac:dyDescent="0.2">
      <c r="A3723" s="115"/>
      <c r="B3723" s="79"/>
      <c r="C3723" s="115"/>
      <c r="D3723" s="115"/>
      <c r="E3723" s="115"/>
      <c r="F3723" s="115"/>
    </row>
    <row r="3724" spans="1:6" x14ac:dyDescent="0.2">
      <c r="A3724" s="115"/>
      <c r="B3724" s="79"/>
      <c r="C3724" s="115"/>
      <c r="D3724" s="115"/>
      <c r="E3724" s="115"/>
      <c r="F3724" s="115"/>
    </row>
    <row r="3725" spans="1:6" x14ac:dyDescent="0.2">
      <c r="A3725" s="115"/>
      <c r="B3725" s="79"/>
      <c r="C3725" s="115"/>
      <c r="D3725" s="115"/>
      <c r="E3725" s="115"/>
      <c r="F3725" s="115"/>
    </row>
    <row r="3726" spans="1:6" x14ac:dyDescent="0.2">
      <c r="A3726" s="115"/>
      <c r="B3726" s="79"/>
      <c r="C3726" s="115"/>
      <c r="D3726" s="115"/>
      <c r="E3726" s="115"/>
      <c r="F3726" s="115"/>
    </row>
    <row r="3727" spans="1:6" x14ac:dyDescent="0.2">
      <c r="A3727" s="115"/>
      <c r="B3727" s="79"/>
      <c r="C3727" s="115"/>
      <c r="D3727" s="115"/>
      <c r="E3727" s="115"/>
      <c r="F3727" s="115"/>
    </row>
    <row r="3728" spans="1:6" x14ac:dyDescent="0.2">
      <c r="A3728" s="115"/>
      <c r="B3728" s="79"/>
      <c r="C3728" s="115"/>
      <c r="D3728" s="115"/>
      <c r="E3728" s="115"/>
      <c r="F3728" s="115"/>
    </row>
    <row r="3729" spans="1:6" x14ac:dyDescent="0.2">
      <c r="A3729" s="115"/>
      <c r="B3729" s="79"/>
      <c r="C3729" s="115"/>
      <c r="D3729" s="115"/>
      <c r="E3729" s="115"/>
      <c r="F3729" s="115"/>
    </row>
    <row r="3730" spans="1:6" x14ac:dyDescent="0.2">
      <c r="A3730" s="115"/>
      <c r="B3730" s="79"/>
      <c r="C3730" s="115"/>
      <c r="D3730" s="115"/>
      <c r="E3730" s="115"/>
      <c r="F3730" s="115"/>
    </row>
    <row r="3731" spans="1:6" x14ac:dyDescent="0.2">
      <c r="A3731" s="115"/>
      <c r="B3731" s="79"/>
      <c r="C3731" s="115"/>
      <c r="D3731" s="115"/>
      <c r="E3731" s="115"/>
      <c r="F3731" s="115"/>
    </row>
    <row r="3732" spans="1:6" x14ac:dyDescent="0.2">
      <c r="A3732" s="115"/>
      <c r="B3732" s="79"/>
      <c r="C3732" s="115"/>
      <c r="D3732" s="115"/>
      <c r="E3732" s="115"/>
      <c r="F3732" s="115"/>
    </row>
    <row r="3733" spans="1:6" x14ac:dyDescent="0.2">
      <c r="A3733" s="115"/>
      <c r="B3733" s="79"/>
      <c r="C3733" s="115"/>
      <c r="D3733" s="115"/>
      <c r="E3733" s="115"/>
      <c r="F3733" s="115"/>
    </row>
    <row r="3734" spans="1:6" x14ac:dyDescent="0.2">
      <c r="A3734" s="115"/>
      <c r="B3734" s="79"/>
      <c r="C3734" s="115"/>
      <c r="D3734" s="115"/>
      <c r="E3734" s="115"/>
      <c r="F3734" s="115"/>
    </row>
    <row r="3735" spans="1:6" x14ac:dyDescent="0.2">
      <c r="A3735" s="115"/>
      <c r="B3735" s="79"/>
      <c r="C3735" s="115"/>
      <c r="D3735" s="115"/>
      <c r="E3735" s="115"/>
      <c r="F3735" s="115"/>
    </row>
    <row r="3736" spans="1:6" x14ac:dyDescent="0.2">
      <c r="A3736" s="115"/>
      <c r="B3736" s="79"/>
      <c r="C3736" s="115"/>
      <c r="D3736" s="115"/>
      <c r="E3736" s="115"/>
      <c r="F3736" s="115"/>
    </row>
    <row r="3737" spans="1:6" x14ac:dyDescent="0.2">
      <c r="A3737" s="115"/>
      <c r="B3737" s="79"/>
      <c r="C3737" s="115"/>
      <c r="D3737" s="115"/>
      <c r="E3737" s="115"/>
      <c r="F3737" s="115"/>
    </row>
    <row r="3738" spans="1:6" x14ac:dyDescent="0.2">
      <c r="A3738" s="115"/>
      <c r="B3738" s="79"/>
      <c r="C3738" s="115"/>
      <c r="D3738" s="115"/>
      <c r="E3738" s="115"/>
      <c r="F3738" s="115"/>
    </row>
    <row r="3739" spans="1:6" x14ac:dyDescent="0.2">
      <c r="A3739" s="115"/>
      <c r="B3739" s="79"/>
      <c r="C3739" s="115"/>
      <c r="D3739" s="115"/>
      <c r="E3739" s="115"/>
      <c r="F3739" s="115"/>
    </row>
    <row r="3740" spans="1:6" x14ac:dyDescent="0.2">
      <c r="A3740" s="115"/>
      <c r="B3740" s="79"/>
      <c r="C3740" s="115"/>
      <c r="D3740" s="115"/>
      <c r="E3740" s="115"/>
      <c r="F3740" s="115"/>
    </row>
    <row r="3741" spans="1:6" x14ac:dyDescent="0.2">
      <c r="A3741" s="115"/>
      <c r="B3741" s="79"/>
      <c r="C3741" s="115"/>
      <c r="D3741" s="115"/>
      <c r="E3741" s="115"/>
      <c r="F3741" s="115"/>
    </row>
    <row r="3742" spans="1:6" x14ac:dyDescent="0.2">
      <c r="A3742" s="115"/>
      <c r="B3742" s="79"/>
      <c r="C3742" s="115"/>
      <c r="D3742" s="115"/>
      <c r="E3742" s="115"/>
      <c r="F3742" s="115"/>
    </row>
    <row r="3743" spans="1:6" x14ac:dyDescent="0.2">
      <c r="A3743" s="115"/>
      <c r="B3743" s="79"/>
      <c r="C3743" s="115"/>
      <c r="D3743" s="115"/>
      <c r="E3743" s="115"/>
      <c r="F3743" s="115"/>
    </row>
    <row r="3744" spans="1:6" x14ac:dyDescent="0.2">
      <c r="A3744" s="115"/>
      <c r="B3744" s="79"/>
      <c r="C3744" s="115"/>
      <c r="D3744" s="115"/>
      <c r="E3744" s="115"/>
      <c r="F3744" s="115"/>
    </row>
    <row r="3745" spans="1:6" x14ac:dyDescent="0.2">
      <c r="A3745" s="115"/>
      <c r="B3745" s="79"/>
      <c r="C3745" s="115"/>
      <c r="D3745" s="115"/>
      <c r="E3745" s="115"/>
      <c r="F3745" s="115"/>
    </row>
    <row r="3746" spans="1:6" x14ac:dyDescent="0.2">
      <c r="A3746" s="115"/>
      <c r="B3746" s="79"/>
      <c r="C3746" s="115"/>
      <c r="D3746" s="115"/>
      <c r="E3746" s="115"/>
      <c r="F3746" s="115"/>
    </row>
    <row r="3747" spans="1:6" x14ac:dyDescent="0.2">
      <c r="A3747" s="115"/>
      <c r="B3747" s="79"/>
      <c r="C3747" s="115"/>
      <c r="D3747" s="115"/>
      <c r="E3747" s="115"/>
      <c r="F3747" s="115"/>
    </row>
    <row r="3748" spans="1:6" x14ac:dyDescent="0.2">
      <c r="A3748" s="115"/>
      <c r="B3748" s="79"/>
      <c r="C3748" s="115"/>
      <c r="D3748" s="115"/>
      <c r="E3748" s="115"/>
      <c r="F3748" s="115"/>
    </row>
    <row r="3749" spans="1:6" x14ac:dyDescent="0.2">
      <c r="A3749" s="115"/>
      <c r="B3749" s="79"/>
      <c r="C3749" s="115"/>
      <c r="D3749" s="115"/>
      <c r="E3749" s="115"/>
      <c r="F3749" s="115"/>
    </row>
    <row r="3750" spans="1:6" x14ac:dyDescent="0.2">
      <c r="A3750" s="115"/>
      <c r="B3750" s="79"/>
      <c r="C3750" s="115"/>
      <c r="D3750" s="115"/>
      <c r="E3750" s="115"/>
      <c r="F3750" s="115"/>
    </row>
    <row r="3751" spans="1:6" x14ac:dyDescent="0.2">
      <c r="A3751" s="115"/>
      <c r="B3751" s="79"/>
      <c r="C3751" s="115"/>
      <c r="D3751" s="115"/>
      <c r="E3751" s="115"/>
      <c r="F3751" s="115"/>
    </row>
    <row r="3752" spans="1:6" x14ac:dyDescent="0.2">
      <c r="A3752" s="115"/>
      <c r="B3752" s="79"/>
      <c r="C3752" s="115"/>
      <c r="D3752" s="115"/>
      <c r="E3752" s="115"/>
      <c r="F3752" s="115"/>
    </row>
    <row r="3753" spans="1:6" x14ac:dyDescent="0.2">
      <c r="A3753" s="115"/>
      <c r="B3753" s="79"/>
      <c r="C3753" s="115"/>
      <c r="D3753" s="115"/>
      <c r="E3753" s="115"/>
      <c r="F3753" s="115"/>
    </row>
    <row r="3754" spans="1:6" x14ac:dyDescent="0.2">
      <c r="A3754" s="115"/>
      <c r="B3754" s="79"/>
      <c r="C3754" s="115"/>
      <c r="D3754" s="115"/>
      <c r="E3754" s="115"/>
      <c r="F3754" s="115"/>
    </row>
    <row r="3755" spans="1:6" x14ac:dyDescent="0.2">
      <c r="A3755" s="115"/>
      <c r="B3755" s="79"/>
      <c r="C3755" s="115"/>
      <c r="D3755" s="115"/>
      <c r="E3755" s="115"/>
      <c r="F3755" s="115"/>
    </row>
    <row r="3756" spans="1:6" x14ac:dyDescent="0.2">
      <c r="A3756" s="115"/>
      <c r="B3756" s="79"/>
      <c r="C3756" s="115"/>
      <c r="D3756" s="115"/>
      <c r="E3756" s="115"/>
      <c r="F3756" s="115"/>
    </row>
    <row r="3757" spans="1:6" x14ac:dyDescent="0.2">
      <c r="A3757" s="115"/>
      <c r="B3757" s="79"/>
      <c r="C3757" s="115"/>
      <c r="D3757" s="115"/>
      <c r="E3757" s="115"/>
      <c r="F3757" s="115"/>
    </row>
    <row r="3758" spans="1:6" x14ac:dyDescent="0.2">
      <c r="A3758" s="115"/>
      <c r="B3758" s="79"/>
      <c r="C3758" s="115"/>
      <c r="D3758" s="115"/>
      <c r="E3758" s="115"/>
      <c r="F3758" s="115"/>
    </row>
    <row r="3759" spans="1:6" x14ac:dyDescent="0.2">
      <c r="A3759" s="115"/>
      <c r="B3759" s="79"/>
      <c r="C3759" s="115"/>
      <c r="D3759" s="115"/>
      <c r="E3759" s="115"/>
      <c r="F3759" s="115"/>
    </row>
    <row r="3760" spans="1:6" x14ac:dyDescent="0.2">
      <c r="A3760" s="115"/>
      <c r="B3760" s="79"/>
      <c r="C3760" s="115"/>
      <c r="D3760" s="115"/>
      <c r="E3760" s="115"/>
      <c r="F3760" s="115"/>
    </row>
    <row r="3761" spans="1:6" x14ac:dyDescent="0.2">
      <c r="A3761" s="115"/>
      <c r="B3761" s="79"/>
      <c r="C3761" s="115"/>
      <c r="D3761" s="115"/>
      <c r="E3761" s="115"/>
      <c r="F3761" s="115"/>
    </row>
    <row r="3762" spans="1:6" x14ac:dyDescent="0.2">
      <c r="A3762" s="115"/>
      <c r="B3762" s="79"/>
      <c r="C3762" s="115"/>
      <c r="D3762" s="115"/>
      <c r="E3762" s="115"/>
      <c r="F3762" s="115"/>
    </row>
    <row r="3763" spans="1:6" x14ac:dyDescent="0.2">
      <c r="A3763" s="115"/>
      <c r="B3763" s="79"/>
      <c r="C3763" s="115"/>
      <c r="D3763" s="115"/>
      <c r="E3763" s="115"/>
      <c r="F3763" s="115"/>
    </row>
    <row r="3764" spans="1:6" x14ac:dyDescent="0.2">
      <c r="A3764" s="115"/>
      <c r="B3764" s="79"/>
      <c r="C3764" s="115"/>
      <c r="D3764" s="115"/>
      <c r="E3764" s="115"/>
      <c r="F3764" s="115"/>
    </row>
    <row r="3765" spans="1:6" x14ac:dyDescent="0.2">
      <c r="A3765" s="115"/>
      <c r="B3765" s="79"/>
      <c r="C3765" s="115"/>
      <c r="D3765" s="115"/>
      <c r="E3765" s="115"/>
      <c r="F3765" s="115"/>
    </row>
    <row r="3766" spans="1:6" x14ac:dyDescent="0.2">
      <c r="A3766" s="115"/>
      <c r="B3766" s="79"/>
      <c r="C3766" s="115"/>
      <c r="D3766" s="115"/>
      <c r="E3766" s="115"/>
      <c r="F3766" s="115"/>
    </row>
    <row r="3767" spans="1:6" x14ac:dyDescent="0.2">
      <c r="A3767" s="115"/>
      <c r="B3767" s="79"/>
      <c r="C3767" s="115"/>
      <c r="D3767" s="115"/>
      <c r="E3767" s="115"/>
      <c r="F3767" s="115"/>
    </row>
    <row r="3768" spans="1:6" x14ac:dyDescent="0.2">
      <c r="A3768" s="115"/>
      <c r="B3768" s="79"/>
      <c r="C3768" s="115"/>
      <c r="D3768" s="115"/>
      <c r="E3768" s="115"/>
      <c r="F3768" s="115"/>
    </row>
    <row r="3769" spans="1:6" x14ac:dyDescent="0.2">
      <c r="A3769" s="115"/>
      <c r="B3769" s="79"/>
      <c r="C3769" s="115"/>
      <c r="D3769" s="115"/>
      <c r="E3769" s="115"/>
      <c r="F3769" s="115"/>
    </row>
    <row r="3770" spans="1:6" x14ac:dyDescent="0.2">
      <c r="A3770" s="115"/>
      <c r="B3770" s="79"/>
      <c r="C3770" s="115"/>
      <c r="D3770" s="115"/>
      <c r="E3770" s="115"/>
      <c r="F3770" s="115"/>
    </row>
    <row r="3771" spans="1:6" x14ac:dyDescent="0.2">
      <c r="A3771" s="115"/>
      <c r="B3771" s="79"/>
      <c r="C3771" s="115"/>
      <c r="D3771" s="115"/>
      <c r="E3771" s="115"/>
      <c r="F3771" s="115"/>
    </row>
    <row r="3772" spans="1:6" x14ac:dyDescent="0.2">
      <c r="A3772" s="115"/>
      <c r="B3772" s="79"/>
      <c r="C3772" s="115"/>
      <c r="D3772" s="115"/>
      <c r="E3772" s="115"/>
      <c r="F3772" s="115"/>
    </row>
    <row r="3773" spans="1:6" x14ac:dyDescent="0.2">
      <c r="A3773" s="115"/>
      <c r="B3773" s="79"/>
      <c r="C3773" s="115"/>
      <c r="D3773" s="115"/>
      <c r="E3773" s="115"/>
      <c r="F3773" s="115"/>
    </row>
    <row r="3774" spans="1:6" x14ac:dyDescent="0.2">
      <c r="A3774" s="115"/>
      <c r="B3774" s="79"/>
      <c r="C3774" s="115"/>
      <c r="D3774" s="115"/>
      <c r="E3774" s="115"/>
      <c r="F3774" s="115"/>
    </row>
    <row r="3775" spans="1:6" x14ac:dyDescent="0.2">
      <c r="A3775" s="115"/>
      <c r="B3775" s="79"/>
      <c r="C3775" s="115"/>
      <c r="D3775" s="115"/>
      <c r="E3775" s="115"/>
      <c r="F3775" s="115"/>
    </row>
    <row r="3776" spans="1:6" x14ac:dyDescent="0.2">
      <c r="A3776" s="115"/>
      <c r="B3776" s="79"/>
      <c r="C3776" s="115"/>
      <c r="D3776" s="115"/>
      <c r="E3776" s="115"/>
      <c r="F3776" s="115"/>
    </row>
    <row r="3777" spans="1:6" x14ac:dyDescent="0.2">
      <c r="A3777" s="115"/>
      <c r="B3777" s="79"/>
      <c r="C3777" s="115"/>
      <c r="D3777" s="115"/>
      <c r="E3777" s="115"/>
      <c r="F3777" s="115"/>
    </row>
    <row r="3778" spans="1:6" x14ac:dyDescent="0.2">
      <c r="A3778" s="115"/>
      <c r="B3778" s="79"/>
      <c r="C3778" s="115"/>
      <c r="D3778" s="115"/>
      <c r="E3778" s="115"/>
      <c r="F3778" s="115"/>
    </row>
    <row r="3779" spans="1:6" x14ac:dyDescent="0.2">
      <c r="A3779" s="115"/>
      <c r="B3779" s="79"/>
      <c r="C3779" s="115"/>
      <c r="D3779" s="115"/>
      <c r="E3779" s="115"/>
      <c r="F3779" s="115"/>
    </row>
    <row r="3780" spans="1:6" x14ac:dyDescent="0.2">
      <c r="A3780" s="115"/>
      <c r="B3780" s="79"/>
      <c r="C3780" s="115"/>
      <c r="D3780" s="115"/>
      <c r="E3780" s="115"/>
      <c r="F3780" s="115"/>
    </row>
    <row r="3781" spans="1:6" x14ac:dyDescent="0.2">
      <c r="A3781" s="115"/>
      <c r="B3781" s="79"/>
      <c r="C3781" s="115"/>
      <c r="D3781" s="115"/>
      <c r="E3781" s="115"/>
      <c r="F3781" s="115"/>
    </row>
    <row r="3782" spans="1:6" x14ac:dyDescent="0.2">
      <c r="A3782" s="115"/>
      <c r="B3782" s="79"/>
      <c r="C3782" s="115"/>
      <c r="D3782" s="115"/>
      <c r="E3782" s="115"/>
      <c r="F3782" s="115"/>
    </row>
    <row r="3783" spans="1:6" x14ac:dyDescent="0.2">
      <c r="A3783" s="115"/>
      <c r="B3783" s="79"/>
      <c r="C3783" s="115"/>
      <c r="D3783" s="115"/>
      <c r="E3783" s="115"/>
      <c r="F3783" s="115"/>
    </row>
    <row r="3784" spans="1:6" x14ac:dyDescent="0.2">
      <c r="A3784" s="115"/>
      <c r="B3784" s="79"/>
      <c r="C3784" s="115"/>
      <c r="D3784" s="115"/>
      <c r="E3784" s="115"/>
      <c r="F3784" s="115"/>
    </row>
    <row r="3785" spans="1:6" x14ac:dyDescent="0.2">
      <c r="A3785" s="115"/>
      <c r="B3785" s="79"/>
      <c r="C3785" s="115"/>
      <c r="D3785" s="115"/>
      <c r="E3785" s="115"/>
      <c r="F3785" s="115"/>
    </row>
    <row r="3786" spans="1:6" x14ac:dyDescent="0.2">
      <c r="A3786" s="115"/>
      <c r="B3786" s="79"/>
      <c r="C3786" s="115"/>
      <c r="D3786" s="115"/>
      <c r="E3786" s="115"/>
      <c r="F3786" s="115"/>
    </row>
    <row r="3787" spans="1:6" x14ac:dyDescent="0.2">
      <c r="A3787" s="115"/>
      <c r="B3787" s="79"/>
      <c r="C3787" s="115"/>
      <c r="D3787" s="115"/>
      <c r="E3787" s="115"/>
      <c r="F3787" s="115"/>
    </row>
    <row r="3788" spans="1:6" x14ac:dyDescent="0.2">
      <c r="A3788" s="115"/>
      <c r="B3788" s="79"/>
      <c r="C3788" s="115"/>
      <c r="D3788" s="115"/>
      <c r="E3788" s="115"/>
      <c r="F3788" s="115"/>
    </row>
    <row r="3789" spans="1:6" x14ac:dyDescent="0.2">
      <c r="A3789" s="115"/>
      <c r="B3789" s="79"/>
      <c r="C3789" s="115"/>
      <c r="D3789" s="115"/>
      <c r="E3789" s="115"/>
      <c r="F3789" s="115"/>
    </row>
    <row r="3790" spans="1:6" x14ac:dyDescent="0.2">
      <c r="A3790" s="115"/>
      <c r="B3790" s="79"/>
      <c r="C3790" s="115"/>
      <c r="D3790" s="115"/>
      <c r="E3790" s="115"/>
      <c r="F3790" s="115"/>
    </row>
    <row r="3791" spans="1:6" x14ac:dyDescent="0.2">
      <c r="A3791" s="115"/>
      <c r="B3791" s="79"/>
      <c r="C3791" s="115"/>
      <c r="D3791" s="115"/>
      <c r="E3791" s="115"/>
      <c r="F3791" s="115"/>
    </row>
    <row r="3792" spans="1:6" x14ac:dyDescent="0.2">
      <c r="A3792" s="115"/>
      <c r="B3792" s="79"/>
      <c r="C3792" s="115"/>
      <c r="D3792" s="115"/>
      <c r="E3792" s="115"/>
      <c r="F3792" s="115"/>
    </row>
    <row r="3793" spans="1:6" x14ac:dyDescent="0.2">
      <c r="A3793" s="115"/>
      <c r="B3793" s="79"/>
      <c r="C3793" s="115"/>
      <c r="D3793" s="115"/>
      <c r="E3793" s="115"/>
      <c r="F3793" s="115"/>
    </row>
    <row r="3794" spans="1:6" x14ac:dyDescent="0.2">
      <c r="A3794" s="115"/>
      <c r="B3794" s="79"/>
      <c r="C3794" s="115"/>
      <c r="D3794" s="115"/>
      <c r="E3794" s="115"/>
      <c r="F3794" s="115"/>
    </row>
    <row r="3795" spans="1:6" x14ac:dyDescent="0.2">
      <c r="A3795" s="115"/>
      <c r="B3795" s="79"/>
      <c r="C3795" s="115"/>
      <c r="D3795" s="115"/>
      <c r="E3795" s="115"/>
      <c r="F3795" s="115"/>
    </row>
    <row r="3796" spans="1:6" x14ac:dyDescent="0.2">
      <c r="A3796" s="115"/>
      <c r="B3796" s="79"/>
      <c r="C3796" s="115"/>
      <c r="D3796" s="115"/>
      <c r="E3796" s="115"/>
      <c r="F3796" s="115"/>
    </row>
    <row r="3797" spans="1:6" x14ac:dyDescent="0.2">
      <c r="A3797" s="115"/>
      <c r="B3797" s="79"/>
      <c r="C3797" s="115"/>
      <c r="D3797" s="115"/>
      <c r="E3797" s="115"/>
      <c r="F3797" s="115"/>
    </row>
    <row r="3798" spans="1:6" x14ac:dyDescent="0.2">
      <c r="A3798" s="115"/>
      <c r="B3798" s="79"/>
      <c r="C3798" s="115"/>
      <c r="D3798" s="115"/>
      <c r="E3798" s="115"/>
      <c r="F3798" s="115"/>
    </row>
    <row r="3799" spans="1:6" x14ac:dyDescent="0.2">
      <c r="A3799" s="115"/>
      <c r="B3799" s="79"/>
      <c r="C3799" s="115"/>
      <c r="D3799" s="115"/>
      <c r="E3799" s="115"/>
      <c r="F3799" s="115"/>
    </row>
    <row r="3800" spans="1:6" x14ac:dyDescent="0.2">
      <c r="A3800" s="115"/>
      <c r="B3800" s="79"/>
      <c r="C3800" s="115"/>
      <c r="D3800" s="115"/>
      <c r="E3800" s="115"/>
      <c r="F3800" s="115"/>
    </row>
    <row r="3801" spans="1:6" x14ac:dyDescent="0.2">
      <c r="A3801" s="115"/>
      <c r="B3801" s="79"/>
      <c r="C3801" s="115"/>
      <c r="D3801" s="115"/>
      <c r="E3801" s="115"/>
      <c r="F3801" s="115"/>
    </row>
    <row r="3802" spans="1:6" x14ac:dyDescent="0.2">
      <c r="A3802" s="115"/>
      <c r="B3802" s="79"/>
      <c r="C3802" s="115"/>
      <c r="D3802" s="115"/>
      <c r="E3802" s="115"/>
      <c r="F3802" s="115"/>
    </row>
    <row r="3803" spans="1:6" x14ac:dyDescent="0.2">
      <c r="A3803" s="115"/>
      <c r="B3803" s="79"/>
      <c r="C3803" s="115"/>
      <c r="D3803" s="115"/>
      <c r="E3803" s="115"/>
      <c r="F3803" s="115"/>
    </row>
    <row r="3804" spans="1:6" x14ac:dyDescent="0.2">
      <c r="A3804" s="115"/>
      <c r="B3804" s="79"/>
      <c r="C3804" s="115"/>
      <c r="D3804" s="115"/>
      <c r="E3804" s="115"/>
      <c r="F3804" s="115"/>
    </row>
    <row r="3805" spans="1:6" x14ac:dyDescent="0.2">
      <c r="A3805" s="115"/>
      <c r="B3805" s="79"/>
      <c r="C3805" s="115"/>
      <c r="D3805" s="115"/>
      <c r="E3805" s="115"/>
      <c r="F3805" s="115"/>
    </row>
    <row r="3806" spans="1:6" x14ac:dyDescent="0.2">
      <c r="A3806" s="115"/>
      <c r="B3806" s="79"/>
      <c r="C3806" s="115"/>
      <c r="D3806" s="115"/>
      <c r="E3806" s="115"/>
      <c r="F3806" s="115"/>
    </row>
    <row r="3807" spans="1:6" x14ac:dyDescent="0.2">
      <c r="A3807" s="115"/>
      <c r="B3807" s="79"/>
      <c r="C3807" s="115"/>
      <c r="D3807" s="115"/>
      <c r="E3807" s="115"/>
      <c r="F3807" s="115"/>
    </row>
    <row r="3808" spans="1:6" x14ac:dyDescent="0.2">
      <c r="A3808" s="115"/>
      <c r="B3808" s="79"/>
      <c r="C3808" s="115"/>
      <c r="D3808" s="115"/>
      <c r="E3808" s="115"/>
      <c r="F3808" s="115"/>
    </row>
    <row r="3809" spans="1:6" x14ac:dyDescent="0.2">
      <c r="A3809" s="115"/>
      <c r="B3809" s="79"/>
      <c r="C3809" s="115"/>
      <c r="D3809" s="115"/>
      <c r="E3809" s="115"/>
      <c r="F3809" s="115"/>
    </row>
    <row r="3810" spans="1:6" x14ac:dyDescent="0.2">
      <c r="A3810" s="115"/>
      <c r="B3810" s="79"/>
      <c r="C3810" s="115"/>
      <c r="D3810" s="115"/>
      <c r="E3810" s="115"/>
      <c r="F3810" s="115"/>
    </row>
    <row r="3811" spans="1:6" x14ac:dyDescent="0.2">
      <c r="A3811" s="115"/>
      <c r="B3811" s="79"/>
      <c r="C3811" s="115"/>
      <c r="D3811" s="115"/>
      <c r="E3811" s="115"/>
      <c r="F3811" s="115"/>
    </row>
    <row r="3812" spans="1:6" x14ac:dyDescent="0.2">
      <c r="A3812" s="115"/>
      <c r="B3812" s="79"/>
      <c r="C3812" s="115"/>
      <c r="D3812" s="115"/>
      <c r="E3812" s="115"/>
      <c r="F3812" s="115"/>
    </row>
    <row r="3813" spans="1:6" x14ac:dyDescent="0.2">
      <c r="A3813" s="115"/>
      <c r="B3813" s="79"/>
      <c r="C3813" s="115"/>
      <c r="D3813" s="115"/>
      <c r="E3813" s="115"/>
      <c r="F3813" s="115"/>
    </row>
    <row r="3814" spans="1:6" x14ac:dyDescent="0.2">
      <c r="A3814" s="115"/>
      <c r="B3814" s="79"/>
      <c r="C3814" s="115"/>
      <c r="D3814" s="115"/>
      <c r="E3814" s="115"/>
      <c r="F3814" s="115"/>
    </row>
    <row r="3815" spans="1:6" x14ac:dyDescent="0.2">
      <c r="A3815" s="115"/>
      <c r="B3815" s="79"/>
      <c r="C3815" s="115"/>
      <c r="D3815" s="115"/>
      <c r="E3815" s="115"/>
      <c r="F3815" s="115"/>
    </row>
    <row r="3816" spans="1:6" x14ac:dyDescent="0.2">
      <c r="A3816" s="115"/>
      <c r="B3816" s="79"/>
      <c r="C3816" s="115"/>
      <c r="D3816" s="115"/>
      <c r="E3816" s="115"/>
      <c r="F3816" s="115"/>
    </row>
    <row r="3817" spans="1:6" x14ac:dyDescent="0.2">
      <c r="A3817" s="115"/>
      <c r="B3817" s="79"/>
      <c r="C3817" s="115"/>
      <c r="D3817" s="115"/>
      <c r="E3817" s="115"/>
      <c r="F3817" s="115"/>
    </row>
    <row r="3818" spans="1:6" x14ac:dyDescent="0.2">
      <c r="A3818" s="115"/>
      <c r="B3818" s="79"/>
      <c r="C3818" s="115"/>
      <c r="D3818" s="115"/>
      <c r="E3818" s="115"/>
      <c r="F3818" s="115"/>
    </row>
    <row r="3819" spans="1:6" x14ac:dyDescent="0.2">
      <c r="A3819" s="115"/>
      <c r="B3819" s="79"/>
      <c r="C3819" s="115"/>
      <c r="D3819" s="115"/>
      <c r="E3819" s="115"/>
      <c r="F3819" s="115"/>
    </row>
    <row r="3820" spans="1:6" x14ac:dyDescent="0.2">
      <c r="A3820" s="115"/>
      <c r="B3820" s="79"/>
      <c r="C3820" s="115"/>
      <c r="D3820" s="115"/>
      <c r="E3820" s="115"/>
      <c r="F3820" s="115"/>
    </row>
    <row r="3821" spans="1:6" x14ac:dyDescent="0.2">
      <c r="A3821" s="115"/>
      <c r="B3821" s="79"/>
      <c r="C3821" s="115"/>
      <c r="D3821" s="115"/>
      <c r="E3821" s="115"/>
      <c r="F3821" s="115"/>
    </row>
    <row r="3822" spans="1:6" x14ac:dyDescent="0.2">
      <c r="A3822" s="115"/>
      <c r="B3822" s="79"/>
      <c r="C3822" s="115"/>
      <c r="D3822" s="115"/>
      <c r="E3822" s="115"/>
      <c r="F3822" s="115"/>
    </row>
    <row r="3823" spans="1:6" x14ac:dyDescent="0.2">
      <c r="A3823" s="115"/>
      <c r="B3823" s="79"/>
      <c r="C3823" s="115"/>
      <c r="D3823" s="115"/>
      <c r="E3823" s="115"/>
      <c r="F3823" s="115"/>
    </row>
    <row r="3824" spans="1:6" x14ac:dyDescent="0.2">
      <c r="A3824" s="115"/>
      <c r="B3824" s="79"/>
      <c r="C3824" s="115"/>
      <c r="D3824" s="115"/>
      <c r="E3824" s="115"/>
      <c r="F3824" s="115"/>
    </row>
    <row r="3825" spans="1:6" x14ac:dyDescent="0.2">
      <c r="A3825" s="115"/>
      <c r="B3825" s="79"/>
      <c r="C3825" s="115"/>
      <c r="D3825" s="115"/>
      <c r="E3825" s="115"/>
      <c r="F3825" s="115"/>
    </row>
    <row r="3826" spans="1:6" x14ac:dyDescent="0.2">
      <c r="A3826" s="115"/>
      <c r="B3826" s="79"/>
      <c r="C3826" s="115"/>
      <c r="D3826" s="115"/>
      <c r="E3826" s="115"/>
      <c r="F3826" s="115"/>
    </row>
    <row r="3827" spans="1:6" x14ac:dyDescent="0.2">
      <c r="A3827" s="115"/>
      <c r="B3827" s="79"/>
      <c r="C3827" s="115"/>
      <c r="D3827" s="115"/>
      <c r="E3827" s="115"/>
      <c r="F3827" s="115"/>
    </row>
    <row r="3828" spans="1:6" x14ac:dyDescent="0.2">
      <c r="A3828" s="115"/>
      <c r="B3828" s="79"/>
      <c r="C3828" s="115"/>
      <c r="D3828" s="115"/>
      <c r="E3828" s="115"/>
      <c r="F3828" s="115"/>
    </row>
    <row r="3829" spans="1:6" x14ac:dyDescent="0.2">
      <c r="A3829" s="115"/>
      <c r="B3829" s="79"/>
      <c r="C3829" s="115"/>
      <c r="D3829" s="115"/>
      <c r="E3829" s="115"/>
      <c r="F3829" s="115"/>
    </row>
    <row r="3830" spans="1:6" x14ac:dyDescent="0.2">
      <c r="A3830" s="115"/>
      <c r="B3830" s="79"/>
      <c r="C3830" s="115"/>
      <c r="D3830" s="115"/>
      <c r="E3830" s="115"/>
      <c r="F3830" s="115"/>
    </row>
    <row r="3831" spans="1:6" x14ac:dyDescent="0.2">
      <c r="A3831" s="115"/>
      <c r="B3831" s="79"/>
      <c r="C3831" s="115"/>
      <c r="D3831" s="115"/>
      <c r="E3831" s="115"/>
      <c r="F3831" s="115"/>
    </row>
    <row r="3832" spans="1:6" x14ac:dyDescent="0.2">
      <c r="A3832" s="115"/>
      <c r="B3832" s="79"/>
      <c r="C3832" s="115"/>
      <c r="D3832" s="115"/>
      <c r="E3832" s="115"/>
      <c r="F3832" s="115"/>
    </row>
    <row r="3833" spans="1:6" x14ac:dyDescent="0.2">
      <c r="A3833" s="115"/>
      <c r="B3833" s="79"/>
      <c r="C3833" s="115"/>
      <c r="D3833" s="115"/>
      <c r="E3833" s="115"/>
      <c r="F3833" s="115"/>
    </row>
    <row r="3834" spans="1:6" x14ac:dyDescent="0.2">
      <c r="A3834" s="115"/>
      <c r="B3834" s="79"/>
      <c r="C3834" s="115"/>
      <c r="D3834" s="115"/>
      <c r="E3834" s="115"/>
      <c r="F3834" s="115"/>
    </row>
    <row r="3835" spans="1:6" x14ac:dyDescent="0.2">
      <c r="A3835" s="115"/>
      <c r="B3835" s="79"/>
      <c r="C3835" s="115"/>
      <c r="D3835" s="115"/>
      <c r="E3835" s="115"/>
      <c r="F3835" s="115"/>
    </row>
    <row r="3836" spans="1:6" x14ac:dyDescent="0.2">
      <c r="A3836" s="115"/>
      <c r="B3836" s="79"/>
      <c r="C3836" s="115"/>
      <c r="D3836" s="115"/>
      <c r="E3836" s="115"/>
      <c r="F3836" s="115"/>
    </row>
    <row r="3837" spans="1:6" x14ac:dyDescent="0.2">
      <c r="A3837" s="115"/>
      <c r="B3837" s="79"/>
      <c r="C3837" s="115"/>
      <c r="D3837" s="115"/>
      <c r="E3837" s="115"/>
      <c r="F3837" s="115"/>
    </row>
    <row r="3838" spans="1:6" x14ac:dyDescent="0.2">
      <c r="A3838" s="115"/>
      <c r="B3838" s="79"/>
      <c r="C3838" s="115"/>
      <c r="D3838" s="115"/>
      <c r="E3838" s="115"/>
      <c r="F3838" s="115"/>
    </row>
    <row r="3839" spans="1:6" x14ac:dyDescent="0.2">
      <c r="A3839" s="115"/>
      <c r="B3839" s="79"/>
      <c r="C3839" s="115"/>
      <c r="D3839" s="115"/>
      <c r="E3839" s="115"/>
      <c r="F3839" s="115"/>
    </row>
    <row r="3840" spans="1:6" x14ac:dyDescent="0.2">
      <c r="A3840" s="115"/>
      <c r="B3840" s="79"/>
      <c r="C3840" s="115"/>
      <c r="D3840" s="115"/>
      <c r="E3840" s="115"/>
      <c r="F3840" s="115"/>
    </row>
    <row r="3841" spans="1:6" x14ac:dyDescent="0.2">
      <c r="A3841" s="115"/>
      <c r="B3841" s="79"/>
      <c r="C3841" s="115"/>
      <c r="D3841" s="115"/>
      <c r="E3841" s="115"/>
      <c r="F3841" s="115"/>
    </row>
    <row r="3842" spans="1:6" x14ac:dyDescent="0.2">
      <c r="A3842" s="115"/>
      <c r="B3842" s="79"/>
      <c r="C3842" s="115"/>
      <c r="D3842" s="115"/>
      <c r="E3842" s="115"/>
      <c r="F3842" s="115"/>
    </row>
    <row r="3843" spans="1:6" x14ac:dyDescent="0.2">
      <c r="A3843" s="115"/>
      <c r="B3843" s="79"/>
      <c r="C3843" s="115"/>
      <c r="D3843" s="115"/>
      <c r="E3843" s="115"/>
      <c r="F3843" s="115"/>
    </row>
    <row r="3844" spans="1:6" x14ac:dyDescent="0.2">
      <c r="A3844" s="115"/>
      <c r="B3844" s="79"/>
      <c r="C3844" s="115"/>
      <c r="D3844" s="115"/>
      <c r="E3844" s="115"/>
      <c r="F3844" s="115"/>
    </row>
    <row r="3845" spans="1:6" x14ac:dyDescent="0.2">
      <c r="A3845" s="115"/>
      <c r="B3845" s="79"/>
      <c r="C3845" s="115"/>
      <c r="D3845" s="115"/>
      <c r="E3845" s="115"/>
      <c r="F3845" s="115"/>
    </row>
    <row r="3846" spans="1:6" x14ac:dyDescent="0.2">
      <c r="A3846" s="115"/>
      <c r="B3846" s="79"/>
      <c r="C3846" s="115"/>
      <c r="D3846" s="115"/>
      <c r="E3846" s="115"/>
      <c r="F3846" s="115"/>
    </row>
    <row r="3847" spans="1:6" x14ac:dyDescent="0.2">
      <c r="A3847" s="115"/>
      <c r="B3847" s="79"/>
      <c r="C3847" s="115"/>
      <c r="D3847" s="115"/>
      <c r="E3847" s="115"/>
      <c r="F3847" s="115"/>
    </row>
    <row r="3848" spans="1:6" x14ac:dyDescent="0.2">
      <c r="A3848" s="115"/>
      <c r="B3848" s="79"/>
      <c r="C3848" s="115"/>
      <c r="D3848" s="115"/>
      <c r="E3848" s="115"/>
      <c r="F3848" s="115"/>
    </row>
    <row r="3849" spans="1:6" x14ac:dyDescent="0.2">
      <c r="A3849" s="115"/>
      <c r="B3849" s="79"/>
      <c r="C3849" s="115"/>
      <c r="D3849" s="115"/>
      <c r="E3849" s="115"/>
      <c r="F3849" s="115"/>
    </row>
    <row r="3850" spans="1:6" x14ac:dyDescent="0.2">
      <c r="A3850" s="115"/>
      <c r="B3850" s="79"/>
      <c r="C3850" s="115"/>
      <c r="D3850" s="115"/>
      <c r="E3850" s="115"/>
      <c r="F3850" s="115"/>
    </row>
    <row r="3851" spans="1:6" x14ac:dyDescent="0.2">
      <c r="A3851" s="115"/>
      <c r="B3851" s="79"/>
      <c r="C3851" s="115"/>
      <c r="D3851" s="115"/>
      <c r="E3851" s="115"/>
      <c r="F3851" s="115"/>
    </row>
    <row r="3852" spans="1:6" x14ac:dyDescent="0.2">
      <c r="A3852" s="115"/>
      <c r="B3852" s="79"/>
      <c r="C3852" s="115"/>
      <c r="D3852" s="115"/>
      <c r="E3852" s="115"/>
      <c r="F3852" s="115"/>
    </row>
    <row r="3853" spans="1:6" x14ac:dyDescent="0.2">
      <c r="A3853" s="115"/>
      <c r="B3853" s="79"/>
      <c r="C3853" s="115"/>
      <c r="D3853" s="115"/>
      <c r="E3853" s="115"/>
      <c r="F3853" s="115"/>
    </row>
    <row r="3854" spans="1:6" x14ac:dyDescent="0.2">
      <c r="A3854" s="115"/>
      <c r="B3854" s="79"/>
      <c r="C3854" s="115"/>
      <c r="D3854" s="115"/>
      <c r="E3854" s="115"/>
      <c r="F3854" s="115"/>
    </row>
    <row r="3855" spans="1:6" x14ac:dyDescent="0.2">
      <c r="A3855" s="115"/>
      <c r="B3855" s="79"/>
      <c r="C3855" s="115"/>
      <c r="D3855" s="115"/>
      <c r="E3855" s="115"/>
      <c r="F3855" s="115"/>
    </row>
    <row r="3856" spans="1:6" x14ac:dyDescent="0.2">
      <c r="A3856" s="115"/>
      <c r="B3856" s="79"/>
      <c r="C3856" s="115"/>
      <c r="D3856" s="115"/>
      <c r="E3856" s="115"/>
      <c r="F3856" s="115"/>
    </row>
    <row r="3857" spans="1:6" x14ac:dyDescent="0.2">
      <c r="A3857" s="115"/>
      <c r="B3857" s="79"/>
      <c r="C3857" s="115"/>
      <c r="D3857" s="115"/>
      <c r="E3857" s="115"/>
      <c r="F3857" s="115"/>
    </row>
    <row r="3858" spans="1:6" x14ac:dyDescent="0.2">
      <c r="A3858" s="115"/>
      <c r="B3858" s="79"/>
      <c r="C3858" s="115"/>
      <c r="D3858" s="115"/>
      <c r="E3858" s="115"/>
      <c r="F3858" s="115"/>
    </row>
    <row r="3859" spans="1:6" x14ac:dyDescent="0.2">
      <c r="A3859" s="115"/>
      <c r="B3859" s="79"/>
      <c r="C3859" s="115"/>
      <c r="D3859" s="115"/>
      <c r="E3859" s="115"/>
      <c r="F3859" s="115"/>
    </row>
    <row r="3860" spans="1:6" x14ac:dyDescent="0.2">
      <c r="A3860" s="115"/>
      <c r="B3860" s="79"/>
      <c r="C3860" s="115"/>
      <c r="D3860" s="115"/>
      <c r="E3860" s="115"/>
      <c r="F3860" s="115"/>
    </row>
    <row r="3861" spans="1:6" x14ac:dyDescent="0.2">
      <c r="A3861" s="115"/>
      <c r="B3861" s="79"/>
      <c r="C3861" s="115"/>
      <c r="D3861" s="115"/>
      <c r="E3861" s="115"/>
      <c r="F3861" s="115"/>
    </row>
    <row r="3862" spans="1:6" x14ac:dyDescent="0.2">
      <c r="A3862" s="115"/>
      <c r="B3862" s="79"/>
      <c r="C3862" s="115"/>
      <c r="D3862" s="115"/>
      <c r="E3862" s="115"/>
      <c r="F3862" s="115"/>
    </row>
    <row r="3863" spans="1:6" x14ac:dyDescent="0.2">
      <c r="A3863" s="115"/>
      <c r="B3863" s="79"/>
      <c r="C3863" s="115"/>
      <c r="D3863" s="115"/>
      <c r="E3863" s="115"/>
      <c r="F3863" s="115"/>
    </row>
    <row r="3864" spans="1:6" x14ac:dyDescent="0.2">
      <c r="A3864" s="115"/>
      <c r="B3864" s="79"/>
      <c r="C3864" s="115"/>
      <c r="D3864" s="115"/>
      <c r="E3864" s="115"/>
      <c r="F3864" s="115"/>
    </row>
    <row r="3865" spans="1:6" x14ac:dyDescent="0.2">
      <c r="A3865" s="115"/>
      <c r="B3865" s="79"/>
      <c r="C3865" s="115"/>
      <c r="D3865" s="115"/>
      <c r="E3865" s="115"/>
      <c r="F3865" s="115"/>
    </row>
    <row r="3866" spans="1:6" x14ac:dyDescent="0.2">
      <c r="A3866" s="115"/>
      <c r="B3866" s="79"/>
      <c r="C3866" s="115"/>
      <c r="D3866" s="115"/>
      <c r="E3866" s="115"/>
      <c r="F3866" s="115"/>
    </row>
    <row r="3867" spans="1:6" x14ac:dyDescent="0.2">
      <c r="A3867" s="115"/>
      <c r="B3867" s="79"/>
      <c r="C3867" s="115"/>
      <c r="D3867" s="115"/>
      <c r="E3867" s="115"/>
      <c r="F3867" s="115"/>
    </row>
    <row r="3868" spans="1:6" x14ac:dyDescent="0.2">
      <c r="A3868" s="115"/>
      <c r="B3868" s="79"/>
      <c r="C3868" s="115"/>
      <c r="D3868" s="115"/>
      <c r="E3868" s="115"/>
      <c r="F3868" s="115"/>
    </row>
    <row r="3869" spans="1:6" x14ac:dyDescent="0.2">
      <c r="A3869" s="115"/>
      <c r="B3869" s="79"/>
      <c r="C3869" s="115"/>
      <c r="D3869" s="115"/>
      <c r="E3869" s="115"/>
      <c r="F3869" s="115"/>
    </row>
    <row r="3870" spans="1:6" x14ac:dyDescent="0.2">
      <c r="A3870" s="115"/>
      <c r="B3870" s="79"/>
      <c r="C3870" s="115"/>
      <c r="D3870" s="115"/>
      <c r="E3870" s="115"/>
      <c r="F3870" s="115"/>
    </row>
    <row r="3871" spans="1:6" x14ac:dyDescent="0.2">
      <c r="A3871" s="115"/>
      <c r="B3871" s="79"/>
      <c r="C3871" s="115"/>
      <c r="D3871" s="115"/>
      <c r="E3871" s="115"/>
      <c r="F3871" s="115"/>
    </row>
    <row r="3872" spans="1:6" x14ac:dyDescent="0.2">
      <c r="A3872" s="115"/>
      <c r="B3872" s="79"/>
      <c r="C3872" s="115"/>
      <c r="D3872" s="115"/>
      <c r="E3872" s="115"/>
      <c r="F3872" s="115"/>
    </row>
    <row r="3873" spans="1:6" x14ac:dyDescent="0.2">
      <c r="A3873" s="115"/>
      <c r="B3873" s="79"/>
      <c r="C3873" s="115"/>
      <c r="D3873" s="115"/>
      <c r="E3873" s="115"/>
      <c r="F3873" s="115"/>
    </row>
    <row r="3874" spans="1:6" x14ac:dyDescent="0.2">
      <c r="A3874" s="115"/>
      <c r="B3874" s="79"/>
      <c r="C3874" s="115"/>
      <c r="D3874" s="115"/>
      <c r="E3874" s="115"/>
      <c r="F3874" s="115"/>
    </row>
    <row r="3875" spans="1:6" x14ac:dyDescent="0.2">
      <c r="A3875" s="115"/>
      <c r="B3875" s="79"/>
      <c r="C3875" s="115"/>
      <c r="D3875" s="115"/>
      <c r="E3875" s="115"/>
      <c r="F3875" s="115"/>
    </row>
    <row r="3876" spans="1:6" x14ac:dyDescent="0.2">
      <c r="A3876" s="115"/>
      <c r="B3876" s="79"/>
      <c r="C3876" s="115"/>
      <c r="D3876" s="115"/>
      <c r="E3876" s="115"/>
      <c r="F3876" s="115"/>
    </row>
    <row r="3877" spans="1:6" x14ac:dyDescent="0.2">
      <c r="A3877" s="115"/>
      <c r="B3877" s="79"/>
      <c r="C3877" s="115"/>
      <c r="D3877" s="115"/>
      <c r="E3877" s="115"/>
      <c r="F3877" s="115"/>
    </row>
    <row r="3878" spans="1:6" x14ac:dyDescent="0.2">
      <c r="A3878" s="115"/>
      <c r="B3878" s="79"/>
      <c r="C3878" s="115"/>
      <c r="D3878" s="115"/>
      <c r="E3878" s="115"/>
      <c r="F3878" s="115"/>
    </row>
    <row r="3879" spans="1:6" x14ac:dyDescent="0.2">
      <c r="A3879" s="115"/>
      <c r="B3879" s="79"/>
      <c r="C3879" s="115"/>
      <c r="D3879" s="115"/>
      <c r="E3879" s="115"/>
      <c r="F3879" s="115"/>
    </row>
    <row r="3880" spans="1:6" x14ac:dyDescent="0.2">
      <c r="A3880" s="115"/>
      <c r="B3880" s="79"/>
      <c r="C3880" s="115"/>
      <c r="D3880" s="115"/>
      <c r="E3880" s="115"/>
      <c r="F3880" s="115"/>
    </row>
    <row r="3881" spans="1:6" x14ac:dyDescent="0.2">
      <c r="A3881" s="115"/>
      <c r="B3881" s="79"/>
      <c r="C3881" s="115"/>
      <c r="D3881" s="115"/>
      <c r="E3881" s="115"/>
      <c r="F3881" s="115"/>
    </row>
    <row r="3882" spans="1:6" x14ac:dyDescent="0.2">
      <c r="A3882" s="115"/>
      <c r="B3882" s="79"/>
      <c r="C3882" s="115"/>
      <c r="D3882" s="115"/>
      <c r="E3882" s="115"/>
      <c r="F3882" s="115"/>
    </row>
    <row r="3883" spans="1:6" x14ac:dyDescent="0.2">
      <c r="A3883" s="115"/>
      <c r="B3883" s="79"/>
      <c r="C3883" s="115"/>
      <c r="D3883" s="115"/>
      <c r="E3883" s="115"/>
      <c r="F3883" s="115"/>
    </row>
    <row r="3884" spans="1:6" x14ac:dyDescent="0.2">
      <c r="A3884" s="115"/>
      <c r="B3884" s="79"/>
      <c r="C3884" s="115"/>
      <c r="D3884" s="115"/>
      <c r="E3884" s="115"/>
      <c r="F3884" s="115"/>
    </row>
    <row r="3885" spans="1:6" x14ac:dyDescent="0.2">
      <c r="A3885" s="115"/>
      <c r="B3885" s="79"/>
      <c r="C3885" s="115"/>
      <c r="D3885" s="115"/>
      <c r="E3885" s="115"/>
      <c r="F3885" s="115"/>
    </row>
    <row r="3886" spans="1:6" x14ac:dyDescent="0.2">
      <c r="A3886" s="115"/>
      <c r="B3886" s="79"/>
      <c r="C3886" s="115"/>
      <c r="D3886" s="115"/>
      <c r="E3886" s="115"/>
      <c r="F3886" s="115"/>
    </row>
    <row r="3887" spans="1:6" x14ac:dyDescent="0.2">
      <c r="A3887" s="115"/>
      <c r="B3887" s="79"/>
      <c r="C3887" s="115"/>
      <c r="D3887" s="115"/>
      <c r="E3887" s="115"/>
      <c r="F3887" s="115"/>
    </row>
    <row r="3888" spans="1:6" x14ac:dyDescent="0.2">
      <c r="A3888" s="115"/>
      <c r="B3888" s="79"/>
      <c r="C3888" s="115"/>
      <c r="D3888" s="115"/>
      <c r="E3888" s="115"/>
      <c r="F3888" s="115"/>
    </row>
    <row r="3889" spans="1:6" x14ac:dyDescent="0.2">
      <c r="A3889" s="115"/>
      <c r="B3889" s="79"/>
      <c r="C3889" s="115"/>
      <c r="D3889" s="115"/>
      <c r="E3889" s="115"/>
      <c r="F3889" s="115"/>
    </row>
    <row r="3890" spans="1:6" x14ac:dyDescent="0.2">
      <c r="A3890" s="115"/>
      <c r="B3890" s="79"/>
      <c r="C3890" s="115"/>
      <c r="D3890" s="115"/>
      <c r="E3890" s="115"/>
      <c r="F3890" s="115"/>
    </row>
    <row r="3891" spans="1:6" x14ac:dyDescent="0.2">
      <c r="A3891" s="115"/>
      <c r="B3891" s="79"/>
      <c r="C3891" s="115"/>
      <c r="D3891" s="115"/>
      <c r="E3891" s="115"/>
      <c r="F3891" s="115"/>
    </row>
    <row r="3892" spans="1:6" x14ac:dyDescent="0.2">
      <c r="A3892" s="115"/>
      <c r="B3892" s="79"/>
      <c r="C3892" s="115"/>
      <c r="D3892" s="115"/>
      <c r="E3892" s="115"/>
      <c r="F3892" s="115"/>
    </row>
    <row r="3893" spans="1:6" x14ac:dyDescent="0.2">
      <c r="A3893" s="115"/>
      <c r="B3893" s="79"/>
      <c r="C3893" s="115"/>
      <c r="D3893" s="115"/>
      <c r="E3893" s="115"/>
      <c r="F3893" s="115"/>
    </row>
    <row r="3894" spans="1:6" x14ac:dyDescent="0.2">
      <c r="A3894" s="115"/>
      <c r="B3894" s="79"/>
      <c r="C3894" s="115"/>
      <c r="D3894" s="115"/>
      <c r="E3894" s="115"/>
      <c r="F3894" s="115"/>
    </row>
    <row r="3895" spans="1:6" x14ac:dyDescent="0.2">
      <c r="A3895" s="115"/>
      <c r="B3895" s="79"/>
      <c r="C3895" s="115"/>
      <c r="D3895" s="115"/>
      <c r="E3895" s="115"/>
      <c r="F3895" s="115"/>
    </row>
    <row r="3896" spans="1:6" x14ac:dyDescent="0.2">
      <c r="A3896" s="115"/>
      <c r="B3896" s="79"/>
      <c r="C3896" s="115"/>
      <c r="D3896" s="115"/>
      <c r="E3896" s="115"/>
      <c r="F3896" s="115"/>
    </row>
    <row r="3897" spans="1:6" x14ac:dyDescent="0.2">
      <c r="A3897" s="115"/>
      <c r="B3897" s="79"/>
      <c r="C3897" s="115"/>
      <c r="D3897" s="115"/>
      <c r="E3897" s="115"/>
      <c r="F3897" s="115"/>
    </row>
    <row r="3898" spans="1:6" x14ac:dyDescent="0.2">
      <c r="A3898" s="115"/>
      <c r="B3898" s="79"/>
      <c r="C3898" s="115"/>
      <c r="D3898" s="115"/>
      <c r="E3898" s="115"/>
      <c r="F3898" s="115"/>
    </row>
    <row r="3899" spans="1:6" x14ac:dyDescent="0.2">
      <c r="A3899" s="115"/>
      <c r="B3899" s="79"/>
      <c r="C3899" s="115"/>
      <c r="D3899" s="115"/>
      <c r="E3899" s="115"/>
      <c r="F3899" s="115"/>
    </row>
    <row r="3900" spans="1:6" x14ac:dyDescent="0.2">
      <c r="A3900" s="115"/>
      <c r="B3900" s="79"/>
      <c r="C3900" s="115"/>
      <c r="D3900" s="115"/>
      <c r="E3900" s="115"/>
      <c r="F3900" s="115"/>
    </row>
    <row r="3901" spans="1:6" x14ac:dyDescent="0.2">
      <c r="A3901" s="115"/>
      <c r="B3901" s="79"/>
      <c r="C3901" s="115"/>
      <c r="D3901" s="115"/>
      <c r="E3901" s="115"/>
      <c r="F3901" s="115"/>
    </row>
    <row r="3902" spans="1:6" x14ac:dyDescent="0.2">
      <c r="A3902" s="115"/>
      <c r="B3902" s="79"/>
      <c r="C3902" s="115"/>
      <c r="D3902" s="115"/>
      <c r="E3902" s="115"/>
      <c r="F3902" s="115"/>
    </row>
    <row r="3903" spans="1:6" x14ac:dyDescent="0.2">
      <c r="A3903" s="115"/>
      <c r="B3903" s="79"/>
      <c r="C3903" s="115"/>
      <c r="D3903" s="115"/>
      <c r="E3903" s="115"/>
      <c r="F3903" s="115"/>
    </row>
    <row r="3904" spans="1:6" x14ac:dyDescent="0.2">
      <c r="A3904" s="115"/>
      <c r="B3904" s="79"/>
      <c r="C3904" s="115"/>
      <c r="D3904" s="115"/>
      <c r="E3904" s="115"/>
      <c r="F3904" s="115"/>
    </row>
    <row r="3905" spans="1:6" x14ac:dyDescent="0.2">
      <c r="A3905" s="115"/>
      <c r="B3905" s="79"/>
      <c r="C3905" s="115"/>
      <c r="D3905" s="115"/>
      <c r="E3905" s="115"/>
      <c r="F3905" s="115"/>
    </row>
    <row r="3906" spans="1:6" x14ac:dyDescent="0.2">
      <c r="A3906" s="115"/>
      <c r="B3906" s="79"/>
      <c r="C3906" s="115"/>
      <c r="D3906" s="115"/>
      <c r="E3906" s="115"/>
      <c r="F3906" s="115"/>
    </row>
    <row r="3907" spans="1:6" x14ac:dyDescent="0.2">
      <c r="A3907" s="115"/>
      <c r="B3907" s="79"/>
      <c r="C3907" s="115"/>
      <c r="D3907" s="115"/>
      <c r="E3907" s="115"/>
      <c r="F3907" s="115"/>
    </row>
    <row r="3908" spans="1:6" x14ac:dyDescent="0.2">
      <c r="A3908" s="115"/>
      <c r="B3908" s="79"/>
      <c r="C3908" s="115"/>
      <c r="D3908" s="115"/>
      <c r="E3908" s="115"/>
      <c r="F3908" s="115"/>
    </row>
    <row r="3909" spans="1:6" x14ac:dyDescent="0.2">
      <c r="A3909" s="115"/>
      <c r="B3909" s="79"/>
      <c r="C3909" s="115"/>
      <c r="D3909" s="115"/>
      <c r="E3909" s="115"/>
      <c r="F3909" s="115"/>
    </row>
    <row r="3910" spans="1:6" x14ac:dyDescent="0.2">
      <c r="A3910" s="115"/>
      <c r="B3910" s="79"/>
      <c r="C3910" s="115"/>
      <c r="D3910" s="115"/>
      <c r="E3910" s="115"/>
      <c r="F3910" s="115"/>
    </row>
    <row r="3911" spans="1:6" x14ac:dyDescent="0.2">
      <c r="A3911" s="115"/>
      <c r="B3911" s="79"/>
      <c r="C3911" s="115"/>
      <c r="D3911" s="115"/>
      <c r="E3911" s="115"/>
      <c r="F3911" s="115"/>
    </row>
    <row r="3912" spans="1:6" x14ac:dyDescent="0.2">
      <c r="A3912" s="115"/>
      <c r="B3912" s="79"/>
      <c r="C3912" s="115"/>
      <c r="D3912" s="115"/>
      <c r="E3912" s="115"/>
      <c r="F3912" s="115"/>
    </row>
    <row r="3913" spans="1:6" x14ac:dyDescent="0.2">
      <c r="A3913" s="115"/>
      <c r="B3913" s="79"/>
      <c r="C3913" s="115"/>
      <c r="D3913" s="115"/>
      <c r="E3913" s="115"/>
      <c r="F3913" s="115"/>
    </row>
    <row r="3914" spans="1:6" x14ac:dyDescent="0.2">
      <c r="A3914" s="115"/>
      <c r="B3914" s="79"/>
      <c r="C3914" s="115"/>
      <c r="D3914" s="115"/>
      <c r="E3914" s="115"/>
      <c r="F3914" s="115"/>
    </row>
    <row r="3915" spans="1:6" x14ac:dyDescent="0.2">
      <c r="A3915" s="115"/>
      <c r="B3915" s="79"/>
      <c r="C3915" s="115"/>
      <c r="D3915" s="115"/>
      <c r="E3915" s="115"/>
      <c r="F3915" s="115"/>
    </row>
    <row r="3916" spans="1:6" x14ac:dyDescent="0.2">
      <c r="A3916" s="115"/>
      <c r="B3916" s="79"/>
      <c r="C3916" s="115"/>
      <c r="D3916" s="115"/>
      <c r="E3916" s="115"/>
      <c r="F3916" s="115"/>
    </row>
    <row r="3917" spans="1:6" x14ac:dyDescent="0.2">
      <c r="A3917" s="115"/>
      <c r="B3917" s="79"/>
      <c r="C3917" s="115"/>
      <c r="D3917" s="115"/>
      <c r="E3917" s="115"/>
      <c r="F3917" s="115"/>
    </row>
    <row r="3918" spans="1:6" x14ac:dyDescent="0.2">
      <c r="A3918" s="115"/>
      <c r="B3918" s="79"/>
      <c r="C3918" s="115"/>
      <c r="D3918" s="115"/>
      <c r="E3918" s="115"/>
      <c r="F3918" s="115"/>
    </row>
    <row r="3919" spans="1:6" x14ac:dyDescent="0.2">
      <c r="A3919" s="115"/>
      <c r="B3919" s="79"/>
      <c r="C3919" s="115"/>
      <c r="D3919" s="115"/>
      <c r="E3919" s="115"/>
      <c r="F3919" s="115"/>
    </row>
    <row r="3920" spans="1:6" x14ac:dyDescent="0.2">
      <c r="A3920" s="115"/>
      <c r="B3920" s="79"/>
      <c r="C3920" s="115"/>
      <c r="D3920" s="115"/>
      <c r="E3920" s="115"/>
      <c r="F3920" s="115"/>
    </row>
    <row r="3921" spans="1:6" x14ac:dyDescent="0.2">
      <c r="A3921" s="115"/>
      <c r="B3921" s="79"/>
      <c r="C3921" s="115"/>
      <c r="D3921" s="115"/>
      <c r="E3921" s="115"/>
      <c r="F3921" s="115"/>
    </row>
    <row r="3922" spans="1:6" x14ac:dyDescent="0.2">
      <c r="A3922" s="115"/>
      <c r="B3922" s="79"/>
      <c r="C3922" s="115"/>
      <c r="D3922" s="115"/>
      <c r="E3922" s="115"/>
      <c r="F3922" s="115"/>
    </row>
    <row r="3923" spans="1:6" x14ac:dyDescent="0.2">
      <c r="A3923" s="115"/>
      <c r="B3923" s="79"/>
      <c r="C3923" s="115"/>
      <c r="D3923" s="115"/>
      <c r="E3923" s="115"/>
      <c r="F3923" s="115"/>
    </row>
    <row r="3924" spans="1:6" x14ac:dyDescent="0.2">
      <c r="A3924" s="115"/>
      <c r="B3924" s="79"/>
      <c r="C3924" s="115"/>
      <c r="D3924" s="115"/>
      <c r="E3924" s="115"/>
      <c r="F3924" s="115"/>
    </row>
    <row r="3925" spans="1:6" x14ac:dyDescent="0.2">
      <c r="A3925" s="115"/>
      <c r="B3925" s="79"/>
      <c r="C3925" s="115"/>
      <c r="D3925" s="115"/>
      <c r="E3925" s="115"/>
      <c r="F3925" s="115"/>
    </row>
    <row r="3926" spans="1:6" x14ac:dyDescent="0.2">
      <c r="A3926" s="115"/>
      <c r="B3926" s="79"/>
      <c r="C3926" s="115"/>
      <c r="D3926" s="115"/>
      <c r="E3926" s="115"/>
      <c r="F3926" s="115"/>
    </row>
    <row r="3927" spans="1:6" x14ac:dyDescent="0.2">
      <c r="A3927" s="115"/>
      <c r="B3927" s="79"/>
      <c r="C3927" s="115"/>
      <c r="D3927" s="115"/>
      <c r="E3927" s="115"/>
      <c r="F3927" s="115"/>
    </row>
    <row r="3928" spans="1:6" x14ac:dyDescent="0.2">
      <c r="A3928" s="115"/>
      <c r="B3928" s="79"/>
      <c r="C3928" s="115"/>
      <c r="D3928" s="115"/>
      <c r="E3928" s="115"/>
      <c r="F3928" s="115"/>
    </row>
    <row r="3929" spans="1:6" x14ac:dyDescent="0.2">
      <c r="A3929" s="115"/>
      <c r="B3929" s="79"/>
      <c r="C3929" s="115"/>
      <c r="D3929" s="115"/>
      <c r="E3929" s="115"/>
      <c r="F3929" s="115"/>
    </row>
    <row r="3930" spans="1:6" x14ac:dyDescent="0.2">
      <c r="A3930" s="115"/>
      <c r="B3930" s="79"/>
      <c r="C3930" s="115"/>
      <c r="D3930" s="115"/>
      <c r="E3930" s="115"/>
      <c r="F3930" s="115"/>
    </row>
    <row r="3931" spans="1:6" x14ac:dyDescent="0.2">
      <c r="A3931" s="115"/>
      <c r="B3931" s="79"/>
      <c r="C3931" s="115"/>
      <c r="D3931" s="115"/>
      <c r="E3931" s="115"/>
      <c r="F3931" s="115"/>
    </row>
    <row r="3932" spans="1:6" x14ac:dyDescent="0.2">
      <c r="A3932" s="115"/>
      <c r="B3932" s="79"/>
      <c r="C3932" s="115"/>
      <c r="D3932" s="115"/>
      <c r="E3932" s="115"/>
      <c r="F3932" s="115"/>
    </row>
    <row r="3933" spans="1:6" x14ac:dyDescent="0.2">
      <c r="A3933" s="115"/>
      <c r="B3933" s="79"/>
      <c r="C3933" s="115"/>
      <c r="D3933" s="115"/>
      <c r="E3933" s="115"/>
      <c r="F3933" s="115"/>
    </row>
    <row r="3934" spans="1:6" x14ac:dyDescent="0.2">
      <c r="A3934" s="115"/>
      <c r="B3934" s="79"/>
      <c r="C3934" s="115"/>
      <c r="D3934" s="115"/>
      <c r="E3934" s="115"/>
      <c r="F3934" s="115"/>
    </row>
    <row r="3935" spans="1:6" x14ac:dyDescent="0.2">
      <c r="A3935" s="115"/>
      <c r="B3935" s="79"/>
      <c r="C3935" s="115"/>
      <c r="D3935" s="115"/>
      <c r="E3935" s="115"/>
      <c r="F3935" s="115"/>
    </row>
    <row r="3936" spans="1:6" x14ac:dyDescent="0.2">
      <c r="A3936" s="115"/>
      <c r="B3936" s="79"/>
      <c r="C3936" s="115"/>
      <c r="D3936" s="115"/>
      <c r="E3936" s="115"/>
      <c r="F3936" s="115"/>
    </row>
    <row r="3937" spans="1:6" x14ac:dyDescent="0.2">
      <c r="A3937" s="115"/>
      <c r="B3937" s="79"/>
      <c r="C3937" s="115"/>
      <c r="D3937" s="115"/>
      <c r="E3937" s="115"/>
      <c r="F3937" s="115"/>
    </row>
    <row r="3938" spans="1:6" x14ac:dyDescent="0.2">
      <c r="A3938" s="115"/>
      <c r="B3938" s="79"/>
      <c r="C3938" s="115"/>
      <c r="D3938" s="115"/>
      <c r="E3938" s="115"/>
      <c r="F3938" s="115"/>
    </row>
    <row r="3939" spans="1:6" x14ac:dyDescent="0.2">
      <c r="A3939" s="115"/>
      <c r="B3939" s="79"/>
      <c r="C3939" s="115"/>
      <c r="D3939" s="115"/>
      <c r="E3939" s="115"/>
      <c r="F3939" s="115"/>
    </row>
    <row r="3940" spans="1:6" x14ac:dyDescent="0.2">
      <c r="A3940" s="115"/>
      <c r="B3940" s="79"/>
      <c r="C3940" s="115"/>
      <c r="D3940" s="115"/>
      <c r="E3940" s="115"/>
      <c r="F3940" s="115"/>
    </row>
    <row r="3941" spans="1:6" x14ac:dyDescent="0.2">
      <c r="A3941" s="115"/>
      <c r="B3941" s="79"/>
      <c r="C3941" s="115"/>
      <c r="D3941" s="115"/>
      <c r="E3941" s="115"/>
      <c r="F3941" s="115"/>
    </row>
    <row r="3942" spans="1:6" x14ac:dyDescent="0.2">
      <c r="A3942" s="115"/>
      <c r="B3942" s="79"/>
      <c r="C3942" s="115"/>
      <c r="D3942" s="115"/>
      <c r="E3942" s="115"/>
      <c r="F3942" s="115"/>
    </row>
    <row r="3943" spans="1:6" x14ac:dyDescent="0.2">
      <c r="A3943" s="115"/>
      <c r="B3943" s="79"/>
      <c r="C3943" s="115"/>
      <c r="D3943" s="115"/>
      <c r="E3943" s="115"/>
      <c r="F3943" s="115"/>
    </row>
    <row r="3944" spans="1:6" x14ac:dyDescent="0.2">
      <c r="A3944" s="115"/>
      <c r="B3944" s="79"/>
      <c r="C3944" s="115"/>
      <c r="D3944" s="115"/>
      <c r="E3944" s="115"/>
      <c r="F3944" s="115"/>
    </row>
    <row r="3945" spans="1:6" x14ac:dyDescent="0.2">
      <c r="A3945" s="115"/>
      <c r="B3945" s="79"/>
      <c r="C3945" s="115"/>
      <c r="D3945" s="115"/>
      <c r="E3945" s="115"/>
      <c r="F3945" s="115"/>
    </row>
    <row r="3946" spans="1:6" x14ac:dyDescent="0.2">
      <c r="A3946" s="115"/>
      <c r="B3946" s="79"/>
      <c r="C3946" s="115"/>
      <c r="D3946" s="115"/>
      <c r="E3946" s="115"/>
      <c r="F3946" s="115"/>
    </row>
    <row r="3947" spans="1:6" x14ac:dyDescent="0.2">
      <c r="A3947" s="115"/>
      <c r="B3947" s="79"/>
      <c r="C3947" s="115"/>
      <c r="D3947" s="115"/>
      <c r="E3947" s="115"/>
      <c r="F3947" s="115"/>
    </row>
    <row r="3948" spans="1:6" x14ac:dyDescent="0.2">
      <c r="A3948" s="115"/>
      <c r="B3948" s="79"/>
      <c r="C3948" s="115"/>
      <c r="D3948" s="115"/>
      <c r="E3948" s="115"/>
      <c r="F3948" s="115"/>
    </row>
    <row r="3949" spans="1:6" x14ac:dyDescent="0.2">
      <c r="A3949" s="115"/>
      <c r="B3949" s="79"/>
      <c r="C3949" s="115"/>
      <c r="D3949" s="115"/>
      <c r="E3949" s="115"/>
      <c r="F3949" s="115"/>
    </row>
    <row r="3950" spans="1:6" x14ac:dyDescent="0.2">
      <c r="A3950" s="115"/>
      <c r="B3950" s="79"/>
      <c r="C3950" s="115"/>
      <c r="D3950" s="115"/>
      <c r="E3950" s="115"/>
      <c r="F3950" s="115"/>
    </row>
    <row r="3951" spans="1:6" x14ac:dyDescent="0.2">
      <c r="A3951" s="115"/>
      <c r="B3951" s="79"/>
      <c r="C3951" s="115"/>
      <c r="D3951" s="115"/>
      <c r="E3951" s="115"/>
      <c r="F3951" s="115"/>
    </row>
    <row r="3952" spans="1:6" x14ac:dyDescent="0.2">
      <c r="A3952" s="115"/>
      <c r="B3952" s="79"/>
      <c r="C3952" s="115"/>
      <c r="D3952" s="115"/>
      <c r="E3952" s="115"/>
      <c r="F3952" s="115"/>
    </row>
    <row r="3953" spans="1:6" x14ac:dyDescent="0.2">
      <c r="A3953" s="115"/>
      <c r="B3953" s="79"/>
      <c r="C3953" s="115"/>
      <c r="D3953" s="115"/>
      <c r="E3953" s="115"/>
      <c r="F3953" s="115"/>
    </row>
    <row r="3954" spans="1:6" x14ac:dyDescent="0.2">
      <c r="A3954" s="115"/>
      <c r="B3954" s="79"/>
      <c r="C3954" s="115"/>
      <c r="D3954" s="115"/>
      <c r="E3954" s="115"/>
      <c r="F3954" s="115"/>
    </row>
    <row r="3955" spans="1:6" x14ac:dyDescent="0.2">
      <c r="A3955" s="115"/>
      <c r="B3955" s="79"/>
      <c r="C3955" s="115"/>
      <c r="D3955" s="115"/>
      <c r="E3955" s="115"/>
      <c r="F3955" s="115"/>
    </row>
    <row r="3956" spans="1:6" x14ac:dyDescent="0.2">
      <c r="A3956" s="115"/>
      <c r="B3956" s="79"/>
      <c r="C3956" s="115"/>
      <c r="D3956" s="115"/>
      <c r="E3956" s="115"/>
      <c r="F3956" s="115"/>
    </row>
    <row r="3957" spans="1:6" x14ac:dyDescent="0.2">
      <c r="A3957" s="115"/>
      <c r="B3957" s="79"/>
      <c r="C3957" s="115"/>
      <c r="D3957" s="115"/>
      <c r="E3957" s="115"/>
      <c r="F3957" s="115"/>
    </row>
    <row r="3958" spans="1:6" x14ac:dyDescent="0.2">
      <c r="A3958" s="115"/>
      <c r="B3958" s="79"/>
      <c r="C3958" s="115"/>
      <c r="D3958" s="115"/>
      <c r="E3958" s="115"/>
      <c r="F3958" s="115"/>
    </row>
    <row r="3959" spans="1:6" x14ac:dyDescent="0.2">
      <c r="A3959" s="115"/>
      <c r="B3959" s="79"/>
      <c r="C3959" s="115"/>
      <c r="D3959" s="115"/>
      <c r="E3959" s="115"/>
      <c r="F3959" s="115"/>
    </row>
    <row r="3960" spans="1:6" x14ac:dyDescent="0.2">
      <c r="A3960" s="115"/>
      <c r="B3960" s="79"/>
      <c r="C3960" s="115"/>
      <c r="D3960" s="115"/>
      <c r="E3960" s="115"/>
      <c r="F3960" s="115"/>
    </row>
    <row r="3961" spans="1:6" x14ac:dyDescent="0.2">
      <c r="A3961" s="115"/>
      <c r="B3961" s="79"/>
      <c r="C3961" s="115"/>
      <c r="D3961" s="115"/>
      <c r="E3961" s="115"/>
      <c r="F3961" s="115"/>
    </row>
    <row r="3962" spans="1:6" x14ac:dyDescent="0.2">
      <c r="A3962" s="115"/>
      <c r="B3962" s="79"/>
      <c r="C3962" s="115"/>
      <c r="D3962" s="115"/>
      <c r="E3962" s="115"/>
      <c r="F3962" s="115"/>
    </row>
    <row r="3963" spans="1:6" x14ac:dyDescent="0.2">
      <c r="A3963" s="115"/>
      <c r="B3963" s="79"/>
      <c r="C3963" s="115"/>
      <c r="D3963" s="115"/>
      <c r="E3963" s="115"/>
      <c r="F3963" s="115"/>
    </row>
    <row r="3964" spans="1:6" x14ac:dyDescent="0.2">
      <c r="A3964" s="115"/>
      <c r="B3964" s="79"/>
      <c r="C3964" s="115"/>
      <c r="D3964" s="115"/>
      <c r="E3964" s="115"/>
      <c r="F3964" s="115"/>
    </row>
    <row r="3965" spans="1:6" x14ac:dyDescent="0.2">
      <c r="A3965" s="115"/>
      <c r="B3965" s="79"/>
      <c r="C3965" s="115"/>
      <c r="D3965" s="115"/>
      <c r="E3965" s="115"/>
      <c r="F3965" s="115"/>
    </row>
    <row r="3966" spans="1:6" x14ac:dyDescent="0.2">
      <c r="A3966" s="115"/>
      <c r="B3966" s="79"/>
      <c r="C3966" s="115"/>
      <c r="D3966" s="115"/>
      <c r="E3966" s="115"/>
      <c r="F3966" s="115"/>
    </row>
    <row r="3967" spans="1:6" x14ac:dyDescent="0.2">
      <c r="A3967" s="115"/>
      <c r="B3967" s="79"/>
      <c r="C3967" s="115"/>
      <c r="D3967" s="115"/>
      <c r="E3967" s="115"/>
      <c r="F3967" s="115"/>
    </row>
    <row r="3968" spans="1:6" x14ac:dyDescent="0.2">
      <c r="A3968" s="115"/>
      <c r="B3968" s="79"/>
      <c r="C3968" s="115"/>
      <c r="D3968" s="115"/>
      <c r="E3968" s="115"/>
      <c r="F3968" s="115"/>
    </row>
    <row r="3969" spans="1:6" x14ac:dyDescent="0.2">
      <c r="A3969" s="115"/>
      <c r="B3969" s="79"/>
      <c r="C3969" s="115"/>
      <c r="D3969" s="115"/>
      <c r="E3969" s="115"/>
      <c r="F3969" s="115"/>
    </row>
    <row r="3970" spans="1:6" x14ac:dyDescent="0.2">
      <c r="A3970" s="115"/>
      <c r="B3970" s="79"/>
      <c r="C3970" s="115"/>
      <c r="D3970" s="115"/>
      <c r="E3970" s="115"/>
      <c r="F3970" s="115"/>
    </row>
    <row r="3971" spans="1:6" x14ac:dyDescent="0.2">
      <c r="A3971" s="115"/>
      <c r="B3971" s="79"/>
      <c r="C3971" s="115"/>
      <c r="D3971" s="115"/>
      <c r="E3971" s="115"/>
      <c r="F3971" s="115"/>
    </row>
    <row r="3972" spans="1:6" x14ac:dyDescent="0.2">
      <c r="A3972" s="115"/>
      <c r="B3972" s="79"/>
      <c r="C3972" s="115"/>
      <c r="D3972" s="115"/>
      <c r="E3972" s="115"/>
      <c r="F3972" s="115"/>
    </row>
    <row r="3973" spans="1:6" x14ac:dyDescent="0.2">
      <c r="A3973" s="115"/>
      <c r="B3973" s="79"/>
      <c r="C3973" s="115"/>
      <c r="D3973" s="115"/>
      <c r="E3973" s="115"/>
      <c r="F3973" s="115"/>
    </row>
    <row r="3974" spans="1:6" x14ac:dyDescent="0.2">
      <c r="A3974" s="115"/>
      <c r="B3974" s="79"/>
      <c r="C3974" s="115"/>
      <c r="D3974" s="115"/>
      <c r="E3974" s="115"/>
      <c r="F3974" s="115"/>
    </row>
    <row r="3975" spans="1:6" x14ac:dyDescent="0.2">
      <c r="A3975" s="115"/>
      <c r="B3975" s="79"/>
      <c r="C3975" s="115"/>
      <c r="D3975" s="115"/>
      <c r="E3975" s="115"/>
      <c r="F3975" s="115"/>
    </row>
    <row r="3976" spans="1:6" x14ac:dyDescent="0.2">
      <c r="A3976" s="115"/>
      <c r="B3976" s="79"/>
      <c r="C3976" s="115"/>
      <c r="D3976" s="115"/>
      <c r="E3976" s="115"/>
      <c r="F3976" s="115"/>
    </row>
    <row r="3977" spans="1:6" x14ac:dyDescent="0.2">
      <c r="A3977" s="115"/>
      <c r="B3977" s="79"/>
      <c r="C3977" s="115"/>
      <c r="D3977" s="115"/>
      <c r="E3977" s="115"/>
      <c r="F3977" s="115"/>
    </row>
    <row r="3978" spans="1:6" x14ac:dyDescent="0.2">
      <c r="A3978" s="115"/>
      <c r="B3978" s="79"/>
      <c r="C3978" s="115"/>
      <c r="D3978" s="115"/>
      <c r="E3978" s="115"/>
      <c r="F3978" s="115"/>
    </row>
    <row r="3979" spans="1:6" x14ac:dyDescent="0.2">
      <c r="A3979" s="115"/>
      <c r="B3979" s="79"/>
      <c r="C3979" s="115"/>
      <c r="D3979" s="115"/>
      <c r="E3979" s="115"/>
      <c r="F3979" s="115"/>
    </row>
    <row r="3980" spans="1:6" x14ac:dyDescent="0.2">
      <c r="A3980" s="115"/>
      <c r="B3980" s="79"/>
      <c r="C3980" s="115"/>
      <c r="D3980" s="115"/>
      <c r="E3980" s="115"/>
      <c r="F3980" s="115"/>
    </row>
    <row r="3981" spans="1:6" x14ac:dyDescent="0.2">
      <c r="A3981" s="115"/>
      <c r="B3981" s="79"/>
      <c r="C3981" s="115"/>
      <c r="D3981" s="115"/>
      <c r="E3981" s="115"/>
      <c r="F3981" s="115"/>
    </row>
    <row r="3982" spans="1:6" x14ac:dyDescent="0.2">
      <c r="A3982" s="115"/>
      <c r="B3982" s="79"/>
      <c r="C3982" s="115"/>
      <c r="D3982" s="115"/>
      <c r="E3982" s="115"/>
      <c r="F3982" s="115"/>
    </row>
    <row r="3983" spans="1:6" x14ac:dyDescent="0.2">
      <c r="A3983" s="115"/>
      <c r="B3983" s="79"/>
      <c r="C3983" s="115"/>
      <c r="D3983" s="115"/>
      <c r="E3983" s="115"/>
      <c r="F3983" s="115"/>
    </row>
    <row r="3984" spans="1:6" x14ac:dyDescent="0.2">
      <c r="A3984" s="115"/>
      <c r="B3984" s="79"/>
      <c r="C3984" s="115"/>
      <c r="D3984" s="115"/>
      <c r="E3984" s="115"/>
      <c r="F3984" s="115"/>
    </row>
    <row r="3985" spans="1:6" x14ac:dyDescent="0.2">
      <c r="A3985" s="115"/>
      <c r="B3985" s="79"/>
      <c r="C3985" s="115"/>
      <c r="D3985" s="115"/>
      <c r="E3985" s="115"/>
      <c r="F3985" s="115"/>
    </row>
    <row r="3986" spans="1:6" x14ac:dyDescent="0.2">
      <c r="A3986" s="115"/>
      <c r="B3986" s="79"/>
      <c r="C3986" s="115"/>
      <c r="D3986" s="115"/>
      <c r="E3986" s="115"/>
      <c r="F3986" s="115"/>
    </row>
    <row r="3987" spans="1:6" x14ac:dyDescent="0.2">
      <c r="A3987" s="115"/>
      <c r="B3987" s="79"/>
      <c r="C3987" s="115"/>
      <c r="D3987" s="115"/>
      <c r="E3987" s="115"/>
      <c r="F3987" s="115"/>
    </row>
    <row r="3988" spans="1:6" x14ac:dyDescent="0.2">
      <c r="A3988" s="115"/>
      <c r="B3988" s="79"/>
      <c r="C3988" s="115"/>
      <c r="D3988" s="115"/>
      <c r="E3988" s="115"/>
      <c r="F3988" s="115"/>
    </row>
    <row r="3989" spans="1:6" x14ac:dyDescent="0.2">
      <c r="A3989" s="115"/>
      <c r="B3989" s="79"/>
      <c r="C3989" s="115"/>
      <c r="D3989" s="115"/>
      <c r="E3989" s="115"/>
      <c r="F3989" s="115"/>
    </row>
    <row r="3990" spans="1:6" x14ac:dyDescent="0.2">
      <c r="A3990" s="115"/>
      <c r="B3990" s="79"/>
      <c r="C3990" s="115"/>
      <c r="D3990" s="115"/>
      <c r="E3990" s="115"/>
      <c r="F3990" s="115"/>
    </row>
    <row r="3991" spans="1:6" x14ac:dyDescent="0.2">
      <c r="A3991" s="115"/>
      <c r="B3991" s="79"/>
      <c r="C3991" s="115"/>
      <c r="D3991" s="115"/>
      <c r="E3991" s="115"/>
      <c r="F3991" s="115"/>
    </row>
    <row r="3992" spans="1:6" x14ac:dyDescent="0.2">
      <c r="A3992" s="115"/>
      <c r="B3992" s="79"/>
      <c r="C3992" s="115"/>
      <c r="D3992" s="115"/>
      <c r="E3992" s="115"/>
      <c r="F3992" s="115"/>
    </row>
    <row r="3993" spans="1:6" x14ac:dyDescent="0.2">
      <c r="A3993" s="115"/>
      <c r="B3993" s="79"/>
      <c r="C3993" s="115"/>
      <c r="D3993" s="115"/>
      <c r="E3993" s="115"/>
      <c r="F3993" s="115"/>
    </row>
    <row r="3994" spans="1:6" x14ac:dyDescent="0.2">
      <c r="A3994" s="115"/>
      <c r="B3994" s="79"/>
      <c r="C3994" s="115"/>
      <c r="D3994" s="115"/>
      <c r="E3994" s="115"/>
      <c r="F3994" s="115"/>
    </row>
    <row r="3995" spans="1:6" x14ac:dyDescent="0.2">
      <c r="A3995" s="115"/>
      <c r="B3995" s="79"/>
      <c r="C3995" s="115"/>
      <c r="D3995" s="115"/>
      <c r="E3995" s="115"/>
      <c r="F3995" s="115"/>
    </row>
    <row r="3996" spans="1:6" x14ac:dyDescent="0.2">
      <c r="A3996" s="115"/>
      <c r="B3996" s="79"/>
      <c r="C3996" s="115"/>
      <c r="D3996" s="115"/>
      <c r="E3996" s="115"/>
      <c r="F3996" s="115"/>
    </row>
    <row r="3997" spans="1:6" x14ac:dyDescent="0.2">
      <c r="A3997" s="115"/>
      <c r="B3997" s="79"/>
      <c r="C3997" s="115"/>
      <c r="D3997" s="115"/>
      <c r="E3997" s="115"/>
      <c r="F3997" s="115"/>
    </row>
    <row r="3998" spans="1:6" x14ac:dyDescent="0.2">
      <c r="A3998" s="115"/>
      <c r="B3998" s="79"/>
      <c r="C3998" s="115"/>
      <c r="D3998" s="115"/>
      <c r="E3998" s="115"/>
      <c r="F3998" s="115"/>
    </row>
    <row r="3999" spans="1:6" x14ac:dyDescent="0.2">
      <c r="A3999" s="115"/>
      <c r="B3999" s="79"/>
      <c r="C3999" s="115"/>
      <c r="D3999" s="115"/>
      <c r="E3999" s="115"/>
      <c r="F3999" s="115"/>
    </row>
    <row r="4000" spans="1:6" x14ac:dyDescent="0.2">
      <c r="A4000" s="115"/>
      <c r="B4000" s="79"/>
      <c r="C4000" s="115"/>
      <c r="D4000" s="115"/>
      <c r="E4000" s="115"/>
      <c r="F4000" s="115"/>
    </row>
    <row r="4001" spans="1:6" x14ac:dyDescent="0.2">
      <c r="A4001" s="115"/>
      <c r="B4001" s="79"/>
      <c r="C4001" s="115"/>
      <c r="D4001" s="115"/>
      <c r="E4001" s="115"/>
      <c r="F4001" s="115"/>
    </row>
    <row r="4002" spans="1:6" x14ac:dyDescent="0.2">
      <c r="A4002" s="115"/>
      <c r="B4002" s="79"/>
      <c r="C4002" s="115"/>
      <c r="D4002" s="115"/>
      <c r="E4002" s="115"/>
      <c r="F4002" s="115"/>
    </row>
    <row r="4003" spans="1:6" x14ac:dyDescent="0.2">
      <c r="A4003" s="115"/>
      <c r="B4003" s="79"/>
      <c r="C4003" s="115"/>
      <c r="D4003" s="115"/>
      <c r="E4003" s="115"/>
      <c r="F4003" s="115"/>
    </row>
    <row r="4004" spans="1:6" x14ac:dyDescent="0.2">
      <c r="A4004" s="115"/>
      <c r="B4004" s="79"/>
      <c r="C4004" s="115"/>
      <c r="D4004" s="115"/>
      <c r="E4004" s="115"/>
      <c r="F4004" s="115"/>
    </row>
    <row r="4005" spans="1:6" x14ac:dyDescent="0.2">
      <c r="A4005" s="115"/>
      <c r="B4005" s="79"/>
      <c r="C4005" s="115"/>
      <c r="D4005" s="115"/>
      <c r="E4005" s="115"/>
      <c r="F4005" s="115"/>
    </row>
    <row r="4006" spans="1:6" x14ac:dyDescent="0.2">
      <c r="A4006" s="115"/>
      <c r="B4006" s="79"/>
      <c r="C4006" s="115"/>
      <c r="D4006" s="115"/>
      <c r="E4006" s="115"/>
      <c r="F4006" s="115"/>
    </row>
    <row r="4007" spans="1:6" x14ac:dyDescent="0.2">
      <c r="A4007" s="115"/>
      <c r="B4007" s="79"/>
      <c r="C4007" s="115"/>
      <c r="D4007" s="115"/>
      <c r="E4007" s="115"/>
      <c r="F4007" s="115"/>
    </row>
    <row r="4008" spans="1:6" x14ac:dyDescent="0.2">
      <c r="A4008" s="115"/>
      <c r="B4008" s="79"/>
      <c r="C4008" s="115"/>
      <c r="D4008" s="115"/>
      <c r="E4008" s="115"/>
      <c r="F4008" s="115"/>
    </row>
    <row r="4009" spans="1:6" x14ac:dyDescent="0.2">
      <c r="A4009" s="115"/>
      <c r="B4009" s="79"/>
      <c r="C4009" s="115"/>
      <c r="D4009" s="115"/>
      <c r="E4009" s="115"/>
      <c r="F4009" s="115"/>
    </row>
    <row r="4010" spans="1:6" x14ac:dyDescent="0.2">
      <c r="A4010" s="115"/>
      <c r="B4010" s="79"/>
      <c r="C4010" s="115"/>
      <c r="D4010" s="115"/>
      <c r="E4010" s="115"/>
      <c r="F4010" s="115"/>
    </row>
    <row r="4011" spans="1:6" x14ac:dyDescent="0.2">
      <c r="A4011" s="115"/>
      <c r="B4011" s="79"/>
      <c r="C4011" s="115"/>
      <c r="D4011" s="115"/>
      <c r="E4011" s="115"/>
      <c r="F4011" s="115"/>
    </row>
    <row r="4012" spans="1:6" x14ac:dyDescent="0.2">
      <c r="A4012" s="115"/>
      <c r="B4012" s="79"/>
      <c r="C4012" s="115"/>
      <c r="D4012" s="115"/>
      <c r="E4012" s="115"/>
      <c r="F4012" s="115"/>
    </row>
    <row r="4013" spans="1:6" x14ac:dyDescent="0.2">
      <c r="A4013" s="115"/>
      <c r="B4013" s="79"/>
      <c r="C4013" s="115"/>
      <c r="D4013" s="115"/>
      <c r="E4013" s="115"/>
      <c r="F4013" s="115"/>
    </row>
    <row r="4014" spans="1:6" x14ac:dyDescent="0.2">
      <c r="A4014" s="115"/>
      <c r="B4014" s="79"/>
      <c r="C4014" s="115"/>
      <c r="D4014" s="115"/>
      <c r="E4014" s="115"/>
      <c r="F4014" s="115"/>
    </row>
    <row r="4015" spans="1:6" x14ac:dyDescent="0.2">
      <c r="A4015" s="115"/>
      <c r="B4015" s="79"/>
      <c r="C4015" s="115"/>
      <c r="D4015" s="115"/>
      <c r="E4015" s="115"/>
      <c r="F4015" s="115"/>
    </row>
    <row r="4016" spans="1:6" x14ac:dyDescent="0.2">
      <c r="A4016" s="115"/>
      <c r="B4016" s="79"/>
      <c r="C4016" s="115"/>
      <c r="D4016" s="115"/>
      <c r="E4016" s="115"/>
      <c r="F4016" s="115"/>
    </row>
    <row r="4017" spans="1:6" x14ac:dyDescent="0.2">
      <c r="A4017" s="115"/>
      <c r="B4017" s="79"/>
      <c r="C4017" s="115"/>
      <c r="D4017" s="115"/>
      <c r="E4017" s="115"/>
      <c r="F4017" s="115"/>
    </row>
    <row r="4018" spans="1:6" x14ac:dyDescent="0.2">
      <c r="A4018" s="115"/>
      <c r="B4018" s="79"/>
      <c r="C4018" s="115"/>
      <c r="D4018" s="115"/>
      <c r="E4018" s="115"/>
      <c r="F4018" s="115"/>
    </row>
    <row r="4019" spans="1:6" x14ac:dyDescent="0.2">
      <c r="A4019" s="115"/>
      <c r="B4019" s="79"/>
      <c r="C4019" s="115"/>
      <c r="D4019" s="115"/>
      <c r="E4019" s="115"/>
      <c r="F4019" s="115"/>
    </row>
    <row r="4020" spans="1:6" x14ac:dyDescent="0.2">
      <c r="A4020" s="115"/>
      <c r="B4020" s="79"/>
      <c r="C4020" s="115"/>
      <c r="D4020" s="115"/>
      <c r="E4020" s="115"/>
      <c r="F4020" s="115"/>
    </row>
    <row r="4021" spans="1:6" x14ac:dyDescent="0.2">
      <c r="A4021" s="115"/>
      <c r="B4021" s="79"/>
      <c r="C4021" s="115"/>
      <c r="D4021" s="115"/>
      <c r="E4021" s="115"/>
      <c r="F4021" s="115"/>
    </row>
    <row r="4022" spans="1:6" x14ac:dyDescent="0.2">
      <c r="A4022" s="115"/>
      <c r="B4022" s="79"/>
      <c r="C4022" s="115"/>
      <c r="D4022" s="115"/>
      <c r="E4022" s="115"/>
      <c r="F4022" s="115"/>
    </row>
    <row r="4023" spans="1:6" x14ac:dyDescent="0.2">
      <c r="A4023" s="115"/>
      <c r="B4023" s="79"/>
      <c r="C4023" s="115"/>
      <c r="D4023" s="115"/>
      <c r="E4023" s="115"/>
      <c r="F4023" s="115"/>
    </row>
    <row r="4024" spans="1:6" x14ac:dyDescent="0.2">
      <c r="A4024" s="115"/>
      <c r="B4024" s="79"/>
      <c r="C4024" s="115"/>
      <c r="D4024" s="115"/>
      <c r="E4024" s="115"/>
      <c r="F4024" s="115"/>
    </row>
    <row r="4025" spans="1:6" x14ac:dyDescent="0.2">
      <c r="A4025" s="115"/>
      <c r="B4025" s="79"/>
      <c r="C4025" s="115"/>
      <c r="D4025" s="115"/>
      <c r="E4025" s="115"/>
      <c r="F4025" s="115"/>
    </row>
    <row r="4026" spans="1:6" x14ac:dyDescent="0.2">
      <c r="A4026" s="115"/>
      <c r="B4026" s="79"/>
      <c r="C4026" s="115"/>
      <c r="D4026" s="115"/>
      <c r="E4026" s="115"/>
      <c r="F4026" s="115"/>
    </row>
    <row r="4027" spans="1:6" x14ac:dyDescent="0.2">
      <c r="A4027" s="115"/>
      <c r="B4027" s="79"/>
      <c r="C4027" s="115"/>
      <c r="D4027" s="115"/>
      <c r="E4027" s="115"/>
      <c r="F4027" s="115"/>
    </row>
    <row r="4028" spans="1:6" x14ac:dyDescent="0.2">
      <c r="A4028" s="115"/>
      <c r="B4028" s="79"/>
      <c r="C4028" s="115"/>
      <c r="D4028" s="115"/>
      <c r="E4028" s="115"/>
      <c r="F4028" s="115"/>
    </row>
    <row r="4029" spans="1:6" x14ac:dyDescent="0.2">
      <c r="A4029" s="115"/>
      <c r="B4029" s="79"/>
      <c r="C4029" s="115"/>
      <c r="D4029" s="115"/>
      <c r="E4029" s="115"/>
      <c r="F4029" s="115"/>
    </row>
    <row r="4030" spans="1:6" x14ac:dyDescent="0.2">
      <c r="A4030" s="115"/>
      <c r="B4030" s="79"/>
      <c r="C4030" s="115"/>
      <c r="D4030" s="115"/>
      <c r="E4030" s="115"/>
      <c r="F4030" s="115"/>
    </row>
    <row r="4031" spans="1:6" x14ac:dyDescent="0.2">
      <c r="A4031" s="115"/>
      <c r="B4031" s="79"/>
      <c r="C4031" s="115"/>
      <c r="D4031" s="115"/>
      <c r="E4031" s="115"/>
      <c r="F4031" s="115"/>
    </row>
    <row r="4032" spans="1:6" x14ac:dyDescent="0.2">
      <c r="A4032" s="115"/>
      <c r="B4032" s="79"/>
      <c r="C4032" s="115"/>
      <c r="D4032" s="115"/>
      <c r="E4032" s="115"/>
      <c r="F4032" s="115"/>
    </row>
    <row r="4033" spans="1:6" x14ac:dyDescent="0.2">
      <c r="A4033" s="115"/>
      <c r="B4033" s="79"/>
      <c r="C4033" s="115"/>
      <c r="D4033" s="115"/>
      <c r="E4033" s="115"/>
      <c r="F4033" s="115"/>
    </row>
    <row r="4034" spans="1:6" x14ac:dyDescent="0.2">
      <c r="A4034" s="115"/>
      <c r="B4034" s="79"/>
      <c r="C4034" s="115"/>
      <c r="D4034" s="115"/>
      <c r="E4034" s="115"/>
      <c r="F4034" s="115"/>
    </row>
    <row r="4035" spans="1:6" x14ac:dyDescent="0.2">
      <c r="A4035" s="115"/>
      <c r="B4035" s="79"/>
      <c r="C4035" s="115"/>
      <c r="D4035" s="115"/>
      <c r="E4035" s="115"/>
      <c r="F4035" s="115"/>
    </row>
    <row r="4036" spans="1:6" x14ac:dyDescent="0.2">
      <c r="A4036" s="115"/>
      <c r="B4036" s="79"/>
      <c r="C4036" s="115"/>
      <c r="D4036" s="115"/>
      <c r="E4036" s="115"/>
      <c r="F4036" s="115"/>
    </row>
    <row r="4037" spans="1:6" x14ac:dyDescent="0.2">
      <c r="A4037" s="115"/>
      <c r="B4037" s="79"/>
      <c r="C4037" s="115"/>
      <c r="D4037" s="115"/>
      <c r="E4037" s="115"/>
      <c r="F4037" s="115"/>
    </row>
    <row r="4038" spans="1:6" x14ac:dyDescent="0.2">
      <c r="A4038" s="115"/>
      <c r="B4038" s="79"/>
      <c r="C4038" s="115"/>
      <c r="D4038" s="115"/>
      <c r="E4038" s="115"/>
      <c r="F4038" s="115"/>
    </row>
    <row r="4039" spans="1:6" x14ac:dyDescent="0.2">
      <c r="A4039" s="115"/>
      <c r="B4039" s="79"/>
      <c r="C4039" s="115"/>
      <c r="D4039" s="115"/>
      <c r="E4039" s="115"/>
      <c r="F4039" s="115"/>
    </row>
    <row r="4040" spans="1:6" x14ac:dyDescent="0.2">
      <c r="A4040" s="115"/>
      <c r="B4040" s="79"/>
      <c r="C4040" s="115"/>
      <c r="D4040" s="115"/>
      <c r="E4040" s="115"/>
      <c r="F4040" s="115"/>
    </row>
    <row r="4041" spans="1:6" x14ac:dyDescent="0.2">
      <c r="A4041" s="115"/>
      <c r="B4041" s="79"/>
      <c r="C4041" s="115"/>
      <c r="D4041" s="115"/>
      <c r="E4041" s="115"/>
      <c r="F4041" s="115"/>
    </row>
    <row r="4042" spans="1:6" x14ac:dyDescent="0.2">
      <c r="A4042" s="115"/>
      <c r="B4042" s="79"/>
      <c r="C4042" s="115"/>
      <c r="D4042" s="115"/>
      <c r="E4042" s="115"/>
      <c r="F4042" s="115"/>
    </row>
    <row r="4043" spans="1:6" x14ac:dyDescent="0.2">
      <c r="A4043" s="115"/>
      <c r="B4043" s="79"/>
      <c r="C4043" s="115"/>
      <c r="D4043" s="115"/>
      <c r="E4043" s="115"/>
      <c r="F4043" s="115"/>
    </row>
    <row r="4044" spans="1:6" x14ac:dyDescent="0.2">
      <c r="A4044" s="115"/>
      <c r="B4044" s="79"/>
      <c r="C4044" s="115"/>
      <c r="D4044" s="115"/>
      <c r="E4044" s="115"/>
      <c r="F4044" s="115"/>
    </row>
    <row r="4045" spans="1:6" x14ac:dyDescent="0.2">
      <c r="A4045" s="115"/>
      <c r="B4045" s="79"/>
      <c r="C4045" s="115"/>
      <c r="D4045" s="115"/>
      <c r="E4045" s="115"/>
      <c r="F4045" s="115"/>
    </row>
    <row r="4046" spans="1:6" x14ac:dyDescent="0.2">
      <c r="A4046" s="115"/>
      <c r="B4046" s="79"/>
      <c r="C4046" s="115"/>
      <c r="D4046" s="115"/>
      <c r="E4046" s="115"/>
      <c r="F4046" s="115"/>
    </row>
    <row r="4047" spans="1:6" x14ac:dyDescent="0.2">
      <c r="A4047" s="115"/>
      <c r="B4047" s="79"/>
      <c r="C4047" s="115"/>
      <c r="D4047" s="115"/>
      <c r="E4047" s="115"/>
      <c r="F4047" s="115"/>
    </row>
    <row r="4048" spans="1:6" x14ac:dyDescent="0.2">
      <c r="A4048" s="115"/>
      <c r="B4048" s="79"/>
      <c r="C4048" s="115"/>
      <c r="D4048" s="115"/>
      <c r="E4048" s="115"/>
      <c r="F4048" s="115"/>
    </row>
    <row r="4049" spans="1:6" x14ac:dyDescent="0.2">
      <c r="A4049" s="115"/>
      <c r="B4049" s="79"/>
      <c r="C4049" s="115"/>
      <c r="D4049" s="115"/>
      <c r="E4049" s="115"/>
      <c r="F4049" s="115"/>
    </row>
    <row r="4050" spans="1:6" x14ac:dyDescent="0.2">
      <c r="A4050" s="115"/>
      <c r="B4050" s="79"/>
      <c r="C4050" s="115"/>
      <c r="D4050" s="115"/>
      <c r="E4050" s="115"/>
      <c r="F4050" s="115"/>
    </row>
    <row r="4051" spans="1:6" x14ac:dyDescent="0.2">
      <c r="A4051" s="115"/>
      <c r="B4051" s="79"/>
      <c r="C4051" s="115"/>
      <c r="D4051" s="115"/>
      <c r="E4051" s="115"/>
      <c r="F4051" s="115"/>
    </row>
    <row r="4052" spans="1:6" x14ac:dyDescent="0.2">
      <c r="A4052" s="115"/>
      <c r="B4052" s="79"/>
      <c r="C4052" s="115"/>
      <c r="D4052" s="115"/>
      <c r="E4052" s="115"/>
      <c r="F4052" s="115"/>
    </row>
    <row r="4053" spans="1:6" x14ac:dyDescent="0.2">
      <c r="A4053" s="115"/>
      <c r="B4053" s="79"/>
      <c r="C4053" s="115"/>
      <c r="D4053" s="115"/>
      <c r="E4053" s="115"/>
      <c r="F4053" s="115"/>
    </row>
    <row r="4054" spans="1:6" x14ac:dyDescent="0.2">
      <c r="A4054" s="115"/>
      <c r="B4054" s="79"/>
      <c r="C4054" s="115"/>
      <c r="D4054" s="115"/>
      <c r="E4054" s="115"/>
      <c r="F4054" s="115"/>
    </row>
    <row r="4055" spans="1:6" x14ac:dyDescent="0.2">
      <c r="A4055" s="115"/>
      <c r="B4055" s="79"/>
      <c r="C4055" s="115"/>
      <c r="D4055" s="115"/>
      <c r="E4055" s="115"/>
      <c r="F4055" s="115"/>
    </row>
    <row r="4056" spans="1:6" x14ac:dyDescent="0.2">
      <c r="A4056" s="115"/>
      <c r="B4056" s="79"/>
      <c r="C4056" s="115"/>
      <c r="D4056" s="115"/>
      <c r="E4056" s="115"/>
      <c r="F4056" s="115"/>
    </row>
    <row r="4057" spans="1:6" x14ac:dyDescent="0.2">
      <c r="A4057" s="115"/>
      <c r="B4057" s="79"/>
      <c r="C4057" s="115"/>
      <c r="D4057" s="115"/>
      <c r="E4057" s="115"/>
      <c r="F4057" s="115"/>
    </row>
    <row r="4058" spans="1:6" x14ac:dyDescent="0.2">
      <c r="A4058" s="115"/>
      <c r="B4058" s="79"/>
      <c r="C4058" s="115"/>
      <c r="D4058" s="115"/>
      <c r="E4058" s="115"/>
      <c r="F4058" s="115"/>
    </row>
    <row r="4059" spans="1:6" x14ac:dyDescent="0.2">
      <c r="A4059" s="115"/>
      <c r="B4059" s="79"/>
      <c r="C4059" s="115"/>
      <c r="D4059" s="115"/>
      <c r="E4059" s="115"/>
      <c r="F4059" s="115"/>
    </row>
    <row r="4060" spans="1:6" x14ac:dyDescent="0.2">
      <c r="A4060" s="115"/>
      <c r="B4060" s="79"/>
      <c r="C4060" s="115"/>
      <c r="D4060" s="115"/>
      <c r="E4060" s="115"/>
      <c r="F4060" s="115"/>
    </row>
    <row r="4061" spans="1:6" x14ac:dyDescent="0.2">
      <c r="A4061" s="115"/>
      <c r="B4061" s="79"/>
      <c r="C4061" s="115"/>
      <c r="D4061" s="115"/>
      <c r="E4061" s="115"/>
      <c r="F4061" s="115"/>
    </row>
    <row r="4062" spans="1:6" x14ac:dyDescent="0.2">
      <c r="A4062" s="115"/>
      <c r="B4062" s="79"/>
      <c r="C4062" s="115"/>
      <c r="D4062" s="115"/>
      <c r="E4062" s="115"/>
      <c r="F4062" s="115"/>
    </row>
    <row r="4063" spans="1:6" x14ac:dyDescent="0.2">
      <c r="A4063" s="115"/>
      <c r="B4063" s="79"/>
      <c r="C4063" s="115"/>
      <c r="D4063" s="115"/>
      <c r="E4063" s="115"/>
      <c r="F4063" s="115"/>
    </row>
    <row r="4064" spans="1:6" x14ac:dyDescent="0.2">
      <c r="A4064" s="115"/>
      <c r="B4064" s="79"/>
      <c r="C4064" s="115"/>
      <c r="D4064" s="115"/>
      <c r="E4064" s="115"/>
      <c r="F4064" s="115"/>
    </row>
    <row r="4065" spans="1:6" x14ac:dyDescent="0.2">
      <c r="A4065" s="115"/>
      <c r="B4065" s="79"/>
      <c r="C4065" s="115"/>
      <c r="D4065" s="115"/>
      <c r="E4065" s="115"/>
      <c r="F4065" s="115"/>
    </row>
    <row r="4066" spans="1:6" x14ac:dyDescent="0.2">
      <c r="A4066" s="115"/>
      <c r="B4066" s="79"/>
      <c r="C4066" s="115"/>
      <c r="D4066" s="115"/>
      <c r="E4066" s="115"/>
      <c r="F4066" s="115"/>
    </row>
    <row r="4067" spans="1:6" x14ac:dyDescent="0.2">
      <c r="A4067" s="115"/>
      <c r="B4067" s="79"/>
      <c r="C4067" s="115"/>
      <c r="D4067" s="115"/>
      <c r="E4067" s="115"/>
      <c r="F4067" s="115"/>
    </row>
    <row r="4068" spans="1:6" x14ac:dyDescent="0.2">
      <c r="A4068" s="115"/>
      <c r="B4068" s="79"/>
      <c r="C4068" s="115"/>
      <c r="D4068" s="115"/>
      <c r="E4068" s="115"/>
      <c r="F4068" s="115"/>
    </row>
    <row r="4069" spans="1:6" x14ac:dyDescent="0.2">
      <c r="A4069" s="115"/>
      <c r="B4069" s="79"/>
      <c r="C4069" s="115"/>
      <c r="D4069" s="115"/>
      <c r="E4069" s="115"/>
      <c r="F4069" s="115"/>
    </row>
    <row r="4070" spans="1:6" x14ac:dyDescent="0.2">
      <c r="A4070" s="115"/>
      <c r="B4070" s="79"/>
      <c r="C4070" s="115"/>
      <c r="D4070" s="115"/>
      <c r="E4070" s="115"/>
      <c r="F4070" s="115"/>
    </row>
    <row r="4071" spans="1:6" x14ac:dyDescent="0.2">
      <c r="A4071" s="115"/>
      <c r="B4071" s="79"/>
      <c r="C4071" s="115"/>
      <c r="D4071" s="115"/>
      <c r="E4071" s="115"/>
      <c r="F4071" s="115"/>
    </row>
    <row r="4072" spans="1:6" x14ac:dyDescent="0.2">
      <c r="A4072" s="115"/>
      <c r="B4072" s="79"/>
      <c r="C4072" s="115"/>
      <c r="D4072" s="115"/>
      <c r="E4072" s="115"/>
      <c r="F4072" s="115"/>
    </row>
    <row r="4073" spans="1:6" x14ac:dyDescent="0.2">
      <c r="A4073" s="115"/>
      <c r="B4073" s="79"/>
      <c r="C4073" s="115"/>
      <c r="D4073" s="115"/>
      <c r="E4073" s="115"/>
      <c r="F4073" s="115"/>
    </row>
    <row r="4074" spans="1:6" x14ac:dyDescent="0.2">
      <c r="A4074" s="115"/>
      <c r="B4074" s="79"/>
      <c r="C4074" s="115"/>
      <c r="D4074" s="115"/>
      <c r="E4074" s="115"/>
      <c r="F4074" s="115"/>
    </row>
    <row r="4075" spans="1:6" x14ac:dyDescent="0.2">
      <c r="A4075" s="115"/>
      <c r="B4075" s="79"/>
      <c r="C4075" s="115"/>
      <c r="D4075" s="115"/>
      <c r="E4075" s="115"/>
      <c r="F4075" s="115"/>
    </row>
    <row r="4076" spans="1:6" x14ac:dyDescent="0.2">
      <c r="A4076" s="115"/>
      <c r="B4076" s="79"/>
      <c r="C4076" s="115"/>
      <c r="D4076" s="115"/>
      <c r="E4076" s="115"/>
      <c r="F4076" s="115"/>
    </row>
    <row r="4077" spans="1:6" x14ac:dyDescent="0.2">
      <c r="A4077" s="115"/>
      <c r="B4077" s="79"/>
      <c r="C4077" s="115"/>
      <c r="D4077" s="115"/>
      <c r="E4077" s="115"/>
      <c r="F4077" s="115"/>
    </row>
    <row r="4078" spans="1:6" x14ac:dyDescent="0.2">
      <c r="A4078" s="115"/>
      <c r="B4078" s="79"/>
      <c r="C4078" s="115"/>
      <c r="D4078" s="115"/>
      <c r="E4078" s="115"/>
      <c r="F4078" s="115"/>
    </row>
    <row r="4079" spans="1:6" x14ac:dyDescent="0.2">
      <c r="A4079" s="115"/>
      <c r="B4079" s="79"/>
      <c r="C4079" s="115"/>
      <c r="D4079" s="115"/>
      <c r="E4079" s="115"/>
      <c r="F4079" s="115"/>
    </row>
    <row r="4080" spans="1:6" x14ac:dyDescent="0.2">
      <c r="A4080" s="115"/>
      <c r="B4080" s="79"/>
      <c r="C4080" s="115"/>
      <c r="D4080" s="115"/>
      <c r="E4080" s="115"/>
      <c r="F4080" s="115"/>
    </row>
    <row r="4081" spans="1:6" x14ac:dyDescent="0.2">
      <c r="A4081" s="115"/>
      <c r="B4081" s="79"/>
      <c r="C4081" s="115"/>
      <c r="D4081" s="115"/>
      <c r="E4081" s="115"/>
      <c r="F4081" s="115"/>
    </row>
    <row r="4082" spans="1:6" x14ac:dyDescent="0.2">
      <c r="A4082" s="115"/>
      <c r="B4082" s="79"/>
      <c r="C4082" s="115"/>
      <c r="D4082" s="115"/>
      <c r="E4082" s="115"/>
      <c r="F4082" s="115"/>
    </row>
    <row r="4083" spans="1:6" x14ac:dyDescent="0.2">
      <c r="A4083" s="115"/>
      <c r="B4083" s="79"/>
      <c r="C4083" s="115"/>
      <c r="D4083" s="115"/>
      <c r="E4083" s="115"/>
      <c r="F4083" s="115"/>
    </row>
    <row r="4084" spans="1:6" x14ac:dyDescent="0.2">
      <c r="A4084" s="115"/>
      <c r="B4084" s="79"/>
      <c r="C4084" s="115"/>
      <c r="D4084" s="115"/>
      <c r="E4084" s="115"/>
      <c r="F4084" s="115"/>
    </row>
    <row r="4085" spans="1:6" x14ac:dyDescent="0.2">
      <c r="A4085" s="115"/>
      <c r="B4085" s="79"/>
      <c r="C4085" s="115"/>
      <c r="D4085" s="115"/>
      <c r="E4085" s="115"/>
      <c r="F4085" s="115"/>
    </row>
    <row r="4086" spans="1:6" x14ac:dyDescent="0.2">
      <c r="A4086" s="115"/>
      <c r="B4086" s="79"/>
      <c r="C4086" s="115"/>
      <c r="D4086" s="115"/>
      <c r="E4086" s="115"/>
      <c r="F4086" s="115"/>
    </row>
    <row r="4087" spans="1:6" x14ac:dyDescent="0.2">
      <c r="A4087" s="115"/>
      <c r="B4087" s="79"/>
      <c r="C4087" s="115"/>
      <c r="D4087" s="115"/>
      <c r="E4087" s="115"/>
      <c r="F4087" s="115"/>
    </row>
    <row r="4088" spans="1:6" x14ac:dyDescent="0.2">
      <c r="A4088" s="115"/>
      <c r="B4088" s="79"/>
      <c r="C4088" s="115"/>
      <c r="D4088" s="115"/>
      <c r="E4088" s="115"/>
      <c r="F4088" s="115"/>
    </row>
    <row r="4089" spans="1:6" x14ac:dyDescent="0.2">
      <c r="A4089" s="115"/>
      <c r="B4089" s="79"/>
      <c r="C4089" s="115"/>
      <c r="D4089" s="115"/>
      <c r="E4089" s="115"/>
      <c r="F4089" s="115"/>
    </row>
    <row r="4090" spans="1:6" x14ac:dyDescent="0.2">
      <c r="A4090" s="115"/>
      <c r="B4090" s="79"/>
      <c r="C4090" s="115"/>
      <c r="D4090" s="115"/>
      <c r="E4090" s="115"/>
      <c r="F4090" s="115"/>
    </row>
    <row r="4091" spans="1:6" x14ac:dyDescent="0.2">
      <c r="A4091" s="115"/>
      <c r="B4091" s="79"/>
      <c r="C4091" s="115"/>
      <c r="D4091" s="115"/>
      <c r="E4091" s="115"/>
      <c r="F4091" s="115"/>
    </row>
    <row r="4092" spans="1:6" x14ac:dyDescent="0.2">
      <c r="A4092" s="115"/>
      <c r="B4092" s="79"/>
      <c r="C4092" s="115"/>
      <c r="D4092" s="115"/>
      <c r="E4092" s="115"/>
      <c r="F4092" s="115"/>
    </row>
    <row r="4093" spans="1:6" x14ac:dyDescent="0.2">
      <c r="A4093" s="115"/>
      <c r="B4093" s="79"/>
      <c r="C4093" s="115"/>
      <c r="D4093" s="115"/>
      <c r="E4093" s="115"/>
      <c r="F4093" s="115"/>
    </row>
    <row r="4094" spans="1:6" x14ac:dyDescent="0.2">
      <c r="A4094" s="115"/>
      <c r="B4094" s="79"/>
      <c r="C4094" s="115"/>
      <c r="D4094" s="115"/>
      <c r="E4094" s="115"/>
      <c r="F4094" s="115"/>
    </row>
    <row r="4095" spans="1:6" x14ac:dyDescent="0.2">
      <c r="A4095" s="115"/>
      <c r="B4095" s="79"/>
      <c r="C4095" s="115"/>
      <c r="D4095" s="115"/>
      <c r="E4095" s="115"/>
      <c r="F4095" s="115"/>
    </row>
    <row r="4096" spans="1:6" x14ac:dyDescent="0.2">
      <c r="A4096" s="115"/>
      <c r="B4096" s="79"/>
      <c r="C4096" s="115"/>
      <c r="D4096" s="115"/>
      <c r="E4096" s="115"/>
      <c r="F4096" s="115"/>
    </row>
    <row r="4097" spans="1:6" x14ac:dyDescent="0.2">
      <c r="A4097" s="115"/>
      <c r="B4097" s="79"/>
      <c r="C4097" s="115"/>
      <c r="D4097" s="115"/>
      <c r="E4097" s="115"/>
      <c r="F4097" s="115"/>
    </row>
    <row r="4098" spans="1:6" x14ac:dyDescent="0.2">
      <c r="A4098" s="115"/>
      <c r="B4098" s="79"/>
      <c r="C4098" s="115"/>
      <c r="D4098" s="115"/>
      <c r="E4098" s="115"/>
      <c r="F4098" s="115"/>
    </row>
    <row r="4099" spans="1:6" x14ac:dyDescent="0.2">
      <c r="A4099" s="115"/>
      <c r="B4099" s="79"/>
      <c r="C4099" s="115"/>
      <c r="D4099" s="115"/>
      <c r="E4099" s="115"/>
      <c r="F4099" s="115"/>
    </row>
    <row r="4100" spans="1:6" x14ac:dyDescent="0.2">
      <c r="A4100" s="115"/>
      <c r="B4100" s="79"/>
      <c r="C4100" s="115"/>
      <c r="D4100" s="115"/>
      <c r="E4100" s="115"/>
      <c r="F4100" s="115"/>
    </row>
    <row r="4101" spans="1:6" x14ac:dyDescent="0.2">
      <c r="A4101" s="115"/>
      <c r="B4101" s="79"/>
      <c r="C4101" s="115"/>
      <c r="D4101" s="115"/>
      <c r="E4101" s="115"/>
      <c r="F4101" s="115"/>
    </row>
    <row r="4102" spans="1:6" x14ac:dyDescent="0.2">
      <c r="A4102" s="115"/>
      <c r="B4102" s="79"/>
      <c r="C4102" s="115"/>
      <c r="D4102" s="115"/>
      <c r="E4102" s="115"/>
      <c r="F4102" s="115"/>
    </row>
    <row r="4103" spans="1:6" x14ac:dyDescent="0.2">
      <c r="A4103" s="115"/>
      <c r="B4103" s="79"/>
      <c r="C4103" s="115"/>
      <c r="D4103" s="115"/>
      <c r="E4103" s="115"/>
      <c r="F4103" s="115"/>
    </row>
    <row r="4104" spans="1:6" x14ac:dyDescent="0.2">
      <c r="A4104" s="115"/>
      <c r="B4104" s="79"/>
      <c r="C4104" s="115"/>
      <c r="D4104" s="115"/>
      <c r="E4104" s="115"/>
      <c r="F4104" s="115"/>
    </row>
    <row r="4105" spans="1:6" x14ac:dyDescent="0.2">
      <c r="A4105" s="115"/>
      <c r="B4105" s="79"/>
      <c r="C4105" s="115"/>
      <c r="D4105" s="115"/>
      <c r="E4105" s="115"/>
      <c r="F4105" s="115"/>
    </row>
    <row r="4106" spans="1:6" x14ac:dyDescent="0.2">
      <c r="A4106" s="115"/>
      <c r="B4106" s="79"/>
      <c r="C4106" s="115"/>
      <c r="D4106" s="115"/>
      <c r="E4106" s="115"/>
      <c r="F4106" s="115"/>
    </row>
    <row r="4107" spans="1:6" x14ac:dyDescent="0.2">
      <c r="A4107" s="115"/>
      <c r="B4107" s="79"/>
      <c r="C4107" s="115"/>
      <c r="D4107" s="115"/>
      <c r="E4107" s="115"/>
      <c r="F4107" s="115"/>
    </row>
    <row r="4108" spans="1:6" x14ac:dyDescent="0.2">
      <c r="A4108" s="115"/>
      <c r="B4108" s="79"/>
      <c r="C4108" s="115"/>
      <c r="D4108" s="115"/>
      <c r="E4108" s="115"/>
      <c r="F4108" s="115"/>
    </row>
    <row r="4109" spans="1:6" x14ac:dyDescent="0.2">
      <c r="A4109" s="115"/>
      <c r="B4109" s="79"/>
      <c r="C4109" s="115"/>
      <c r="D4109" s="115"/>
      <c r="E4109" s="115"/>
      <c r="F4109" s="115"/>
    </row>
    <row r="4110" spans="1:6" x14ac:dyDescent="0.2">
      <c r="A4110" s="115"/>
      <c r="B4110" s="79"/>
      <c r="C4110" s="115"/>
      <c r="D4110" s="115"/>
      <c r="E4110" s="115"/>
      <c r="F4110" s="115"/>
    </row>
    <row r="4111" spans="1:6" x14ac:dyDescent="0.2">
      <c r="A4111" s="115"/>
      <c r="B4111" s="79"/>
      <c r="C4111" s="115"/>
      <c r="D4111" s="115"/>
      <c r="E4111" s="115"/>
      <c r="F4111" s="115"/>
    </row>
    <row r="4112" spans="1:6" x14ac:dyDescent="0.2">
      <c r="A4112" s="115"/>
      <c r="B4112" s="79"/>
      <c r="C4112" s="115"/>
      <c r="D4112" s="115"/>
      <c r="E4112" s="115"/>
      <c r="F4112" s="115"/>
    </row>
    <row r="4113" spans="1:6" x14ac:dyDescent="0.2">
      <c r="A4113" s="115"/>
      <c r="B4113" s="79"/>
      <c r="C4113" s="115"/>
      <c r="D4113" s="115"/>
      <c r="E4113" s="115"/>
      <c r="F4113" s="115"/>
    </row>
    <row r="4114" spans="1:6" x14ac:dyDescent="0.2">
      <c r="A4114" s="115"/>
      <c r="B4114" s="79"/>
      <c r="C4114" s="115"/>
      <c r="D4114" s="115"/>
      <c r="E4114" s="115"/>
      <c r="F4114" s="115"/>
    </row>
    <row r="4115" spans="1:6" x14ac:dyDescent="0.2">
      <c r="A4115" s="115"/>
      <c r="B4115" s="79"/>
      <c r="C4115" s="115"/>
      <c r="D4115" s="115"/>
      <c r="E4115" s="115"/>
      <c r="F4115" s="115"/>
    </row>
    <row r="4116" spans="1:6" x14ac:dyDescent="0.2">
      <c r="A4116" s="115"/>
      <c r="B4116" s="79"/>
      <c r="C4116" s="115"/>
      <c r="D4116" s="115"/>
      <c r="E4116" s="115"/>
      <c r="F4116" s="115"/>
    </row>
    <row r="4117" spans="1:6" x14ac:dyDescent="0.2">
      <c r="A4117" s="115"/>
      <c r="B4117" s="79"/>
      <c r="C4117" s="115"/>
      <c r="D4117" s="115"/>
      <c r="E4117" s="115"/>
      <c r="F4117" s="115"/>
    </row>
    <row r="4118" spans="1:6" x14ac:dyDescent="0.2">
      <c r="A4118" s="115"/>
      <c r="B4118" s="79"/>
      <c r="C4118" s="115"/>
      <c r="D4118" s="115"/>
      <c r="E4118" s="115"/>
      <c r="F4118" s="115"/>
    </row>
    <row r="4119" spans="1:6" x14ac:dyDescent="0.2">
      <c r="A4119" s="115"/>
      <c r="B4119" s="79"/>
      <c r="C4119" s="115"/>
      <c r="D4119" s="115"/>
      <c r="E4119" s="115"/>
      <c r="F4119" s="115"/>
    </row>
    <row r="4120" spans="1:6" x14ac:dyDescent="0.2">
      <c r="A4120" s="115"/>
      <c r="B4120" s="79"/>
      <c r="C4120" s="115"/>
      <c r="D4120" s="115"/>
      <c r="E4120" s="115"/>
      <c r="F4120" s="115"/>
    </row>
    <row r="4121" spans="1:6" x14ac:dyDescent="0.2">
      <c r="A4121" s="115"/>
      <c r="B4121" s="79"/>
      <c r="C4121" s="115"/>
      <c r="D4121" s="115"/>
      <c r="E4121" s="115"/>
      <c r="F4121" s="115"/>
    </row>
    <row r="4122" spans="1:6" x14ac:dyDescent="0.2">
      <c r="A4122" s="115"/>
      <c r="B4122" s="79"/>
      <c r="C4122" s="115"/>
      <c r="D4122" s="115"/>
      <c r="E4122" s="115"/>
      <c r="F4122" s="115"/>
    </row>
    <row r="4123" spans="1:6" x14ac:dyDescent="0.2">
      <c r="A4123" s="115"/>
      <c r="B4123" s="79"/>
      <c r="C4123" s="115"/>
      <c r="D4123" s="115"/>
      <c r="E4123" s="115"/>
      <c r="F4123" s="115"/>
    </row>
    <row r="4124" spans="1:6" x14ac:dyDescent="0.2">
      <c r="A4124" s="115"/>
      <c r="B4124" s="79"/>
      <c r="C4124" s="115"/>
      <c r="D4124" s="115"/>
      <c r="E4124" s="115"/>
      <c r="F4124" s="115"/>
    </row>
    <row r="4125" spans="1:6" x14ac:dyDescent="0.2">
      <c r="A4125" s="115"/>
      <c r="B4125" s="79"/>
      <c r="C4125" s="115"/>
      <c r="D4125" s="115"/>
      <c r="E4125" s="115"/>
      <c r="F4125" s="115"/>
    </row>
    <row r="4126" spans="1:6" x14ac:dyDescent="0.2">
      <c r="A4126" s="115"/>
      <c r="B4126" s="79"/>
      <c r="C4126" s="115"/>
      <c r="D4126" s="115"/>
      <c r="E4126" s="115"/>
      <c r="F4126" s="115"/>
    </row>
    <row r="4127" spans="1:6" x14ac:dyDescent="0.2">
      <c r="A4127" s="115"/>
      <c r="B4127" s="79"/>
      <c r="C4127" s="115"/>
      <c r="D4127" s="115"/>
      <c r="E4127" s="115"/>
      <c r="F4127" s="115"/>
    </row>
    <row r="4128" spans="1:6" x14ac:dyDescent="0.2">
      <c r="A4128" s="115"/>
      <c r="B4128" s="79"/>
      <c r="C4128" s="115"/>
      <c r="D4128" s="115"/>
      <c r="E4128" s="115"/>
      <c r="F4128" s="115"/>
    </row>
    <row r="4129" spans="1:6" x14ac:dyDescent="0.2">
      <c r="A4129" s="115"/>
      <c r="B4129" s="79"/>
      <c r="C4129" s="115"/>
      <c r="D4129" s="115"/>
      <c r="E4129" s="115"/>
      <c r="F4129" s="115"/>
    </row>
    <row r="4130" spans="1:6" x14ac:dyDescent="0.2">
      <c r="A4130" s="115"/>
      <c r="B4130" s="79"/>
      <c r="C4130" s="115"/>
      <c r="D4130" s="115"/>
      <c r="E4130" s="115"/>
      <c r="F4130" s="115"/>
    </row>
    <row r="4131" spans="1:6" x14ac:dyDescent="0.2">
      <c r="A4131" s="115"/>
      <c r="B4131" s="79"/>
      <c r="C4131" s="115"/>
      <c r="D4131" s="115"/>
      <c r="E4131" s="115"/>
      <c r="F4131" s="115"/>
    </row>
    <row r="4132" spans="1:6" x14ac:dyDescent="0.2">
      <c r="A4132" s="115"/>
      <c r="B4132" s="79"/>
      <c r="C4132" s="115"/>
      <c r="D4132" s="115"/>
      <c r="E4132" s="115"/>
      <c r="F4132" s="115"/>
    </row>
    <row r="4133" spans="1:6" x14ac:dyDescent="0.2">
      <c r="A4133" s="115"/>
      <c r="B4133" s="79"/>
      <c r="C4133" s="115"/>
      <c r="D4133" s="115"/>
      <c r="E4133" s="115"/>
      <c r="F4133" s="115"/>
    </row>
    <row r="4134" spans="1:6" x14ac:dyDescent="0.2">
      <c r="A4134" s="115"/>
      <c r="B4134" s="79"/>
      <c r="C4134" s="115"/>
      <c r="D4134" s="115"/>
      <c r="E4134" s="115"/>
      <c r="F4134" s="115"/>
    </row>
    <row r="4135" spans="1:6" x14ac:dyDescent="0.2">
      <c r="A4135" s="115"/>
      <c r="B4135" s="79"/>
      <c r="C4135" s="115"/>
      <c r="D4135" s="115"/>
      <c r="E4135" s="115"/>
      <c r="F4135" s="115"/>
    </row>
    <row r="4136" spans="1:6" x14ac:dyDescent="0.2">
      <c r="A4136" s="115"/>
      <c r="B4136" s="79"/>
      <c r="C4136" s="115"/>
      <c r="D4136" s="115"/>
      <c r="E4136" s="115"/>
      <c r="F4136" s="115"/>
    </row>
    <row r="4137" spans="1:6" x14ac:dyDescent="0.2">
      <c r="A4137" s="115"/>
      <c r="B4137" s="79"/>
      <c r="C4137" s="115"/>
      <c r="D4137" s="115"/>
      <c r="E4137" s="115"/>
      <c r="F4137" s="115"/>
    </row>
    <row r="4138" spans="1:6" x14ac:dyDescent="0.2">
      <c r="A4138" s="115"/>
      <c r="B4138" s="79"/>
      <c r="C4138" s="115"/>
      <c r="D4138" s="115"/>
      <c r="E4138" s="115"/>
      <c r="F4138" s="115"/>
    </row>
    <row r="4139" spans="1:6" x14ac:dyDescent="0.2">
      <c r="A4139" s="115"/>
      <c r="B4139" s="79"/>
      <c r="C4139" s="115"/>
      <c r="D4139" s="115"/>
      <c r="E4139" s="115"/>
      <c r="F4139" s="115"/>
    </row>
    <row r="4140" spans="1:6" x14ac:dyDescent="0.2">
      <c r="A4140" s="115"/>
      <c r="B4140" s="79"/>
      <c r="C4140" s="115"/>
      <c r="D4140" s="115"/>
      <c r="E4140" s="115"/>
      <c r="F4140" s="115"/>
    </row>
    <row r="4141" spans="1:6" x14ac:dyDescent="0.2">
      <c r="A4141" s="115"/>
      <c r="B4141" s="79"/>
      <c r="C4141" s="115"/>
      <c r="D4141" s="115"/>
      <c r="E4141" s="115"/>
      <c r="F4141" s="115"/>
    </row>
    <row r="4142" spans="1:6" x14ac:dyDescent="0.2">
      <c r="A4142" s="115"/>
      <c r="B4142" s="79"/>
      <c r="C4142" s="115"/>
      <c r="D4142" s="115"/>
      <c r="E4142" s="115"/>
      <c r="F4142" s="115"/>
    </row>
    <row r="4143" spans="1:6" x14ac:dyDescent="0.2">
      <c r="A4143" s="115"/>
      <c r="B4143" s="79"/>
      <c r="C4143" s="115"/>
      <c r="D4143" s="115"/>
      <c r="E4143" s="115"/>
      <c r="F4143" s="115"/>
    </row>
    <row r="4144" spans="1:6" x14ac:dyDescent="0.2">
      <c r="A4144" s="115"/>
      <c r="B4144" s="79"/>
      <c r="C4144" s="115"/>
      <c r="D4144" s="115"/>
      <c r="E4144" s="115"/>
      <c r="F4144" s="115"/>
    </row>
    <row r="4145" spans="1:6" x14ac:dyDescent="0.2">
      <c r="A4145" s="115"/>
      <c r="B4145" s="79"/>
      <c r="C4145" s="115"/>
      <c r="D4145" s="115"/>
      <c r="E4145" s="115"/>
      <c r="F4145" s="115"/>
    </row>
    <row r="4146" spans="1:6" x14ac:dyDescent="0.2">
      <c r="A4146" s="115"/>
      <c r="B4146" s="79"/>
      <c r="C4146" s="115"/>
      <c r="D4146" s="115"/>
      <c r="E4146" s="115"/>
      <c r="F4146" s="115"/>
    </row>
    <row r="4147" spans="1:6" x14ac:dyDescent="0.2">
      <c r="A4147" s="115"/>
      <c r="B4147" s="79"/>
      <c r="C4147" s="115"/>
      <c r="D4147" s="115"/>
      <c r="E4147" s="115"/>
      <c r="F4147" s="115"/>
    </row>
    <row r="4148" spans="1:6" x14ac:dyDescent="0.2">
      <c r="A4148" s="115"/>
      <c r="B4148" s="79"/>
      <c r="C4148" s="115"/>
      <c r="D4148" s="115"/>
      <c r="E4148" s="115"/>
      <c r="F4148" s="115"/>
    </row>
    <row r="4149" spans="1:6" x14ac:dyDescent="0.2">
      <c r="A4149" s="115"/>
      <c r="B4149" s="79"/>
      <c r="C4149" s="115"/>
      <c r="D4149" s="115"/>
      <c r="E4149" s="115"/>
      <c r="F4149" s="115"/>
    </row>
    <row r="4150" spans="1:6" x14ac:dyDescent="0.2">
      <c r="A4150" s="115"/>
      <c r="B4150" s="79"/>
      <c r="C4150" s="115"/>
      <c r="D4150" s="115"/>
      <c r="E4150" s="115"/>
      <c r="F4150" s="115"/>
    </row>
    <row r="4151" spans="1:6" x14ac:dyDescent="0.2">
      <c r="A4151" s="115"/>
      <c r="B4151" s="79"/>
      <c r="C4151" s="115"/>
      <c r="D4151" s="115"/>
      <c r="E4151" s="115"/>
      <c r="F4151" s="115"/>
    </row>
    <row r="4152" spans="1:6" x14ac:dyDescent="0.2">
      <c r="A4152" s="115"/>
      <c r="B4152" s="79"/>
      <c r="C4152" s="115"/>
      <c r="D4152" s="115"/>
      <c r="E4152" s="115"/>
      <c r="F4152" s="115"/>
    </row>
    <row r="4153" spans="1:6" x14ac:dyDescent="0.2">
      <c r="A4153" s="115"/>
      <c r="B4153" s="79"/>
      <c r="C4153" s="115"/>
      <c r="D4153" s="115"/>
      <c r="E4153" s="115"/>
      <c r="F4153" s="115"/>
    </row>
    <row r="4154" spans="1:6" x14ac:dyDescent="0.2">
      <c r="A4154" s="115"/>
      <c r="B4154" s="79"/>
      <c r="C4154" s="115"/>
      <c r="D4154" s="115"/>
      <c r="E4154" s="115"/>
      <c r="F4154" s="115"/>
    </row>
    <row r="4155" spans="1:6" x14ac:dyDescent="0.2">
      <c r="A4155" s="115"/>
      <c r="B4155" s="79"/>
      <c r="C4155" s="115"/>
      <c r="D4155" s="115"/>
      <c r="E4155" s="115"/>
      <c r="F4155" s="115"/>
    </row>
    <row r="4156" spans="1:6" x14ac:dyDescent="0.2">
      <c r="A4156" s="115"/>
      <c r="B4156" s="79"/>
      <c r="C4156" s="115"/>
      <c r="D4156" s="115"/>
      <c r="E4156" s="115"/>
      <c r="F4156" s="115"/>
    </row>
    <row r="4157" spans="1:6" x14ac:dyDescent="0.2">
      <c r="A4157" s="115"/>
      <c r="B4157" s="79"/>
      <c r="C4157" s="115"/>
      <c r="D4157" s="115"/>
      <c r="E4157" s="115"/>
      <c r="F4157" s="115"/>
    </row>
    <row r="4158" spans="1:6" x14ac:dyDescent="0.2">
      <c r="A4158" s="115"/>
      <c r="B4158" s="79"/>
      <c r="C4158" s="115"/>
      <c r="D4158" s="115"/>
      <c r="E4158" s="115"/>
      <c r="F4158" s="115"/>
    </row>
    <row r="4159" spans="1:6" x14ac:dyDescent="0.2">
      <c r="A4159" s="115"/>
      <c r="B4159" s="79"/>
      <c r="C4159" s="115"/>
      <c r="D4159" s="115"/>
      <c r="E4159" s="115"/>
      <c r="F4159" s="115"/>
    </row>
    <row r="4160" spans="1:6" x14ac:dyDescent="0.2">
      <c r="A4160" s="115"/>
      <c r="B4160" s="79"/>
      <c r="C4160" s="115"/>
      <c r="D4160" s="115"/>
      <c r="E4160" s="115"/>
      <c r="F4160" s="115"/>
    </row>
    <row r="4161" spans="1:6" x14ac:dyDescent="0.2">
      <c r="A4161" s="115"/>
      <c r="B4161" s="79"/>
      <c r="C4161" s="115"/>
      <c r="D4161" s="115"/>
      <c r="E4161" s="115"/>
      <c r="F4161" s="115"/>
    </row>
    <row r="4162" spans="1:6" x14ac:dyDescent="0.2">
      <c r="A4162" s="115"/>
      <c r="B4162" s="79"/>
      <c r="C4162" s="115"/>
      <c r="D4162" s="115"/>
      <c r="E4162" s="115"/>
      <c r="F4162" s="115"/>
    </row>
    <row r="4163" spans="1:6" x14ac:dyDescent="0.2">
      <c r="A4163" s="115"/>
      <c r="B4163" s="79"/>
      <c r="C4163" s="115"/>
      <c r="D4163" s="115"/>
      <c r="E4163" s="115"/>
      <c r="F4163" s="115"/>
    </row>
    <row r="4164" spans="1:6" x14ac:dyDescent="0.2">
      <c r="A4164" s="115"/>
      <c r="B4164" s="79"/>
      <c r="C4164" s="115"/>
      <c r="D4164" s="115"/>
      <c r="E4164" s="115"/>
      <c r="F4164" s="115"/>
    </row>
    <row r="4165" spans="1:6" x14ac:dyDescent="0.2">
      <c r="A4165" s="115"/>
      <c r="B4165" s="79"/>
      <c r="C4165" s="115"/>
      <c r="D4165" s="115"/>
      <c r="E4165" s="115"/>
      <c r="F4165" s="115"/>
    </row>
    <row r="4166" spans="1:6" x14ac:dyDescent="0.2">
      <c r="A4166" s="115"/>
      <c r="B4166" s="79"/>
      <c r="C4166" s="115"/>
      <c r="D4166" s="115"/>
      <c r="E4166" s="115"/>
      <c r="F4166" s="115"/>
    </row>
    <row r="4167" spans="1:6" x14ac:dyDescent="0.2">
      <c r="A4167" s="115"/>
      <c r="B4167" s="79"/>
      <c r="C4167" s="115"/>
      <c r="D4167" s="115"/>
      <c r="E4167" s="115"/>
      <c r="F4167" s="115"/>
    </row>
    <row r="4168" spans="1:6" x14ac:dyDescent="0.2">
      <c r="A4168" s="115"/>
      <c r="B4168" s="79"/>
      <c r="C4168" s="115"/>
      <c r="D4168" s="115"/>
      <c r="E4168" s="115"/>
      <c r="F4168" s="115"/>
    </row>
    <row r="4169" spans="1:6" x14ac:dyDescent="0.2">
      <c r="A4169" s="115"/>
      <c r="B4169" s="79"/>
      <c r="C4169" s="115"/>
      <c r="D4169" s="115"/>
      <c r="E4169" s="115"/>
      <c r="F4169" s="115"/>
    </row>
    <row r="4170" spans="1:6" x14ac:dyDescent="0.2">
      <c r="A4170" s="115"/>
      <c r="B4170" s="79"/>
      <c r="C4170" s="115"/>
      <c r="D4170" s="115"/>
      <c r="E4170" s="115"/>
      <c r="F4170" s="115"/>
    </row>
    <row r="4171" spans="1:6" x14ac:dyDescent="0.2">
      <c r="A4171" s="115"/>
      <c r="B4171" s="79"/>
      <c r="C4171" s="115"/>
      <c r="D4171" s="115"/>
      <c r="E4171" s="115"/>
      <c r="F4171" s="115"/>
    </row>
    <row r="4172" spans="1:6" x14ac:dyDescent="0.2">
      <c r="A4172" s="115"/>
      <c r="B4172" s="79"/>
      <c r="C4172" s="115"/>
      <c r="D4172" s="115"/>
      <c r="E4172" s="115"/>
      <c r="F4172" s="115"/>
    </row>
    <row r="4173" spans="1:6" x14ac:dyDescent="0.2">
      <c r="A4173" s="115"/>
      <c r="B4173" s="79"/>
      <c r="C4173" s="115"/>
      <c r="D4173" s="115"/>
      <c r="E4173" s="115"/>
      <c r="F4173" s="115"/>
    </row>
    <row r="4174" spans="1:6" x14ac:dyDescent="0.2">
      <c r="A4174" s="115"/>
      <c r="B4174" s="79"/>
      <c r="C4174" s="115"/>
      <c r="D4174" s="115"/>
      <c r="E4174" s="115"/>
      <c r="F4174" s="115"/>
    </row>
    <row r="4175" spans="1:6" x14ac:dyDescent="0.2">
      <c r="A4175" s="115"/>
      <c r="B4175" s="79"/>
      <c r="C4175" s="115"/>
      <c r="D4175" s="115"/>
      <c r="E4175" s="115"/>
      <c r="F4175" s="115"/>
    </row>
    <row r="4176" spans="1:6" x14ac:dyDescent="0.2">
      <c r="A4176" s="115"/>
      <c r="B4176" s="79"/>
      <c r="C4176" s="115"/>
      <c r="D4176" s="115"/>
      <c r="E4176" s="115"/>
      <c r="F4176" s="115"/>
    </row>
    <row r="4177" spans="1:6" x14ac:dyDescent="0.2">
      <c r="A4177" s="115"/>
      <c r="B4177" s="79"/>
      <c r="C4177" s="115"/>
      <c r="D4177" s="115"/>
      <c r="E4177" s="115"/>
      <c r="F4177" s="115"/>
    </row>
    <row r="4178" spans="1:6" x14ac:dyDescent="0.2">
      <c r="A4178" s="115"/>
      <c r="B4178" s="79"/>
      <c r="C4178" s="115"/>
      <c r="D4178" s="115"/>
      <c r="E4178" s="115"/>
      <c r="F4178" s="115"/>
    </row>
    <row r="4179" spans="1:6" x14ac:dyDescent="0.2">
      <c r="A4179" s="115"/>
      <c r="B4179" s="79"/>
      <c r="C4179" s="115"/>
      <c r="D4179" s="115"/>
      <c r="E4179" s="115"/>
      <c r="F4179" s="115"/>
    </row>
    <row r="4180" spans="1:6" x14ac:dyDescent="0.2">
      <c r="A4180" s="115"/>
      <c r="B4180" s="79"/>
      <c r="C4180" s="115"/>
      <c r="D4180" s="115"/>
      <c r="E4180" s="115"/>
      <c r="F4180" s="115"/>
    </row>
    <row r="4181" spans="1:6" x14ac:dyDescent="0.2">
      <c r="A4181" s="115"/>
      <c r="B4181" s="79"/>
      <c r="C4181" s="115"/>
      <c r="D4181" s="115"/>
      <c r="E4181" s="115"/>
      <c r="F4181" s="115"/>
    </row>
    <row r="4182" spans="1:6" x14ac:dyDescent="0.2">
      <c r="A4182" s="115"/>
      <c r="B4182" s="79"/>
      <c r="C4182" s="115"/>
      <c r="D4182" s="115"/>
      <c r="E4182" s="115"/>
      <c r="F4182" s="115"/>
    </row>
    <row r="4183" spans="1:6" x14ac:dyDescent="0.2">
      <c r="A4183" s="115"/>
      <c r="B4183" s="79"/>
      <c r="C4183" s="115"/>
      <c r="D4183" s="115"/>
      <c r="E4183" s="115"/>
      <c r="F4183" s="115"/>
    </row>
    <row r="4184" spans="1:6" x14ac:dyDescent="0.2">
      <c r="A4184" s="115"/>
      <c r="B4184" s="79"/>
      <c r="C4184" s="115"/>
      <c r="D4184" s="115"/>
      <c r="E4184" s="115"/>
      <c r="F4184" s="115"/>
    </row>
    <row r="4185" spans="1:6" x14ac:dyDescent="0.2">
      <c r="A4185" s="115"/>
      <c r="B4185" s="79"/>
      <c r="C4185" s="115"/>
      <c r="D4185" s="115"/>
      <c r="E4185" s="115"/>
      <c r="F4185" s="115"/>
    </row>
    <row r="4186" spans="1:6" x14ac:dyDescent="0.2">
      <c r="A4186" s="115"/>
      <c r="B4186" s="79"/>
      <c r="C4186" s="115"/>
      <c r="D4186" s="115"/>
      <c r="E4186" s="115"/>
      <c r="F4186" s="115"/>
    </row>
    <row r="4187" spans="1:6" x14ac:dyDescent="0.2">
      <c r="A4187" s="115"/>
      <c r="B4187" s="79"/>
      <c r="C4187" s="115"/>
      <c r="D4187" s="115"/>
      <c r="E4187" s="115"/>
      <c r="F4187" s="115"/>
    </row>
    <row r="4188" spans="1:6" x14ac:dyDescent="0.2">
      <c r="A4188" s="115"/>
      <c r="B4188" s="79"/>
      <c r="C4188" s="115"/>
      <c r="D4188" s="115"/>
      <c r="E4188" s="115"/>
      <c r="F4188" s="115"/>
    </row>
    <row r="4189" spans="1:6" x14ac:dyDescent="0.2">
      <c r="A4189" s="115"/>
      <c r="B4189" s="79"/>
      <c r="C4189" s="115"/>
      <c r="D4189" s="115"/>
      <c r="E4189" s="115"/>
      <c r="F4189" s="115"/>
    </row>
    <row r="4190" spans="1:6" x14ac:dyDescent="0.2">
      <c r="A4190" s="115"/>
      <c r="B4190" s="79"/>
      <c r="C4190" s="115"/>
      <c r="D4190" s="115"/>
      <c r="E4190" s="115"/>
      <c r="F4190" s="115"/>
    </row>
    <row r="4191" spans="1:6" x14ac:dyDescent="0.2">
      <c r="A4191" s="115"/>
      <c r="B4191" s="79"/>
      <c r="C4191" s="115"/>
      <c r="D4191" s="115"/>
      <c r="E4191" s="115"/>
      <c r="F4191" s="115"/>
    </row>
    <row r="4192" spans="1:6" x14ac:dyDescent="0.2">
      <c r="A4192" s="115"/>
      <c r="B4192" s="79"/>
      <c r="C4192" s="115"/>
      <c r="D4192" s="115"/>
      <c r="E4192" s="115"/>
      <c r="F4192" s="115"/>
    </row>
    <row r="4193" spans="1:6" x14ac:dyDescent="0.2">
      <c r="A4193" s="115"/>
      <c r="B4193" s="79"/>
      <c r="C4193" s="115"/>
      <c r="D4193" s="115"/>
      <c r="E4193" s="115"/>
      <c r="F4193" s="115"/>
    </row>
    <row r="4194" spans="1:6" x14ac:dyDescent="0.2">
      <c r="A4194" s="115"/>
      <c r="B4194" s="79"/>
      <c r="C4194" s="115"/>
      <c r="D4194" s="115"/>
      <c r="E4194" s="115"/>
      <c r="F4194" s="115"/>
    </row>
    <row r="4195" spans="1:6" x14ac:dyDescent="0.2">
      <c r="A4195" s="115"/>
      <c r="B4195" s="79"/>
      <c r="C4195" s="115"/>
      <c r="D4195" s="115"/>
      <c r="E4195" s="115"/>
      <c r="F4195" s="115"/>
    </row>
    <row r="4196" spans="1:6" x14ac:dyDescent="0.2">
      <c r="A4196" s="115"/>
      <c r="B4196" s="79"/>
      <c r="C4196" s="115"/>
      <c r="D4196" s="115"/>
      <c r="E4196" s="115"/>
      <c r="F4196" s="115"/>
    </row>
    <row r="4197" spans="1:6" x14ac:dyDescent="0.2">
      <c r="A4197" s="115"/>
      <c r="B4197" s="79"/>
      <c r="C4197" s="115"/>
      <c r="D4197" s="115"/>
      <c r="E4197" s="115"/>
      <c r="F4197" s="115"/>
    </row>
    <row r="4198" spans="1:6" x14ac:dyDescent="0.2">
      <c r="A4198" s="115"/>
      <c r="B4198" s="79"/>
      <c r="C4198" s="115"/>
      <c r="D4198" s="115"/>
      <c r="E4198" s="115"/>
      <c r="F4198" s="115"/>
    </row>
    <row r="4199" spans="1:6" x14ac:dyDescent="0.2">
      <c r="A4199" s="115"/>
      <c r="B4199" s="79"/>
      <c r="C4199" s="115"/>
      <c r="D4199" s="115"/>
      <c r="E4199" s="115"/>
      <c r="F4199" s="115"/>
    </row>
    <row r="4200" spans="1:6" x14ac:dyDescent="0.2">
      <c r="A4200" s="115"/>
      <c r="B4200" s="79"/>
      <c r="C4200" s="115"/>
      <c r="D4200" s="115"/>
      <c r="E4200" s="115"/>
      <c r="F4200" s="115"/>
    </row>
    <row r="4201" spans="1:6" x14ac:dyDescent="0.2">
      <c r="A4201" s="115"/>
      <c r="B4201" s="79"/>
      <c r="C4201" s="115"/>
      <c r="D4201" s="115"/>
      <c r="E4201" s="115"/>
      <c r="F4201" s="115"/>
    </row>
    <row r="4202" spans="1:6" x14ac:dyDescent="0.2">
      <c r="A4202" s="115"/>
      <c r="B4202" s="79"/>
      <c r="C4202" s="115"/>
      <c r="D4202" s="115"/>
      <c r="E4202" s="115"/>
      <c r="F4202" s="115"/>
    </row>
    <row r="4203" spans="1:6" x14ac:dyDescent="0.2">
      <c r="A4203" s="115"/>
      <c r="B4203" s="79"/>
      <c r="C4203" s="115"/>
      <c r="D4203" s="115"/>
      <c r="E4203" s="115"/>
      <c r="F4203" s="115"/>
    </row>
    <row r="4204" spans="1:6" x14ac:dyDescent="0.2">
      <c r="A4204" s="115"/>
      <c r="B4204" s="79"/>
      <c r="C4204" s="115"/>
      <c r="D4204" s="115"/>
      <c r="E4204" s="115"/>
      <c r="F4204" s="115"/>
    </row>
    <row r="4205" spans="1:6" x14ac:dyDescent="0.2">
      <c r="A4205" s="115"/>
      <c r="B4205" s="79"/>
      <c r="C4205" s="115"/>
      <c r="D4205" s="115"/>
      <c r="E4205" s="115"/>
      <c r="F4205" s="115"/>
    </row>
    <row r="4206" spans="1:6" x14ac:dyDescent="0.2">
      <c r="A4206" s="115"/>
      <c r="B4206" s="79"/>
      <c r="C4206" s="115"/>
      <c r="D4206" s="115"/>
      <c r="E4206" s="115"/>
      <c r="F4206" s="115"/>
    </row>
    <row r="4207" spans="1:6" x14ac:dyDescent="0.2">
      <c r="A4207" s="115"/>
      <c r="B4207" s="79"/>
      <c r="C4207" s="115"/>
      <c r="D4207" s="115"/>
      <c r="E4207" s="115"/>
      <c r="F4207" s="115"/>
    </row>
    <row r="4208" spans="1:6" x14ac:dyDescent="0.2">
      <c r="A4208" s="115"/>
      <c r="B4208" s="79"/>
      <c r="C4208" s="115"/>
      <c r="D4208" s="115"/>
      <c r="E4208" s="115"/>
      <c r="F4208" s="115"/>
    </row>
    <row r="4209" spans="1:6" x14ac:dyDescent="0.2">
      <c r="A4209" s="115"/>
      <c r="B4209" s="79"/>
      <c r="C4209" s="115"/>
      <c r="D4209" s="115"/>
      <c r="E4209" s="115"/>
      <c r="F4209" s="115"/>
    </row>
    <row r="4210" spans="1:6" x14ac:dyDescent="0.2">
      <c r="A4210" s="115"/>
      <c r="B4210" s="79"/>
      <c r="C4210" s="115"/>
      <c r="D4210" s="115"/>
      <c r="E4210" s="115"/>
      <c r="F4210" s="115"/>
    </row>
    <row r="4211" spans="1:6" x14ac:dyDescent="0.2">
      <c r="A4211" s="115"/>
      <c r="B4211" s="79"/>
      <c r="C4211" s="115"/>
      <c r="D4211" s="115"/>
      <c r="E4211" s="115"/>
      <c r="F4211" s="115"/>
    </row>
    <row r="4212" spans="1:6" x14ac:dyDescent="0.2">
      <c r="A4212" s="115"/>
      <c r="B4212" s="79"/>
      <c r="C4212" s="115"/>
      <c r="D4212" s="115"/>
      <c r="E4212" s="115"/>
      <c r="F4212" s="115"/>
    </row>
    <row r="4213" spans="1:6" x14ac:dyDescent="0.2">
      <c r="A4213" s="115"/>
      <c r="B4213" s="79"/>
      <c r="C4213" s="115"/>
      <c r="D4213" s="115"/>
      <c r="E4213" s="115"/>
      <c r="F4213" s="115"/>
    </row>
    <row r="4214" spans="1:6" x14ac:dyDescent="0.2">
      <c r="A4214" s="115"/>
      <c r="B4214" s="79"/>
      <c r="C4214" s="115"/>
      <c r="D4214" s="115"/>
      <c r="E4214" s="115"/>
      <c r="F4214" s="115"/>
    </row>
    <row r="4215" spans="1:6" x14ac:dyDescent="0.2">
      <c r="A4215" s="115"/>
      <c r="B4215" s="79"/>
      <c r="C4215" s="115"/>
      <c r="D4215" s="115"/>
      <c r="E4215" s="115"/>
      <c r="F4215" s="115"/>
    </row>
    <row r="4216" spans="1:6" x14ac:dyDescent="0.2">
      <c r="A4216" s="115"/>
      <c r="B4216" s="79"/>
      <c r="C4216" s="115"/>
      <c r="D4216" s="115"/>
      <c r="E4216" s="115"/>
      <c r="F4216" s="115"/>
    </row>
    <row r="4217" spans="1:6" x14ac:dyDescent="0.2">
      <c r="A4217" s="115"/>
      <c r="B4217" s="79"/>
      <c r="C4217" s="115"/>
      <c r="D4217" s="115"/>
      <c r="E4217" s="115"/>
      <c r="F4217" s="115"/>
    </row>
    <row r="4218" spans="1:6" x14ac:dyDescent="0.2">
      <c r="A4218" s="115"/>
      <c r="B4218" s="79"/>
      <c r="C4218" s="115"/>
      <c r="D4218" s="115"/>
      <c r="E4218" s="115"/>
      <c r="F4218" s="115"/>
    </row>
    <row r="4219" spans="1:6" x14ac:dyDescent="0.2">
      <c r="A4219" s="115"/>
      <c r="B4219" s="79"/>
      <c r="C4219" s="115"/>
      <c r="D4219" s="115"/>
      <c r="E4219" s="115"/>
      <c r="F4219" s="115"/>
    </row>
    <row r="4220" spans="1:6" x14ac:dyDescent="0.2">
      <c r="A4220" s="115"/>
      <c r="B4220" s="79"/>
      <c r="C4220" s="115"/>
      <c r="D4220" s="115"/>
      <c r="E4220" s="115"/>
      <c r="F4220" s="115"/>
    </row>
    <row r="4221" spans="1:6" x14ac:dyDescent="0.2">
      <c r="A4221" s="115"/>
      <c r="B4221" s="79"/>
      <c r="C4221" s="115"/>
      <c r="D4221" s="115"/>
      <c r="E4221" s="115"/>
      <c r="F4221" s="115"/>
    </row>
    <row r="4222" spans="1:6" x14ac:dyDescent="0.2">
      <c r="A4222" s="115"/>
      <c r="B4222" s="79"/>
      <c r="C4222" s="115"/>
      <c r="D4222" s="115"/>
      <c r="E4222" s="115"/>
      <c r="F4222" s="115"/>
    </row>
    <row r="4223" spans="1:6" x14ac:dyDescent="0.2">
      <c r="A4223" s="115"/>
      <c r="B4223" s="79"/>
      <c r="C4223" s="115"/>
      <c r="D4223" s="115"/>
      <c r="E4223" s="115"/>
      <c r="F4223" s="115"/>
    </row>
    <row r="4224" spans="1:6" x14ac:dyDescent="0.2">
      <c r="A4224" s="115"/>
      <c r="B4224" s="79"/>
      <c r="C4224" s="115"/>
      <c r="D4224" s="115"/>
      <c r="E4224" s="115"/>
      <c r="F4224" s="115"/>
    </row>
    <row r="4225" spans="1:6" x14ac:dyDescent="0.2">
      <c r="A4225" s="115"/>
      <c r="B4225" s="79"/>
      <c r="C4225" s="115"/>
      <c r="D4225" s="115"/>
      <c r="E4225" s="115"/>
      <c r="F4225" s="115"/>
    </row>
    <row r="4226" spans="1:6" x14ac:dyDescent="0.2">
      <c r="A4226" s="115"/>
      <c r="B4226" s="79"/>
      <c r="C4226" s="115"/>
      <c r="D4226" s="115"/>
      <c r="E4226" s="115"/>
      <c r="F4226" s="115"/>
    </row>
    <row r="4227" spans="1:6" x14ac:dyDescent="0.2">
      <c r="A4227" s="115"/>
      <c r="B4227" s="79"/>
      <c r="C4227" s="115"/>
      <c r="D4227" s="115"/>
      <c r="E4227" s="115"/>
      <c r="F4227" s="115"/>
    </row>
    <row r="4228" spans="1:6" x14ac:dyDescent="0.2">
      <c r="A4228" s="115"/>
      <c r="B4228" s="79"/>
      <c r="C4228" s="115"/>
      <c r="D4228" s="115"/>
      <c r="E4228" s="115"/>
      <c r="F4228" s="115"/>
    </row>
    <row r="4229" spans="1:6" x14ac:dyDescent="0.2">
      <c r="A4229" s="115"/>
      <c r="B4229" s="79"/>
      <c r="C4229" s="115"/>
      <c r="D4229" s="115"/>
      <c r="E4229" s="115"/>
      <c r="F4229" s="115"/>
    </row>
    <row r="4230" spans="1:6" x14ac:dyDescent="0.2">
      <c r="A4230" s="115"/>
      <c r="B4230" s="79"/>
      <c r="C4230" s="115"/>
      <c r="D4230" s="115"/>
      <c r="E4230" s="115"/>
      <c r="F4230" s="115"/>
    </row>
    <row r="4231" spans="1:6" x14ac:dyDescent="0.2">
      <c r="A4231" s="115"/>
      <c r="B4231" s="79"/>
      <c r="C4231" s="115"/>
      <c r="D4231" s="115"/>
      <c r="E4231" s="115"/>
      <c r="F4231" s="115"/>
    </row>
    <row r="4232" spans="1:6" x14ac:dyDescent="0.2">
      <c r="A4232" s="115"/>
      <c r="B4232" s="79"/>
      <c r="C4232" s="115"/>
      <c r="D4232" s="115"/>
      <c r="E4232" s="115"/>
      <c r="F4232" s="115"/>
    </row>
    <row r="4233" spans="1:6" x14ac:dyDescent="0.2">
      <c r="A4233" s="115"/>
      <c r="B4233" s="79"/>
      <c r="C4233" s="115"/>
      <c r="D4233" s="115"/>
      <c r="E4233" s="115"/>
      <c r="F4233" s="115"/>
    </row>
    <row r="4234" spans="1:6" x14ac:dyDescent="0.2">
      <c r="A4234" s="115"/>
      <c r="B4234" s="79"/>
      <c r="C4234" s="115"/>
      <c r="D4234" s="115"/>
      <c r="E4234" s="115"/>
      <c r="F4234" s="115"/>
    </row>
    <row r="4235" spans="1:6" x14ac:dyDescent="0.2">
      <c r="A4235" s="115"/>
      <c r="B4235" s="79"/>
      <c r="C4235" s="115"/>
      <c r="D4235" s="115"/>
      <c r="E4235" s="115"/>
      <c r="F4235" s="115"/>
    </row>
    <row r="4236" spans="1:6" x14ac:dyDescent="0.2">
      <c r="A4236" s="115"/>
      <c r="B4236" s="79"/>
      <c r="C4236" s="115"/>
      <c r="D4236" s="115"/>
      <c r="E4236" s="115"/>
      <c r="F4236" s="115"/>
    </row>
    <row r="4237" spans="1:6" x14ac:dyDescent="0.2">
      <c r="A4237" s="115"/>
      <c r="B4237" s="79"/>
      <c r="C4237" s="115"/>
      <c r="D4237" s="115"/>
      <c r="E4237" s="115"/>
      <c r="F4237" s="115"/>
    </row>
    <row r="4238" spans="1:6" x14ac:dyDescent="0.2">
      <c r="A4238" s="115"/>
      <c r="B4238" s="79"/>
      <c r="C4238" s="115"/>
      <c r="D4238" s="115"/>
      <c r="E4238" s="115"/>
      <c r="F4238" s="115"/>
    </row>
    <row r="4239" spans="1:6" x14ac:dyDescent="0.2">
      <c r="A4239" s="115"/>
      <c r="B4239" s="79"/>
      <c r="C4239" s="115"/>
      <c r="D4239" s="115"/>
      <c r="E4239" s="115"/>
      <c r="F4239" s="115"/>
    </row>
    <row r="4240" spans="1:6" x14ac:dyDescent="0.2">
      <c r="A4240" s="115"/>
      <c r="B4240" s="79"/>
      <c r="C4240" s="115"/>
      <c r="D4240" s="115"/>
      <c r="E4240" s="115"/>
      <c r="F4240" s="115"/>
    </row>
    <row r="4241" spans="1:6" x14ac:dyDescent="0.2">
      <c r="A4241" s="115"/>
      <c r="B4241" s="79"/>
      <c r="C4241" s="115"/>
      <c r="D4241" s="115"/>
      <c r="E4241" s="115"/>
      <c r="F4241" s="115"/>
    </row>
    <row r="4242" spans="1:6" x14ac:dyDescent="0.2">
      <c r="A4242" s="115"/>
      <c r="B4242" s="79"/>
      <c r="C4242" s="115"/>
      <c r="D4242" s="115"/>
      <c r="E4242" s="115"/>
      <c r="F4242" s="115"/>
    </row>
    <row r="4243" spans="1:6" x14ac:dyDescent="0.2">
      <c r="A4243" s="115"/>
      <c r="B4243" s="79"/>
      <c r="C4243" s="115"/>
      <c r="D4243" s="115"/>
      <c r="E4243" s="115"/>
      <c r="F4243" s="115"/>
    </row>
    <row r="4244" spans="1:6" x14ac:dyDescent="0.2">
      <c r="A4244" s="115"/>
      <c r="B4244" s="79"/>
      <c r="C4244" s="115"/>
      <c r="D4244" s="115"/>
      <c r="E4244" s="115"/>
      <c r="F4244" s="115"/>
    </row>
    <row r="4245" spans="1:6" x14ac:dyDescent="0.2">
      <c r="A4245" s="115"/>
      <c r="B4245" s="79"/>
      <c r="C4245" s="115"/>
      <c r="D4245" s="115"/>
      <c r="E4245" s="115"/>
      <c r="F4245" s="115"/>
    </row>
    <row r="4246" spans="1:6" x14ac:dyDescent="0.2">
      <c r="A4246" s="115"/>
      <c r="B4246" s="79"/>
      <c r="C4246" s="115"/>
      <c r="D4246" s="115"/>
      <c r="E4246" s="115"/>
      <c r="F4246" s="115"/>
    </row>
    <row r="4247" spans="1:6" x14ac:dyDescent="0.2">
      <c r="A4247" s="115"/>
      <c r="B4247" s="79"/>
      <c r="C4247" s="115"/>
      <c r="D4247" s="115"/>
      <c r="E4247" s="115"/>
      <c r="F4247" s="115"/>
    </row>
    <row r="4248" spans="1:6" x14ac:dyDescent="0.2">
      <c r="A4248" s="115"/>
      <c r="B4248" s="79"/>
      <c r="C4248" s="115"/>
      <c r="D4248" s="115"/>
      <c r="E4248" s="115"/>
      <c r="F4248" s="115"/>
    </row>
    <row r="4249" spans="1:6" x14ac:dyDescent="0.2">
      <c r="A4249" s="115"/>
      <c r="B4249" s="79"/>
      <c r="C4249" s="115"/>
      <c r="D4249" s="115"/>
      <c r="E4249" s="115"/>
      <c r="F4249" s="115"/>
    </row>
    <row r="4250" spans="1:6" x14ac:dyDescent="0.2">
      <c r="A4250" s="115"/>
      <c r="B4250" s="79"/>
      <c r="C4250" s="115"/>
      <c r="D4250" s="115"/>
      <c r="E4250" s="115"/>
      <c r="F4250" s="115"/>
    </row>
    <row r="4251" spans="1:6" x14ac:dyDescent="0.2">
      <c r="A4251" s="115"/>
      <c r="B4251" s="79"/>
      <c r="C4251" s="115"/>
      <c r="D4251" s="115"/>
      <c r="E4251" s="115"/>
      <c r="F4251" s="115"/>
    </row>
    <row r="4252" spans="1:6" x14ac:dyDescent="0.2">
      <c r="A4252" s="115"/>
      <c r="B4252" s="79"/>
      <c r="C4252" s="115"/>
      <c r="D4252" s="115"/>
      <c r="E4252" s="115"/>
      <c r="F4252" s="115"/>
    </row>
    <row r="4253" spans="1:6" x14ac:dyDescent="0.2">
      <c r="A4253" s="115"/>
      <c r="B4253" s="79"/>
      <c r="C4253" s="115"/>
      <c r="D4253" s="115"/>
      <c r="E4253" s="115"/>
      <c r="F4253" s="115"/>
    </row>
    <row r="4254" spans="1:6" x14ac:dyDescent="0.2">
      <c r="A4254" s="115"/>
      <c r="B4254" s="79"/>
      <c r="C4254" s="115"/>
      <c r="D4254" s="115"/>
      <c r="E4254" s="115"/>
      <c r="F4254" s="115"/>
    </row>
    <row r="4255" spans="1:6" x14ac:dyDescent="0.2">
      <c r="A4255" s="115"/>
      <c r="B4255" s="79"/>
      <c r="C4255" s="115"/>
      <c r="D4255" s="115"/>
      <c r="E4255" s="115"/>
      <c r="F4255" s="115"/>
    </row>
    <row r="4256" spans="1:6" x14ac:dyDescent="0.2">
      <c r="A4256" s="115"/>
      <c r="B4256" s="79"/>
      <c r="C4256" s="115"/>
      <c r="D4256" s="115"/>
      <c r="E4256" s="115"/>
      <c r="F4256" s="115"/>
    </row>
    <row r="4257" spans="1:6" x14ac:dyDescent="0.2">
      <c r="A4257" s="115"/>
      <c r="B4257" s="79"/>
      <c r="C4257" s="115"/>
      <c r="D4257" s="115"/>
      <c r="E4257" s="115"/>
      <c r="F4257" s="115"/>
    </row>
    <row r="4258" spans="1:6" x14ac:dyDescent="0.2">
      <c r="A4258" s="115"/>
      <c r="B4258" s="79"/>
      <c r="C4258" s="115"/>
      <c r="D4258" s="115"/>
      <c r="E4258" s="115"/>
      <c r="F4258" s="115"/>
    </row>
    <row r="4259" spans="1:6" x14ac:dyDescent="0.2">
      <c r="A4259" s="115"/>
      <c r="B4259" s="79"/>
      <c r="C4259" s="115"/>
      <c r="D4259" s="115"/>
      <c r="E4259" s="115"/>
      <c r="F4259" s="115"/>
    </row>
    <row r="4260" spans="1:6" x14ac:dyDescent="0.2">
      <c r="A4260" s="115"/>
      <c r="B4260" s="79"/>
      <c r="C4260" s="115"/>
      <c r="D4260" s="115"/>
      <c r="E4260" s="115"/>
      <c r="F4260" s="115"/>
    </row>
    <row r="4261" spans="1:6" x14ac:dyDescent="0.2">
      <c r="A4261" s="115"/>
      <c r="B4261" s="79"/>
      <c r="C4261" s="115"/>
      <c r="D4261" s="115"/>
      <c r="E4261" s="115"/>
      <c r="F4261" s="115"/>
    </row>
    <row r="4262" spans="1:6" x14ac:dyDescent="0.2">
      <c r="A4262" s="115"/>
      <c r="B4262" s="79"/>
      <c r="C4262" s="115"/>
      <c r="D4262" s="115"/>
      <c r="E4262" s="115"/>
      <c r="F4262" s="115"/>
    </row>
    <row r="4263" spans="1:6" x14ac:dyDescent="0.2">
      <c r="A4263" s="115"/>
      <c r="B4263" s="79"/>
      <c r="C4263" s="115"/>
      <c r="D4263" s="115"/>
      <c r="E4263" s="115"/>
      <c r="F4263" s="115"/>
    </row>
    <row r="4264" spans="1:6" x14ac:dyDescent="0.2">
      <c r="A4264" s="115"/>
      <c r="B4264" s="79"/>
      <c r="C4264" s="115"/>
      <c r="D4264" s="115"/>
      <c r="E4264" s="115"/>
      <c r="F4264" s="115"/>
    </row>
    <row r="4265" spans="1:6" x14ac:dyDescent="0.2">
      <c r="A4265" s="115"/>
      <c r="B4265" s="79"/>
      <c r="C4265" s="115"/>
      <c r="D4265" s="115"/>
      <c r="E4265" s="115"/>
      <c r="F4265" s="115"/>
    </row>
    <row r="4266" spans="1:6" x14ac:dyDescent="0.2">
      <c r="A4266" s="115"/>
      <c r="B4266" s="79"/>
      <c r="C4266" s="115"/>
      <c r="D4266" s="115"/>
      <c r="E4266" s="115"/>
      <c r="F4266" s="115"/>
    </row>
    <row r="4267" spans="1:6" x14ac:dyDescent="0.2">
      <c r="A4267" s="115"/>
      <c r="B4267" s="79"/>
      <c r="C4267" s="115"/>
      <c r="D4267" s="115"/>
      <c r="E4267" s="115"/>
      <c r="F4267" s="115"/>
    </row>
    <row r="4268" spans="1:6" x14ac:dyDescent="0.2">
      <c r="A4268" s="115"/>
      <c r="B4268" s="79"/>
      <c r="C4268" s="115"/>
      <c r="D4268" s="115"/>
      <c r="E4268" s="115"/>
      <c r="F4268" s="115"/>
    </row>
    <row r="4269" spans="1:6" x14ac:dyDescent="0.2">
      <c r="A4269" s="115"/>
      <c r="B4269" s="79"/>
      <c r="C4269" s="115"/>
      <c r="D4269" s="115"/>
      <c r="E4269" s="115"/>
      <c r="F4269" s="115"/>
    </row>
    <row r="4270" spans="1:6" x14ac:dyDescent="0.2">
      <c r="A4270" s="115"/>
      <c r="B4270" s="79"/>
      <c r="C4270" s="115"/>
      <c r="D4270" s="115"/>
      <c r="E4270" s="115"/>
      <c r="F4270" s="115"/>
    </row>
    <row r="4271" spans="1:6" x14ac:dyDescent="0.2">
      <c r="A4271" s="115"/>
      <c r="B4271" s="79"/>
      <c r="C4271" s="115"/>
      <c r="D4271" s="115"/>
      <c r="E4271" s="115"/>
      <c r="F4271" s="115"/>
    </row>
    <row r="4272" spans="1:6" x14ac:dyDescent="0.2">
      <c r="A4272" s="115"/>
      <c r="B4272" s="79"/>
      <c r="C4272" s="115"/>
      <c r="D4272" s="115"/>
      <c r="E4272" s="115"/>
      <c r="F4272" s="115"/>
    </row>
    <row r="4273" spans="1:6" x14ac:dyDescent="0.2">
      <c r="A4273" s="115"/>
      <c r="B4273" s="79"/>
      <c r="C4273" s="115"/>
      <c r="D4273" s="115"/>
      <c r="E4273" s="115"/>
      <c r="F4273" s="115"/>
    </row>
    <row r="4274" spans="1:6" x14ac:dyDescent="0.2">
      <c r="A4274" s="115"/>
      <c r="B4274" s="79"/>
      <c r="C4274" s="115"/>
      <c r="D4274" s="115"/>
      <c r="E4274" s="115"/>
      <c r="F4274" s="115"/>
    </row>
    <row r="4275" spans="1:6" x14ac:dyDescent="0.2">
      <c r="A4275" s="115"/>
      <c r="B4275" s="79"/>
      <c r="C4275" s="115"/>
      <c r="D4275" s="115"/>
      <c r="E4275" s="115"/>
      <c r="F4275" s="115"/>
    </row>
    <row r="4276" spans="1:6" x14ac:dyDescent="0.2">
      <c r="A4276" s="115"/>
      <c r="B4276" s="79"/>
      <c r="C4276" s="115"/>
      <c r="D4276" s="115"/>
      <c r="E4276" s="115"/>
      <c r="F4276" s="115"/>
    </row>
    <row r="4277" spans="1:6" x14ac:dyDescent="0.2">
      <c r="A4277" s="115"/>
      <c r="B4277" s="79"/>
      <c r="C4277" s="115"/>
      <c r="D4277" s="115"/>
      <c r="E4277" s="115"/>
      <c r="F4277" s="115"/>
    </row>
    <row r="4278" spans="1:6" x14ac:dyDescent="0.2">
      <c r="A4278" s="115"/>
      <c r="B4278" s="79"/>
      <c r="C4278" s="115"/>
      <c r="D4278" s="115"/>
      <c r="E4278" s="115"/>
      <c r="F4278" s="115"/>
    </row>
    <row r="4279" spans="1:6" x14ac:dyDescent="0.2">
      <c r="A4279" s="115"/>
      <c r="B4279" s="79"/>
      <c r="C4279" s="115"/>
      <c r="D4279" s="115"/>
      <c r="E4279" s="115"/>
      <c r="F4279" s="115"/>
    </row>
    <row r="4280" spans="1:6" x14ac:dyDescent="0.2">
      <c r="A4280" s="115"/>
      <c r="B4280" s="79"/>
      <c r="C4280" s="115"/>
      <c r="D4280" s="115"/>
      <c r="E4280" s="115"/>
      <c r="F4280" s="115"/>
    </row>
    <row r="4281" spans="1:6" x14ac:dyDescent="0.2">
      <c r="A4281" s="115"/>
      <c r="B4281" s="79"/>
      <c r="C4281" s="115"/>
      <c r="D4281" s="115"/>
      <c r="E4281" s="115"/>
      <c r="F4281" s="115"/>
    </row>
    <row r="4282" spans="1:6" x14ac:dyDescent="0.2">
      <c r="A4282" s="115"/>
      <c r="B4282" s="79"/>
      <c r="C4282" s="115"/>
      <c r="D4282" s="115"/>
      <c r="E4282" s="115"/>
      <c r="F4282" s="115"/>
    </row>
    <row r="4283" spans="1:6" x14ac:dyDescent="0.2">
      <c r="A4283" s="115"/>
      <c r="B4283" s="79"/>
      <c r="C4283" s="115"/>
      <c r="D4283" s="115"/>
      <c r="E4283" s="115"/>
      <c r="F4283" s="115"/>
    </row>
    <row r="4284" spans="1:6" x14ac:dyDescent="0.2">
      <c r="A4284" s="115"/>
      <c r="B4284" s="79"/>
      <c r="C4284" s="115"/>
      <c r="D4284" s="115"/>
      <c r="E4284" s="115"/>
      <c r="F4284" s="115"/>
    </row>
    <row r="4285" spans="1:6" x14ac:dyDescent="0.2">
      <c r="A4285" s="115"/>
      <c r="B4285" s="79"/>
      <c r="C4285" s="115"/>
      <c r="D4285" s="115"/>
      <c r="E4285" s="115"/>
      <c r="F4285" s="115"/>
    </row>
    <row r="4286" spans="1:6" x14ac:dyDescent="0.2">
      <c r="A4286" s="115"/>
      <c r="B4286" s="79"/>
      <c r="C4286" s="115"/>
      <c r="D4286" s="115"/>
      <c r="E4286" s="115"/>
      <c r="F4286" s="115"/>
    </row>
    <row r="4287" spans="1:6" x14ac:dyDescent="0.2">
      <c r="A4287" s="115"/>
      <c r="B4287" s="79"/>
      <c r="C4287" s="115"/>
      <c r="D4287" s="115"/>
      <c r="E4287" s="115"/>
      <c r="F4287" s="115"/>
    </row>
    <row r="4288" spans="1:6" x14ac:dyDescent="0.2">
      <c r="A4288" s="115"/>
      <c r="B4288" s="79"/>
      <c r="C4288" s="115"/>
      <c r="D4288" s="115"/>
      <c r="E4288" s="115"/>
      <c r="F4288" s="115"/>
    </row>
    <row r="4289" spans="1:6" x14ac:dyDescent="0.2">
      <c r="A4289" s="115"/>
      <c r="B4289" s="79"/>
      <c r="C4289" s="115"/>
      <c r="D4289" s="115"/>
      <c r="E4289" s="115"/>
      <c r="F4289" s="115"/>
    </row>
    <row r="4290" spans="1:6" x14ac:dyDescent="0.2">
      <c r="A4290" s="115"/>
      <c r="B4290" s="79"/>
      <c r="C4290" s="115"/>
      <c r="D4290" s="115"/>
      <c r="E4290" s="115"/>
      <c r="F4290" s="115"/>
    </row>
    <row r="4291" spans="1:6" x14ac:dyDescent="0.2">
      <c r="A4291" s="115"/>
      <c r="B4291" s="79"/>
      <c r="C4291" s="115"/>
      <c r="D4291" s="115"/>
      <c r="E4291" s="115"/>
      <c r="F4291" s="115"/>
    </row>
    <row r="4292" spans="1:6" x14ac:dyDescent="0.2">
      <c r="A4292" s="115"/>
      <c r="B4292" s="79"/>
      <c r="C4292" s="115"/>
      <c r="D4292" s="115"/>
      <c r="E4292" s="115"/>
      <c r="F4292" s="115"/>
    </row>
    <row r="4293" spans="1:6" x14ac:dyDescent="0.2">
      <c r="A4293" s="115"/>
      <c r="B4293" s="79"/>
      <c r="C4293" s="115"/>
      <c r="D4293" s="115"/>
      <c r="E4293" s="115"/>
      <c r="F4293" s="115"/>
    </row>
    <row r="4294" spans="1:6" x14ac:dyDescent="0.2">
      <c r="A4294" s="115"/>
      <c r="B4294" s="79"/>
      <c r="C4294" s="115"/>
      <c r="D4294" s="115"/>
      <c r="E4294" s="115"/>
      <c r="F4294" s="115"/>
    </row>
    <row r="4295" spans="1:6" x14ac:dyDescent="0.2">
      <c r="A4295" s="115"/>
      <c r="B4295" s="79"/>
      <c r="C4295" s="115"/>
      <c r="D4295" s="115"/>
      <c r="E4295" s="115"/>
      <c r="F4295" s="115"/>
    </row>
    <row r="4296" spans="1:6" x14ac:dyDescent="0.2">
      <c r="A4296" s="115"/>
      <c r="B4296" s="79"/>
      <c r="C4296" s="115"/>
      <c r="D4296" s="115"/>
      <c r="E4296" s="115"/>
      <c r="F4296" s="115"/>
    </row>
    <row r="4297" spans="1:6" x14ac:dyDescent="0.2">
      <c r="A4297" s="115"/>
      <c r="B4297" s="79"/>
      <c r="C4297" s="115"/>
      <c r="D4297" s="115"/>
      <c r="E4297" s="115"/>
      <c r="F4297" s="115"/>
    </row>
    <row r="4298" spans="1:6" x14ac:dyDescent="0.2">
      <c r="A4298" s="115"/>
      <c r="B4298" s="79"/>
      <c r="C4298" s="115"/>
      <c r="D4298" s="115"/>
      <c r="E4298" s="115"/>
      <c r="F4298" s="115"/>
    </row>
    <row r="4299" spans="1:6" x14ac:dyDescent="0.2">
      <c r="A4299" s="115"/>
      <c r="B4299" s="79"/>
      <c r="C4299" s="115"/>
      <c r="D4299" s="115"/>
      <c r="E4299" s="115"/>
      <c r="F4299" s="115"/>
    </row>
    <row r="4300" spans="1:6" x14ac:dyDescent="0.2">
      <c r="A4300" s="115"/>
      <c r="B4300" s="79"/>
      <c r="C4300" s="115"/>
      <c r="D4300" s="115"/>
      <c r="E4300" s="115"/>
      <c r="F4300" s="115"/>
    </row>
    <row r="4301" spans="1:6" x14ac:dyDescent="0.2">
      <c r="A4301" s="115"/>
      <c r="B4301" s="79"/>
      <c r="C4301" s="115"/>
      <c r="D4301" s="115"/>
      <c r="E4301" s="115"/>
      <c r="F4301" s="115"/>
    </row>
    <row r="4302" spans="1:6" x14ac:dyDescent="0.2">
      <c r="A4302" s="115"/>
      <c r="B4302" s="79"/>
      <c r="C4302" s="115"/>
      <c r="D4302" s="115"/>
      <c r="E4302" s="115"/>
      <c r="F4302" s="115"/>
    </row>
    <row r="4303" spans="1:6" x14ac:dyDescent="0.2">
      <c r="A4303" s="115"/>
      <c r="B4303" s="79"/>
      <c r="C4303" s="115"/>
      <c r="D4303" s="115"/>
      <c r="E4303" s="115"/>
      <c r="F4303" s="115"/>
    </row>
    <row r="4304" spans="1:6" x14ac:dyDescent="0.2">
      <c r="A4304" s="115"/>
      <c r="B4304" s="79"/>
      <c r="C4304" s="115"/>
      <c r="D4304" s="115"/>
      <c r="E4304" s="115"/>
      <c r="F4304" s="115"/>
    </row>
    <row r="4305" spans="1:6" x14ac:dyDescent="0.2">
      <c r="A4305" s="115"/>
      <c r="B4305" s="79"/>
      <c r="C4305" s="115"/>
      <c r="D4305" s="115"/>
      <c r="E4305" s="115"/>
      <c r="F4305" s="115"/>
    </row>
    <row r="4306" spans="1:6" x14ac:dyDescent="0.2">
      <c r="A4306" s="115"/>
      <c r="B4306" s="79"/>
      <c r="C4306" s="115"/>
      <c r="D4306" s="115"/>
      <c r="E4306" s="115"/>
      <c r="F4306" s="115"/>
    </row>
    <row r="4307" spans="1:6" x14ac:dyDescent="0.2">
      <c r="A4307" s="115"/>
      <c r="B4307" s="79"/>
      <c r="C4307" s="115"/>
      <c r="D4307" s="115"/>
      <c r="E4307" s="115"/>
      <c r="F4307" s="115"/>
    </row>
    <row r="4308" spans="1:6" x14ac:dyDescent="0.2">
      <c r="A4308" s="115"/>
      <c r="B4308" s="79"/>
      <c r="C4308" s="115"/>
      <c r="D4308" s="115"/>
      <c r="E4308" s="115"/>
      <c r="F4308" s="115"/>
    </row>
    <row r="4309" spans="1:6" x14ac:dyDescent="0.2">
      <c r="A4309" s="115"/>
      <c r="B4309" s="79"/>
      <c r="C4309" s="115"/>
      <c r="D4309" s="115"/>
      <c r="E4309" s="115"/>
      <c r="F4309" s="115"/>
    </row>
    <row r="4310" spans="1:6" x14ac:dyDescent="0.2">
      <c r="A4310" s="115"/>
      <c r="B4310" s="79"/>
      <c r="C4310" s="115"/>
      <c r="D4310" s="115"/>
      <c r="E4310" s="115"/>
      <c r="F4310" s="115"/>
    </row>
    <row r="4311" spans="1:6" x14ac:dyDescent="0.2">
      <c r="A4311" s="115"/>
      <c r="B4311" s="79"/>
      <c r="C4311" s="115"/>
      <c r="D4311" s="115"/>
      <c r="E4311" s="115"/>
      <c r="F4311" s="115"/>
    </row>
    <row r="4312" spans="1:6" x14ac:dyDescent="0.2">
      <c r="A4312" s="115"/>
      <c r="B4312" s="79"/>
      <c r="C4312" s="115"/>
      <c r="D4312" s="115"/>
      <c r="E4312" s="115"/>
      <c r="F4312" s="115"/>
    </row>
    <row r="4313" spans="1:6" x14ac:dyDescent="0.2">
      <c r="A4313" s="115"/>
      <c r="B4313" s="79"/>
      <c r="C4313" s="115"/>
      <c r="D4313" s="115"/>
      <c r="E4313" s="115"/>
      <c r="F4313" s="115"/>
    </row>
    <row r="4314" spans="1:6" x14ac:dyDescent="0.2">
      <c r="A4314" s="115"/>
      <c r="B4314" s="79"/>
      <c r="C4314" s="115"/>
      <c r="D4314" s="115"/>
      <c r="E4314" s="115"/>
      <c r="F4314" s="115"/>
    </row>
    <row r="4315" spans="1:6" x14ac:dyDescent="0.2">
      <c r="A4315" s="115"/>
      <c r="B4315" s="79"/>
      <c r="C4315" s="115"/>
      <c r="D4315" s="115"/>
      <c r="E4315" s="115"/>
      <c r="F4315" s="115"/>
    </row>
    <row r="4316" spans="1:6" x14ac:dyDescent="0.2">
      <c r="A4316" s="115"/>
      <c r="B4316" s="79"/>
      <c r="C4316" s="115"/>
      <c r="D4316" s="115"/>
      <c r="E4316" s="115"/>
      <c r="F4316" s="115"/>
    </row>
    <row r="4317" spans="1:6" x14ac:dyDescent="0.2">
      <c r="A4317" s="115"/>
      <c r="B4317" s="79"/>
      <c r="C4317" s="115"/>
      <c r="D4317" s="115"/>
      <c r="E4317" s="115"/>
      <c r="F4317" s="115"/>
    </row>
    <row r="4318" spans="1:6" x14ac:dyDescent="0.2">
      <c r="A4318" s="115"/>
      <c r="B4318" s="79"/>
      <c r="C4318" s="115"/>
      <c r="D4318" s="115"/>
      <c r="E4318" s="115"/>
      <c r="F4318" s="115"/>
    </row>
    <row r="4319" spans="1:6" x14ac:dyDescent="0.2">
      <c r="A4319" s="115"/>
      <c r="B4319" s="79"/>
      <c r="C4319" s="115"/>
      <c r="D4319" s="115"/>
      <c r="E4319" s="115"/>
      <c r="F4319" s="115"/>
    </row>
    <row r="4320" spans="1:6" x14ac:dyDescent="0.2">
      <c r="A4320" s="115"/>
      <c r="B4320" s="79"/>
      <c r="C4320" s="115"/>
      <c r="D4320" s="115"/>
      <c r="E4320" s="115"/>
      <c r="F4320" s="115"/>
    </row>
    <row r="4321" spans="1:6" x14ac:dyDescent="0.2">
      <c r="A4321" s="115"/>
      <c r="B4321" s="79"/>
      <c r="C4321" s="115"/>
      <c r="D4321" s="115"/>
      <c r="E4321" s="115"/>
      <c r="F4321" s="115"/>
    </row>
    <row r="4322" spans="1:6" x14ac:dyDescent="0.2">
      <c r="A4322" s="115"/>
      <c r="B4322" s="79"/>
      <c r="C4322" s="115"/>
      <c r="D4322" s="115"/>
      <c r="E4322" s="115"/>
      <c r="F4322" s="115"/>
    </row>
    <row r="4323" spans="1:6" x14ac:dyDescent="0.2">
      <c r="A4323" s="115"/>
      <c r="B4323" s="79"/>
      <c r="C4323" s="115"/>
      <c r="D4323" s="115"/>
      <c r="E4323" s="115"/>
      <c r="F4323" s="115"/>
    </row>
    <row r="4324" spans="1:6" x14ac:dyDescent="0.2">
      <c r="A4324" s="115"/>
      <c r="B4324" s="79"/>
      <c r="C4324" s="115"/>
      <c r="D4324" s="115"/>
      <c r="E4324" s="115"/>
      <c r="F4324" s="115"/>
    </row>
    <row r="4325" spans="1:6" x14ac:dyDescent="0.2">
      <c r="A4325" s="115"/>
      <c r="B4325" s="79"/>
      <c r="C4325" s="115"/>
      <c r="D4325" s="115"/>
      <c r="E4325" s="115"/>
      <c r="F4325" s="115"/>
    </row>
    <row r="4326" spans="1:6" x14ac:dyDescent="0.2">
      <c r="A4326" s="115"/>
      <c r="B4326" s="79"/>
      <c r="C4326" s="115"/>
      <c r="D4326" s="115"/>
      <c r="E4326" s="115"/>
      <c r="F4326" s="115"/>
    </row>
    <row r="4327" spans="1:6" x14ac:dyDescent="0.2">
      <c r="A4327" s="115"/>
      <c r="B4327" s="79"/>
      <c r="C4327" s="115"/>
      <c r="D4327" s="115"/>
      <c r="E4327" s="115"/>
      <c r="F4327" s="115"/>
    </row>
    <row r="4328" spans="1:6" x14ac:dyDescent="0.2">
      <c r="A4328" s="115"/>
      <c r="B4328" s="79"/>
      <c r="C4328" s="115"/>
      <c r="D4328" s="115"/>
      <c r="E4328" s="115"/>
      <c r="F4328" s="115"/>
    </row>
    <row r="4329" spans="1:6" x14ac:dyDescent="0.2">
      <c r="A4329" s="115"/>
      <c r="B4329" s="79"/>
      <c r="C4329" s="115"/>
      <c r="D4329" s="115"/>
      <c r="E4329" s="115"/>
      <c r="F4329" s="115"/>
    </row>
    <row r="4330" spans="1:6" x14ac:dyDescent="0.2">
      <c r="A4330" s="115"/>
      <c r="B4330" s="79"/>
      <c r="C4330" s="115"/>
      <c r="D4330" s="115"/>
      <c r="E4330" s="115"/>
      <c r="F4330" s="115"/>
    </row>
    <row r="4331" spans="1:6" x14ac:dyDescent="0.2">
      <c r="A4331" s="115"/>
      <c r="B4331" s="79"/>
      <c r="C4331" s="115"/>
      <c r="D4331" s="115"/>
      <c r="E4331" s="115"/>
      <c r="F4331" s="115"/>
    </row>
    <row r="4332" spans="1:6" x14ac:dyDescent="0.2">
      <c r="A4332" s="115"/>
      <c r="B4332" s="79"/>
      <c r="C4332" s="115"/>
      <c r="D4332" s="115"/>
      <c r="E4332" s="115"/>
      <c r="F4332" s="115"/>
    </row>
    <row r="4333" spans="1:6" x14ac:dyDescent="0.2">
      <c r="A4333" s="115"/>
      <c r="B4333" s="79"/>
      <c r="C4333" s="115"/>
      <c r="D4333" s="115"/>
      <c r="E4333" s="115"/>
      <c r="F4333" s="115"/>
    </row>
    <row r="4334" spans="1:6" x14ac:dyDescent="0.2">
      <c r="A4334" s="115"/>
      <c r="B4334" s="79"/>
      <c r="C4334" s="115"/>
      <c r="D4334" s="115"/>
      <c r="E4334" s="115"/>
      <c r="F4334" s="115"/>
    </row>
    <row r="4335" spans="1:6" x14ac:dyDescent="0.2">
      <c r="A4335" s="115"/>
      <c r="B4335" s="79"/>
      <c r="C4335" s="115"/>
      <c r="D4335" s="115"/>
      <c r="E4335" s="115"/>
      <c r="F4335" s="115"/>
    </row>
    <row r="4336" spans="1:6" x14ac:dyDescent="0.2">
      <c r="A4336" s="115"/>
      <c r="B4336" s="79"/>
      <c r="C4336" s="115"/>
      <c r="D4336" s="115"/>
      <c r="E4336" s="115"/>
      <c r="F4336" s="115"/>
    </row>
    <row r="4337" spans="1:6" x14ac:dyDescent="0.2">
      <c r="A4337" s="115"/>
      <c r="B4337" s="79"/>
      <c r="C4337" s="115"/>
      <c r="D4337" s="115"/>
      <c r="E4337" s="115"/>
      <c r="F4337" s="115"/>
    </row>
    <row r="4338" spans="1:6" x14ac:dyDescent="0.2">
      <c r="A4338" s="115"/>
      <c r="B4338" s="79"/>
      <c r="C4338" s="115"/>
      <c r="D4338" s="115"/>
      <c r="E4338" s="115"/>
      <c r="F4338" s="115"/>
    </row>
    <row r="4339" spans="1:6" x14ac:dyDescent="0.2">
      <c r="A4339" s="115"/>
      <c r="B4339" s="79"/>
      <c r="C4339" s="115"/>
      <c r="D4339" s="115"/>
      <c r="E4339" s="115"/>
      <c r="F4339" s="115"/>
    </row>
    <row r="4340" spans="1:6" x14ac:dyDescent="0.2">
      <c r="A4340" s="115"/>
      <c r="B4340" s="79"/>
      <c r="C4340" s="115"/>
      <c r="D4340" s="115"/>
      <c r="E4340" s="115"/>
      <c r="F4340" s="115"/>
    </row>
    <row r="4341" spans="1:6" x14ac:dyDescent="0.2">
      <c r="A4341" s="115"/>
      <c r="B4341" s="79"/>
      <c r="C4341" s="115"/>
      <c r="D4341" s="115"/>
      <c r="E4341" s="115"/>
      <c r="F4341" s="115"/>
    </row>
    <row r="4342" spans="1:6" x14ac:dyDescent="0.2">
      <c r="A4342" s="115"/>
      <c r="B4342" s="79"/>
      <c r="C4342" s="115"/>
      <c r="D4342" s="115"/>
      <c r="E4342" s="115"/>
      <c r="F4342" s="115"/>
    </row>
    <row r="4343" spans="1:6" x14ac:dyDescent="0.2">
      <c r="A4343" s="115"/>
      <c r="B4343" s="79"/>
      <c r="C4343" s="115"/>
      <c r="D4343" s="115"/>
      <c r="E4343" s="115"/>
      <c r="F4343" s="115"/>
    </row>
    <row r="4344" spans="1:6" x14ac:dyDescent="0.2">
      <c r="A4344" s="115"/>
      <c r="B4344" s="79"/>
      <c r="C4344" s="115"/>
      <c r="D4344" s="115"/>
      <c r="E4344" s="115"/>
      <c r="F4344" s="115"/>
    </row>
    <row r="4345" spans="1:6" x14ac:dyDescent="0.2">
      <c r="A4345" s="115"/>
      <c r="B4345" s="79"/>
      <c r="C4345" s="115"/>
      <c r="D4345" s="115"/>
      <c r="E4345" s="115"/>
      <c r="F4345" s="115"/>
    </row>
    <row r="4346" spans="1:6" x14ac:dyDescent="0.2">
      <c r="A4346" s="115"/>
      <c r="B4346" s="79"/>
      <c r="C4346" s="115"/>
      <c r="D4346" s="115"/>
      <c r="E4346" s="115"/>
      <c r="F4346" s="115"/>
    </row>
    <row r="4347" spans="1:6" x14ac:dyDescent="0.2">
      <c r="A4347" s="115"/>
      <c r="B4347" s="79"/>
      <c r="C4347" s="115"/>
      <c r="D4347" s="115"/>
      <c r="E4347" s="115"/>
      <c r="F4347" s="115"/>
    </row>
    <row r="4348" spans="1:6" x14ac:dyDescent="0.2">
      <c r="A4348" s="115"/>
      <c r="B4348" s="79"/>
      <c r="C4348" s="115"/>
      <c r="D4348" s="115"/>
      <c r="E4348" s="115"/>
      <c r="F4348" s="115"/>
    </row>
    <row r="4349" spans="1:6" x14ac:dyDescent="0.2">
      <c r="A4349" s="115"/>
      <c r="B4349" s="79"/>
      <c r="C4349" s="115"/>
      <c r="D4349" s="115"/>
      <c r="E4349" s="115"/>
      <c r="F4349" s="115"/>
    </row>
    <row r="4350" spans="1:6" x14ac:dyDescent="0.2">
      <c r="A4350" s="115"/>
      <c r="B4350" s="79"/>
      <c r="C4350" s="115"/>
      <c r="D4350" s="115"/>
      <c r="E4350" s="115"/>
      <c r="F4350" s="115"/>
    </row>
    <row r="4351" spans="1:6" x14ac:dyDescent="0.2">
      <c r="A4351" s="115"/>
      <c r="B4351" s="79"/>
      <c r="C4351" s="115"/>
      <c r="D4351" s="115"/>
      <c r="E4351" s="115"/>
      <c r="F4351" s="115"/>
    </row>
    <row r="4352" spans="1:6" x14ac:dyDescent="0.2">
      <c r="A4352" s="115"/>
      <c r="B4352" s="79"/>
      <c r="C4352" s="115"/>
      <c r="D4352" s="115"/>
      <c r="E4352" s="115"/>
      <c r="F4352" s="115"/>
    </row>
    <row r="4353" spans="1:6" x14ac:dyDescent="0.2">
      <c r="A4353" s="115"/>
      <c r="B4353" s="79"/>
      <c r="C4353" s="115"/>
      <c r="D4353" s="115"/>
      <c r="E4353" s="115"/>
      <c r="F4353" s="115"/>
    </row>
    <row r="4354" spans="1:6" x14ac:dyDescent="0.2">
      <c r="A4354" s="115"/>
      <c r="B4354" s="79"/>
      <c r="C4354" s="115"/>
      <c r="D4354" s="115"/>
      <c r="E4354" s="115"/>
      <c r="F4354" s="115"/>
    </row>
    <row r="4355" spans="1:6" x14ac:dyDescent="0.2">
      <c r="A4355" s="115"/>
      <c r="B4355" s="79"/>
      <c r="C4355" s="115"/>
      <c r="D4355" s="115"/>
      <c r="E4355" s="115"/>
      <c r="F4355" s="115"/>
    </row>
    <row r="4356" spans="1:6" x14ac:dyDescent="0.2">
      <c r="A4356" s="115"/>
      <c r="B4356" s="79"/>
      <c r="C4356" s="115"/>
      <c r="D4356" s="115"/>
      <c r="E4356" s="115"/>
      <c r="F4356" s="115"/>
    </row>
    <row r="4357" spans="1:6" x14ac:dyDescent="0.2">
      <c r="A4357" s="115"/>
      <c r="B4357" s="79"/>
      <c r="C4357" s="115"/>
      <c r="D4357" s="115"/>
      <c r="E4357" s="115"/>
      <c r="F4357" s="115"/>
    </row>
    <row r="4358" spans="1:6" x14ac:dyDescent="0.2">
      <c r="A4358" s="115"/>
      <c r="B4358" s="79"/>
      <c r="C4358" s="115"/>
      <c r="D4358" s="115"/>
      <c r="E4358" s="115"/>
      <c r="F4358" s="115"/>
    </row>
    <row r="4359" spans="1:6" x14ac:dyDescent="0.2">
      <c r="A4359" s="115"/>
      <c r="B4359" s="79"/>
      <c r="C4359" s="115"/>
      <c r="D4359" s="115"/>
      <c r="E4359" s="115"/>
      <c r="F4359" s="115"/>
    </row>
    <row r="4360" spans="1:6" x14ac:dyDescent="0.2">
      <c r="A4360" s="115"/>
      <c r="B4360" s="79"/>
      <c r="C4360" s="115"/>
      <c r="D4360" s="115"/>
      <c r="E4360" s="115"/>
      <c r="F4360" s="115"/>
    </row>
    <row r="4361" spans="1:6" x14ac:dyDescent="0.2">
      <c r="A4361" s="115"/>
      <c r="B4361" s="79"/>
      <c r="C4361" s="115"/>
      <c r="D4361" s="115"/>
      <c r="E4361" s="115"/>
      <c r="F4361" s="115"/>
    </row>
    <row r="4362" spans="1:6" x14ac:dyDescent="0.2">
      <c r="A4362" s="115"/>
      <c r="B4362" s="79"/>
      <c r="C4362" s="115"/>
      <c r="D4362" s="115"/>
      <c r="E4362" s="115"/>
      <c r="F4362" s="115"/>
    </row>
    <row r="4363" spans="1:6" x14ac:dyDescent="0.2">
      <c r="A4363" s="115"/>
      <c r="B4363" s="79"/>
      <c r="C4363" s="115"/>
      <c r="D4363" s="115"/>
      <c r="E4363" s="115"/>
      <c r="F4363" s="115"/>
    </row>
    <row r="4364" spans="1:6" x14ac:dyDescent="0.2">
      <c r="A4364" s="115"/>
      <c r="B4364" s="79"/>
      <c r="C4364" s="115"/>
      <c r="D4364" s="115"/>
      <c r="E4364" s="115"/>
      <c r="F4364" s="115"/>
    </row>
    <row r="4365" spans="1:6" x14ac:dyDescent="0.2">
      <c r="A4365" s="115"/>
      <c r="B4365" s="79"/>
      <c r="C4365" s="115"/>
      <c r="D4365" s="115"/>
      <c r="E4365" s="115"/>
      <c r="F4365" s="115"/>
    </row>
    <row r="4366" spans="1:6" x14ac:dyDescent="0.2">
      <c r="A4366" s="115"/>
      <c r="B4366" s="79"/>
      <c r="C4366" s="115"/>
      <c r="D4366" s="115"/>
      <c r="E4366" s="115"/>
      <c r="F4366" s="115"/>
    </row>
    <row r="4367" spans="1:6" x14ac:dyDescent="0.2">
      <c r="A4367" s="115"/>
      <c r="B4367" s="79"/>
      <c r="C4367" s="115"/>
      <c r="D4367" s="115"/>
      <c r="E4367" s="115"/>
      <c r="F4367" s="115"/>
    </row>
    <row r="4368" spans="1:6" x14ac:dyDescent="0.2">
      <c r="A4368" s="115"/>
      <c r="B4368" s="79"/>
      <c r="C4368" s="115"/>
      <c r="D4368" s="115"/>
      <c r="E4368" s="115"/>
      <c r="F4368" s="115"/>
    </row>
    <row r="4369" spans="1:6" x14ac:dyDescent="0.2">
      <c r="A4369" s="115"/>
      <c r="B4369" s="79"/>
      <c r="C4369" s="115"/>
      <c r="D4369" s="115"/>
      <c r="E4369" s="115"/>
      <c r="F4369" s="115"/>
    </row>
    <row r="4370" spans="1:6" x14ac:dyDescent="0.2">
      <c r="A4370" s="115"/>
      <c r="B4370" s="79"/>
      <c r="C4370" s="115"/>
      <c r="D4370" s="115"/>
      <c r="E4370" s="115"/>
      <c r="F4370" s="115"/>
    </row>
    <row r="4371" spans="1:6" x14ac:dyDescent="0.2">
      <c r="A4371" s="115"/>
      <c r="B4371" s="79"/>
      <c r="C4371" s="115"/>
      <c r="D4371" s="115"/>
      <c r="E4371" s="115"/>
      <c r="F4371" s="115"/>
    </row>
    <row r="4372" spans="1:6" x14ac:dyDescent="0.2">
      <c r="A4372" s="115"/>
      <c r="B4372" s="79"/>
      <c r="C4372" s="115"/>
      <c r="D4372" s="115"/>
      <c r="E4372" s="115"/>
      <c r="F4372" s="115"/>
    </row>
    <row r="4373" spans="1:6" x14ac:dyDescent="0.2">
      <c r="A4373" s="115"/>
      <c r="B4373" s="79"/>
      <c r="C4373" s="115"/>
      <c r="D4373" s="115"/>
      <c r="E4373" s="115"/>
      <c r="F4373" s="115"/>
    </row>
    <row r="4374" spans="1:6" x14ac:dyDescent="0.2">
      <c r="A4374" s="115"/>
      <c r="B4374" s="79"/>
      <c r="C4374" s="115"/>
      <c r="D4374" s="115"/>
      <c r="E4374" s="115"/>
      <c r="F4374" s="115"/>
    </row>
    <row r="4375" spans="1:6" x14ac:dyDescent="0.2">
      <c r="A4375" s="115"/>
      <c r="B4375" s="79"/>
      <c r="C4375" s="115"/>
      <c r="D4375" s="115"/>
      <c r="E4375" s="115"/>
      <c r="F4375" s="115"/>
    </row>
    <row r="4376" spans="1:6" x14ac:dyDescent="0.2">
      <c r="A4376" s="115"/>
      <c r="B4376" s="79"/>
      <c r="C4376" s="115"/>
      <c r="D4376" s="115"/>
      <c r="E4376" s="115"/>
      <c r="F4376" s="115"/>
    </row>
    <row r="4377" spans="1:6" x14ac:dyDescent="0.2">
      <c r="A4377" s="115"/>
      <c r="B4377" s="79"/>
      <c r="C4377" s="115"/>
      <c r="D4377" s="115"/>
      <c r="E4377" s="115"/>
      <c r="F4377" s="115"/>
    </row>
    <row r="4378" spans="1:6" x14ac:dyDescent="0.2">
      <c r="A4378" s="115"/>
      <c r="B4378" s="79"/>
      <c r="C4378" s="115"/>
      <c r="D4378" s="115"/>
      <c r="E4378" s="115"/>
      <c r="F4378" s="115"/>
    </row>
    <row r="4379" spans="1:6" x14ac:dyDescent="0.2">
      <c r="A4379" s="115"/>
      <c r="B4379" s="79"/>
      <c r="C4379" s="115"/>
      <c r="D4379" s="115"/>
      <c r="E4379" s="115"/>
      <c r="F4379" s="115"/>
    </row>
    <row r="4380" spans="1:6" x14ac:dyDescent="0.2">
      <c r="A4380" s="115"/>
      <c r="B4380" s="79"/>
      <c r="C4380" s="115"/>
      <c r="D4380" s="115"/>
      <c r="E4380" s="115"/>
      <c r="F4380" s="115"/>
    </row>
    <row r="4381" spans="1:6" x14ac:dyDescent="0.2">
      <c r="A4381" s="115"/>
      <c r="B4381" s="79"/>
      <c r="C4381" s="115"/>
      <c r="D4381" s="115"/>
      <c r="E4381" s="115"/>
      <c r="F4381" s="115"/>
    </row>
    <row r="4382" spans="1:6" x14ac:dyDescent="0.2">
      <c r="A4382" s="115"/>
      <c r="B4382" s="79"/>
      <c r="C4382" s="115"/>
      <c r="D4382" s="115"/>
      <c r="E4382" s="115"/>
      <c r="F4382" s="115"/>
    </row>
    <row r="4383" spans="1:6" x14ac:dyDescent="0.2">
      <c r="A4383" s="115"/>
      <c r="B4383" s="79"/>
      <c r="C4383" s="115"/>
      <c r="D4383" s="115"/>
      <c r="E4383" s="115"/>
      <c r="F4383" s="115"/>
    </row>
    <row r="4384" spans="1:6" x14ac:dyDescent="0.2">
      <c r="A4384" s="115"/>
      <c r="B4384" s="79"/>
      <c r="C4384" s="115"/>
      <c r="D4384" s="115"/>
      <c r="E4384" s="115"/>
      <c r="F4384" s="115"/>
    </row>
    <row r="4385" spans="1:6" x14ac:dyDescent="0.2">
      <c r="A4385" s="115"/>
      <c r="B4385" s="79"/>
      <c r="C4385" s="115"/>
      <c r="D4385" s="115"/>
      <c r="E4385" s="115"/>
      <c r="F4385" s="115"/>
    </row>
    <row r="4386" spans="1:6" x14ac:dyDescent="0.2">
      <c r="A4386" s="115"/>
      <c r="B4386" s="79"/>
      <c r="C4386" s="115"/>
      <c r="D4386" s="115"/>
      <c r="E4386" s="115"/>
      <c r="F4386" s="115"/>
    </row>
    <row r="4387" spans="1:6" x14ac:dyDescent="0.2">
      <c r="A4387" s="115"/>
      <c r="B4387" s="79"/>
      <c r="C4387" s="115"/>
      <c r="D4387" s="115"/>
      <c r="E4387" s="115"/>
      <c r="F4387" s="115"/>
    </row>
    <row r="4388" spans="1:6" x14ac:dyDescent="0.2">
      <c r="A4388" s="115"/>
      <c r="B4388" s="79"/>
      <c r="C4388" s="115"/>
      <c r="D4388" s="115"/>
      <c r="E4388" s="115"/>
      <c r="F4388" s="115"/>
    </row>
    <row r="4389" spans="1:6" x14ac:dyDescent="0.2">
      <c r="A4389" s="115"/>
      <c r="B4389" s="79"/>
      <c r="C4389" s="115"/>
      <c r="D4389" s="115"/>
      <c r="E4389" s="115"/>
      <c r="F4389" s="115"/>
    </row>
    <row r="4390" spans="1:6" x14ac:dyDescent="0.2">
      <c r="A4390" s="115"/>
      <c r="B4390" s="79"/>
      <c r="C4390" s="115"/>
      <c r="D4390" s="115"/>
      <c r="E4390" s="115"/>
      <c r="F4390" s="115"/>
    </row>
    <row r="4391" spans="1:6" x14ac:dyDescent="0.2">
      <c r="A4391" s="115"/>
      <c r="B4391" s="79"/>
      <c r="C4391" s="115"/>
      <c r="D4391" s="115"/>
      <c r="E4391" s="115"/>
      <c r="F4391" s="115"/>
    </row>
    <row r="4392" spans="1:6" x14ac:dyDescent="0.2">
      <c r="A4392" s="115"/>
      <c r="B4392" s="79"/>
      <c r="C4392" s="115"/>
      <c r="D4392" s="115"/>
      <c r="E4392" s="115"/>
      <c r="F4392" s="115"/>
    </row>
    <row r="4393" spans="1:6" x14ac:dyDescent="0.2">
      <c r="A4393" s="115"/>
      <c r="B4393" s="79"/>
      <c r="C4393" s="115"/>
      <c r="D4393" s="115"/>
      <c r="E4393" s="115"/>
      <c r="F4393" s="115"/>
    </row>
    <row r="4394" spans="1:6" x14ac:dyDescent="0.2">
      <c r="A4394" s="115"/>
      <c r="B4394" s="79"/>
      <c r="C4394" s="115"/>
      <c r="D4394" s="115"/>
      <c r="E4394" s="115"/>
      <c r="F4394" s="115"/>
    </row>
    <row r="4395" spans="1:6" x14ac:dyDescent="0.2">
      <c r="A4395" s="115"/>
      <c r="B4395" s="79"/>
      <c r="C4395" s="115"/>
      <c r="D4395" s="115"/>
      <c r="E4395" s="115"/>
      <c r="F4395" s="115"/>
    </row>
    <row r="4396" spans="1:6" x14ac:dyDescent="0.2">
      <c r="A4396" s="115"/>
      <c r="B4396" s="79"/>
      <c r="C4396" s="115"/>
      <c r="D4396" s="115"/>
      <c r="E4396" s="115"/>
      <c r="F4396" s="115"/>
    </row>
    <row r="4397" spans="1:6" x14ac:dyDescent="0.2">
      <c r="A4397" s="115"/>
      <c r="B4397" s="79"/>
      <c r="C4397" s="115"/>
      <c r="D4397" s="115"/>
      <c r="E4397" s="115"/>
      <c r="F4397" s="115"/>
    </row>
    <row r="4398" spans="1:6" x14ac:dyDescent="0.2">
      <c r="A4398" s="115"/>
      <c r="B4398" s="79"/>
      <c r="C4398" s="115"/>
      <c r="D4398" s="115"/>
      <c r="E4398" s="115"/>
      <c r="F4398" s="115"/>
    </row>
    <row r="4399" spans="1:6" x14ac:dyDescent="0.2">
      <c r="A4399" s="115"/>
      <c r="B4399" s="79"/>
      <c r="C4399" s="115"/>
      <c r="D4399" s="115"/>
      <c r="E4399" s="115"/>
      <c r="F4399" s="115"/>
    </row>
    <row r="4400" spans="1:6" x14ac:dyDescent="0.2">
      <c r="A4400" s="115"/>
      <c r="B4400" s="79"/>
      <c r="C4400" s="115"/>
      <c r="D4400" s="115"/>
      <c r="E4400" s="115"/>
      <c r="F4400" s="115"/>
    </row>
    <row r="4401" spans="1:6" x14ac:dyDescent="0.2">
      <c r="A4401" s="115"/>
      <c r="B4401" s="79"/>
      <c r="C4401" s="115"/>
      <c r="D4401" s="115"/>
      <c r="E4401" s="115"/>
      <c r="F4401" s="115"/>
    </row>
    <row r="4402" spans="1:6" x14ac:dyDescent="0.2">
      <c r="A4402" s="115"/>
      <c r="B4402" s="79"/>
      <c r="C4402" s="115"/>
      <c r="D4402" s="115"/>
      <c r="E4402" s="115"/>
      <c r="F4402" s="115"/>
    </row>
    <row r="4403" spans="1:6" x14ac:dyDescent="0.2">
      <c r="A4403" s="115"/>
      <c r="B4403" s="79"/>
      <c r="C4403" s="115"/>
      <c r="D4403" s="115"/>
      <c r="E4403" s="115"/>
      <c r="F4403" s="115"/>
    </row>
    <row r="4404" spans="1:6" x14ac:dyDescent="0.2">
      <c r="A4404" s="115"/>
      <c r="B4404" s="79"/>
      <c r="C4404" s="115"/>
      <c r="D4404" s="115"/>
      <c r="E4404" s="115"/>
      <c r="F4404" s="115"/>
    </row>
    <row r="4405" spans="1:6" x14ac:dyDescent="0.2">
      <c r="A4405" s="115"/>
      <c r="B4405" s="79"/>
      <c r="C4405" s="115"/>
      <c r="D4405" s="115"/>
      <c r="E4405" s="115"/>
      <c r="F4405" s="115"/>
    </row>
    <row r="4406" spans="1:6" x14ac:dyDescent="0.2">
      <c r="A4406" s="115"/>
      <c r="B4406" s="79"/>
      <c r="C4406" s="115"/>
      <c r="D4406" s="115"/>
      <c r="E4406" s="115"/>
      <c r="F4406" s="115"/>
    </row>
    <row r="4407" spans="1:6" x14ac:dyDescent="0.2">
      <c r="A4407" s="115"/>
      <c r="B4407" s="79"/>
      <c r="C4407" s="115"/>
      <c r="D4407" s="115"/>
      <c r="E4407" s="115"/>
      <c r="F4407" s="115"/>
    </row>
    <row r="4408" spans="1:6" x14ac:dyDescent="0.2">
      <c r="A4408" s="115"/>
      <c r="B4408" s="79"/>
      <c r="C4408" s="115"/>
      <c r="D4408" s="115"/>
      <c r="E4408" s="115"/>
      <c r="F4408" s="115"/>
    </row>
    <row r="4409" spans="1:6" x14ac:dyDescent="0.2">
      <c r="A4409" s="115"/>
      <c r="B4409" s="79"/>
      <c r="C4409" s="115"/>
      <c r="D4409" s="115"/>
      <c r="E4409" s="115"/>
      <c r="F4409" s="115"/>
    </row>
    <row r="4410" spans="1:6" x14ac:dyDescent="0.2">
      <c r="A4410" s="115"/>
      <c r="B4410" s="79"/>
      <c r="C4410" s="115"/>
      <c r="D4410" s="115"/>
      <c r="E4410" s="115"/>
      <c r="F4410" s="115"/>
    </row>
    <row r="4411" spans="1:6" x14ac:dyDescent="0.2">
      <c r="A4411" s="115"/>
      <c r="B4411" s="79"/>
      <c r="C4411" s="115"/>
      <c r="D4411" s="115"/>
      <c r="E4411" s="115"/>
      <c r="F4411" s="115"/>
    </row>
    <row r="4412" spans="1:6" x14ac:dyDescent="0.2">
      <c r="A4412" s="115"/>
      <c r="B4412" s="79"/>
      <c r="C4412" s="115"/>
      <c r="D4412" s="115"/>
      <c r="E4412" s="115"/>
      <c r="F4412" s="115"/>
    </row>
    <row r="4413" spans="1:6" x14ac:dyDescent="0.2">
      <c r="A4413" s="115"/>
      <c r="B4413" s="79"/>
      <c r="C4413" s="115"/>
      <c r="D4413" s="115"/>
      <c r="E4413" s="115"/>
      <c r="F4413" s="115"/>
    </row>
    <row r="4414" spans="1:6" x14ac:dyDescent="0.2">
      <c r="A4414" s="115"/>
      <c r="B4414" s="79"/>
      <c r="C4414" s="115"/>
      <c r="D4414" s="115"/>
      <c r="E4414" s="115"/>
      <c r="F4414" s="115"/>
    </row>
    <row r="4415" spans="1:6" x14ac:dyDescent="0.2">
      <c r="A4415" s="115"/>
      <c r="B4415" s="79"/>
      <c r="C4415" s="115"/>
      <c r="D4415" s="115"/>
      <c r="E4415" s="115"/>
      <c r="F4415" s="115"/>
    </row>
    <row r="4416" spans="1:6" x14ac:dyDescent="0.2">
      <c r="A4416" s="115"/>
      <c r="B4416" s="79"/>
      <c r="C4416" s="115"/>
      <c r="D4416" s="115"/>
      <c r="E4416" s="115"/>
      <c r="F4416" s="115"/>
    </row>
    <row r="4417" spans="1:6" x14ac:dyDescent="0.2">
      <c r="A4417" s="115"/>
      <c r="B4417" s="79"/>
      <c r="C4417" s="115"/>
      <c r="D4417" s="115"/>
      <c r="E4417" s="115"/>
      <c r="F4417" s="115"/>
    </row>
    <row r="4418" spans="1:6" x14ac:dyDescent="0.2">
      <c r="A4418" s="115"/>
      <c r="B4418" s="79"/>
      <c r="C4418" s="115"/>
      <c r="D4418" s="115"/>
      <c r="E4418" s="115"/>
      <c r="F4418" s="115"/>
    </row>
    <row r="4419" spans="1:6" x14ac:dyDescent="0.2">
      <c r="A4419" s="115"/>
      <c r="B4419" s="79"/>
      <c r="C4419" s="115"/>
      <c r="D4419" s="115"/>
      <c r="E4419" s="115"/>
      <c r="F4419" s="115"/>
    </row>
    <row r="4420" spans="1:6" x14ac:dyDescent="0.2">
      <c r="A4420" s="115"/>
      <c r="B4420" s="79"/>
      <c r="C4420" s="115"/>
      <c r="D4420" s="115"/>
      <c r="E4420" s="115"/>
      <c r="F4420" s="115"/>
    </row>
    <row r="4421" spans="1:6" x14ac:dyDescent="0.2">
      <c r="A4421" s="115"/>
      <c r="B4421" s="79"/>
      <c r="C4421" s="115"/>
      <c r="D4421" s="115"/>
      <c r="E4421" s="115"/>
      <c r="F4421" s="115"/>
    </row>
    <row r="4422" spans="1:6" x14ac:dyDescent="0.2">
      <c r="A4422" s="115"/>
      <c r="B4422" s="79"/>
      <c r="C4422" s="115"/>
      <c r="D4422" s="115"/>
      <c r="E4422" s="115"/>
      <c r="F4422" s="115"/>
    </row>
    <row r="4423" spans="1:6" x14ac:dyDescent="0.2">
      <c r="A4423" s="115"/>
      <c r="B4423" s="79"/>
      <c r="C4423" s="115"/>
      <c r="D4423" s="115"/>
      <c r="E4423" s="115"/>
      <c r="F4423" s="115"/>
    </row>
    <row r="4424" spans="1:6" x14ac:dyDescent="0.2">
      <c r="A4424" s="115"/>
      <c r="B4424" s="79"/>
      <c r="C4424" s="115"/>
      <c r="D4424" s="115"/>
      <c r="E4424" s="115"/>
      <c r="F4424" s="115"/>
    </row>
    <row r="4425" spans="1:6" x14ac:dyDescent="0.2">
      <c r="A4425" s="115"/>
      <c r="B4425" s="79"/>
      <c r="C4425" s="115"/>
      <c r="D4425" s="115"/>
      <c r="E4425" s="115"/>
      <c r="F4425" s="115"/>
    </row>
    <row r="4426" spans="1:6" x14ac:dyDescent="0.2">
      <c r="A4426" s="115"/>
      <c r="B4426" s="79"/>
      <c r="C4426" s="115"/>
      <c r="D4426" s="115"/>
      <c r="E4426" s="115"/>
      <c r="F4426" s="115"/>
    </row>
    <row r="4427" spans="1:6" x14ac:dyDescent="0.2">
      <c r="A4427" s="115"/>
      <c r="B4427" s="79"/>
      <c r="C4427" s="115"/>
      <c r="D4427" s="115"/>
      <c r="E4427" s="115"/>
      <c r="F4427" s="115"/>
    </row>
    <row r="4428" spans="1:6" x14ac:dyDescent="0.2">
      <c r="A4428" s="115"/>
      <c r="B4428" s="79"/>
      <c r="C4428" s="115"/>
      <c r="D4428" s="115"/>
      <c r="E4428" s="115"/>
      <c r="F4428" s="115"/>
    </row>
    <row r="4429" spans="1:6" x14ac:dyDescent="0.2">
      <c r="A4429" s="115"/>
      <c r="B4429" s="79"/>
      <c r="C4429" s="115"/>
      <c r="D4429" s="115"/>
      <c r="E4429" s="115"/>
      <c r="F4429" s="115"/>
    </row>
    <row r="4430" spans="1:6" x14ac:dyDescent="0.2">
      <c r="A4430" s="115"/>
      <c r="B4430" s="79"/>
      <c r="C4430" s="115"/>
      <c r="D4430" s="115"/>
      <c r="E4430" s="115"/>
      <c r="F4430" s="115"/>
    </row>
    <row r="4431" spans="1:6" x14ac:dyDescent="0.2">
      <c r="A4431" s="115"/>
      <c r="B4431" s="79"/>
      <c r="C4431" s="115"/>
      <c r="D4431" s="115"/>
      <c r="E4431" s="115"/>
      <c r="F4431" s="115"/>
    </row>
    <row r="4432" spans="1:6" x14ac:dyDescent="0.2">
      <c r="A4432" s="115"/>
      <c r="B4432" s="79"/>
      <c r="C4432" s="115"/>
      <c r="D4432" s="115"/>
      <c r="E4432" s="115"/>
      <c r="F4432" s="115"/>
    </row>
    <row r="4433" spans="1:6" x14ac:dyDescent="0.2">
      <c r="A4433" s="115"/>
      <c r="B4433" s="79"/>
      <c r="C4433" s="115"/>
      <c r="D4433" s="115"/>
      <c r="E4433" s="115"/>
      <c r="F4433" s="115"/>
    </row>
    <row r="4434" spans="1:6" x14ac:dyDescent="0.2">
      <c r="A4434" s="115"/>
      <c r="B4434" s="79"/>
      <c r="C4434" s="115"/>
      <c r="D4434" s="115"/>
      <c r="E4434" s="115"/>
      <c r="F4434" s="115"/>
    </row>
    <row r="4435" spans="1:6" x14ac:dyDescent="0.2">
      <c r="A4435" s="115"/>
      <c r="B4435" s="79"/>
      <c r="C4435" s="115"/>
      <c r="D4435" s="115"/>
      <c r="E4435" s="115"/>
      <c r="F4435" s="115"/>
    </row>
    <row r="4436" spans="1:6" x14ac:dyDescent="0.2">
      <c r="A4436" s="115"/>
      <c r="B4436" s="79"/>
      <c r="C4436" s="115"/>
      <c r="D4436" s="115"/>
      <c r="E4436" s="115"/>
      <c r="F4436" s="115"/>
    </row>
    <row r="4437" spans="1:6" x14ac:dyDescent="0.2">
      <c r="A4437" s="115"/>
      <c r="B4437" s="79"/>
      <c r="C4437" s="115"/>
      <c r="D4437" s="115"/>
      <c r="E4437" s="115"/>
      <c r="F4437" s="115"/>
    </row>
    <row r="4438" spans="1:6" x14ac:dyDescent="0.2">
      <c r="A4438" s="115"/>
      <c r="B4438" s="79"/>
      <c r="C4438" s="115"/>
      <c r="D4438" s="115"/>
      <c r="E4438" s="115"/>
      <c r="F4438" s="115"/>
    </row>
    <row r="4439" spans="1:6" x14ac:dyDescent="0.2">
      <c r="A4439" s="115"/>
      <c r="B4439" s="79"/>
      <c r="C4439" s="115"/>
      <c r="D4439" s="115"/>
      <c r="E4439" s="115"/>
      <c r="F4439" s="115"/>
    </row>
    <row r="4440" spans="1:6" x14ac:dyDescent="0.2">
      <c r="A4440" s="115"/>
      <c r="B4440" s="79"/>
      <c r="C4440" s="115"/>
      <c r="D4440" s="115"/>
      <c r="E4440" s="115"/>
      <c r="F4440" s="115"/>
    </row>
    <row r="4441" spans="1:6" x14ac:dyDescent="0.2">
      <c r="A4441" s="115"/>
      <c r="B4441" s="79"/>
      <c r="C4441" s="115"/>
      <c r="D4441" s="115"/>
      <c r="E4441" s="115"/>
      <c r="F4441" s="115"/>
    </row>
    <row r="4442" spans="1:6" x14ac:dyDescent="0.2">
      <c r="A4442" s="115"/>
      <c r="B4442" s="79"/>
      <c r="C4442" s="115"/>
      <c r="D4442" s="115"/>
      <c r="E4442" s="115"/>
      <c r="F4442" s="115"/>
    </row>
    <row r="4443" spans="1:6" x14ac:dyDescent="0.2">
      <c r="A4443" s="115"/>
      <c r="B4443" s="79"/>
      <c r="C4443" s="115"/>
      <c r="D4443" s="115"/>
      <c r="E4443" s="115"/>
      <c r="F4443" s="115"/>
    </row>
    <row r="4444" spans="1:6" x14ac:dyDescent="0.2">
      <c r="A4444" s="115"/>
      <c r="B4444" s="79"/>
      <c r="C4444" s="115"/>
      <c r="D4444" s="115"/>
      <c r="E4444" s="115"/>
      <c r="F4444" s="115"/>
    </row>
    <row r="4445" spans="1:6" x14ac:dyDescent="0.2">
      <c r="A4445" s="115"/>
      <c r="B4445" s="79"/>
      <c r="C4445" s="115"/>
      <c r="D4445" s="115"/>
      <c r="E4445" s="115"/>
      <c r="F4445" s="115"/>
    </row>
    <row r="4446" spans="1:6" x14ac:dyDescent="0.2">
      <c r="A4446" s="115"/>
      <c r="B4446" s="79"/>
      <c r="C4446" s="115"/>
      <c r="D4446" s="115"/>
      <c r="E4446" s="115"/>
      <c r="F4446" s="115"/>
    </row>
    <row r="4447" spans="1:6" x14ac:dyDescent="0.2">
      <c r="A4447" s="115"/>
      <c r="B4447" s="79"/>
      <c r="C4447" s="115"/>
      <c r="D4447" s="115"/>
      <c r="E4447" s="115"/>
      <c r="F4447" s="115"/>
    </row>
    <row r="4448" spans="1:6" x14ac:dyDescent="0.2">
      <c r="A4448" s="115"/>
      <c r="B4448" s="79"/>
      <c r="C4448" s="115"/>
      <c r="D4448" s="115"/>
      <c r="E4448" s="115"/>
      <c r="F4448" s="115"/>
    </row>
    <row r="4449" spans="1:6" x14ac:dyDescent="0.2">
      <c r="A4449" s="115"/>
      <c r="B4449" s="79"/>
      <c r="C4449" s="115"/>
      <c r="D4449" s="115"/>
      <c r="E4449" s="115"/>
      <c r="F4449" s="115"/>
    </row>
    <row r="4450" spans="1:6" x14ac:dyDescent="0.2">
      <c r="A4450" s="115"/>
      <c r="B4450" s="79"/>
      <c r="C4450" s="115"/>
      <c r="D4450" s="115"/>
      <c r="E4450" s="115"/>
      <c r="F4450" s="115"/>
    </row>
    <row r="4451" spans="1:6" x14ac:dyDescent="0.2">
      <c r="A4451" s="115"/>
      <c r="B4451" s="79"/>
      <c r="C4451" s="115"/>
      <c r="D4451" s="115"/>
      <c r="E4451" s="115"/>
      <c r="F4451" s="115"/>
    </row>
    <row r="4452" spans="1:6" x14ac:dyDescent="0.2">
      <c r="A4452" s="115"/>
      <c r="B4452" s="79"/>
      <c r="C4452" s="115"/>
      <c r="D4452" s="115"/>
      <c r="E4452" s="115"/>
      <c r="F4452" s="115"/>
    </row>
    <row r="4453" spans="1:6" x14ac:dyDescent="0.2">
      <c r="A4453" s="115"/>
      <c r="B4453" s="79"/>
      <c r="C4453" s="115"/>
      <c r="D4453" s="115"/>
      <c r="E4453" s="115"/>
      <c r="F4453" s="115"/>
    </row>
    <row r="4454" spans="1:6" x14ac:dyDescent="0.2">
      <c r="A4454" s="115"/>
      <c r="B4454" s="79"/>
      <c r="C4454" s="115"/>
      <c r="D4454" s="115"/>
      <c r="E4454" s="115"/>
      <c r="F4454" s="115"/>
    </row>
    <row r="4455" spans="1:6" x14ac:dyDescent="0.2">
      <c r="A4455" s="115"/>
      <c r="B4455" s="79"/>
      <c r="C4455" s="115"/>
      <c r="D4455" s="115"/>
      <c r="E4455" s="115"/>
      <c r="F4455" s="115"/>
    </row>
    <row r="4456" spans="1:6" x14ac:dyDescent="0.2">
      <c r="A4456" s="115"/>
      <c r="B4456" s="79"/>
      <c r="C4456" s="115"/>
      <c r="D4456" s="115"/>
      <c r="E4456" s="115"/>
      <c r="F4456" s="115"/>
    </row>
    <row r="4457" spans="1:6" x14ac:dyDescent="0.2">
      <c r="A4457" s="115"/>
      <c r="B4457" s="79"/>
      <c r="C4457" s="115"/>
      <c r="D4457" s="115"/>
      <c r="E4457" s="115"/>
      <c r="F4457" s="115"/>
    </row>
    <row r="4458" spans="1:6" x14ac:dyDescent="0.2">
      <c r="A4458" s="115"/>
      <c r="B4458" s="79"/>
      <c r="C4458" s="115"/>
      <c r="D4458" s="115"/>
      <c r="E4458" s="115"/>
      <c r="F4458" s="115"/>
    </row>
    <row r="4459" spans="1:6" x14ac:dyDescent="0.2">
      <c r="A4459" s="115"/>
      <c r="B4459" s="79"/>
      <c r="C4459" s="115"/>
      <c r="D4459" s="115"/>
      <c r="E4459" s="115"/>
      <c r="F4459" s="115"/>
    </row>
    <row r="4460" spans="1:6" x14ac:dyDescent="0.2">
      <c r="A4460" s="115"/>
      <c r="B4460" s="79"/>
      <c r="C4460" s="115"/>
      <c r="D4460" s="115"/>
      <c r="E4460" s="115"/>
      <c r="F4460" s="115"/>
    </row>
    <row r="4461" spans="1:6" x14ac:dyDescent="0.2">
      <c r="A4461" s="115"/>
      <c r="B4461" s="79"/>
      <c r="C4461" s="115"/>
      <c r="D4461" s="115"/>
      <c r="E4461" s="115"/>
      <c r="F4461" s="115"/>
    </row>
    <row r="4462" spans="1:6" x14ac:dyDescent="0.2">
      <c r="A4462" s="115"/>
      <c r="B4462" s="79"/>
      <c r="C4462" s="115"/>
      <c r="D4462" s="115"/>
      <c r="E4462" s="115"/>
      <c r="F4462" s="115"/>
    </row>
    <row r="4463" spans="1:6" x14ac:dyDescent="0.2">
      <c r="A4463" s="115"/>
      <c r="B4463" s="79"/>
      <c r="C4463" s="115"/>
      <c r="D4463" s="115"/>
      <c r="E4463" s="115"/>
      <c r="F4463" s="115"/>
    </row>
    <row r="4464" spans="1:6" x14ac:dyDescent="0.2">
      <c r="A4464" s="115"/>
      <c r="B4464" s="79"/>
      <c r="C4464" s="115"/>
      <c r="D4464" s="115"/>
      <c r="E4464" s="115"/>
      <c r="F4464" s="115"/>
    </row>
    <row r="4465" spans="1:6" x14ac:dyDescent="0.2">
      <c r="A4465" s="115"/>
      <c r="B4465" s="79"/>
      <c r="C4465" s="115"/>
      <c r="D4465" s="115"/>
      <c r="E4465" s="115"/>
      <c r="F4465" s="115"/>
    </row>
    <row r="4466" spans="1:6" x14ac:dyDescent="0.2">
      <c r="A4466" s="115"/>
      <c r="B4466" s="79"/>
      <c r="C4466" s="115"/>
      <c r="D4466" s="115"/>
      <c r="E4466" s="115"/>
      <c r="F4466" s="115"/>
    </row>
    <row r="4467" spans="1:6" x14ac:dyDescent="0.2">
      <c r="A4467" s="115"/>
      <c r="B4467" s="79"/>
      <c r="C4467" s="115"/>
      <c r="D4467" s="115"/>
      <c r="E4467" s="115"/>
      <c r="F4467" s="115"/>
    </row>
    <row r="4468" spans="1:6" x14ac:dyDescent="0.2">
      <c r="A4468" s="115"/>
      <c r="B4468" s="79"/>
      <c r="C4468" s="115"/>
      <c r="D4468" s="115"/>
      <c r="E4468" s="115"/>
      <c r="F4468" s="115"/>
    </row>
    <row r="4469" spans="1:6" x14ac:dyDescent="0.2">
      <c r="A4469" s="115"/>
      <c r="B4469" s="79"/>
      <c r="C4469" s="115"/>
      <c r="D4469" s="115"/>
      <c r="E4469" s="115"/>
      <c r="F4469" s="115"/>
    </row>
    <row r="4470" spans="1:6" x14ac:dyDescent="0.2">
      <c r="A4470" s="115"/>
      <c r="B4470" s="79"/>
      <c r="C4470" s="115"/>
      <c r="D4470" s="115"/>
      <c r="E4470" s="115"/>
      <c r="F4470" s="115"/>
    </row>
    <row r="4471" spans="1:6" x14ac:dyDescent="0.2">
      <c r="A4471" s="115"/>
      <c r="B4471" s="79"/>
      <c r="C4471" s="115"/>
      <c r="D4471" s="115"/>
      <c r="E4471" s="115"/>
      <c r="F4471" s="115"/>
    </row>
    <row r="4472" spans="1:6" x14ac:dyDescent="0.2">
      <c r="A4472" s="115"/>
      <c r="B4472" s="79"/>
      <c r="C4472" s="115"/>
      <c r="D4472" s="115"/>
      <c r="E4472" s="115"/>
      <c r="F4472" s="115"/>
    </row>
    <row r="4473" spans="1:6" x14ac:dyDescent="0.2">
      <c r="A4473" s="115"/>
      <c r="B4473" s="79"/>
      <c r="C4473" s="115"/>
      <c r="D4473" s="115"/>
      <c r="E4473" s="115"/>
      <c r="F4473" s="115"/>
    </row>
    <row r="4474" spans="1:6" x14ac:dyDescent="0.2">
      <c r="A4474" s="115"/>
      <c r="B4474" s="79"/>
      <c r="C4474" s="115"/>
      <c r="D4474" s="115"/>
      <c r="E4474" s="115"/>
      <c r="F4474" s="115"/>
    </row>
    <row r="4475" spans="1:6" x14ac:dyDescent="0.2">
      <c r="A4475" s="115"/>
      <c r="B4475" s="79"/>
      <c r="C4475" s="115"/>
      <c r="D4475" s="115"/>
      <c r="E4475" s="115"/>
      <c r="F4475" s="115"/>
    </row>
    <row r="4476" spans="1:6" x14ac:dyDescent="0.2">
      <c r="A4476" s="115"/>
      <c r="B4476" s="79"/>
      <c r="C4476" s="115"/>
      <c r="D4476" s="115"/>
      <c r="E4476" s="115"/>
      <c r="F4476" s="115"/>
    </row>
    <row r="4477" spans="1:6" x14ac:dyDescent="0.2">
      <c r="A4477" s="115"/>
      <c r="B4477" s="79"/>
      <c r="C4477" s="115"/>
      <c r="D4477" s="115"/>
      <c r="E4477" s="115"/>
      <c r="F4477" s="115"/>
    </row>
    <row r="4478" spans="1:6" x14ac:dyDescent="0.2">
      <c r="A4478" s="115"/>
      <c r="B4478" s="79"/>
      <c r="C4478" s="115"/>
      <c r="D4478" s="115"/>
      <c r="E4478" s="115"/>
      <c r="F4478" s="115"/>
    </row>
    <row r="4479" spans="1:6" x14ac:dyDescent="0.2">
      <c r="A4479" s="115"/>
      <c r="B4479" s="79"/>
      <c r="C4479" s="115"/>
      <c r="D4479" s="115"/>
      <c r="E4479" s="115"/>
      <c r="F4479" s="115"/>
    </row>
    <row r="4480" spans="1:6" x14ac:dyDescent="0.2">
      <c r="A4480" s="115"/>
      <c r="B4480" s="79"/>
      <c r="C4480" s="115"/>
      <c r="D4480" s="115"/>
      <c r="E4480" s="115"/>
      <c r="F4480" s="115"/>
    </row>
    <row r="4481" spans="1:6" x14ac:dyDescent="0.2">
      <c r="A4481" s="115"/>
      <c r="B4481" s="79"/>
      <c r="C4481" s="115"/>
      <c r="D4481" s="115"/>
      <c r="E4481" s="115"/>
      <c r="F4481" s="115"/>
    </row>
    <row r="4482" spans="1:6" x14ac:dyDescent="0.2">
      <c r="A4482" s="115"/>
      <c r="B4482" s="79"/>
      <c r="C4482" s="115"/>
      <c r="D4482" s="115"/>
      <c r="E4482" s="115"/>
      <c r="F4482" s="115"/>
    </row>
    <row r="4483" spans="1:6" x14ac:dyDescent="0.2">
      <c r="A4483" s="115"/>
      <c r="B4483" s="79"/>
      <c r="C4483" s="115"/>
      <c r="D4483" s="115"/>
      <c r="E4483" s="115"/>
      <c r="F4483" s="115"/>
    </row>
    <row r="4484" spans="1:6" x14ac:dyDescent="0.2">
      <c r="A4484" s="115"/>
      <c r="B4484" s="79"/>
      <c r="C4484" s="115"/>
      <c r="D4484" s="115"/>
      <c r="E4484" s="115"/>
      <c r="F4484" s="115"/>
    </row>
    <row r="4485" spans="1:6" x14ac:dyDescent="0.2">
      <c r="A4485" s="115"/>
      <c r="B4485" s="79"/>
      <c r="C4485" s="115"/>
      <c r="D4485" s="115"/>
      <c r="E4485" s="115"/>
      <c r="F4485" s="115"/>
    </row>
    <row r="4486" spans="1:6" x14ac:dyDescent="0.2">
      <c r="A4486" s="115"/>
      <c r="B4486" s="79"/>
      <c r="C4486" s="115"/>
      <c r="D4486" s="115"/>
      <c r="E4486" s="115"/>
      <c r="F4486" s="115"/>
    </row>
    <row r="4487" spans="1:6" x14ac:dyDescent="0.2">
      <c r="A4487" s="115"/>
      <c r="B4487" s="79"/>
      <c r="C4487" s="115"/>
      <c r="D4487" s="115"/>
      <c r="E4487" s="115"/>
      <c r="F4487" s="115"/>
    </row>
    <row r="4488" spans="1:6" x14ac:dyDescent="0.2">
      <c r="A4488" s="115"/>
      <c r="B4488" s="79"/>
      <c r="C4488" s="115"/>
      <c r="D4488" s="115"/>
      <c r="E4488" s="115"/>
      <c r="F4488" s="115"/>
    </row>
    <row r="4489" spans="1:6" x14ac:dyDescent="0.2">
      <c r="A4489" s="115"/>
      <c r="B4489" s="79"/>
      <c r="C4489" s="115"/>
      <c r="D4489" s="115"/>
      <c r="E4489" s="115"/>
      <c r="F4489" s="115"/>
    </row>
    <row r="4490" spans="1:6" x14ac:dyDescent="0.2">
      <c r="A4490" s="115"/>
      <c r="B4490" s="79"/>
      <c r="C4490" s="115"/>
      <c r="D4490" s="115"/>
      <c r="E4490" s="115"/>
      <c r="F4490" s="115"/>
    </row>
    <row r="4491" spans="1:6" x14ac:dyDescent="0.2">
      <c r="A4491" s="115"/>
      <c r="B4491" s="79"/>
      <c r="C4491" s="115"/>
      <c r="D4491" s="115"/>
      <c r="E4491" s="115"/>
      <c r="F4491" s="115"/>
    </row>
    <row r="4492" spans="1:6" x14ac:dyDescent="0.2">
      <c r="A4492" s="115"/>
      <c r="B4492" s="79"/>
      <c r="C4492" s="115"/>
      <c r="D4492" s="115"/>
      <c r="E4492" s="115"/>
      <c r="F4492" s="115"/>
    </row>
    <row r="4493" spans="1:6" x14ac:dyDescent="0.2">
      <c r="A4493" s="115"/>
      <c r="B4493" s="79"/>
      <c r="C4493" s="115"/>
      <c r="D4493" s="115"/>
      <c r="E4493" s="115"/>
      <c r="F4493" s="115"/>
    </row>
    <row r="4494" spans="1:6" x14ac:dyDescent="0.2">
      <c r="A4494" s="115"/>
      <c r="B4494" s="79"/>
      <c r="C4494" s="115"/>
      <c r="D4494" s="115"/>
      <c r="E4494" s="115"/>
      <c r="F4494" s="115"/>
    </row>
    <row r="4495" spans="1:6" x14ac:dyDescent="0.2">
      <c r="A4495" s="115"/>
      <c r="B4495" s="79"/>
      <c r="C4495" s="115"/>
      <c r="D4495" s="115"/>
      <c r="E4495" s="115"/>
      <c r="F4495" s="115"/>
    </row>
    <row r="4496" spans="1:6" x14ac:dyDescent="0.2">
      <c r="A4496" s="115"/>
      <c r="B4496" s="79"/>
      <c r="C4496" s="115"/>
      <c r="D4496" s="115"/>
      <c r="E4496" s="115"/>
      <c r="F4496" s="115"/>
    </row>
    <row r="4497" spans="1:6" x14ac:dyDescent="0.2">
      <c r="A4497" s="115"/>
      <c r="B4497" s="79"/>
      <c r="C4497" s="115"/>
      <c r="D4497" s="115"/>
      <c r="E4497" s="115"/>
      <c r="F4497" s="115"/>
    </row>
    <row r="4498" spans="1:6" x14ac:dyDescent="0.2">
      <c r="A4498" s="115"/>
      <c r="B4498" s="79"/>
      <c r="C4498" s="115"/>
      <c r="D4498" s="115"/>
      <c r="E4498" s="115"/>
      <c r="F4498" s="115"/>
    </row>
    <row r="4499" spans="1:6" x14ac:dyDescent="0.2">
      <c r="A4499" s="115"/>
      <c r="B4499" s="79"/>
      <c r="C4499" s="115"/>
      <c r="D4499" s="115"/>
      <c r="E4499" s="115"/>
      <c r="F4499" s="115"/>
    </row>
    <row r="4500" spans="1:6" x14ac:dyDescent="0.2">
      <c r="A4500" s="115"/>
      <c r="B4500" s="79"/>
      <c r="C4500" s="115"/>
      <c r="D4500" s="115"/>
      <c r="E4500" s="115"/>
      <c r="F4500" s="115"/>
    </row>
    <row r="4501" spans="1:6" x14ac:dyDescent="0.2">
      <c r="A4501" s="115"/>
      <c r="B4501" s="79"/>
      <c r="C4501" s="115"/>
      <c r="D4501" s="115"/>
      <c r="E4501" s="115"/>
      <c r="F4501" s="115"/>
    </row>
    <row r="4502" spans="1:6" x14ac:dyDescent="0.2">
      <c r="A4502" s="115"/>
      <c r="B4502" s="79"/>
      <c r="C4502" s="115"/>
      <c r="D4502" s="115"/>
      <c r="E4502" s="115"/>
      <c r="F4502" s="115"/>
    </row>
    <row r="4503" spans="1:6" x14ac:dyDescent="0.2">
      <c r="A4503" s="115"/>
      <c r="B4503" s="79"/>
      <c r="C4503" s="115"/>
      <c r="D4503" s="115"/>
      <c r="E4503" s="115"/>
      <c r="F4503" s="115"/>
    </row>
    <row r="4504" spans="1:6" x14ac:dyDescent="0.2">
      <c r="A4504" s="115"/>
      <c r="B4504" s="79"/>
      <c r="C4504" s="115"/>
      <c r="D4504" s="115"/>
      <c r="E4504" s="115"/>
      <c r="F4504" s="115"/>
    </row>
    <row r="4505" spans="1:6" x14ac:dyDescent="0.2">
      <c r="A4505" s="115"/>
      <c r="B4505" s="79"/>
      <c r="C4505" s="115"/>
      <c r="D4505" s="115"/>
      <c r="E4505" s="115"/>
      <c r="F4505" s="115"/>
    </row>
    <row r="4506" spans="1:6" x14ac:dyDescent="0.2">
      <c r="A4506" s="115"/>
      <c r="B4506" s="79"/>
      <c r="C4506" s="115"/>
      <c r="D4506" s="115"/>
      <c r="E4506" s="115"/>
      <c r="F4506" s="115"/>
    </row>
    <row r="4507" spans="1:6" x14ac:dyDescent="0.2">
      <c r="A4507" s="115"/>
      <c r="B4507" s="79"/>
      <c r="C4507" s="115"/>
      <c r="D4507" s="115"/>
      <c r="E4507" s="115"/>
      <c r="F4507" s="115"/>
    </row>
    <row r="4508" spans="1:6" x14ac:dyDescent="0.2">
      <c r="A4508" s="115"/>
      <c r="B4508" s="79"/>
      <c r="C4508" s="115"/>
      <c r="D4508" s="115"/>
      <c r="E4508" s="115"/>
      <c r="F4508" s="115"/>
    </row>
    <row r="4509" spans="1:6" x14ac:dyDescent="0.2">
      <c r="A4509" s="115"/>
      <c r="B4509" s="79"/>
      <c r="C4509" s="115"/>
      <c r="D4509" s="115"/>
      <c r="E4509" s="115"/>
      <c r="F4509" s="115"/>
    </row>
    <row r="4510" spans="1:6" x14ac:dyDescent="0.2">
      <c r="A4510" s="115"/>
      <c r="B4510" s="79"/>
      <c r="C4510" s="115"/>
      <c r="D4510" s="115"/>
      <c r="E4510" s="115"/>
      <c r="F4510" s="115"/>
    </row>
    <row r="4511" spans="1:6" x14ac:dyDescent="0.2">
      <c r="A4511" s="115"/>
      <c r="B4511" s="79"/>
      <c r="C4511" s="115"/>
      <c r="D4511" s="115"/>
      <c r="E4511" s="115"/>
      <c r="F4511" s="115"/>
    </row>
    <row r="4512" spans="1:6" x14ac:dyDescent="0.2">
      <c r="A4512" s="115"/>
      <c r="B4512" s="79"/>
      <c r="C4512" s="115"/>
      <c r="D4512" s="115"/>
      <c r="E4512" s="115"/>
      <c r="F4512" s="115"/>
    </row>
    <row r="4513" spans="1:6" x14ac:dyDescent="0.2">
      <c r="A4513" s="115"/>
      <c r="B4513" s="79"/>
      <c r="C4513" s="115"/>
      <c r="D4513" s="115"/>
      <c r="E4513" s="115"/>
      <c r="F4513" s="115"/>
    </row>
    <row r="4514" spans="1:6" x14ac:dyDescent="0.2">
      <c r="A4514" s="115"/>
      <c r="B4514" s="79"/>
      <c r="C4514" s="115"/>
      <c r="D4514" s="115"/>
      <c r="E4514" s="115"/>
      <c r="F4514" s="115"/>
    </row>
    <row r="4515" spans="1:6" x14ac:dyDescent="0.2">
      <c r="A4515" s="115"/>
      <c r="B4515" s="79"/>
      <c r="C4515" s="115"/>
      <c r="D4515" s="115"/>
      <c r="E4515" s="115"/>
      <c r="F4515" s="115"/>
    </row>
    <row r="4516" spans="1:6" x14ac:dyDescent="0.2">
      <c r="A4516" s="115"/>
      <c r="B4516" s="79"/>
      <c r="C4516" s="115"/>
      <c r="D4516" s="115"/>
      <c r="E4516" s="115"/>
      <c r="F4516" s="115"/>
    </row>
    <row r="4517" spans="1:6" x14ac:dyDescent="0.2">
      <c r="A4517" s="115"/>
      <c r="B4517" s="79"/>
      <c r="C4517" s="115"/>
      <c r="D4517" s="115"/>
      <c r="E4517" s="115"/>
      <c r="F4517" s="115"/>
    </row>
    <row r="4518" spans="1:6" x14ac:dyDescent="0.2">
      <c r="A4518" s="115"/>
      <c r="B4518" s="79"/>
      <c r="C4518" s="115"/>
      <c r="D4518" s="115"/>
      <c r="E4518" s="115"/>
      <c r="F4518" s="115"/>
    </row>
    <row r="4519" spans="1:6" x14ac:dyDescent="0.2">
      <c r="A4519" s="115"/>
      <c r="B4519" s="79"/>
      <c r="C4519" s="115"/>
      <c r="D4519" s="115"/>
      <c r="E4519" s="115"/>
      <c r="F4519" s="115"/>
    </row>
    <row r="4520" spans="1:6" x14ac:dyDescent="0.2">
      <c r="A4520" s="115"/>
      <c r="B4520" s="79"/>
      <c r="C4520" s="115"/>
      <c r="D4520" s="115"/>
      <c r="E4520" s="115"/>
      <c r="F4520" s="115"/>
    </row>
    <row r="4521" spans="1:6" x14ac:dyDescent="0.2">
      <c r="A4521" s="115"/>
      <c r="B4521" s="79"/>
      <c r="C4521" s="115"/>
      <c r="D4521" s="115"/>
      <c r="E4521" s="115"/>
      <c r="F4521" s="115"/>
    </row>
    <row r="4522" spans="1:6" x14ac:dyDescent="0.2">
      <c r="A4522" s="115"/>
      <c r="B4522" s="79"/>
      <c r="C4522" s="115"/>
      <c r="D4522" s="115"/>
      <c r="E4522" s="115"/>
      <c r="F4522" s="115"/>
    </row>
    <row r="4523" spans="1:6" x14ac:dyDescent="0.2">
      <c r="A4523" s="115"/>
      <c r="B4523" s="79"/>
      <c r="C4523" s="115"/>
      <c r="D4523" s="115"/>
      <c r="E4523" s="115"/>
      <c r="F4523" s="115"/>
    </row>
    <row r="4524" spans="1:6" x14ac:dyDescent="0.2">
      <c r="A4524" s="115"/>
      <c r="B4524" s="79"/>
      <c r="C4524" s="115"/>
      <c r="D4524" s="115"/>
      <c r="E4524" s="115"/>
      <c r="F4524" s="115"/>
    </row>
    <row r="4525" spans="1:6" x14ac:dyDescent="0.2">
      <c r="A4525" s="115"/>
      <c r="B4525" s="79"/>
      <c r="C4525" s="115"/>
      <c r="D4525" s="115"/>
      <c r="E4525" s="115"/>
      <c r="F4525" s="115"/>
    </row>
    <row r="4526" spans="1:6" x14ac:dyDescent="0.2">
      <c r="A4526" s="115"/>
      <c r="B4526" s="79"/>
      <c r="C4526" s="115"/>
      <c r="D4526" s="115"/>
      <c r="E4526" s="115"/>
      <c r="F4526" s="115"/>
    </row>
    <row r="4527" spans="1:6" x14ac:dyDescent="0.2">
      <c r="A4527" s="115"/>
      <c r="B4527" s="79"/>
      <c r="C4527" s="115"/>
      <c r="D4527" s="115"/>
      <c r="E4527" s="115"/>
      <c r="F4527" s="115"/>
    </row>
    <row r="4528" spans="1:6" x14ac:dyDescent="0.2">
      <c r="A4528" s="115"/>
      <c r="B4528" s="79"/>
      <c r="C4528" s="115"/>
      <c r="D4528" s="115"/>
      <c r="E4528" s="115"/>
      <c r="F4528" s="115"/>
    </row>
    <row r="4529" spans="1:6" x14ac:dyDescent="0.2">
      <c r="A4529" s="115"/>
      <c r="B4529" s="79"/>
      <c r="C4529" s="115"/>
      <c r="D4529" s="115"/>
      <c r="E4529" s="115"/>
      <c r="F4529" s="115"/>
    </row>
    <row r="4530" spans="1:6" x14ac:dyDescent="0.2">
      <c r="A4530" s="115"/>
      <c r="B4530" s="79"/>
      <c r="C4530" s="115"/>
      <c r="D4530" s="115"/>
      <c r="E4530" s="115"/>
      <c r="F4530" s="115"/>
    </row>
    <row r="4531" spans="1:6" x14ac:dyDescent="0.2">
      <c r="A4531" s="115"/>
      <c r="B4531" s="79"/>
      <c r="C4531" s="115"/>
      <c r="D4531" s="115"/>
      <c r="E4531" s="115"/>
      <c r="F4531" s="115"/>
    </row>
    <row r="4532" spans="1:6" x14ac:dyDescent="0.2">
      <c r="A4532" s="115"/>
      <c r="B4532" s="79"/>
      <c r="C4532" s="115"/>
      <c r="D4532" s="115"/>
      <c r="E4532" s="115"/>
      <c r="F4532" s="115"/>
    </row>
    <row r="4533" spans="1:6" x14ac:dyDescent="0.2">
      <c r="A4533" s="115"/>
      <c r="B4533" s="79"/>
      <c r="C4533" s="115"/>
      <c r="D4533" s="115"/>
      <c r="E4533" s="115"/>
      <c r="F4533" s="115"/>
    </row>
    <row r="4534" spans="1:6" x14ac:dyDescent="0.2">
      <c r="A4534" s="115"/>
      <c r="B4534" s="79"/>
      <c r="C4534" s="115"/>
      <c r="D4534" s="115"/>
      <c r="E4534" s="115"/>
      <c r="F4534" s="115"/>
    </row>
    <row r="4535" spans="1:6" x14ac:dyDescent="0.2">
      <c r="A4535" s="115"/>
      <c r="B4535" s="79"/>
      <c r="C4535" s="115"/>
      <c r="D4535" s="115"/>
      <c r="E4535" s="115"/>
      <c r="F4535" s="115"/>
    </row>
    <row r="4536" spans="1:6" x14ac:dyDescent="0.2">
      <c r="A4536" s="115"/>
      <c r="B4536" s="79"/>
      <c r="C4536" s="115"/>
      <c r="D4536" s="115"/>
      <c r="E4536" s="115"/>
      <c r="F4536" s="115"/>
    </row>
    <row r="4537" spans="1:6" x14ac:dyDescent="0.2">
      <c r="A4537" s="115"/>
      <c r="B4537" s="79"/>
      <c r="C4537" s="115"/>
      <c r="D4537" s="115"/>
      <c r="E4537" s="115"/>
      <c r="F4537" s="115"/>
    </row>
    <row r="4538" spans="1:6" x14ac:dyDescent="0.2">
      <c r="A4538" s="115"/>
      <c r="B4538" s="79"/>
      <c r="C4538" s="115"/>
      <c r="D4538" s="115"/>
      <c r="E4538" s="115"/>
      <c r="F4538" s="115"/>
    </row>
    <row r="4539" spans="1:6" x14ac:dyDescent="0.2">
      <c r="A4539" s="115"/>
      <c r="B4539" s="79"/>
      <c r="C4539" s="115"/>
      <c r="D4539" s="115"/>
      <c r="E4539" s="115"/>
      <c r="F4539" s="115"/>
    </row>
    <row r="4540" spans="1:6" x14ac:dyDescent="0.2">
      <c r="A4540" s="115"/>
      <c r="B4540" s="79"/>
      <c r="C4540" s="115"/>
      <c r="D4540" s="115"/>
      <c r="E4540" s="115"/>
      <c r="F4540" s="115"/>
    </row>
    <row r="4541" spans="1:6" x14ac:dyDescent="0.2">
      <c r="A4541" s="115"/>
      <c r="B4541" s="79"/>
      <c r="C4541" s="115"/>
      <c r="D4541" s="115"/>
      <c r="E4541" s="115"/>
      <c r="F4541" s="115"/>
    </row>
    <row r="4542" spans="1:6" x14ac:dyDescent="0.2">
      <c r="A4542" s="115"/>
      <c r="B4542" s="79"/>
      <c r="C4542" s="115"/>
      <c r="D4542" s="115"/>
      <c r="E4542" s="115"/>
      <c r="F4542" s="115"/>
    </row>
    <row r="4543" spans="1:6" x14ac:dyDescent="0.2">
      <c r="A4543" s="115"/>
      <c r="B4543" s="79"/>
      <c r="C4543" s="115"/>
      <c r="D4543" s="115"/>
      <c r="E4543" s="115"/>
      <c r="F4543" s="115"/>
    </row>
    <row r="4544" spans="1:6" x14ac:dyDescent="0.2">
      <c r="A4544" s="115"/>
      <c r="B4544" s="79"/>
      <c r="C4544" s="115"/>
      <c r="D4544" s="115"/>
      <c r="E4544" s="115"/>
      <c r="F4544" s="115"/>
    </row>
    <row r="4545" spans="1:6" x14ac:dyDescent="0.2">
      <c r="A4545" s="115"/>
      <c r="B4545" s="79"/>
      <c r="C4545" s="115"/>
      <c r="D4545" s="115"/>
      <c r="E4545" s="115"/>
      <c r="F4545" s="115"/>
    </row>
    <row r="4546" spans="1:6" x14ac:dyDescent="0.2">
      <c r="A4546" s="115"/>
      <c r="B4546" s="79"/>
      <c r="C4546" s="115"/>
      <c r="D4546" s="115"/>
      <c r="E4546" s="115"/>
      <c r="F4546" s="115"/>
    </row>
    <row r="4547" spans="1:6" x14ac:dyDescent="0.2">
      <c r="A4547" s="115"/>
      <c r="B4547" s="79"/>
      <c r="C4547" s="115"/>
      <c r="D4547" s="115"/>
      <c r="E4547" s="115"/>
      <c r="F4547" s="115"/>
    </row>
    <row r="4548" spans="1:6" x14ac:dyDescent="0.2">
      <c r="A4548" s="115"/>
      <c r="B4548" s="79"/>
      <c r="C4548" s="115"/>
      <c r="D4548" s="115"/>
      <c r="E4548" s="115"/>
      <c r="F4548" s="115"/>
    </row>
    <row r="4549" spans="1:6" x14ac:dyDescent="0.2">
      <c r="A4549" s="115"/>
      <c r="B4549" s="79"/>
      <c r="C4549" s="115"/>
      <c r="D4549" s="115"/>
      <c r="E4549" s="115"/>
      <c r="F4549" s="115"/>
    </row>
    <row r="4550" spans="1:6" x14ac:dyDescent="0.2">
      <c r="A4550" s="115"/>
      <c r="B4550" s="79"/>
      <c r="C4550" s="115"/>
      <c r="D4550" s="115"/>
      <c r="E4550" s="115"/>
      <c r="F4550" s="115"/>
    </row>
    <row r="4551" spans="1:6" x14ac:dyDescent="0.2">
      <c r="A4551" s="115"/>
      <c r="B4551" s="79"/>
      <c r="C4551" s="115"/>
      <c r="D4551" s="115"/>
      <c r="E4551" s="115"/>
      <c r="F4551" s="115"/>
    </row>
    <row r="4552" spans="1:6" x14ac:dyDescent="0.2">
      <c r="A4552" s="115"/>
      <c r="B4552" s="79"/>
      <c r="C4552" s="115"/>
      <c r="D4552" s="115"/>
      <c r="E4552" s="115"/>
      <c r="F4552" s="115"/>
    </row>
    <row r="4553" spans="1:6" x14ac:dyDescent="0.2">
      <c r="A4553" s="115"/>
      <c r="B4553" s="79"/>
      <c r="C4553" s="115"/>
      <c r="D4553" s="115"/>
      <c r="E4553" s="115"/>
      <c r="F4553" s="115"/>
    </row>
    <row r="4554" spans="1:6" x14ac:dyDescent="0.2">
      <c r="A4554" s="115"/>
      <c r="B4554" s="79"/>
      <c r="C4554" s="115"/>
      <c r="D4554" s="115"/>
      <c r="E4554" s="115"/>
      <c r="F4554" s="115"/>
    </row>
    <row r="4555" spans="1:6" x14ac:dyDescent="0.2">
      <c r="A4555" s="115"/>
      <c r="B4555" s="79"/>
      <c r="C4555" s="115"/>
      <c r="D4555" s="115"/>
      <c r="E4555" s="115"/>
      <c r="F4555" s="115"/>
    </row>
    <row r="4556" spans="1:6" x14ac:dyDescent="0.2">
      <c r="A4556" s="115"/>
      <c r="B4556" s="79"/>
      <c r="C4556" s="115"/>
      <c r="D4556" s="115"/>
      <c r="E4556" s="115"/>
      <c r="F4556" s="115"/>
    </row>
    <row r="4557" spans="1:6" x14ac:dyDescent="0.2">
      <c r="A4557" s="115"/>
      <c r="B4557" s="79"/>
      <c r="C4557" s="115"/>
      <c r="D4557" s="115"/>
      <c r="E4557" s="115"/>
      <c r="F4557" s="115"/>
    </row>
    <row r="4558" spans="1:6" x14ac:dyDescent="0.2">
      <c r="A4558" s="115"/>
      <c r="B4558" s="79"/>
      <c r="C4558" s="115"/>
      <c r="D4558" s="115"/>
      <c r="E4558" s="115"/>
      <c r="F4558" s="115"/>
    </row>
    <row r="4559" spans="1:6" x14ac:dyDescent="0.2">
      <c r="A4559" s="115"/>
      <c r="B4559" s="79"/>
      <c r="C4559" s="115"/>
      <c r="D4559" s="115"/>
      <c r="E4559" s="115"/>
      <c r="F4559" s="115"/>
    </row>
    <row r="4560" spans="1:6" x14ac:dyDescent="0.2">
      <c r="A4560" s="115"/>
      <c r="B4560" s="79"/>
      <c r="C4560" s="115"/>
      <c r="D4560" s="115"/>
      <c r="E4560" s="115"/>
      <c r="F4560" s="115"/>
    </row>
    <row r="4561" spans="1:6" x14ac:dyDescent="0.2">
      <c r="A4561" s="115"/>
      <c r="B4561" s="79"/>
      <c r="C4561" s="115"/>
      <c r="D4561" s="115"/>
      <c r="E4561" s="115"/>
      <c r="F4561" s="115"/>
    </row>
    <row r="4562" spans="1:6" x14ac:dyDescent="0.2">
      <c r="A4562" s="115"/>
      <c r="B4562" s="79"/>
      <c r="C4562" s="115"/>
      <c r="D4562" s="115"/>
      <c r="E4562" s="115"/>
      <c r="F4562" s="115"/>
    </row>
    <row r="4563" spans="1:6" x14ac:dyDescent="0.2">
      <c r="A4563" s="115"/>
      <c r="B4563" s="79"/>
      <c r="C4563" s="115"/>
      <c r="D4563" s="115"/>
      <c r="E4563" s="115"/>
      <c r="F4563" s="115"/>
    </row>
    <row r="4564" spans="1:6" x14ac:dyDescent="0.2">
      <c r="A4564" s="115"/>
      <c r="B4564" s="79"/>
      <c r="C4564" s="115"/>
      <c r="D4564" s="115"/>
      <c r="E4564" s="115"/>
      <c r="F4564" s="115"/>
    </row>
    <row r="4565" spans="1:6" x14ac:dyDescent="0.2">
      <c r="A4565" s="115"/>
      <c r="B4565" s="79"/>
      <c r="C4565" s="115"/>
      <c r="D4565" s="115"/>
      <c r="E4565" s="115"/>
      <c r="F4565" s="115"/>
    </row>
    <row r="4566" spans="1:6" x14ac:dyDescent="0.2">
      <c r="A4566" s="115"/>
      <c r="B4566" s="79"/>
      <c r="C4566" s="115"/>
      <c r="D4566" s="115"/>
      <c r="E4566" s="115"/>
      <c r="F4566" s="115"/>
    </row>
    <row r="4567" spans="1:6" x14ac:dyDescent="0.2">
      <c r="A4567" s="115"/>
      <c r="B4567" s="79"/>
      <c r="C4567" s="115"/>
      <c r="D4567" s="115"/>
      <c r="E4567" s="115"/>
      <c r="F4567" s="115"/>
    </row>
    <row r="4568" spans="1:6" x14ac:dyDescent="0.2">
      <c r="A4568" s="115"/>
      <c r="B4568" s="79"/>
      <c r="C4568" s="115"/>
      <c r="D4568" s="115"/>
      <c r="E4568" s="115"/>
      <c r="F4568" s="115"/>
    </row>
    <row r="4569" spans="1:6" x14ac:dyDescent="0.2">
      <c r="A4569" s="115"/>
      <c r="B4569" s="79"/>
      <c r="C4569" s="115"/>
      <c r="D4569" s="115"/>
      <c r="E4569" s="115"/>
      <c r="F4569" s="115"/>
    </row>
    <row r="4570" spans="1:6" x14ac:dyDescent="0.2">
      <c r="A4570" s="115"/>
      <c r="B4570" s="79"/>
      <c r="C4570" s="115"/>
      <c r="D4570" s="115"/>
      <c r="E4570" s="115"/>
      <c r="F4570" s="115"/>
    </row>
    <row r="4571" spans="1:6" x14ac:dyDescent="0.2">
      <c r="A4571" s="115"/>
      <c r="B4571" s="79"/>
      <c r="C4571" s="115"/>
      <c r="D4571" s="115"/>
      <c r="E4571" s="115"/>
      <c r="F4571" s="115"/>
    </row>
    <row r="4572" spans="1:6" x14ac:dyDescent="0.2">
      <c r="A4572" s="115"/>
      <c r="B4572" s="79"/>
      <c r="C4572" s="115"/>
      <c r="D4572" s="115"/>
      <c r="E4572" s="115"/>
      <c r="F4572" s="115"/>
    </row>
    <row r="4573" spans="1:6" x14ac:dyDescent="0.2">
      <c r="A4573" s="115"/>
      <c r="B4573" s="79"/>
      <c r="C4573" s="115"/>
      <c r="D4573" s="115"/>
      <c r="E4573" s="115"/>
      <c r="F4573" s="115"/>
    </row>
    <row r="4574" spans="1:6" x14ac:dyDescent="0.2">
      <c r="A4574" s="115"/>
      <c r="B4574" s="79"/>
      <c r="C4574" s="115"/>
      <c r="D4574" s="115"/>
      <c r="E4574" s="115"/>
      <c r="F4574" s="115"/>
    </row>
    <row r="4575" spans="1:6" x14ac:dyDescent="0.2">
      <c r="A4575" s="115"/>
      <c r="B4575" s="79"/>
      <c r="C4575" s="115"/>
      <c r="D4575" s="115"/>
      <c r="E4575" s="115"/>
      <c r="F4575" s="115"/>
    </row>
    <row r="4576" spans="1:6" x14ac:dyDescent="0.2">
      <c r="A4576" s="115"/>
      <c r="B4576" s="79"/>
      <c r="C4576" s="115"/>
      <c r="D4576" s="115"/>
      <c r="E4576" s="115"/>
      <c r="F4576" s="115"/>
    </row>
    <row r="4577" spans="1:6" x14ac:dyDescent="0.2">
      <c r="A4577" s="115"/>
      <c r="B4577" s="79"/>
      <c r="C4577" s="115"/>
      <c r="D4577" s="115"/>
      <c r="E4577" s="115"/>
      <c r="F4577" s="115"/>
    </row>
    <row r="4578" spans="1:6" x14ac:dyDescent="0.2">
      <c r="A4578" s="115"/>
      <c r="B4578" s="79"/>
      <c r="C4578" s="115"/>
      <c r="D4578" s="115"/>
      <c r="E4578" s="115"/>
      <c r="F4578" s="115"/>
    </row>
    <row r="4579" spans="1:6" x14ac:dyDescent="0.2">
      <c r="A4579" s="115"/>
      <c r="B4579" s="79"/>
      <c r="C4579" s="115"/>
      <c r="D4579" s="115"/>
      <c r="E4579" s="115"/>
      <c r="F4579" s="115"/>
    </row>
    <row r="4580" spans="1:6" x14ac:dyDescent="0.2">
      <c r="A4580" s="115"/>
      <c r="B4580" s="79"/>
      <c r="C4580" s="115"/>
      <c r="D4580" s="115"/>
      <c r="E4580" s="115"/>
      <c r="F4580" s="115"/>
    </row>
    <row r="4581" spans="1:6" x14ac:dyDescent="0.2">
      <c r="A4581" s="115"/>
      <c r="B4581" s="79"/>
      <c r="C4581" s="115"/>
      <c r="D4581" s="115"/>
      <c r="E4581" s="115"/>
      <c r="F4581" s="115"/>
    </row>
    <row r="4582" spans="1:6" x14ac:dyDescent="0.2">
      <c r="A4582" s="115"/>
      <c r="B4582" s="79"/>
      <c r="C4582" s="115"/>
      <c r="D4582" s="115"/>
      <c r="E4582" s="115"/>
      <c r="F4582" s="115"/>
    </row>
  </sheetData>
  <autoFilter ref="A1:A6" xr:uid="{DC8CEB02-1C3D-4C48-8388-1C3229C7B960}"/>
  <pageMargins left="0.7" right="0.7" top="0.75" bottom="0.75" header="0.3" footer="0.3"/>
  <pageSetup orientation="portrait" r:id="rId1"/>
  <headerFooter>
    <oddFooter>&amp;R_x000D_&amp;1#&amp;"Calibri"&amp;10&amp;K000000 Official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6A1-E2A0-4099-AC01-93D7BE882AFA}">
  <sheetPr>
    <tabColor theme="9" tint="0.59999389629810485"/>
  </sheetPr>
  <dimension ref="A1:D651"/>
  <sheetViews>
    <sheetView zoomScale="156" zoomScaleNormal="85" workbookViewId="0">
      <pane ySplit="1" topLeftCell="A2" activePane="bottomLeft" state="frozen"/>
      <selection activeCell="B3" sqref="B3"/>
      <selection pane="bottomLeft" activeCell="C7" sqref="C7"/>
    </sheetView>
  </sheetViews>
  <sheetFormatPr baseColWidth="10" defaultColWidth="9" defaultRowHeight="15" x14ac:dyDescent="0.2"/>
  <cols>
    <col min="1" max="1" width="12" style="77" customWidth="1"/>
    <col min="2" max="2" width="26.5" style="70" customWidth="1"/>
    <col min="3" max="3" width="81.6640625" style="77" customWidth="1"/>
    <col min="4" max="4" width="13.5" style="77" customWidth="1"/>
    <col min="5" max="16384" width="9" style="79"/>
  </cols>
  <sheetData>
    <row r="1" spans="1:4" s="86" customFormat="1" ht="16" x14ac:dyDescent="0.2">
      <c r="A1" s="85" t="s">
        <v>14</v>
      </c>
      <c r="B1" s="74" t="s">
        <v>269</v>
      </c>
      <c r="C1" s="85" t="s">
        <v>249</v>
      </c>
      <c r="D1" s="85" t="s">
        <v>264</v>
      </c>
    </row>
    <row r="2" spans="1:4" ht="79.5" customHeight="1" x14ac:dyDescent="0.2">
      <c r="A2" s="78" t="s">
        <v>725</v>
      </c>
      <c r="B2" s="70" t="s">
        <v>270</v>
      </c>
      <c r="C2" s="78" t="s">
        <v>649</v>
      </c>
      <c r="D2" s="70" t="s">
        <v>266</v>
      </c>
    </row>
    <row r="3" spans="1:4" ht="79.5" customHeight="1" x14ac:dyDescent="0.2">
      <c r="A3" s="78" t="s">
        <v>725</v>
      </c>
      <c r="B3" s="70" t="s">
        <v>650</v>
      </c>
      <c r="C3" s="78" t="s">
        <v>651</v>
      </c>
      <c r="D3" s="70" t="s">
        <v>266</v>
      </c>
    </row>
    <row r="4" spans="1:4" ht="79.5" customHeight="1" x14ac:dyDescent="0.2">
      <c r="A4" s="78" t="s">
        <v>725</v>
      </c>
      <c r="B4" s="70" t="s">
        <v>652</v>
      </c>
      <c r="C4" s="78" t="s">
        <v>653</v>
      </c>
      <c r="D4" s="70" t="s">
        <v>266</v>
      </c>
    </row>
    <row r="5" spans="1:4" ht="79.5" customHeight="1" x14ac:dyDescent="0.2">
      <c r="A5" s="78" t="s">
        <v>725</v>
      </c>
      <c r="B5" s="70" t="s">
        <v>654</v>
      </c>
      <c r="C5" s="70" t="s">
        <v>655</v>
      </c>
      <c r="D5" s="70" t="s">
        <v>266</v>
      </c>
    </row>
    <row r="6" spans="1:4" ht="79.5" customHeight="1" x14ac:dyDescent="0.2">
      <c r="A6" s="70" t="s">
        <v>694</v>
      </c>
      <c r="B6" s="70" t="s">
        <v>699</v>
      </c>
      <c r="C6" s="70" t="s">
        <v>700</v>
      </c>
      <c r="D6" s="70" t="s">
        <v>266</v>
      </c>
    </row>
    <row r="7" spans="1:4" ht="79.5" customHeight="1" x14ac:dyDescent="0.2">
      <c r="A7" s="70" t="s">
        <v>694</v>
      </c>
      <c r="B7" s="70" t="s">
        <v>701</v>
      </c>
      <c r="C7" s="70" t="s">
        <v>702</v>
      </c>
      <c r="D7" s="70" t="s">
        <v>266</v>
      </c>
    </row>
    <row r="8" spans="1:4" ht="79.5" customHeight="1" x14ac:dyDescent="0.2">
      <c r="A8" s="70" t="s">
        <v>694</v>
      </c>
      <c r="B8" s="70" t="s">
        <v>703</v>
      </c>
      <c r="C8" s="70" t="s">
        <v>704</v>
      </c>
      <c r="D8" s="70" t="s">
        <v>266</v>
      </c>
    </row>
    <row r="9" spans="1:4" ht="79.5" customHeight="1" x14ac:dyDescent="0.2">
      <c r="A9" s="70" t="s">
        <v>724</v>
      </c>
      <c r="B9" s="70" t="s">
        <v>271</v>
      </c>
      <c r="C9" s="70" t="s">
        <v>640</v>
      </c>
      <c r="D9" s="70" t="s">
        <v>266</v>
      </c>
    </row>
    <row r="10" spans="1:4" ht="79.5" customHeight="1" x14ac:dyDescent="0.2">
      <c r="A10" s="70" t="s">
        <v>724</v>
      </c>
      <c r="B10" s="70" t="s">
        <v>641</v>
      </c>
      <c r="C10" s="70" t="s">
        <v>642</v>
      </c>
      <c r="D10" s="70" t="s">
        <v>266</v>
      </c>
    </row>
    <row r="11" spans="1:4" ht="79.5" customHeight="1" x14ac:dyDescent="0.2">
      <c r="A11" s="70" t="s">
        <v>724</v>
      </c>
      <c r="B11" s="70" t="s">
        <v>643</v>
      </c>
      <c r="C11" s="78" t="s">
        <v>803</v>
      </c>
      <c r="D11" s="70" t="s">
        <v>266</v>
      </c>
    </row>
    <row r="12" spans="1:4" ht="79.5" customHeight="1" x14ac:dyDescent="0.2">
      <c r="A12" s="70" t="s">
        <v>786</v>
      </c>
      <c r="B12" s="70" t="s">
        <v>791</v>
      </c>
      <c r="C12" s="70" t="s">
        <v>792</v>
      </c>
      <c r="D12" s="70" t="s">
        <v>266</v>
      </c>
    </row>
    <row r="13" spans="1:4" ht="120.75" customHeight="1" x14ac:dyDescent="0.2">
      <c r="A13" s="70" t="s">
        <v>786</v>
      </c>
      <c r="B13" s="70" t="s">
        <v>793</v>
      </c>
      <c r="C13" s="84" t="s">
        <v>794</v>
      </c>
      <c r="D13" s="70" t="s">
        <v>266</v>
      </c>
    </row>
    <row r="14" spans="1:4" ht="79.5" customHeight="1" x14ac:dyDescent="0.2">
      <c r="A14" s="70" t="s">
        <v>786</v>
      </c>
      <c r="B14" s="70" t="s">
        <v>795</v>
      </c>
      <c r="C14" s="84" t="s">
        <v>796</v>
      </c>
      <c r="D14" s="70" t="s">
        <v>266</v>
      </c>
    </row>
    <row r="15" spans="1:4" ht="79.5" customHeight="1" x14ac:dyDescent="0.2">
      <c r="A15" s="70" t="s">
        <v>757</v>
      </c>
      <c r="B15" s="70" t="s">
        <v>272</v>
      </c>
      <c r="C15" s="70" t="s">
        <v>766</v>
      </c>
      <c r="D15" s="70" t="s">
        <v>266</v>
      </c>
    </row>
    <row r="16" spans="1:4" ht="79.5" customHeight="1" x14ac:dyDescent="0.2">
      <c r="A16" s="70" t="s">
        <v>757</v>
      </c>
      <c r="B16" s="70" t="s">
        <v>762</v>
      </c>
      <c r="C16" s="70" t="s">
        <v>765</v>
      </c>
      <c r="D16" s="70" t="s">
        <v>266</v>
      </c>
    </row>
    <row r="17" spans="1:4" ht="79.5" customHeight="1" x14ac:dyDescent="0.2">
      <c r="A17" s="107" t="s">
        <v>757</v>
      </c>
      <c r="B17" s="107" t="s">
        <v>763</v>
      </c>
      <c r="C17" s="107" t="s">
        <v>764</v>
      </c>
      <c r="D17" s="107" t="s">
        <v>266</v>
      </c>
    </row>
    <row r="18" spans="1:4" x14ac:dyDescent="0.2">
      <c r="A18" s="115"/>
      <c r="B18" s="106"/>
      <c r="C18" s="116"/>
      <c r="D18" s="116"/>
    </row>
    <row r="19" spans="1:4" x14ac:dyDescent="0.2">
      <c r="A19" s="115"/>
      <c r="B19" s="106"/>
      <c r="C19" s="116"/>
      <c r="D19" s="116"/>
    </row>
    <row r="20" spans="1:4" x14ac:dyDescent="0.2">
      <c r="A20" s="115"/>
      <c r="B20" s="106"/>
      <c r="C20" s="116"/>
      <c r="D20" s="116"/>
    </row>
    <row r="21" spans="1:4" x14ac:dyDescent="0.2">
      <c r="A21" s="115"/>
      <c r="B21" s="106"/>
      <c r="C21" s="116"/>
      <c r="D21" s="116"/>
    </row>
    <row r="22" spans="1:4" x14ac:dyDescent="0.2">
      <c r="A22" s="115"/>
      <c r="B22" s="106"/>
      <c r="C22" s="116"/>
      <c r="D22" s="116"/>
    </row>
    <row r="23" spans="1:4" x14ac:dyDescent="0.2">
      <c r="A23" s="115"/>
      <c r="B23" s="106"/>
      <c r="C23" s="116"/>
      <c r="D23" s="116"/>
    </row>
    <row r="24" spans="1:4" x14ac:dyDescent="0.2">
      <c r="A24" s="115"/>
      <c r="B24" s="106"/>
      <c r="C24" s="116"/>
      <c r="D24" s="116"/>
    </row>
    <row r="25" spans="1:4" x14ac:dyDescent="0.2">
      <c r="A25" s="115"/>
      <c r="B25" s="106"/>
      <c r="C25" s="116"/>
      <c r="D25" s="116"/>
    </row>
    <row r="26" spans="1:4" x14ac:dyDescent="0.2">
      <c r="A26" s="115"/>
      <c r="B26" s="106"/>
      <c r="C26" s="116"/>
      <c r="D26" s="116"/>
    </row>
    <row r="27" spans="1:4" x14ac:dyDescent="0.2">
      <c r="A27" s="115"/>
      <c r="B27" s="106"/>
      <c r="C27" s="116"/>
      <c r="D27" s="116"/>
    </row>
    <row r="28" spans="1:4" x14ac:dyDescent="0.2">
      <c r="A28" s="115"/>
      <c r="B28" s="106"/>
      <c r="C28" s="116"/>
      <c r="D28" s="116"/>
    </row>
    <row r="29" spans="1:4" x14ac:dyDescent="0.2">
      <c r="A29" s="115"/>
      <c r="B29" s="106"/>
      <c r="C29" s="116"/>
      <c r="D29" s="116"/>
    </row>
    <row r="30" spans="1:4" x14ac:dyDescent="0.2">
      <c r="A30" s="115"/>
      <c r="B30" s="106"/>
      <c r="C30" s="116"/>
      <c r="D30" s="116"/>
    </row>
    <row r="31" spans="1:4" x14ac:dyDescent="0.2">
      <c r="A31" s="115"/>
      <c r="B31" s="106"/>
      <c r="C31" s="116"/>
      <c r="D31" s="116"/>
    </row>
    <row r="32" spans="1:4" x14ac:dyDescent="0.2">
      <c r="A32" s="115"/>
      <c r="B32" s="106"/>
      <c r="C32" s="116"/>
      <c r="D32" s="116"/>
    </row>
    <row r="33" spans="1:4" x14ac:dyDescent="0.2">
      <c r="A33" s="115"/>
      <c r="B33" s="106"/>
      <c r="C33" s="116"/>
      <c r="D33" s="116"/>
    </row>
    <row r="34" spans="1:4" x14ac:dyDescent="0.2">
      <c r="A34" s="115"/>
      <c r="B34" s="106"/>
      <c r="C34" s="116"/>
      <c r="D34" s="116"/>
    </row>
    <row r="35" spans="1:4" x14ac:dyDescent="0.2">
      <c r="A35" s="115"/>
      <c r="B35" s="106"/>
      <c r="C35" s="116"/>
      <c r="D35" s="116"/>
    </row>
    <row r="36" spans="1:4" x14ac:dyDescent="0.2">
      <c r="A36" s="115"/>
      <c r="B36" s="106"/>
      <c r="C36" s="116"/>
      <c r="D36" s="116"/>
    </row>
    <row r="37" spans="1:4" x14ac:dyDescent="0.2">
      <c r="A37" s="115"/>
      <c r="B37" s="106"/>
      <c r="C37" s="116"/>
      <c r="D37" s="116"/>
    </row>
    <row r="38" spans="1:4" x14ac:dyDescent="0.2">
      <c r="A38" s="115"/>
      <c r="B38" s="106"/>
      <c r="C38" s="116"/>
      <c r="D38" s="116"/>
    </row>
    <row r="39" spans="1:4" x14ac:dyDescent="0.2">
      <c r="A39" s="115"/>
      <c r="B39" s="106"/>
      <c r="C39" s="116"/>
      <c r="D39" s="116"/>
    </row>
    <row r="40" spans="1:4" x14ac:dyDescent="0.2">
      <c r="A40" s="115"/>
      <c r="B40" s="106"/>
      <c r="C40" s="116"/>
      <c r="D40" s="116"/>
    </row>
    <row r="41" spans="1:4" x14ac:dyDescent="0.2">
      <c r="A41" s="115"/>
      <c r="B41" s="106"/>
      <c r="C41" s="116"/>
      <c r="D41" s="116"/>
    </row>
    <row r="42" spans="1:4" x14ac:dyDescent="0.2">
      <c r="A42" s="115"/>
      <c r="B42" s="106"/>
      <c r="C42" s="116"/>
      <c r="D42" s="116"/>
    </row>
    <row r="43" spans="1:4" x14ac:dyDescent="0.2">
      <c r="A43" s="115"/>
      <c r="B43" s="106"/>
      <c r="C43" s="116"/>
      <c r="D43" s="116"/>
    </row>
    <row r="44" spans="1:4" x14ac:dyDescent="0.2">
      <c r="A44" s="115"/>
      <c r="B44" s="106"/>
      <c r="C44" s="116"/>
      <c r="D44" s="116"/>
    </row>
    <row r="45" spans="1:4" x14ac:dyDescent="0.2">
      <c r="A45" s="115"/>
      <c r="B45" s="106"/>
      <c r="C45" s="116"/>
      <c r="D45" s="116"/>
    </row>
    <row r="46" spans="1:4" x14ac:dyDescent="0.2">
      <c r="A46" s="115"/>
      <c r="B46" s="106"/>
      <c r="C46" s="116"/>
      <c r="D46" s="116"/>
    </row>
    <row r="47" spans="1:4" x14ac:dyDescent="0.2">
      <c r="A47" s="115"/>
      <c r="B47" s="106"/>
      <c r="C47" s="116"/>
      <c r="D47" s="116"/>
    </row>
    <row r="48" spans="1:4" x14ac:dyDescent="0.2">
      <c r="A48" s="115"/>
      <c r="B48" s="106"/>
      <c r="C48" s="116"/>
      <c r="D48" s="116"/>
    </row>
    <row r="49" spans="1:4" x14ac:dyDescent="0.2">
      <c r="A49" s="115"/>
      <c r="B49" s="106"/>
      <c r="C49" s="116"/>
      <c r="D49" s="116"/>
    </row>
    <row r="50" spans="1:4" x14ac:dyDescent="0.2">
      <c r="A50" s="115"/>
      <c r="B50" s="106"/>
      <c r="C50" s="116"/>
      <c r="D50" s="116"/>
    </row>
    <row r="51" spans="1:4" x14ac:dyDescent="0.2">
      <c r="A51" s="115"/>
      <c r="B51" s="106"/>
      <c r="C51" s="116"/>
      <c r="D51" s="116"/>
    </row>
    <row r="52" spans="1:4" x14ac:dyDescent="0.2">
      <c r="A52" s="115"/>
      <c r="B52" s="106"/>
      <c r="C52" s="116"/>
      <c r="D52" s="116"/>
    </row>
    <row r="53" spans="1:4" x14ac:dyDescent="0.2">
      <c r="A53" s="115"/>
      <c r="B53" s="106"/>
      <c r="C53" s="116"/>
      <c r="D53" s="116"/>
    </row>
    <row r="54" spans="1:4" x14ac:dyDescent="0.2">
      <c r="A54" s="115"/>
      <c r="B54" s="106"/>
      <c r="C54" s="116"/>
      <c r="D54" s="116"/>
    </row>
    <row r="55" spans="1:4" x14ac:dyDescent="0.2">
      <c r="A55" s="115"/>
      <c r="B55" s="106"/>
      <c r="C55" s="116"/>
      <c r="D55" s="116"/>
    </row>
    <row r="56" spans="1:4" x14ac:dyDescent="0.2">
      <c r="A56" s="115"/>
      <c r="B56" s="106"/>
      <c r="C56" s="116"/>
      <c r="D56" s="116"/>
    </row>
    <row r="57" spans="1:4" x14ac:dyDescent="0.2">
      <c r="A57" s="115"/>
      <c r="B57" s="106"/>
      <c r="C57" s="116"/>
      <c r="D57" s="116"/>
    </row>
    <row r="58" spans="1:4" x14ac:dyDescent="0.2">
      <c r="A58" s="115"/>
      <c r="B58" s="106"/>
      <c r="C58" s="116"/>
      <c r="D58" s="116"/>
    </row>
    <row r="59" spans="1:4" x14ac:dyDescent="0.2">
      <c r="A59" s="115"/>
      <c r="B59" s="106"/>
      <c r="C59" s="116"/>
      <c r="D59" s="116"/>
    </row>
    <row r="60" spans="1:4" x14ac:dyDescent="0.2">
      <c r="A60" s="115"/>
      <c r="B60" s="106"/>
      <c r="C60" s="115"/>
      <c r="D60" s="115"/>
    </row>
    <row r="61" spans="1:4" x14ac:dyDescent="0.2">
      <c r="A61" s="115"/>
      <c r="B61" s="106"/>
      <c r="C61" s="115"/>
      <c r="D61" s="115"/>
    </row>
    <row r="62" spans="1:4" x14ac:dyDescent="0.2">
      <c r="A62" s="115"/>
      <c r="B62" s="106"/>
      <c r="C62" s="115"/>
      <c r="D62" s="115"/>
    </row>
    <row r="63" spans="1:4" x14ac:dyDescent="0.2">
      <c r="A63" s="115"/>
      <c r="B63" s="106"/>
      <c r="C63" s="115"/>
      <c r="D63" s="115"/>
    </row>
    <row r="64" spans="1:4" x14ac:dyDescent="0.2">
      <c r="A64" s="115"/>
      <c r="B64" s="106"/>
      <c r="C64" s="115"/>
      <c r="D64" s="115"/>
    </row>
    <row r="65" spans="1:4" x14ac:dyDescent="0.2">
      <c r="A65" s="115"/>
      <c r="B65" s="106"/>
      <c r="C65" s="115"/>
      <c r="D65" s="115"/>
    </row>
    <row r="66" spans="1:4" x14ac:dyDescent="0.2">
      <c r="A66" s="115"/>
      <c r="B66" s="106"/>
      <c r="C66" s="115"/>
      <c r="D66" s="115"/>
    </row>
    <row r="67" spans="1:4" x14ac:dyDescent="0.2">
      <c r="A67" s="115"/>
      <c r="B67" s="106"/>
      <c r="C67" s="115"/>
      <c r="D67" s="115"/>
    </row>
    <row r="68" spans="1:4" x14ac:dyDescent="0.2">
      <c r="A68" s="115"/>
      <c r="B68" s="106"/>
      <c r="C68" s="115"/>
      <c r="D68" s="115"/>
    </row>
    <row r="69" spans="1:4" x14ac:dyDescent="0.2">
      <c r="A69" s="115"/>
      <c r="B69" s="106"/>
      <c r="C69" s="115"/>
      <c r="D69" s="115"/>
    </row>
    <row r="70" spans="1:4" x14ac:dyDescent="0.2">
      <c r="A70" s="115"/>
      <c r="B70" s="106"/>
      <c r="C70" s="115"/>
      <c r="D70" s="115"/>
    </row>
    <row r="71" spans="1:4" x14ac:dyDescent="0.2">
      <c r="A71" s="115"/>
      <c r="B71" s="106"/>
      <c r="C71" s="115"/>
      <c r="D71" s="115"/>
    </row>
    <row r="72" spans="1:4" x14ac:dyDescent="0.2">
      <c r="A72" s="115"/>
      <c r="B72" s="106"/>
      <c r="C72" s="115"/>
      <c r="D72" s="115"/>
    </row>
    <row r="73" spans="1:4" x14ac:dyDescent="0.2">
      <c r="A73" s="115"/>
      <c r="B73" s="106"/>
      <c r="C73" s="115"/>
      <c r="D73" s="115"/>
    </row>
    <row r="74" spans="1:4" x14ac:dyDescent="0.2">
      <c r="A74" s="115"/>
      <c r="B74" s="106"/>
      <c r="C74" s="115"/>
      <c r="D74" s="115"/>
    </row>
    <row r="75" spans="1:4" x14ac:dyDescent="0.2">
      <c r="A75" s="115"/>
      <c r="B75" s="106"/>
      <c r="C75" s="115"/>
      <c r="D75" s="115"/>
    </row>
    <row r="76" spans="1:4" x14ac:dyDescent="0.2">
      <c r="A76" s="115"/>
      <c r="B76" s="106"/>
      <c r="C76" s="115"/>
      <c r="D76" s="115"/>
    </row>
    <row r="77" spans="1:4" x14ac:dyDescent="0.2">
      <c r="A77" s="115"/>
      <c r="B77" s="106"/>
      <c r="C77" s="115"/>
      <c r="D77" s="115"/>
    </row>
    <row r="78" spans="1:4" x14ac:dyDescent="0.2">
      <c r="A78" s="115"/>
      <c r="B78" s="106"/>
      <c r="C78" s="115"/>
      <c r="D78" s="115"/>
    </row>
    <row r="79" spans="1:4" x14ac:dyDescent="0.2">
      <c r="A79" s="115"/>
      <c r="B79" s="106"/>
      <c r="C79" s="115"/>
      <c r="D79" s="115"/>
    </row>
    <row r="80" spans="1:4" x14ac:dyDescent="0.2">
      <c r="A80" s="115"/>
      <c r="B80" s="106"/>
      <c r="C80" s="115"/>
      <c r="D80" s="115"/>
    </row>
    <row r="81" spans="1:4" x14ac:dyDescent="0.2">
      <c r="A81" s="115"/>
      <c r="B81" s="106"/>
      <c r="C81" s="115"/>
      <c r="D81" s="115"/>
    </row>
    <row r="82" spans="1:4" x14ac:dyDescent="0.2">
      <c r="A82" s="115"/>
      <c r="B82" s="106"/>
      <c r="C82" s="115"/>
      <c r="D82" s="115"/>
    </row>
    <row r="83" spans="1:4" x14ac:dyDescent="0.2">
      <c r="A83" s="115"/>
      <c r="B83" s="106"/>
      <c r="C83" s="115"/>
      <c r="D83" s="115"/>
    </row>
    <row r="84" spans="1:4" x14ac:dyDescent="0.2">
      <c r="A84" s="115"/>
      <c r="B84" s="106"/>
      <c r="C84" s="115"/>
      <c r="D84" s="115"/>
    </row>
    <row r="85" spans="1:4" x14ac:dyDescent="0.2">
      <c r="A85" s="115"/>
      <c r="B85" s="106"/>
      <c r="C85" s="115"/>
      <c r="D85" s="115"/>
    </row>
    <row r="86" spans="1:4" x14ac:dyDescent="0.2">
      <c r="A86" s="115"/>
      <c r="B86" s="106"/>
      <c r="C86" s="115"/>
      <c r="D86" s="115"/>
    </row>
    <row r="87" spans="1:4" x14ac:dyDescent="0.2">
      <c r="A87" s="115"/>
      <c r="B87" s="106"/>
      <c r="C87" s="115"/>
      <c r="D87" s="115"/>
    </row>
    <row r="88" spans="1:4" x14ac:dyDescent="0.2">
      <c r="A88" s="115"/>
      <c r="B88" s="106"/>
      <c r="C88" s="115"/>
      <c r="D88" s="115"/>
    </row>
    <row r="89" spans="1:4" x14ac:dyDescent="0.2">
      <c r="A89" s="115"/>
      <c r="B89" s="106"/>
      <c r="C89" s="115"/>
      <c r="D89" s="115"/>
    </row>
    <row r="90" spans="1:4" x14ac:dyDescent="0.2">
      <c r="A90" s="115"/>
      <c r="B90" s="106"/>
      <c r="C90" s="115"/>
      <c r="D90" s="115"/>
    </row>
    <row r="91" spans="1:4" x14ac:dyDescent="0.2">
      <c r="A91" s="115"/>
      <c r="B91" s="106"/>
      <c r="C91" s="115"/>
      <c r="D91" s="115"/>
    </row>
    <row r="92" spans="1:4" x14ac:dyDescent="0.2">
      <c r="A92" s="115"/>
      <c r="B92" s="106"/>
      <c r="C92" s="115"/>
      <c r="D92" s="115"/>
    </row>
    <row r="93" spans="1:4" x14ac:dyDescent="0.2">
      <c r="A93" s="115"/>
      <c r="B93" s="106"/>
      <c r="C93" s="115"/>
      <c r="D93" s="115"/>
    </row>
    <row r="94" spans="1:4" x14ac:dyDescent="0.2">
      <c r="A94" s="115"/>
      <c r="B94" s="106"/>
      <c r="C94" s="115"/>
      <c r="D94" s="115"/>
    </row>
    <row r="95" spans="1:4" x14ac:dyDescent="0.2">
      <c r="A95" s="115"/>
      <c r="B95" s="106"/>
      <c r="C95" s="115"/>
      <c r="D95" s="115"/>
    </row>
    <row r="96" spans="1:4" x14ac:dyDescent="0.2">
      <c r="A96" s="115"/>
      <c r="B96" s="106"/>
      <c r="C96" s="115"/>
      <c r="D96" s="115"/>
    </row>
    <row r="97" spans="1:4" x14ac:dyDescent="0.2">
      <c r="A97" s="115"/>
      <c r="B97" s="106"/>
      <c r="C97" s="115"/>
      <c r="D97" s="115"/>
    </row>
    <row r="98" spans="1:4" x14ac:dyDescent="0.2">
      <c r="A98" s="115"/>
      <c r="B98" s="106"/>
      <c r="C98" s="115"/>
      <c r="D98" s="115"/>
    </row>
    <row r="99" spans="1:4" x14ac:dyDescent="0.2">
      <c r="A99" s="115"/>
      <c r="B99" s="106"/>
      <c r="C99" s="115"/>
      <c r="D99" s="115"/>
    </row>
    <row r="100" spans="1:4" x14ac:dyDescent="0.2">
      <c r="A100" s="115"/>
      <c r="B100" s="106"/>
      <c r="C100" s="115"/>
      <c r="D100" s="115"/>
    </row>
    <row r="101" spans="1:4" x14ac:dyDescent="0.2">
      <c r="A101" s="115"/>
      <c r="B101" s="106"/>
      <c r="C101" s="115"/>
      <c r="D101" s="115"/>
    </row>
    <row r="102" spans="1:4" x14ac:dyDescent="0.2">
      <c r="A102" s="115"/>
      <c r="B102" s="106"/>
      <c r="C102" s="115"/>
      <c r="D102" s="115"/>
    </row>
    <row r="103" spans="1:4" x14ac:dyDescent="0.2">
      <c r="A103" s="115"/>
      <c r="B103" s="106"/>
      <c r="C103" s="115"/>
      <c r="D103" s="115"/>
    </row>
    <row r="104" spans="1:4" x14ac:dyDescent="0.2">
      <c r="A104" s="115"/>
      <c r="B104" s="106"/>
      <c r="C104" s="115"/>
      <c r="D104" s="115"/>
    </row>
    <row r="105" spans="1:4" x14ac:dyDescent="0.2">
      <c r="A105" s="115"/>
      <c r="B105" s="106"/>
      <c r="C105" s="115"/>
      <c r="D105" s="115"/>
    </row>
    <row r="106" spans="1:4" x14ac:dyDescent="0.2">
      <c r="A106" s="115"/>
      <c r="B106" s="106"/>
      <c r="C106" s="115"/>
      <c r="D106" s="115"/>
    </row>
    <row r="107" spans="1:4" x14ac:dyDescent="0.2">
      <c r="A107" s="115"/>
      <c r="B107" s="106"/>
      <c r="C107" s="115"/>
      <c r="D107" s="115"/>
    </row>
    <row r="108" spans="1:4" x14ac:dyDescent="0.2">
      <c r="A108" s="115"/>
      <c r="B108" s="106"/>
      <c r="C108" s="115"/>
      <c r="D108" s="115"/>
    </row>
    <row r="109" spans="1:4" x14ac:dyDescent="0.2">
      <c r="A109" s="115"/>
      <c r="B109" s="106"/>
      <c r="C109" s="115"/>
      <c r="D109" s="115"/>
    </row>
    <row r="110" spans="1:4" x14ac:dyDescent="0.2">
      <c r="A110" s="115"/>
      <c r="B110" s="106"/>
      <c r="C110" s="115"/>
      <c r="D110" s="115"/>
    </row>
    <row r="111" spans="1:4" x14ac:dyDescent="0.2">
      <c r="A111" s="115"/>
      <c r="B111" s="106"/>
      <c r="C111" s="115"/>
      <c r="D111" s="115"/>
    </row>
    <row r="112" spans="1:4" x14ac:dyDescent="0.2">
      <c r="A112" s="115"/>
      <c r="B112" s="106"/>
      <c r="C112" s="115"/>
      <c r="D112" s="115"/>
    </row>
    <row r="113" spans="1:4" x14ac:dyDescent="0.2">
      <c r="A113" s="115"/>
      <c r="B113" s="106"/>
      <c r="C113" s="115"/>
      <c r="D113" s="115"/>
    </row>
    <row r="114" spans="1:4" x14ac:dyDescent="0.2">
      <c r="A114" s="115"/>
      <c r="B114" s="106"/>
      <c r="C114" s="115"/>
      <c r="D114" s="115"/>
    </row>
    <row r="115" spans="1:4" x14ac:dyDescent="0.2">
      <c r="A115" s="115"/>
      <c r="B115" s="106"/>
      <c r="C115" s="115"/>
      <c r="D115" s="115"/>
    </row>
    <row r="116" spans="1:4" x14ac:dyDescent="0.2">
      <c r="A116" s="115"/>
      <c r="B116" s="106"/>
      <c r="C116" s="115"/>
      <c r="D116" s="115"/>
    </row>
    <row r="117" spans="1:4" x14ac:dyDescent="0.2">
      <c r="A117" s="115"/>
      <c r="B117" s="106"/>
      <c r="C117" s="115"/>
      <c r="D117" s="115"/>
    </row>
    <row r="118" spans="1:4" x14ac:dyDescent="0.2">
      <c r="A118" s="115"/>
      <c r="B118" s="106"/>
      <c r="C118" s="115"/>
      <c r="D118" s="115"/>
    </row>
    <row r="119" spans="1:4" x14ac:dyDescent="0.2">
      <c r="A119" s="115"/>
      <c r="B119" s="106"/>
      <c r="C119" s="115"/>
      <c r="D119" s="115"/>
    </row>
    <row r="120" spans="1:4" x14ac:dyDescent="0.2">
      <c r="A120" s="115"/>
      <c r="B120" s="106"/>
      <c r="C120" s="115"/>
      <c r="D120" s="115"/>
    </row>
    <row r="121" spans="1:4" x14ac:dyDescent="0.2">
      <c r="A121" s="115"/>
      <c r="B121" s="106"/>
      <c r="C121" s="115"/>
      <c r="D121" s="115"/>
    </row>
    <row r="122" spans="1:4" x14ac:dyDescent="0.2">
      <c r="A122" s="115"/>
      <c r="B122" s="106"/>
      <c r="C122" s="115"/>
      <c r="D122" s="115"/>
    </row>
    <row r="123" spans="1:4" x14ac:dyDescent="0.2">
      <c r="A123" s="115"/>
      <c r="B123" s="106"/>
      <c r="C123" s="115"/>
      <c r="D123" s="115"/>
    </row>
    <row r="124" spans="1:4" x14ac:dyDescent="0.2">
      <c r="A124" s="115"/>
      <c r="B124" s="106"/>
      <c r="C124" s="115"/>
      <c r="D124" s="115"/>
    </row>
    <row r="125" spans="1:4" x14ac:dyDescent="0.2">
      <c r="A125" s="115"/>
      <c r="B125" s="106"/>
      <c r="C125" s="115"/>
      <c r="D125" s="115"/>
    </row>
    <row r="126" spans="1:4" x14ac:dyDescent="0.2">
      <c r="A126" s="115"/>
      <c r="B126" s="106"/>
      <c r="C126" s="115"/>
      <c r="D126" s="115"/>
    </row>
    <row r="127" spans="1:4" x14ac:dyDescent="0.2">
      <c r="A127" s="115"/>
      <c r="B127" s="106"/>
      <c r="C127" s="115"/>
      <c r="D127" s="115"/>
    </row>
    <row r="128" spans="1:4" x14ac:dyDescent="0.2">
      <c r="A128" s="115"/>
      <c r="B128" s="106"/>
      <c r="C128" s="115"/>
      <c r="D128" s="115"/>
    </row>
    <row r="129" spans="1:4" x14ac:dyDescent="0.2">
      <c r="A129" s="115"/>
      <c r="B129" s="106"/>
      <c r="C129" s="115"/>
      <c r="D129" s="115"/>
    </row>
    <row r="130" spans="1:4" x14ac:dyDescent="0.2">
      <c r="A130" s="115"/>
      <c r="B130" s="106"/>
      <c r="C130" s="115"/>
      <c r="D130" s="115"/>
    </row>
    <row r="131" spans="1:4" x14ac:dyDescent="0.2">
      <c r="A131" s="115"/>
      <c r="B131" s="106"/>
      <c r="C131" s="115"/>
      <c r="D131" s="115"/>
    </row>
    <row r="132" spans="1:4" x14ac:dyDescent="0.2">
      <c r="A132" s="115"/>
      <c r="B132" s="106"/>
      <c r="C132" s="115"/>
      <c r="D132" s="115"/>
    </row>
    <row r="133" spans="1:4" x14ac:dyDescent="0.2">
      <c r="A133" s="115"/>
      <c r="B133" s="106"/>
      <c r="C133" s="115"/>
      <c r="D133" s="115"/>
    </row>
    <row r="134" spans="1:4" x14ac:dyDescent="0.2">
      <c r="A134" s="115"/>
      <c r="B134" s="106"/>
      <c r="C134" s="115"/>
      <c r="D134" s="115"/>
    </row>
    <row r="135" spans="1:4" x14ac:dyDescent="0.2">
      <c r="A135" s="115"/>
      <c r="B135" s="106"/>
      <c r="C135" s="115"/>
      <c r="D135" s="115"/>
    </row>
    <row r="136" spans="1:4" x14ac:dyDescent="0.2">
      <c r="A136" s="115"/>
      <c r="B136" s="106"/>
      <c r="C136" s="115"/>
      <c r="D136" s="115"/>
    </row>
    <row r="137" spans="1:4" x14ac:dyDescent="0.2">
      <c r="A137" s="115"/>
      <c r="B137" s="106"/>
      <c r="C137" s="115"/>
      <c r="D137" s="115"/>
    </row>
    <row r="138" spans="1:4" x14ac:dyDescent="0.2">
      <c r="A138" s="115"/>
      <c r="B138" s="106"/>
      <c r="C138" s="115"/>
      <c r="D138" s="115"/>
    </row>
    <row r="139" spans="1:4" x14ac:dyDescent="0.2">
      <c r="A139" s="115"/>
      <c r="B139" s="106"/>
      <c r="C139" s="115"/>
      <c r="D139" s="115"/>
    </row>
    <row r="140" spans="1:4" x14ac:dyDescent="0.2">
      <c r="A140" s="115"/>
      <c r="B140" s="106"/>
      <c r="C140" s="115"/>
      <c r="D140" s="115"/>
    </row>
    <row r="141" spans="1:4" x14ac:dyDescent="0.2">
      <c r="A141" s="115"/>
      <c r="B141" s="106"/>
      <c r="C141" s="115"/>
      <c r="D141" s="115"/>
    </row>
    <row r="142" spans="1:4" x14ac:dyDescent="0.2">
      <c r="A142" s="115"/>
      <c r="B142" s="106"/>
      <c r="C142" s="115"/>
      <c r="D142" s="115"/>
    </row>
    <row r="143" spans="1:4" x14ac:dyDescent="0.2">
      <c r="A143" s="115"/>
      <c r="B143" s="106"/>
      <c r="C143" s="115"/>
      <c r="D143" s="115"/>
    </row>
    <row r="144" spans="1:4" x14ac:dyDescent="0.2">
      <c r="A144" s="115"/>
      <c r="B144" s="106"/>
      <c r="C144" s="115"/>
      <c r="D144" s="115"/>
    </row>
    <row r="145" spans="1:4" x14ac:dyDescent="0.2">
      <c r="A145" s="115"/>
      <c r="B145" s="106"/>
      <c r="C145" s="115"/>
      <c r="D145" s="115"/>
    </row>
    <row r="146" spans="1:4" x14ac:dyDescent="0.2">
      <c r="A146" s="115"/>
      <c r="B146" s="106"/>
      <c r="C146" s="115"/>
      <c r="D146" s="115"/>
    </row>
    <row r="147" spans="1:4" x14ac:dyDescent="0.2">
      <c r="A147" s="115"/>
      <c r="B147" s="106"/>
      <c r="C147" s="115"/>
      <c r="D147" s="115"/>
    </row>
    <row r="148" spans="1:4" x14ac:dyDescent="0.2">
      <c r="A148" s="115"/>
      <c r="B148" s="106"/>
      <c r="C148" s="115"/>
      <c r="D148" s="115"/>
    </row>
    <row r="149" spans="1:4" x14ac:dyDescent="0.2">
      <c r="A149" s="115"/>
      <c r="B149" s="106"/>
      <c r="C149" s="115"/>
      <c r="D149" s="115"/>
    </row>
    <row r="150" spans="1:4" x14ac:dyDescent="0.2">
      <c r="A150" s="115"/>
      <c r="B150" s="106"/>
      <c r="C150" s="115"/>
      <c r="D150" s="115"/>
    </row>
    <row r="151" spans="1:4" x14ac:dyDescent="0.2">
      <c r="A151" s="115"/>
      <c r="B151" s="106"/>
      <c r="C151" s="115"/>
      <c r="D151" s="115"/>
    </row>
    <row r="152" spans="1:4" x14ac:dyDescent="0.2">
      <c r="A152" s="115"/>
      <c r="B152" s="106"/>
      <c r="C152" s="115"/>
      <c r="D152" s="115"/>
    </row>
    <row r="153" spans="1:4" x14ac:dyDescent="0.2">
      <c r="A153" s="115"/>
      <c r="B153" s="106"/>
      <c r="C153" s="115"/>
      <c r="D153" s="115"/>
    </row>
    <row r="154" spans="1:4" x14ac:dyDescent="0.2">
      <c r="A154" s="115"/>
      <c r="B154" s="106"/>
      <c r="C154" s="115"/>
      <c r="D154" s="115"/>
    </row>
    <row r="155" spans="1:4" x14ac:dyDescent="0.2">
      <c r="A155" s="115"/>
      <c r="B155" s="106"/>
      <c r="C155" s="115"/>
      <c r="D155" s="115"/>
    </row>
    <row r="156" spans="1:4" x14ac:dyDescent="0.2">
      <c r="A156" s="115"/>
      <c r="B156" s="106"/>
      <c r="C156" s="115"/>
      <c r="D156" s="115"/>
    </row>
    <row r="157" spans="1:4" x14ac:dyDescent="0.2">
      <c r="A157" s="115"/>
      <c r="B157" s="106"/>
      <c r="C157" s="115"/>
      <c r="D157" s="115"/>
    </row>
    <row r="158" spans="1:4" x14ac:dyDescent="0.2">
      <c r="A158" s="115"/>
      <c r="B158" s="106"/>
      <c r="C158" s="115"/>
      <c r="D158" s="115"/>
    </row>
    <row r="159" spans="1:4" x14ac:dyDescent="0.2">
      <c r="A159" s="115"/>
      <c r="B159" s="106"/>
      <c r="C159" s="115"/>
      <c r="D159" s="115"/>
    </row>
    <row r="160" spans="1:4" x14ac:dyDescent="0.2">
      <c r="A160" s="115"/>
      <c r="B160" s="106"/>
      <c r="C160" s="115"/>
      <c r="D160" s="115"/>
    </row>
    <row r="161" spans="1:4" x14ac:dyDescent="0.2">
      <c r="A161" s="115"/>
      <c r="B161" s="106"/>
      <c r="C161" s="115"/>
      <c r="D161" s="115"/>
    </row>
    <row r="162" spans="1:4" x14ac:dyDescent="0.2">
      <c r="A162" s="115"/>
      <c r="B162" s="106"/>
      <c r="C162" s="115"/>
      <c r="D162" s="115"/>
    </row>
    <row r="163" spans="1:4" x14ac:dyDescent="0.2">
      <c r="A163" s="115"/>
      <c r="B163" s="106"/>
      <c r="C163" s="115"/>
      <c r="D163" s="115"/>
    </row>
    <row r="164" spans="1:4" x14ac:dyDescent="0.2">
      <c r="A164" s="115"/>
      <c r="B164" s="106"/>
      <c r="C164" s="115"/>
      <c r="D164" s="115"/>
    </row>
    <row r="165" spans="1:4" x14ac:dyDescent="0.2">
      <c r="A165" s="115"/>
      <c r="B165" s="106"/>
      <c r="C165" s="115"/>
      <c r="D165" s="115"/>
    </row>
    <row r="166" spans="1:4" x14ac:dyDescent="0.2">
      <c r="A166" s="115"/>
      <c r="B166" s="106"/>
      <c r="C166" s="115"/>
      <c r="D166" s="115"/>
    </row>
    <row r="167" spans="1:4" x14ac:dyDescent="0.2">
      <c r="A167" s="115"/>
      <c r="B167" s="106"/>
      <c r="C167" s="115"/>
      <c r="D167" s="115"/>
    </row>
    <row r="168" spans="1:4" x14ac:dyDescent="0.2">
      <c r="A168" s="115"/>
      <c r="B168" s="106"/>
      <c r="C168" s="115"/>
      <c r="D168" s="115"/>
    </row>
    <row r="169" spans="1:4" x14ac:dyDescent="0.2">
      <c r="A169" s="115"/>
      <c r="B169" s="106"/>
      <c r="C169" s="115"/>
      <c r="D169" s="115"/>
    </row>
    <row r="170" spans="1:4" x14ac:dyDescent="0.2">
      <c r="A170" s="115"/>
      <c r="B170" s="106"/>
      <c r="C170" s="115"/>
      <c r="D170" s="115"/>
    </row>
    <row r="171" spans="1:4" x14ac:dyDescent="0.2">
      <c r="A171" s="115"/>
      <c r="B171" s="106"/>
      <c r="C171" s="115"/>
      <c r="D171" s="115"/>
    </row>
    <row r="172" spans="1:4" x14ac:dyDescent="0.2">
      <c r="A172" s="115"/>
      <c r="B172" s="106"/>
      <c r="C172" s="115"/>
      <c r="D172" s="115"/>
    </row>
    <row r="173" spans="1:4" x14ac:dyDescent="0.2">
      <c r="A173" s="115"/>
      <c r="B173" s="106"/>
      <c r="C173" s="115"/>
      <c r="D173" s="115"/>
    </row>
    <row r="174" spans="1:4" x14ac:dyDescent="0.2">
      <c r="A174" s="115"/>
      <c r="B174" s="106"/>
      <c r="C174" s="115"/>
      <c r="D174" s="115"/>
    </row>
    <row r="175" spans="1:4" x14ac:dyDescent="0.2">
      <c r="A175" s="115"/>
      <c r="B175" s="106"/>
      <c r="C175" s="115"/>
      <c r="D175" s="115"/>
    </row>
    <row r="176" spans="1:4" x14ac:dyDescent="0.2">
      <c r="A176" s="115"/>
      <c r="B176" s="106"/>
      <c r="C176" s="115"/>
      <c r="D176" s="115"/>
    </row>
    <row r="177" spans="1:4" x14ac:dyDescent="0.2">
      <c r="A177" s="115"/>
      <c r="B177" s="106"/>
      <c r="C177" s="115"/>
      <c r="D177" s="115"/>
    </row>
    <row r="178" spans="1:4" x14ac:dyDescent="0.2">
      <c r="A178" s="115"/>
      <c r="B178" s="106"/>
      <c r="C178" s="115"/>
      <c r="D178" s="115"/>
    </row>
    <row r="179" spans="1:4" x14ac:dyDescent="0.2">
      <c r="A179" s="115"/>
      <c r="B179" s="106"/>
      <c r="C179" s="115"/>
      <c r="D179" s="115"/>
    </row>
    <row r="180" spans="1:4" x14ac:dyDescent="0.2">
      <c r="A180" s="115"/>
      <c r="B180" s="106"/>
      <c r="C180" s="115"/>
      <c r="D180" s="115"/>
    </row>
    <row r="181" spans="1:4" x14ac:dyDescent="0.2">
      <c r="A181" s="115"/>
      <c r="B181" s="106"/>
      <c r="C181" s="115"/>
      <c r="D181" s="115"/>
    </row>
    <row r="182" spans="1:4" x14ac:dyDescent="0.2">
      <c r="A182" s="115"/>
      <c r="B182" s="106"/>
      <c r="C182" s="115"/>
      <c r="D182" s="115"/>
    </row>
    <row r="183" spans="1:4" x14ac:dyDescent="0.2">
      <c r="A183" s="115"/>
      <c r="B183" s="106"/>
      <c r="C183" s="115"/>
      <c r="D183" s="115"/>
    </row>
    <row r="184" spans="1:4" x14ac:dyDescent="0.2">
      <c r="A184" s="115"/>
      <c r="B184" s="106"/>
      <c r="C184" s="115"/>
      <c r="D184" s="115"/>
    </row>
    <row r="185" spans="1:4" x14ac:dyDescent="0.2">
      <c r="A185" s="115"/>
      <c r="B185" s="106"/>
      <c r="C185" s="115"/>
      <c r="D185" s="115"/>
    </row>
    <row r="186" spans="1:4" x14ac:dyDescent="0.2">
      <c r="A186" s="115"/>
      <c r="B186" s="106"/>
      <c r="C186" s="115"/>
      <c r="D186" s="115"/>
    </row>
    <row r="187" spans="1:4" x14ac:dyDescent="0.2">
      <c r="A187" s="115"/>
      <c r="B187" s="106"/>
      <c r="C187" s="115"/>
      <c r="D187" s="115"/>
    </row>
    <row r="188" spans="1:4" x14ac:dyDescent="0.2">
      <c r="A188" s="115"/>
      <c r="B188" s="106"/>
      <c r="C188" s="115"/>
      <c r="D188" s="115"/>
    </row>
    <row r="189" spans="1:4" x14ac:dyDescent="0.2">
      <c r="A189" s="115"/>
      <c r="B189" s="106"/>
      <c r="C189" s="115"/>
      <c r="D189" s="115"/>
    </row>
    <row r="190" spans="1:4" x14ac:dyDescent="0.2">
      <c r="A190" s="115"/>
      <c r="B190" s="106"/>
      <c r="C190" s="115"/>
      <c r="D190" s="115"/>
    </row>
    <row r="191" spans="1:4" x14ac:dyDescent="0.2">
      <c r="A191" s="115"/>
      <c r="B191" s="106"/>
      <c r="C191" s="115"/>
      <c r="D191" s="115"/>
    </row>
    <row r="192" spans="1:4" x14ac:dyDescent="0.2">
      <c r="A192" s="115"/>
      <c r="B192" s="106"/>
      <c r="C192" s="115"/>
      <c r="D192" s="115"/>
    </row>
    <row r="193" spans="1:4" x14ac:dyDescent="0.2">
      <c r="A193" s="115"/>
      <c r="B193" s="106"/>
      <c r="C193" s="115"/>
      <c r="D193" s="115"/>
    </row>
    <row r="194" spans="1:4" x14ac:dyDescent="0.2">
      <c r="A194" s="115"/>
      <c r="B194" s="106"/>
      <c r="C194" s="115"/>
      <c r="D194" s="115"/>
    </row>
    <row r="195" spans="1:4" x14ac:dyDescent="0.2">
      <c r="A195" s="115"/>
      <c r="B195" s="106"/>
      <c r="C195" s="115"/>
      <c r="D195" s="115"/>
    </row>
    <row r="196" spans="1:4" x14ac:dyDescent="0.2">
      <c r="A196" s="115"/>
      <c r="B196" s="106"/>
      <c r="C196" s="115"/>
      <c r="D196" s="115"/>
    </row>
    <row r="197" spans="1:4" x14ac:dyDescent="0.2">
      <c r="A197" s="115"/>
      <c r="B197" s="106"/>
      <c r="C197" s="115"/>
      <c r="D197" s="115"/>
    </row>
    <row r="198" spans="1:4" x14ac:dyDescent="0.2">
      <c r="A198" s="115"/>
      <c r="B198" s="106"/>
      <c r="C198" s="115"/>
      <c r="D198" s="115"/>
    </row>
    <row r="199" spans="1:4" x14ac:dyDescent="0.2">
      <c r="A199" s="115"/>
      <c r="B199" s="106"/>
      <c r="C199" s="115"/>
      <c r="D199" s="115"/>
    </row>
    <row r="200" spans="1:4" x14ac:dyDescent="0.2">
      <c r="A200" s="115"/>
      <c r="B200" s="106"/>
      <c r="C200" s="115"/>
      <c r="D200" s="115"/>
    </row>
    <row r="201" spans="1:4" x14ac:dyDescent="0.2">
      <c r="A201" s="115"/>
      <c r="B201" s="106"/>
      <c r="C201" s="115"/>
      <c r="D201" s="115"/>
    </row>
    <row r="202" spans="1:4" x14ac:dyDescent="0.2">
      <c r="A202" s="115"/>
      <c r="B202" s="106"/>
      <c r="C202" s="115"/>
      <c r="D202" s="115"/>
    </row>
    <row r="203" spans="1:4" x14ac:dyDescent="0.2">
      <c r="A203" s="115"/>
      <c r="B203" s="106"/>
      <c r="C203" s="115"/>
      <c r="D203" s="115"/>
    </row>
    <row r="204" spans="1:4" x14ac:dyDescent="0.2">
      <c r="A204" s="115"/>
      <c r="B204" s="106"/>
      <c r="C204" s="115"/>
      <c r="D204" s="115"/>
    </row>
    <row r="205" spans="1:4" x14ac:dyDescent="0.2">
      <c r="A205" s="115"/>
      <c r="B205" s="106"/>
      <c r="C205" s="115"/>
      <c r="D205" s="115"/>
    </row>
    <row r="206" spans="1:4" x14ac:dyDescent="0.2">
      <c r="A206" s="115"/>
      <c r="B206" s="106"/>
      <c r="C206" s="115"/>
      <c r="D206" s="115"/>
    </row>
    <row r="207" spans="1:4" x14ac:dyDescent="0.2">
      <c r="A207" s="115"/>
      <c r="B207" s="106"/>
      <c r="C207" s="115"/>
      <c r="D207" s="115"/>
    </row>
    <row r="208" spans="1:4" x14ac:dyDescent="0.2">
      <c r="A208" s="115"/>
      <c r="B208" s="106"/>
      <c r="C208" s="115"/>
      <c r="D208" s="115"/>
    </row>
    <row r="209" spans="1:4" x14ac:dyDescent="0.2">
      <c r="A209" s="115"/>
      <c r="B209" s="106"/>
      <c r="C209" s="115"/>
      <c r="D209" s="115"/>
    </row>
    <row r="210" spans="1:4" x14ac:dyDescent="0.2">
      <c r="A210" s="115"/>
      <c r="B210" s="106"/>
      <c r="C210" s="115"/>
      <c r="D210" s="115"/>
    </row>
    <row r="211" spans="1:4" x14ac:dyDescent="0.2">
      <c r="A211" s="115"/>
      <c r="B211" s="106"/>
      <c r="C211" s="115"/>
      <c r="D211" s="115"/>
    </row>
    <row r="212" spans="1:4" x14ac:dyDescent="0.2">
      <c r="A212" s="115"/>
      <c r="B212" s="106"/>
      <c r="C212" s="115"/>
      <c r="D212" s="115"/>
    </row>
    <row r="213" spans="1:4" x14ac:dyDescent="0.2">
      <c r="A213" s="115"/>
      <c r="B213" s="106"/>
      <c r="C213" s="115"/>
      <c r="D213" s="115"/>
    </row>
    <row r="214" spans="1:4" x14ac:dyDescent="0.2">
      <c r="A214" s="115"/>
      <c r="B214" s="106"/>
      <c r="C214" s="115"/>
      <c r="D214" s="115"/>
    </row>
    <row r="215" spans="1:4" x14ac:dyDescent="0.2">
      <c r="A215" s="115"/>
      <c r="B215" s="106"/>
      <c r="C215" s="115"/>
      <c r="D215" s="115"/>
    </row>
    <row r="216" spans="1:4" x14ac:dyDescent="0.2">
      <c r="A216" s="115"/>
      <c r="B216" s="106"/>
      <c r="C216" s="115"/>
      <c r="D216" s="115"/>
    </row>
    <row r="217" spans="1:4" x14ac:dyDescent="0.2">
      <c r="A217" s="115"/>
      <c r="B217" s="106"/>
      <c r="C217" s="115"/>
      <c r="D217" s="115"/>
    </row>
    <row r="218" spans="1:4" x14ac:dyDescent="0.2">
      <c r="A218" s="115"/>
      <c r="B218" s="106"/>
      <c r="C218" s="115"/>
      <c r="D218" s="115"/>
    </row>
    <row r="219" spans="1:4" x14ac:dyDescent="0.2">
      <c r="A219" s="115"/>
      <c r="B219" s="106"/>
      <c r="C219" s="115"/>
      <c r="D219" s="115"/>
    </row>
    <row r="220" spans="1:4" x14ac:dyDescent="0.2">
      <c r="A220" s="115"/>
      <c r="B220" s="106"/>
      <c r="C220" s="115"/>
      <c r="D220" s="115"/>
    </row>
    <row r="221" spans="1:4" x14ac:dyDescent="0.2">
      <c r="A221" s="115"/>
      <c r="B221" s="106"/>
      <c r="C221" s="115"/>
      <c r="D221" s="115"/>
    </row>
    <row r="222" spans="1:4" x14ac:dyDescent="0.2">
      <c r="A222" s="115"/>
      <c r="B222" s="106"/>
      <c r="C222" s="115"/>
      <c r="D222" s="115"/>
    </row>
    <row r="223" spans="1:4" x14ac:dyDescent="0.2">
      <c r="A223" s="115"/>
      <c r="B223" s="106"/>
      <c r="C223" s="115"/>
      <c r="D223" s="115"/>
    </row>
    <row r="224" spans="1:4" x14ac:dyDescent="0.2">
      <c r="A224" s="115"/>
      <c r="B224" s="106"/>
      <c r="C224" s="115"/>
      <c r="D224" s="115"/>
    </row>
    <row r="225" spans="1:4" x14ac:dyDescent="0.2">
      <c r="A225" s="115"/>
      <c r="B225" s="106"/>
      <c r="C225" s="115"/>
      <c r="D225" s="115"/>
    </row>
    <row r="226" spans="1:4" x14ac:dyDescent="0.2">
      <c r="A226" s="115"/>
      <c r="B226" s="106"/>
      <c r="C226" s="115"/>
      <c r="D226" s="115"/>
    </row>
    <row r="227" spans="1:4" x14ac:dyDescent="0.2">
      <c r="A227" s="115"/>
      <c r="B227" s="106"/>
      <c r="C227" s="115"/>
      <c r="D227" s="115"/>
    </row>
    <row r="228" spans="1:4" x14ac:dyDescent="0.2">
      <c r="A228" s="115"/>
      <c r="B228" s="106"/>
      <c r="C228" s="115"/>
      <c r="D228" s="115"/>
    </row>
    <row r="229" spans="1:4" x14ac:dyDescent="0.2">
      <c r="A229" s="115"/>
      <c r="B229" s="106"/>
      <c r="C229" s="115"/>
      <c r="D229" s="115"/>
    </row>
    <row r="230" spans="1:4" x14ac:dyDescent="0.2">
      <c r="A230" s="115"/>
      <c r="B230" s="106"/>
      <c r="C230" s="115"/>
      <c r="D230" s="115"/>
    </row>
    <row r="231" spans="1:4" x14ac:dyDescent="0.2">
      <c r="A231" s="115"/>
      <c r="B231" s="106"/>
      <c r="C231" s="115"/>
      <c r="D231" s="115"/>
    </row>
    <row r="232" spans="1:4" x14ac:dyDescent="0.2">
      <c r="A232" s="115"/>
      <c r="B232" s="106"/>
      <c r="C232" s="115"/>
      <c r="D232" s="115"/>
    </row>
    <row r="233" spans="1:4" x14ac:dyDescent="0.2">
      <c r="A233" s="115"/>
      <c r="B233" s="106"/>
      <c r="C233" s="115"/>
      <c r="D233" s="115"/>
    </row>
    <row r="234" spans="1:4" x14ac:dyDescent="0.2">
      <c r="A234" s="115"/>
      <c r="B234" s="106"/>
      <c r="C234" s="115"/>
      <c r="D234" s="115"/>
    </row>
    <row r="235" spans="1:4" x14ac:dyDescent="0.2">
      <c r="A235" s="115"/>
      <c r="B235" s="106"/>
      <c r="C235" s="115"/>
      <c r="D235" s="115"/>
    </row>
    <row r="236" spans="1:4" x14ac:dyDescent="0.2">
      <c r="A236" s="115"/>
      <c r="B236" s="106"/>
      <c r="C236" s="115"/>
      <c r="D236" s="115"/>
    </row>
    <row r="237" spans="1:4" x14ac:dyDescent="0.2">
      <c r="A237" s="115"/>
      <c r="B237" s="106"/>
      <c r="C237" s="115"/>
      <c r="D237" s="115"/>
    </row>
    <row r="238" spans="1:4" x14ac:dyDescent="0.2">
      <c r="A238" s="115"/>
      <c r="B238" s="106"/>
      <c r="C238" s="115"/>
      <c r="D238" s="115"/>
    </row>
    <row r="239" spans="1:4" x14ac:dyDescent="0.2">
      <c r="A239" s="115"/>
      <c r="B239" s="106"/>
      <c r="C239" s="115"/>
      <c r="D239" s="115"/>
    </row>
    <row r="240" spans="1:4" x14ac:dyDescent="0.2">
      <c r="A240" s="115"/>
      <c r="B240" s="106"/>
      <c r="C240" s="115"/>
      <c r="D240" s="115"/>
    </row>
    <row r="241" spans="1:4" x14ac:dyDescent="0.2">
      <c r="A241" s="115"/>
      <c r="B241" s="106"/>
      <c r="C241" s="115"/>
      <c r="D241" s="115"/>
    </row>
    <row r="242" spans="1:4" x14ac:dyDescent="0.2">
      <c r="A242" s="115"/>
      <c r="B242" s="106"/>
      <c r="C242" s="115"/>
      <c r="D242" s="115"/>
    </row>
    <row r="243" spans="1:4" x14ac:dyDescent="0.2">
      <c r="A243" s="115"/>
      <c r="B243" s="106"/>
      <c r="C243" s="115"/>
      <c r="D243" s="115"/>
    </row>
    <row r="244" spans="1:4" x14ac:dyDescent="0.2">
      <c r="A244" s="115"/>
      <c r="B244" s="106"/>
      <c r="C244" s="115"/>
      <c r="D244" s="115"/>
    </row>
    <row r="245" spans="1:4" x14ac:dyDescent="0.2">
      <c r="A245" s="115"/>
      <c r="B245" s="106"/>
      <c r="C245" s="115"/>
      <c r="D245" s="115"/>
    </row>
    <row r="246" spans="1:4" x14ac:dyDescent="0.2">
      <c r="A246" s="115"/>
      <c r="B246" s="106"/>
      <c r="C246" s="115"/>
      <c r="D246" s="115"/>
    </row>
    <row r="247" spans="1:4" x14ac:dyDescent="0.2">
      <c r="A247" s="115"/>
      <c r="B247" s="106"/>
      <c r="C247" s="115"/>
      <c r="D247" s="115"/>
    </row>
    <row r="248" spans="1:4" x14ac:dyDescent="0.2">
      <c r="A248" s="115"/>
      <c r="B248" s="106"/>
      <c r="C248" s="115"/>
      <c r="D248" s="115"/>
    </row>
    <row r="249" spans="1:4" x14ac:dyDescent="0.2">
      <c r="A249" s="115"/>
      <c r="B249" s="106"/>
      <c r="C249" s="115"/>
      <c r="D249" s="115"/>
    </row>
    <row r="250" spans="1:4" x14ac:dyDescent="0.2">
      <c r="A250" s="115"/>
      <c r="B250" s="106"/>
      <c r="C250" s="115"/>
      <c r="D250" s="115"/>
    </row>
    <row r="251" spans="1:4" x14ac:dyDescent="0.2">
      <c r="A251" s="115"/>
      <c r="B251" s="106"/>
      <c r="C251" s="115"/>
      <c r="D251" s="115"/>
    </row>
    <row r="252" spans="1:4" x14ac:dyDescent="0.2">
      <c r="A252" s="115"/>
      <c r="B252" s="106"/>
      <c r="C252" s="115"/>
      <c r="D252" s="115"/>
    </row>
    <row r="253" spans="1:4" x14ac:dyDescent="0.2">
      <c r="A253" s="115"/>
      <c r="B253" s="106"/>
      <c r="C253" s="115"/>
      <c r="D253" s="115"/>
    </row>
    <row r="254" spans="1:4" x14ac:dyDescent="0.2">
      <c r="A254" s="115"/>
      <c r="B254" s="106"/>
      <c r="C254" s="115"/>
      <c r="D254" s="115"/>
    </row>
    <row r="255" spans="1:4" x14ac:dyDescent="0.2">
      <c r="A255" s="115"/>
      <c r="B255" s="106"/>
      <c r="C255" s="115"/>
      <c r="D255" s="115"/>
    </row>
    <row r="256" spans="1:4" x14ac:dyDescent="0.2">
      <c r="A256" s="115"/>
      <c r="B256" s="106"/>
      <c r="C256" s="115"/>
      <c r="D256" s="115"/>
    </row>
    <row r="257" spans="1:4" x14ac:dyDescent="0.2">
      <c r="A257" s="115"/>
      <c r="B257" s="106"/>
      <c r="C257" s="115"/>
      <c r="D257" s="115"/>
    </row>
    <row r="258" spans="1:4" x14ac:dyDescent="0.2">
      <c r="A258" s="115"/>
      <c r="B258" s="106"/>
      <c r="C258" s="115"/>
      <c r="D258" s="115"/>
    </row>
    <row r="259" spans="1:4" x14ac:dyDescent="0.2">
      <c r="A259" s="115"/>
      <c r="B259" s="106"/>
      <c r="C259" s="115"/>
      <c r="D259" s="115"/>
    </row>
    <row r="260" spans="1:4" x14ac:dyDescent="0.2">
      <c r="A260" s="115"/>
      <c r="B260" s="106"/>
      <c r="C260" s="115"/>
      <c r="D260" s="115"/>
    </row>
    <row r="261" spans="1:4" x14ac:dyDescent="0.2">
      <c r="A261" s="115"/>
      <c r="B261" s="106"/>
      <c r="C261" s="115"/>
      <c r="D261" s="115"/>
    </row>
    <row r="262" spans="1:4" x14ac:dyDescent="0.2">
      <c r="A262" s="115"/>
      <c r="B262" s="106"/>
      <c r="C262" s="115"/>
      <c r="D262" s="115"/>
    </row>
    <row r="263" spans="1:4" x14ac:dyDescent="0.2">
      <c r="A263" s="115"/>
      <c r="B263" s="106"/>
      <c r="C263" s="115"/>
      <c r="D263" s="115"/>
    </row>
    <row r="264" spans="1:4" x14ac:dyDescent="0.2">
      <c r="A264" s="115"/>
      <c r="B264" s="106"/>
      <c r="C264" s="115"/>
      <c r="D264" s="115"/>
    </row>
    <row r="265" spans="1:4" x14ac:dyDescent="0.2">
      <c r="A265" s="115"/>
      <c r="B265" s="106"/>
      <c r="C265" s="115"/>
      <c r="D265" s="115"/>
    </row>
    <row r="266" spans="1:4" x14ac:dyDescent="0.2">
      <c r="A266" s="115"/>
      <c r="B266" s="106"/>
      <c r="C266" s="115"/>
      <c r="D266" s="115"/>
    </row>
    <row r="267" spans="1:4" x14ac:dyDescent="0.2">
      <c r="A267" s="115"/>
      <c r="B267" s="106"/>
      <c r="C267" s="115"/>
      <c r="D267" s="115"/>
    </row>
    <row r="268" spans="1:4" x14ac:dyDescent="0.2">
      <c r="A268" s="115"/>
      <c r="B268" s="106"/>
      <c r="C268" s="115"/>
      <c r="D268" s="115"/>
    </row>
    <row r="269" spans="1:4" x14ac:dyDescent="0.2">
      <c r="A269" s="115"/>
      <c r="B269" s="106"/>
      <c r="C269" s="115"/>
      <c r="D269" s="115"/>
    </row>
    <row r="270" spans="1:4" x14ac:dyDescent="0.2">
      <c r="A270" s="115"/>
      <c r="B270" s="106"/>
      <c r="C270" s="115"/>
      <c r="D270" s="115"/>
    </row>
    <row r="271" spans="1:4" x14ac:dyDescent="0.2">
      <c r="A271" s="115"/>
      <c r="B271" s="106"/>
      <c r="C271" s="115"/>
      <c r="D271" s="115"/>
    </row>
    <row r="272" spans="1:4" x14ac:dyDescent="0.2">
      <c r="A272" s="115"/>
      <c r="B272" s="106"/>
      <c r="C272" s="115"/>
      <c r="D272" s="115"/>
    </row>
    <row r="273" spans="1:4" x14ac:dyDescent="0.2">
      <c r="A273" s="115"/>
      <c r="B273" s="106"/>
      <c r="C273" s="115"/>
      <c r="D273" s="115"/>
    </row>
    <row r="274" spans="1:4" x14ac:dyDescent="0.2">
      <c r="A274" s="115"/>
      <c r="B274" s="106"/>
      <c r="C274" s="115"/>
      <c r="D274" s="115"/>
    </row>
    <row r="275" spans="1:4" x14ac:dyDescent="0.2">
      <c r="A275" s="115"/>
      <c r="B275" s="106"/>
      <c r="C275" s="115"/>
      <c r="D275" s="115"/>
    </row>
    <row r="276" spans="1:4" x14ac:dyDescent="0.2">
      <c r="A276" s="115"/>
      <c r="B276" s="106"/>
      <c r="C276" s="115"/>
      <c r="D276" s="115"/>
    </row>
    <row r="277" spans="1:4" x14ac:dyDescent="0.2">
      <c r="A277" s="115"/>
      <c r="B277" s="106"/>
      <c r="C277" s="115"/>
      <c r="D277" s="115"/>
    </row>
    <row r="278" spans="1:4" x14ac:dyDescent="0.2">
      <c r="A278" s="115"/>
      <c r="B278" s="106"/>
      <c r="C278" s="115"/>
      <c r="D278" s="115"/>
    </row>
    <row r="279" spans="1:4" x14ac:dyDescent="0.2">
      <c r="A279" s="115"/>
      <c r="B279" s="106"/>
      <c r="C279" s="115"/>
      <c r="D279" s="115"/>
    </row>
    <row r="280" spans="1:4" x14ac:dyDescent="0.2">
      <c r="A280" s="115"/>
      <c r="B280" s="106"/>
      <c r="C280" s="115"/>
      <c r="D280" s="115"/>
    </row>
    <row r="281" spans="1:4" x14ac:dyDescent="0.2">
      <c r="A281" s="115"/>
      <c r="B281" s="106"/>
      <c r="C281" s="115"/>
      <c r="D281" s="115"/>
    </row>
    <row r="282" spans="1:4" x14ac:dyDescent="0.2">
      <c r="A282" s="115"/>
      <c r="B282" s="106"/>
      <c r="C282" s="115"/>
      <c r="D282" s="115"/>
    </row>
    <row r="283" spans="1:4" x14ac:dyDescent="0.2">
      <c r="A283" s="115"/>
      <c r="B283" s="106"/>
      <c r="C283" s="115"/>
      <c r="D283" s="115"/>
    </row>
    <row r="284" spans="1:4" x14ac:dyDescent="0.2">
      <c r="A284" s="115"/>
      <c r="B284" s="106"/>
      <c r="C284" s="115"/>
      <c r="D284" s="115"/>
    </row>
    <row r="285" spans="1:4" x14ac:dyDescent="0.2">
      <c r="A285" s="115"/>
      <c r="B285" s="106"/>
      <c r="C285" s="115"/>
      <c r="D285" s="115"/>
    </row>
    <row r="286" spans="1:4" x14ac:dyDescent="0.2">
      <c r="A286" s="115"/>
      <c r="B286" s="106"/>
      <c r="C286" s="115"/>
      <c r="D286" s="115"/>
    </row>
    <row r="287" spans="1:4" x14ac:dyDescent="0.2">
      <c r="A287" s="115"/>
      <c r="B287" s="106"/>
      <c r="C287" s="115"/>
      <c r="D287" s="115"/>
    </row>
    <row r="288" spans="1:4" x14ac:dyDescent="0.2">
      <c r="A288" s="115"/>
      <c r="B288" s="106"/>
      <c r="C288" s="115"/>
      <c r="D288" s="115"/>
    </row>
    <row r="289" spans="1:4" x14ac:dyDescent="0.2">
      <c r="A289" s="115"/>
      <c r="B289" s="106"/>
      <c r="C289" s="115"/>
      <c r="D289" s="115"/>
    </row>
    <row r="290" spans="1:4" x14ac:dyDescent="0.2">
      <c r="A290" s="115"/>
      <c r="B290" s="106"/>
      <c r="C290" s="115"/>
      <c r="D290" s="115"/>
    </row>
    <row r="291" spans="1:4" x14ac:dyDescent="0.2">
      <c r="A291" s="115"/>
      <c r="B291" s="106"/>
      <c r="C291" s="115"/>
      <c r="D291" s="115"/>
    </row>
    <row r="292" spans="1:4" x14ac:dyDescent="0.2">
      <c r="A292" s="115"/>
      <c r="B292" s="106"/>
      <c r="C292" s="115"/>
      <c r="D292" s="115"/>
    </row>
    <row r="293" spans="1:4" x14ac:dyDescent="0.2">
      <c r="A293" s="115"/>
      <c r="B293" s="106"/>
      <c r="C293" s="115"/>
      <c r="D293" s="115"/>
    </row>
    <row r="294" spans="1:4" x14ac:dyDescent="0.2">
      <c r="A294" s="115"/>
      <c r="B294" s="106"/>
      <c r="C294" s="115"/>
      <c r="D294" s="115"/>
    </row>
    <row r="295" spans="1:4" x14ac:dyDescent="0.2">
      <c r="A295" s="115"/>
      <c r="B295" s="106"/>
      <c r="C295" s="115"/>
      <c r="D295" s="115"/>
    </row>
    <row r="296" spans="1:4" x14ac:dyDescent="0.2">
      <c r="A296" s="115"/>
      <c r="B296" s="106"/>
      <c r="C296" s="115"/>
      <c r="D296" s="115"/>
    </row>
    <row r="297" spans="1:4" x14ac:dyDescent="0.2">
      <c r="A297" s="115"/>
      <c r="B297" s="106"/>
      <c r="C297" s="115"/>
      <c r="D297" s="115"/>
    </row>
    <row r="298" spans="1:4" x14ac:dyDescent="0.2">
      <c r="A298" s="115"/>
      <c r="B298" s="106"/>
      <c r="C298" s="115"/>
      <c r="D298" s="115"/>
    </row>
    <row r="299" spans="1:4" x14ac:dyDescent="0.2">
      <c r="A299" s="115"/>
      <c r="B299" s="106"/>
      <c r="C299" s="115"/>
      <c r="D299" s="115"/>
    </row>
    <row r="300" spans="1:4" x14ac:dyDescent="0.2">
      <c r="A300" s="115"/>
      <c r="B300" s="106"/>
      <c r="C300" s="115"/>
      <c r="D300" s="115"/>
    </row>
    <row r="301" spans="1:4" x14ac:dyDescent="0.2">
      <c r="A301" s="115"/>
      <c r="B301" s="106"/>
      <c r="C301" s="115"/>
      <c r="D301" s="115"/>
    </row>
    <row r="302" spans="1:4" x14ac:dyDescent="0.2">
      <c r="A302" s="115"/>
      <c r="B302" s="106"/>
      <c r="C302" s="115"/>
      <c r="D302" s="115"/>
    </row>
    <row r="303" spans="1:4" x14ac:dyDescent="0.2">
      <c r="A303" s="115"/>
      <c r="B303" s="106"/>
      <c r="C303" s="115"/>
      <c r="D303" s="115"/>
    </row>
    <row r="304" spans="1:4" x14ac:dyDescent="0.2">
      <c r="A304" s="115"/>
      <c r="B304" s="106"/>
      <c r="C304" s="115"/>
      <c r="D304" s="115"/>
    </row>
    <row r="305" spans="1:4" x14ac:dyDescent="0.2">
      <c r="A305" s="115"/>
      <c r="B305" s="106"/>
      <c r="C305" s="115"/>
      <c r="D305" s="115"/>
    </row>
    <row r="306" spans="1:4" x14ac:dyDescent="0.2">
      <c r="A306" s="115"/>
      <c r="B306" s="106"/>
      <c r="C306" s="115"/>
      <c r="D306" s="115"/>
    </row>
    <row r="307" spans="1:4" x14ac:dyDescent="0.2">
      <c r="A307" s="115"/>
      <c r="B307" s="106"/>
      <c r="C307" s="115"/>
      <c r="D307" s="115"/>
    </row>
    <row r="308" spans="1:4" x14ac:dyDescent="0.2">
      <c r="A308" s="115"/>
      <c r="B308" s="106"/>
      <c r="C308" s="115"/>
      <c r="D308" s="115"/>
    </row>
    <row r="309" spans="1:4" x14ac:dyDescent="0.2">
      <c r="A309" s="115"/>
      <c r="B309" s="106"/>
      <c r="C309" s="115"/>
      <c r="D309" s="115"/>
    </row>
    <row r="310" spans="1:4" x14ac:dyDescent="0.2">
      <c r="A310" s="115"/>
      <c r="B310" s="106"/>
      <c r="C310" s="115"/>
      <c r="D310" s="115"/>
    </row>
    <row r="311" spans="1:4" x14ac:dyDescent="0.2">
      <c r="A311" s="115"/>
      <c r="B311" s="106"/>
      <c r="C311" s="115"/>
      <c r="D311" s="115"/>
    </row>
    <row r="312" spans="1:4" x14ac:dyDescent="0.2">
      <c r="A312" s="115"/>
      <c r="B312" s="106"/>
      <c r="C312" s="115"/>
      <c r="D312" s="115"/>
    </row>
    <row r="313" spans="1:4" x14ac:dyDescent="0.2">
      <c r="A313" s="115"/>
      <c r="B313" s="106"/>
      <c r="C313" s="115"/>
      <c r="D313" s="115"/>
    </row>
    <row r="314" spans="1:4" x14ac:dyDescent="0.2">
      <c r="A314" s="115"/>
      <c r="B314" s="106"/>
      <c r="C314" s="115"/>
      <c r="D314" s="115"/>
    </row>
    <row r="315" spans="1:4" x14ac:dyDescent="0.2">
      <c r="A315" s="115"/>
      <c r="B315" s="106"/>
      <c r="C315" s="115"/>
      <c r="D315" s="115"/>
    </row>
    <row r="316" spans="1:4" x14ac:dyDescent="0.2">
      <c r="A316" s="115"/>
      <c r="B316" s="106"/>
      <c r="C316" s="115"/>
      <c r="D316" s="115"/>
    </row>
    <row r="317" spans="1:4" x14ac:dyDescent="0.2">
      <c r="A317" s="115"/>
      <c r="B317" s="106"/>
      <c r="C317" s="115"/>
      <c r="D317" s="115"/>
    </row>
    <row r="318" spans="1:4" x14ac:dyDescent="0.2">
      <c r="A318" s="115"/>
      <c r="B318" s="106"/>
      <c r="C318" s="115"/>
      <c r="D318" s="115"/>
    </row>
    <row r="319" spans="1:4" x14ac:dyDescent="0.2">
      <c r="A319" s="115"/>
      <c r="B319" s="106"/>
      <c r="C319" s="115"/>
      <c r="D319" s="115"/>
    </row>
    <row r="320" spans="1:4" x14ac:dyDescent="0.2">
      <c r="A320" s="115"/>
      <c r="B320" s="106"/>
      <c r="C320" s="115"/>
      <c r="D320" s="115"/>
    </row>
    <row r="321" spans="1:4" x14ac:dyDescent="0.2">
      <c r="A321" s="115"/>
      <c r="B321" s="106"/>
      <c r="C321" s="115"/>
      <c r="D321" s="115"/>
    </row>
    <row r="322" spans="1:4" x14ac:dyDescent="0.2">
      <c r="A322" s="115"/>
      <c r="B322" s="106"/>
      <c r="C322" s="115"/>
      <c r="D322" s="115"/>
    </row>
    <row r="323" spans="1:4" x14ac:dyDescent="0.2">
      <c r="A323" s="115"/>
      <c r="B323" s="106"/>
      <c r="C323" s="115"/>
      <c r="D323" s="115"/>
    </row>
    <row r="324" spans="1:4" x14ac:dyDescent="0.2">
      <c r="A324" s="115"/>
      <c r="B324" s="106"/>
      <c r="C324" s="115"/>
      <c r="D324" s="115"/>
    </row>
    <row r="325" spans="1:4" x14ac:dyDescent="0.2">
      <c r="A325" s="115"/>
      <c r="B325" s="106"/>
      <c r="C325" s="115"/>
      <c r="D325" s="115"/>
    </row>
    <row r="326" spans="1:4" x14ac:dyDescent="0.2">
      <c r="A326" s="115"/>
      <c r="B326" s="106"/>
      <c r="C326" s="115"/>
      <c r="D326" s="115"/>
    </row>
    <row r="327" spans="1:4" x14ac:dyDescent="0.2">
      <c r="A327" s="115"/>
      <c r="B327" s="106"/>
      <c r="C327" s="115"/>
      <c r="D327" s="115"/>
    </row>
    <row r="328" spans="1:4" x14ac:dyDescent="0.2">
      <c r="A328" s="115"/>
      <c r="B328" s="106"/>
      <c r="C328" s="115"/>
      <c r="D328" s="115"/>
    </row>
    <row r="329" spans="1:4" x14ac:dyDescent="0.2">
      <c r="A329" s="115"/>
      <c r="B329" s="106"/>
      <c r="C329" s="115"/>
      <c r="D329" s="115"/>
    </row>
    <row r="330" spans="1:4" x14ac:dyDescent="0.2">
      <c r="A330" s="115"/>
      <c r="B330" s="106"/>
      <c r="C330" s="115"/>
      <c r="D330" s="115"/>
    </row>
    <row r="331" spans="1:4" x14ac:dyDescent="0.2">
      <c r="A331" s="115"/>
      <c r="B331" s="106"/>
      <c r="C331" s="115"/>
      <c r="D331" s="115"/>
    </row>
    <row r="332" spans="1:4" x14ac:dyDescent="0.2">
      <c r="A332" s="115"/>
      <c r="B332" s="106"/>
      <c r="C332" s="115"/>
      <c r="D332" s="115"/>
    </row>
    <row r="333" spans="1:4" x14ac:dyDescent="0.2">
      <c r="A333" s="115"/>
      <c r="B333" s="106"/>
      <c r="C333" s="115"/>
      <c r="D333" s="115"/>
    </row>
    <row r="334" spans="1:4" x14ac:dyDescent="0.2">
      <c r="A334" s="115"/>
      <c r="B334" s="106"/>
      <c r="C334" s="115"/>
      <c r="D334" s="115"/>
    </row>
    <row r="335" spans="1:4" x14ac:dyDescent="0.2">
      <c r="A335" s="115"/>
      <c r="B335" s="106"/>
      <c r="C335" s="115"/>
      <c r="D335" s="115"/>
    </row>
    <row r="336" spans="1:4" x14ac:dyDescent="0.2">
      <c r="A336" s="115"/>
      <c r="B336" s="106"/>
      <c r="C336" s="115"/>
      <c r="D336" s="115"/>
    </row>
    <row r="337" spans="1:4" x14ac:dyDescent="0.2">
      <c r="A337" s="115"/>
      <c r="B337" s="106"/>
      <c r="C337" s="115"/>
      <c r="D337" s="115"/>
    </row>
    <row r="338" spans="1:4" x14ac:dyDescent="0.2">
      <c r="A338" s="115"/>
      <c r="B338" s="106"/>
      <c r="C338" s="115"/>
      <c r="D338" s="115"/>
    </row>
    <row r="339" spans="1:4" x14ac:dyDescent="0.2">
      <c r="A339" s="115"/>
      <c r="B339" s="106"/>
      <c r="C339" s="115"/>
      <c r="D339" s="115"/>
    </row>
    <row r="340" spans="1:4" x14ac:dyDescent="0.2">
      <c r="A340" s="115"/>
      <c r="B340" s="106"/>
      <c r="C340" s="115"/>
      <c r="D340" s="115"/>
    </row>
    <row r="341" spans="1:4" x14ac:dyDescent="0.2">
      <c r="A341" s="115"/>
      <c r="B341" s="106"/>
      <c r="C341" s="115"/>
      <c r="D341" s="115"/>
    </row>
    <row r="342" spans="1:4" x14ac:dyDescent="0.2">
      <c r="A342" s="115"/>
      <c r="B342" s="106"/>
      <c r="C342" s="115"/>
      <c r="D342" s="115"/>
    </row>
    <row r="343" spans="1:4" x14ac:dyDescent="0.2">
      <c r="A343" s="115"/>
      <c r="B343" s="106"/>
      <c r="C343" s="115"/>
      <c r="D343" s="115"/>
    </row>
    <row r="344" spans="1:4" x14ac:dyDescent="0.2">
      <c r="A344" s="115"/>
      <c r="B344" s="106"/>
      <c r="C344" s="115"/>
      <c r="D344" s="115"/>
    </row>
    <row r="345" spans="1:4" x14ac:dyDescent="0.2">
      <c r="A345" s="115"/>
      <c r="B345" s="106"/>
      <c r="C345" s="115"/>
      <c r="D345" s="115"/>
    </row>
    <row r="346" spans="1:4" x14ac:dyDescent="0.2">
      <c r="A346" s="115"/>
      <c r="B346" s="106"/>
      <c r="C346" s="115"/>
      <c r="D346" s="115"/>
    </row>
    <row r="347" spans="1:4" x14ac:dyDescent="0.2">
      <c r="A347" s="115"/>
      <c r="B347" s="106"/>
      <c r="C347" s="115"/>
      <c r="D347" s="115"/>
    </row>
    <row r="348" spans="1:4" x14ac:dyDescent="0.2">
      <c r="A348" s="115"/>
      <c r="B348" s="106"/>
      <c r="C348" s="115"/>
      <c r="D348" s="115"/>
    </row>
    <row r="349" spans="1:4" x14ac:dyDescent="0.2">
      <c r="A349" s="115"/>
      <c r="B349" s="106"/>
      <c r="C349" s="115"/>
      <c r="D349" s="115"/>
    </row>
    <row r="350" spans="1:4" x14ac:dyDescent="0.2">
      <c r="A350" s="115"/>
      <c r="B350" s="106"/>
      <c r="C350" s="115"/>
      <c r="D350" s="115"/>
    </row>
    <row r="351" spans="1:4" x14ac:dyDescent="0.2">
      <c r="A351" s="115"/>
      <c r="B351" s="106"/>
      <c r="C351" s="115"/>
      <c r="D351" s="115"/>
    </row>
    <row r="352" spans="1:4" x14ac:dyDescent="0.2">
      <c r="A352" s="115"/>
      <c r="B352" s="106"/>
      <c r="C352" s="115"/>
      <c r="D352" s="115"/>
    </row>
    <row r="353" spans="1:4" x14ac:dyDescent="0.2">
      <c r="A353" s="115"/>
      <c r="B353" s="106"/>
      <c r="C353" s="115"/>
      <c r="D353" s="115"/>
    </row>
    <row r="354" spans="1:4" x14ac:dyDescent="0.2">
      <c r="A354" s="115"/>
      <c r="B354" s="106"/>
      <c r="C354" s="115"/>
      <c r="D354" s="115"/>
    </row>
    <row r="355" spans="1:4" x14ac:dyDescent="0.2">
      <c r="A355" s="115"/>
      <c r="B355" s="106"/>
      <c r="C355" s="115"/>
      <c r="D355" s="115"/>
    </row>
    <row r="356" spans="1:4" x14ac:dyDescent="0.2">
      <c r="A356" s="115"/>
      <c r="B356" s="106"/>
      <c r="C356" s="115"/>
      <c r="D356" s="115"/>
    </row>
    <row r="357" spans="1:4" x14ac:dyDescent="0.2">
      <c r="A357" s="115"/>
      <c r="B357" s="106"/>
      <c r="C357" s="115"/>
      <c r="D357" s="115"/>
    </row>
    <row r="358" spans="1:4" x14ac:dyDescent="0.2">
      <c r="A358" s="115"/>
      <c r="B358" s="106"/>
      <c r="C358" s="115"/>
      <c r="D358" s="115"/>
    </row>
    <row r="359" spans="1:4" x14ac:dyDescent="0.2">
      <c r="A359" s="115"/>
      <c r="B359" s="106"/>
      <c r="C359" s="115"/>
      <c r="D359" s="115"/>
    </row>
    <row r="360" spans="1:4" x14ac:dyDescent="0.2">
      <c r="A360" s="115"/>
      <c r="B360" s="106"/>
      <c r="C360" s="115"/>
      <c r="D360" s="115"/>
    </row>
    <row r="361" spans="1:4" x14ac:dyDescent="0.2">
      <c r="A361" s="115"/>
      <c r="B361" s="106"/>
      <c r="C361" s="115"/>
      <c r="D361" s="115"/>
    </row>
    <row r="362" spans="1:4" x14ac:dyDescent="0.2">
      <c r="A362" s="115"/>
      <c r="B362" s="106"/>
      <c r="C362" s="115"/>
      <c r="D362" s="115"/>
    </row>
    <row r="363" spans="1:4" x14ac:dyDescent="0.2">
      <c r="A363" s="115"/>
      <c r="B363" s="106"/>
      <c r="C363" s="115"/>
      <c r="D363" s="115"/>
    </row>
    <row r="364" spans="1:4" x14ac:dyDescent="0.2">
      <c r="A364" s="115"/>
      <c r="B364" s="106"/>
      <c r="C364" s="115"/>
      <c r="D364" s="115"/>
    </row>
    <row r="365" spans="1:4" x14ac:dyDescent="0.2">
      <c r="A365" s="115"/>
      <c r="B365" s="106"/>
      <c r="C365" s="115"/>
      <c r="D365" s="115"/>
    </row>
    <row r="366" spans="1:4" x14ac:dyDescent="0.2">
      <c r="A366" s="115"/>
      <c r="B366" s="106"/>
      <c r="C366" s="115"/>
      <c r="D366" s="115"/>
    </row>
    <row r="367" spans="1:4" x14ac:dyDescent="0.2">
      <c r="A367" s="115"/>
      <c r="B367" s="106"/>
      <c r="C367" s="115"/>
      <c r="D367" s="115"/>
    </row>
    <row r="368" spans="1:4" x14ac:dyDescent="0.2">
      <c r="A368" s="115"/>
      <c r="B368" s="106"/>
      <c r="C368" s="115"/>
      <c r="D368" s="115"/>
    </row>
    <row r="369" spans="1:4" x14ac:dyDescent="0.2">
      <c r="A369" s="115"/>
      <c r="B369" s="106"/>
      <c r="C369" s="115"/>
      <c r="D369" s="115"/>
    </row>
    <row r="370" spans="1:4" x14ac:dyDescent="0.2">
      <c r="A370" s="115"/>
      <c r="B370" s="106"/>
      <c r="C370" s="115"/>
      <c r="D370" s="115"/>
    </row>
    <row r="371" spans="1:4" x14ac:dyDescent="0.2">
      <c r="A371" s="115"/>
      <c r="B371" s="106"/>
      <c r="C371" s="115"/>
      <c r="D371" s="115"/>
    </row>
    <row r="372" spans="1:4" x14ac:dyDescent="0.2">
      <c r="A372" s="115"/>
      <c r="B372" s="106"/>
      <c r="C372" s="115"/>
      <c r="D372" s="115"/>
    </row>
    <row r="373" spans="1:4" x14ac:dyDescent="0.2">
      <c r="A373" s="115"/>
      <c r="B373" s="106"/>
      <c r="C373" s="115"/>
      <c r="D373" s="115"/>
    </row>
    <row r="374" spans="1:4" x14ac:dyDescent="0.2">
      <c r="A374" s="115"/>
      <c r="B374" s="106"/>
      <c r="C374" s="115"/>
      <c r="D374" s="115"/>
    </row>
    <row r="375" spans="1:4" x14ac:dyDescent="0.2">
      <c r="A375" s="115"/>
      <c r="B375" s="106"/>
      <c r="C375" s="115"/>
      <c r="D375" s="115"/>
    </row>
    <row r="376" spans="1:4" x14ac:dyDescent="0.2">
      <c r="A376" s="115"/>
      <c r="B376" s="106"/>
      <c r="C376" s="115"/>
      <c r="D376" s="115"/>
    </row>
    <row r="377" spans="1:4" x14ac:dyDescent="0.2">
      <c r="A377" s="115"/>
      <c r="B377" s="106"/>
      <c r="C377" s="115"/>
      <c r="D377" s="115"/>
    </row>
    <row r="378" spans="1:4" x14ac:dyDescent="0.2">
      <c r="A378" s="115"/>
      <c r="B378" s="106"/>
      <c r="C378" s="115"/>
      <c r="D378" s="115"/>
    </row>
    <row r="379" spans="1:4" x14ac:dyDescent="0.2">
      <c r="A379" s="115"/>
      <c r="B379" s="106"/>
      <c r="C379" s="115"/>
      <c r="D379" s="115"/>
    </row>
    <row r="380" spans="1:4" x14ac:dyDescent="0.2">
      <c r="A380" s="115"/>
      <c r="B380" s="106"/>
      <c r="C380" s="115"/>
      <c r="D380" s="115"/>
    </row>
    <row r="381" spans="1:4" x14ac:dyDescent="0.2">
      <c r="A381" s="115"/>
      <c r="B381" s="106"/>
      <c r="C381" s="115"/>
      <c r="D381" s="115"/>
    </row>
    <row r="382" spans="1:4" x14ac:dyDescent="0.2">
      <c r="A382" s="115"/>
      <c r="B382" s="106"/>
      <c r="C382" s="115"/>
      <c r="D382" s="115"/>
    </row>
    <row r="383" spans="1:4" x14ac:dyDescent="0.2">
      <c r="A383" s="115"/>
      <c r="B383" s="106"/>
      <c r="C383" s="115"/>
      <c r="D383" s="115"/>
    </row>
    <row r="384" spans="1:4" x14ac:dyDescent="0.2">
      <c r="A384" s="115"/>
      <c r="B384" s="106"/>
      <c r="C384" s="115"/>
      <c r="D384" s="115"/>
    </row>
    <row r="385" spans="1:4" x14ac:dyDescent="0.2">
      <c r="A385" s="115"/>
      <c r="B385" s="106"/>
      <c r="C385" s="115"/>
      <c r="D385" s="115"/>
    </row>
    <row r="386" spans="1:4" x14ac:dyDescent="0.2">
      <c r="A386" s="115"/>
      <c r="B386" s="106"/>
      <c r="C386" s="115"/>
      <c r="D386" s="115"/>
    </row>
    <row r="387" spans="1:4" x14ac:dyDescent="0.2">
      <c r="A387" s="115"/>
      <c r="B387" s="106"/>
      <c r="C387" s="115"/>
      <c r="D387" s="115"/>
    </row>
    <row r="388" spans="1:4" x14ac:dyDescent="0.2">
      <c r="A388" s="115"/>
      <c r="B388" s="106"/>
      <c r="C388" s="115"/>
      <c r="D388" s="115"/>
    </row>
    <row r="389" spans="1:4" x14ac:dyDescent="0.2">
      <c r="A389" s="115"/>
      <c r="B389" s="106"/>
      <c r="C389" s="115"/>
      <c r="D389" s="115"/>
    </row>
    <row r="390" spans="1:4" x14ac:dyDescent="0.2">
      <c r="A390" s="115"/>
      <c r="B390" s="106"/>
      <c r="C390" s="115"/>
      <c r="D390" s="115"/>
    </row>
    <row r="391" spans="1:4" x14ac:dyDescent="0.2">
      <c r="A391" s="115"/>
      <c r="B391" s="106"/>
      <c r="C391" s="115"/>
      <c r="D391" s="115"/>
    </row>
    <row r="392" spans="1:4" x14ac:dyDescent="0.2">
      <c r="A392" s="115"/>
      <c r="B392" s="106"/>
      <c r="C392" s="115"/>
      <c r="D392" s="115"/>
    </row>
    <row r="393" spans="1:4" x14ac:dyDescent="0.2">
      <c r="A393" s="115"/>
      <c r="B393" s="106"/>
      <c r="C393" s="115"/>
      <c r="D393" s="115"/>
    </row>
    <row r="394" spans="1:4" x14ac:dyDescent="0.2">
      <c r="A394" s="115"/>
      <c r="B394" s="106"/>
      <c r="C394" s="115"/>
      <c r="D394" s="115"/>
    </row>
    <row r="395" spans="1:4" x14ac:dyDescent="0.2">
      <c r="A395" s="115"/>
      <c r="B395" s="106"/>
      <c r="C395" s="115"/>
      <c r="D395" s="115"/>
    </row>
    <row r="396" spans="1:4" x14ac:dyDescent="0.2">
      <c r="A396" s="115"/>
      <c r="B396" s="106"/>
      <c r="C396" s="115"/>
      <c r="D396" s="115"/>
    </row>
    <row r="397" spans="1:4" x14ac:dyDescent="0.2">
      <c r="A397" s="115"/>
      <c r="B397" s="106"/>
      <c r="C397" s="115"/>
      <c r="D397" s="115"/>
    </row>
    <row r="398" spans="1:4" x14ac:dyDescent="0.2">
      <c r="A398" s="115"/>
      <c r="B398" s="106"/>
      <c r="C398" s="115"/>
      <c r="D398" s="115"/>
    </row>
    <row r="399" spans="1:4" x14ac:dyDescent="0.2">
      <c r="A399" s="115"/>
      <c r="B399" s="106"/>
      <c r="C399" s="115"/>
      <c r="D399" s="115"/>
    </row>
    <row r="400" spans="1:4" x14ac:dyDescent="0.2">
      <c r="A400" s="115"/>
      <c r="B400" s="106"/>
      <c r="C400" s="115"/>
      <c r="D400" s="115"/>
    </row>
    <row r="401" spans="1:4" x14ac:dyDescent="0.2">
      <c r="A401" s="115"/>
      <c r="B401" s="106"/>
      <c r="C401" s="115"/>
      <c r="D401" s="115"/>
    </row>
    <row r="402" spans="1:4" x14ac:dyDescent="0.2">
      <c r="A402" s="115"/>
      <c r="B402" s="106"/>
      <c r="C402" s="115"/>
      <c r="D402" s="115"/>
    </row>
    <row r="403" spans="1:4" x14ac:dyDescent="0.2">
      <c r="A403" s="115"/>
      <c r="B403" s="106"/>
      <c r="C403" s="115"/>
      <c r="D403" s="115"/>
    </row>
    <row r="404" spans="1:4" x14ac:dyDescent="0.2">
      <c r="A404" s="115"/>
      <c r="B404" s="106"/>
      <c r="C404" s="115"/>
      <c r="D404" s="115"/>
    </row>
    <row r="405" spans="1:4" x14ac:dyDescent="0.2">
      <c r="A405" s="115"/>
      <c r="B405" s="106"/>
      <c r="C405" s="115"/>
      <c r="D405" s="115"/>
    </row>
    <row r="406" spans="1:4" x14ac:dyDescent="0.2">
      <c r="A406" s="115"/>
      <c r="B406" s="106"/>
      <c r="C406" s="115"/>
      <c r="D406" s="115"/>
    </row>
    <row r="407" spans="1:4" x14ac:dyDescent="0.2">
      <c r="A407" s="115"/>
      <c r="B407" s="106"/>
      <c r="C407" s="115"/>
      <c r="D407" s="115"/>
    </row>
    <row r="408" spans="1:4" x14ac:dyDescent="0.2">
      <c r="A408" s="115"/>
      <c r="B408" s="106"/>
      <c r="C408" s="115"/>
      <c r="D408" s="115"/>
    </row>
    <row r="409" spans="1:4" x14ac:dyDescent="0.2">
      <c r="A409" s="115"/>
      <c r="B409" s="106"/>
      <c r="C409" s="115"/>
      <c r="D409" s="115"/>
    </row>
    <row r="410" spans="1:4" x14ac:dyDescent="0.2">
      <c r="A410" s="115"/>
      <c r="B410" s="106"/>
      <c r="C410" s="115"/>
      <c r="D410" s="115"/>
    </row>
    <row r="411" spans="1:4" x14ac:dyDescent="0.2">
      <c r="A411" s="115"/>
      <c r="B411" s="106"/>
      <c r="C411" s="115"/>
      <c r="D411" s="115"/>
    </row>
    <row r="412" spans="1:4" x14ac:dyDescent="0.2">
      <c r="A412" s="115"/>
      <c r="B412" s="106"/>
      <c r="C412" s="115"/>
      <c r="D412" s="115"/>
    </row>
    <row r="413" spans="1:4" x14ac:dyDescent="0.2">
      <c r="A413" s="115"/>
      <c r="B413" s="106"/>
      <c r="C413" s="115"/>
      <c r="D413" s="115"/>
    </row>
    <row r="414" spans="1:4" x14ac:dyDescent="0.2">
      <c r="A414" s="115"/>
      <c r="B414" s="106"/>
      <c r="C414" s="115"/>
      <c r="D414" s="115"/>
    </row>
    <row r="415" spans="1:4" x14ac:dyDescent="0.2">
      <c r="A415" s="115"/>
      <c r="B415" s="106"/>
      <c r="C415" s="115"/>
      <c r="D415" s="115"/>
    </row>
    <row r="416" spans="1:4" x14ac:dyDescent="0.2">
      <c r="A416" s="115"/>
      <c r="B416" s="106"/>
      <c r="C416" s="115"/>
      <c r="D416" s="115"/>
    </row>
    <row r="417" spans="1:4" x14ac:dyDescent="0.2">
      <c r="A417" s="115"/>
      <c r="B417" s="106"/>
      <c r="C417" s="115"/>
      <c r="D417" s="115"/>
    </row>
    <row r="418" spans="1:4" x14ac:dyDescent="0.2">
      <c r="A418" s="115"/>
      <c r="B418" s="106"/>
      <c r="C418" s="115"/>
      <c r="D418" s="115"/>
    </row>
    <row r="419" spans="1:4" x14ac:dyDescent="0.2">
      <c r="A419" s="115"/>
      <c r="B419" s="106"/>
      <c r="C419" s="115"/>
      <c r="D419" s="115"/>
    </row>
    <row r="420" spans="1:4" x14ac:dyDescent="0.2">
      <c r="A420" s="115"/>
      <c r="B420" s="106"/>
      <c r="C420" s="115"/>
      <c r="D420" s="115"/>
    </row>
    <row r="421" spans="1:4" x14ac:dyDescent="0.2">
      <c r="A421" s="115"/>
      <c r="B421" s="106"/>
      <c r="C421" s="115"/>
      <c r="D421" s="115"/>
    </row>
    <row r="422" spans="1:4" x14ac:dyDescent="0.2">
      <c r="A422" s="115"/>
      <c r="B422" s="106"/>
      <c r="C422" s="115"/>
      <c r="D422" s="115"/>
    </row>
    <row r="423" spans="1:4" x14ac:dyDescent="0.2">
      <c r="A423" s="115"/>
      <c r="B423" s="106"/>
      <c r="C423" s="115"/>
      <c r="D423" s="115"/>
    </row>
    <row r="424" spans="1:4" x14ac:dyDescent="0.2">
      <c r="A424" s="115"/>
      <c r="B424" s="106"/>
      <c r="C424" s="115"/>
      <c r="D424" s="115"/>
    </row>
    <row r="425" spans="1:4" x14ac:dyDescent="0.2">
      <c r="A425" s="115"/>
      <c r="B425" s="106"/>
      <c r="C425" s="115"/>
      <c r="D425" s="115"/>
    </row>
    <row r="426" spans="1:4" x14ac:dyDescent="0.2">
      <c r="A426" s="115"/>
      <c r="B426" s="106"/>
      <c r="C426" s="115"/>
      <c r="D426" s="115"/>
    </row>
    <row r="427" spans="1:4" x14ac:dyDescent="0.2">
      <c r="A427" s="115"/>
      <c r="B427" s="106"/>
      <c r="C427" s="115"/>
      <c r="D427" s="115"/>
    </row>
    <row r="428" spans="1:4" x14ac:dyDescent="0.2">
      <c r="A428" s="115"/>
      <c r="B428" s="106"/>
      <c r="C428" s="115"/>
      <c r="D428" s="115"/>
    </row>
    <row r="429" spans="1:4" x14ac:dyDescent="0.2">
      <c r="A429" s="115"/>
      <c r="B429" s="106"/>
      <c r="C429" s="115"/>
      <c r="D429" s="115"/>
    </row>
    <row r="430" spans="1:4" x14ac:dyDescent="0.2">
      <c r="A430" s="115"/>
      <c r="B430" s="106"/>
      <c r="C430" s="115"/>
      <c r="D430" s="115"/>
    </row>
    <row r="431" spans="1:4" x14ac:dyDescent="0.2">
      <c r="A431" s="115"/>
      <c r="B431" s="106"/>
      <c r="C431" s="115"/>
      <c r="D431" s="115"/>
    </row>
    <row r="432" spans="1:4" x14ac:dyDescent="0.2">
      <c r="A432" s="115"/>
      <c r="B432" s="106"/>
      <c r="C432" s="115"/>
      <c r="D432" s="115"/>
    </row>
    <row r="433" spans="1:4" x14ac:dyDescent="0.2">
      <c r="A433" s="115"/>
      <c r="B433" s="106"/>
      <c r="C433" s="115"/>
      <c r="D433" s="115"/>
    </row>
    <row r="434" spans="1:4" x14ac:dyDescent="0.2">
      <c r="A434" s="115"/>
      <c r="B434" s="106"/>
      <c r="C434" s="115"/>
      <c r="D434" s="115"/>
    </row>
    <row r="435" spans="1:4" x14ac:dyDescent="0.2">
      <c r="A435" s="115"/>
      <c r="B435" s="106"/>
      <c r="C435" s="115"/>
      <c r="D435" s="115"/>
    </row>
    <row r="436" spans="1:4" x14ac:dyDescent="0.2">
      <c r="A436" s="115"/>
      <c r="B436" s="106"/>
      <c r="C436" s="115"/>
      <c r="D436" s="115"/>
    </row>
    <row r="437" spans="1:4" x14ac:dyDescent="0.2">
      <c r="A437" s="115"/>
      <c r="B437" s="106"/>
      <c r="C437" s="115"/>
      <c r="D437" s="115"/>
    </row>
    <row r="438" spans="1:4" x14ac:dyDescent="0.2">
      <c r="A438" s="115"/>
      <c r="B438" s="106"/>
      <c r="C438" s="115"/>
      <c r="D438" s="115"/>
    </row>
    <row r="439" spans="1:4" x14ac:dyDescent="0.2">
      <c r="A439" s="115"/>
      <c r="B439" s="106"/>
      <c r="C439" s="115"/>
      <c r="D439" s="115"/>
    </row>
    <row r="440" spans="1:4" x14ac:dyDescent="0.2">
      <c r="A440" s="115"/>
      <c r="B440" s="106"/>
      <c r="C440" s="115"/>
      <c r="D440" s="115"/>
    </row>
    <row r="441" spans="1:4" x14ac:dyDescent="0.2">
      <c r="A441" s="115"/>
      <c r="B441" s="106"/>
      <c r="C441" s="115"/>
      <c r="D441" s="115"/>
    </row>
    <row r="442" spans="1:4" x14ac:dyDescent="0.2">
      <c r="A442" s="115"/>
      <c r="B442" s="106"/>
      <c r="C442" s="115"/>
      <c r="D442" s="115"/>
    </row>
    <row r="443" spans="1:4" x14ac:dyDescent="0.2">
      <c r="A443" s="115"/>
      <c r="B443" s="106"/>
      <c r="C443" s="115"/>
      <c r="D443" s="115"/>
    </row>
    <row r="444" spans="1:4" x14ac:dyDescent="0.2">
      <c r="A444" s="115"/>
      <c r="B444" s="106"/>
      <c r="C444" s="115"/>
      <c r="D444" s="115"/>
    </row>
    <row r="445" spans="1:4" x14ac:dyDescent="0.2">
      <c r="A445" s="115"/>
      <c r="B445" s="106"/>
      <c r="C445" s="115"/>
      <c r="D445" s="115"/>
    </row>
    <row r="446" spans="1:4" x14ac:dyDescent="0.2">
      <c r="A446" s="115"/>
      <c r="B446" s="106"/>
      <c r="C446" s="115"/>
      <c r="D446" s="115"/>
    </row>
    <row r="447" spans="1:4" x14ac:dyDescent="0.2">
      <c r="A447" s="115"/>
      <c r="B447" s="106"/>
      <c r="C447" s="115"/>
      <c r="D447" s="115"/>
    </row>
    <row r="448" spans="1:4" x14ac:dyDescent="0.2">
      <c r="A448" s="115"/>
      <c r="B448" s="106"/>
      <c r="C448" s="115"/>
      <c r="D448" s="115"/>
    </row>
    <row r="449" spans="1:4" x14ac:dyDescent="0.2">
      <c r="A449" s="115"/>
      <c r="B449" s="106"/>
      <c r="C449" s="115"/>
      <c r="D449" s="115"/>
    </row>
    <row r="450" spans="1:4" x14ac:dyDescent="0.2">
      <c r="A450" s="115"/>
      <c r="B450" s="106"/>
      <c r="C450" s="115"/>
      <c r="D450" s="115"/>
    </row>
    <row r="451" spans="1:4" x14ac:dyDescent="0.2">
      <c r="A451" s="115"/>
      <c r="B451" s="106"/>
      <c r="C451" s="115"/>
      <c r="D451" s="115"/>
    </row>
    <row r="452" spans="1:4" x14ac:dyDescent="0.2">
      <c r="A452" s="115"/>
      <c r="B452" s="106"/>
      <c r="C452" s="115"/>
      <c r="D452" s="115"/>
    </row>
    <row r="453" spans="1:4" x14ac:dyDescent="0.2">
      <c r="A453" s="115"/>
      <c r="B453" s="106"/>
      <c r="C453" s="115"/>
      <c r="D453" s="115"/>
    </row>
    <row r="454" spans="1:4" x14ac:dyDescent="0.2">
      <c r="A454" s="115"/>
      <c r="B454" s="106"/>
      <c r="C454" s="115"/>
      <c r="D454" s="115"/>
    </row>
    <row r="455" spans="1:4" x14ac:dyDescent="0.2">
      <c r="A455" s="115"/>
      <c r="B455" s="106"/>
      <c r="C455" s="115"/>
      <c r="D455" s="115"/>
    </row>
    <row r="456" spans="1:4" x14ac:dyDescent="0.2">
      <c r="A456" s="115"/>
      <c r="B456" s="106"/>
      <c r="C456" s="115"/>
      <c r="D456" s="115"/>
    </row>
    <row r="457" spans="1:4" x14ac:dyDescent="0.2">
      <c r="A457" s="115"/>
      <c r="B457" s="106"/>
      <c r="C457" s="115"/>
      <c r="D457" s="115"/>
    </row>
    <row r="458" spans="1:4" x14ac:dyDescent="0.2">
      <c r="A458" s="115"/>
      <c r="B458" s="106"/>
      <c r="C458" s="115"/>
      <c r="D458" s="115"/>
    </row>
    <row r="459" spans="1:4" x14ac:dyDescent="0.2">
      <c r="A459" s="115"/>
      <c r="B459" s="106"/>
      <c r="C459" s="115"/>
      <c r="D459" s="115"/>
    </row>
    <row r="460" spans="1:4" x14ac:dyDescent="0.2">
      <c r="A460" s="115"/>
      <c r="B460" s="106"/>
      <c r="C460" s="115"/>
      <c r="D460" s="115"/>
    </row>
    <row r="461" spans="1:4" x14ac:dyDescent="0.2">
      <c r="A461" s="115"/>
      <c r="B461" s="106"/>
      <c r="C461" s="115"/>
      <c r="D461" s="115"/>
    </row>
    <row r="462" spans="1:4" x14ac:dyDescent="0.2">
      <c r="A462" s="115"/>
      <c r="B462" s="106"/>
      <c r="C462" s="115"/>
      <c r="D462" s="115"/>
    </row>
    <row r="463" spans="1:4" x14ac:dyDescent="0.2">
      <c r="A463" s="115"/>
      <c r="B463" s="106"/>
      <c r="C463" s="115"/>
      <c r="D463" s="115"/>
    </row>
    <row r="464" spans="1:4" x14ac:dyDescent="0.2">
      <c r="A464" s="115"/>
      <c r="B464" s="106"/>
      <c r="C464" s="115"/>
      <c r="D464" s="115"/>
    </row>
    <row r="465" spans="1:4" x14ac:dyDescent="0.2">
      <c r="A465" s="115"/>
      <c r="B465" s="106"/>
      <c r="C465" s="115"/>
      <c r="D465" s="115"/>
    </row>
    <row r="466" spans="1:4" x14ac:dyDescent="0.2">
      <c r="A466" s="115"/>
      <c r="B466" s="106"/>
      <c r="C466" s="115"/>
      <c r="D466" s="115"/>
    </row>
    <row r="467" spans="1:4" x14ac:dyDescent="0.2">
      <c r="A467" s="115"/>
      <c r="B467" s="106"/>
      <c r="C467" s="115"/>
      <c r="D467" s="115"/>
    </row>
    <row r="468" spans="1:4" x14ac:dyDescent="0.2">
      <c r="A468" s="115"/>
      <c r="B468" s="106"/>
      <c r="C468" s="115"/>
      <c r="D468" s="115"/>
    </row>
    <row r="469" spans="1:4" x14ac:dyDescent="0.2">
      <c r="A469" s="115"/>
      <c r="B469" s="106"/>
      <c r="C469" s="115"/>
      <c r="D469" s="115"/>
    </row>
    <row r="470" spans="1:4" x14ac:dyDescent="0.2">
      <c r="A470" s="115"/>
      <c r="B470" s="106"/>
      <c r="C470" s="115"/>
      <c r="D470" s="115"/>
    </row>
    <row r="471" spans="1:4" x14ac:dyDescent="0.2">
      <c r="A471" s="115"/>
      <c r="B471" s="106"/>
      <c r="C471" s="115"/>
      <c r="D471" s="115"/>
    </row>
    <row r="472" spans="1:4" x14ac:dyDescent="0.2">
      <c r="A472" s="115"/>
      <c r="B472" s="106"/>
      <c r="C472" s="115"/>
      <c r="D472" s="115"/>
    </row>
    <row r="473" spans="1:4" x14ac:dyDescent="0.2">
      <c r="A473" s="115"/>
      <c r="B473" s="106"/>
      <c r="C473" s="115"/>
      <c r="D473" s="115"/>
    </row>
    <row r="474" spans="1:4" x14ac:dyDescent="0.2">
      <c r="A474" s="115"/>
      <c r="B474" s="106"/>
      <c r="C474" s="115"/>
      <c r="D474" s="115"/>
    </row>
    <row r="475" spans="1:4" x14ac:dyDescent="0.2">
      <c r="A475" s="115"/>
      <c r="B475" s="106"/>
      <c r="C475" s="115"/>
      <c r="D475" s="115"/>
    </row>
    <row r="476" spans="1:4" x14ac:dyDescent="0.2">
      <c r="A476" s="115"/>
      <c r="B476" s="106"/>
      <c r="C476" s="115"/>
      <c r="D476" s="115"/>
    </row>
    <row r="477" spans="1:4" x14ac:dyDescent="0.2">
      <c r="A477" s="115"/>
      <c r="B477" s="106"/>
      <c r="C477" s="115"/>
      <c r="D477" s="115"/>
    </row>
    <row r="478" spans="1:4" x14ac:dyDescent="0.2">
      <c r="A478" s="115"/>
      <c r="B478" s="106"/>
      <c r="C478" s="115"/>
      <c r="D478" s="115"/>
    </row>
    <row r="479" spans="1:4" x14ac:dyDescent="0.2">
      <c r="A479" s="115"/>
      <c r="B479" s="106"/>
      <c r="C479" s="115"/>
      <c r="D479" s="115"/>
    </row>
    <row r="480" spans="1:4" x14ac:dyDescent="0.2">
      <c r="A480" s="115"/>
      <c r="B480" s="106"/>
      <c r="C480" s="115"/>
      <c r="D480" s="115"/>
    </row>
    <row r="481" spans="1:4" x14ac:dyDescent="0.2">
      <c r="A481" s="115"/>
      <c r="B481" s="106"/>
      <c r="C481" s="115"/>
      <c r="D481" s="115"/>
    </row>
    <row r="482" spans="1:4" x14ac:dyDescent="0.2">
      <c r="A482" s="115"/>
      <c r="B482" s="106"/>
      <c r="C482" s="115"/>
      <c r="D482" s="115"/>
    </row>
    <row r="483" spans="1:4" x14ac:dyDescent="0.2">
      <c r="A483" s="115"/>
      <c r="B483" s="106"/>
      <c r="C483" s="115"/>
      <c r="D483" s="115"/>
    </row>
    <row r="484" spans="1:4" x14ac:dyDescent="0.2">
      <c r="A484" s="115"/>
      <c r="B484" s="106"/>
      <c r="C484" s="115"/>
      <c r="D484" s="115"/>
    </row>
    <row r="485" spans="1:4" x14ac:dyDescent="0.2">
      <c r="A485" s="115"/>
      <c r="B485" s="106"/>
      <c r="C485" s="115"/>
      <c r="D485" s="115"/>
    </row>
    <row r="486" spans="1:4" x14ac:dyDescent="0.2">
      <c r="A486" s="115"/>
      <c r="B486" s="106"/>
      <c r="C486" s="115"/>
      <c r="D486" s="115"/>
    </row>
    <row r="487" spans="1:4" x14ac:dyDescent="0.2">
      <c r="A487" s="115"/>
      <c r="B487" s="106"/>
      <c r="C487" s="115"/>
      <c r="D487" s="115"/>
    </row>
    <row r="488" spans="1:4" x14ac:dyDescent="0.2">
      <c r="A488" s="115"/>
      <c r="B488" s="106"/>
      <c r="C488" s="115"/>
      <c r="D488" s="115"/>
    </row>
    <row r="489" spans="1:4" x14ac:dyDescent="0.2">
      <c r="A489" s="115"/>
      <c r="B489" s="106"/>
      <c r="C489" s="115"/>
      <c r="D489" s="115"/>
    </row>
    <row r="490" spans="1:4" x14ac:dyDescent="0.2">
      <c r="A490" s="115"/>
      <c r="B490" s="106"/>
      <c r="C490" s="115"/>
      <c r="D490" s="115"/>
    </row>
    <row r="491" spans="1:4" x14ac:dyDescent="0.2">
      <c r="A491" s="115"/>
      <c r="B491" s="106"/>
      <c r="C491" s="115"/>
      <c r="D491" s="115"/>
    </row>
    <row r="492" spans="1:4" x14ac:dyDescent="0.2">
      <c r="A492" s="115"/>
      <c r="B492" s="106"/>
      <c r="C492" s="115"/>
      <c r="D492" s="115"/>
    </row>
    <row r="493" spans="1:4" x14ac:dyDescent="0.2">
      <c r="A493" s="115"/>
      <c r="B493" s="106"/>
      <c r="C493" s="115"/>
      <c r="D493" s="115"/>
    </row>
    <row r="494" spans="1:4" x14ac:dyDescent="0.2">
      <c r="A494" s="115"/>
      <c r="B494" s="106"/>
      <c r="C494" s="115"/>
      <c r="D494" s="115"/>
    </row>
    <row r="495" spans="1:4" x14ac:dyDescent="0.2">
      <c r="A495" s="115"/>
      <c r="B495" s="106"/>
      <c r="C495" s="115"/>
      <c r="D495" s="115"/>
    </row>
    <row r="496" spans="1:4" x14ac:dyDescent="0.2">
      <c r="A496" s="115"/>
      <c r="B496" s="106"/>
      <c r="C496" s="115"/>
      <c r="D496" s="115"/>
    </row>
    <row r="497" spans="1:4" x14ac:dyDescent="0.2">
      <c r="A497" s="115"/>
      <c r="B497" s="106"/>
      <c r="C497" s="115"/>
      <c r="D497" s="115"/>
    </row>
    <row r="498" spans="1:4" x14ac:dyDescent="0.2">
      <c r="A498" s="115"/>
      <c r="B498" s="106"/>
      <c r="C498" s="115"/>
      <c r="D498" s="115"/>
    </row>
    <row r="499" spans="1:4" x14ac:dyDescent="0.2">
      <c r="A499" s="115"/>
      <c r="B499" s="106"/>
      <c r="C499" s="115"/>
      <c r="D499" s="115"/>
    </row>
    <row r="500" spans="1:4" x14ac:dyDescent="0.2">
      <c r="A500" s="115"/>
      <c r="B500" s="106"/>
      <c r="C500" s="115"/>
      <c r="D500" s="115"/>
    </row>
    <row r="501" spans="1:4" x14ac:dyDescent="0.2">
      <c r="A501" s="115"/>
      <c r="B501" s="106"/>
      <c r="C501" s="115"/>
      <c r="D501" s="115"/>
    </row>
    <row r="502" spans="1:4" x14ac:dyDescent="0.2">
      <c r="A502" s="115"/>
      <c r="B502" s="106"/>
      <c r="C502" s="115"/>
      <c r="D502" s="115"/>
    </row>
    <row r="503" spans="1:4" x14ac:dyDescent="0.2">
      <c r="A503" s="115"/>
      <c r="B503" s="106"/>
      <c r="C503" s="115"/>
      <c r="D503" s="115"/>
    </row>
    <row r="504" spans="1:4" x14ac:dyDescent="0.2">
      <c r="A504" s="115"/>
      <c r="B504" s="106"/>
      <c r="C504" s="115"/>
      <c r="D504" s="115"/>
    </row>
    <row r="505" spans="1:4" x14ac:dyDescent="0.2">
      <c r="A505" s="115"/>
      <c r="B505" s="106"/>
      <c r="C505" s="115"/>
      <c r="D505" s="115"/>
    </row>
    <row r="506" spans="1:4" x14ac:dyDescent="0.2">
      <c r="A506" s="115"/>
      <c r="B506" s="106"/>
      <c r="C506" s="115"/>
      <c r="D506" s="115"/>
    </row>
    <row r="507" spans="1:4" x14ac:dyDescent="0.2">
      <c r="A507" s="115"/>
      <c r="B507" s="106"/>
      <c r="C507" s="115"/>
      <c r="D507" s="115"/>
    </row>
    <row r="508" spans="1:4" x14ac:dyDescent="0.2">
      <c r="A508" s="115"/>
      <c r="B508" s="106"/>
      <c r="C508" s="115"/>
      <c r="D508" s="115"/>
    </row>
    <row r="509" spans="1:4" x14ac:dyDescent="0.2">
      <c r="A509" s="115"/>
      <c r="B509" s="106"/>
      <c r="C509" s="115"/>
      <c r="D509" s="115"/>
    </row>
    <row r="510" spans="1:4" x14ac:dyDescent="0.2">
      <c r="A510" s="115"/>
      <c r="B510" s="106"/>
      <c r="C510" s="115"/>
      <c r="D510" s="115"/>
    </row>
    <row r="511" spans="1:4" x14ac:dyDescent="0.2">
      <c r="A511" s="115"/>
      <c r="B511" s="106"/>
      <c r="C511" s="115"/>
      <c r="D511" s="115"/>
    </row>
    <row r="512" spans="1:4" x14ac:dyDescent="0.2">
      <c r="A512" s="115"/>
      <c r="B512" s="106"/>
      <c r="C512" s="115"/>
      <c r="D512" s="115"/>
    </row>
    <row r="513" spans="1:4" x14ac:dyDescent="0.2">
      <c r="A513" s="115"/>
      <c r="B513" s="106"/>
      <c r="C513" s="115"/>
      <c r="D513" s="115"/>
    </row>
    <row r="514" spans="1:4" x14ac:dyDescent="0.2">
      <c r="A514" s="115"/>
      <c r="B514" s="106"/>
      <c r="C514" s="115"/>
      <c r="D514" s="115"/>
    </row>
    <row r="515" spans="1:4" x14ac:dyDescent="0.2">
      <c r="A515" s="115"/>
      <c r="B515" s="106"/>
      <c r="C515" s="115"/>
      <c r="D515" s="115"/>
    </row>
    <row r="516" spans="1:4" x14ac:dyDescent="0.2">
      <c r="A516" s="115"/>
      <c r="B516" s="106"/>
      <c r="C516" s="115"/>
      <c r="D516" s="115"/>
    </row>
    <row r="517" spans="1:4" x14ac:dyDescent="0.2">
      <c r="A517" s="115"/>
      <c r="B517" s="106"/>
      <c r="C517" s="115"/>
      <c r="D517" s="115"/>
    </row>
    <row r="518" spans="1:4" x14ac:dyDescent="0.2">
      <c r="A518" s="115"/>
      <c r="B518" s="106"/>
      <c r="C518" s="115"/>
      <c r="D518" s="115"/>
    </row>
    <row r="519" spans="1:4" x14ac:dyDescent="0.2">
      <c r="A519" s="115"/>
      <c r="B519" s="106"/>
      <c r="C519" s="115"/>
      <c r="D519" s="115"/>
    </row>
    <row r="520" spans="1:4" x14ac:dyDescent="0.2">
      <c r="A520" s="115"/>
      <c r="B520" s="106"/>
      <c r="C520" s="115"/>
      <c r="D520" s="115"/>
    </row>
    <row r="521" spans="1:4" x14ac:dyDescent="0.2">
      <c r="A521" s="115"/>
      <c r="B521" s="106"/>
      <c r="C521" s="115"/>
      <c r="D521" s="115"/>
    </row>
    <row r="522" spans="1:4" x14ac:dyDescent="0.2">
      <c r="A522" s="115"/>
      <c r="B522" s="106"/>
      <c r="C522" s="115"/>
      <c r="D522" s="115"/>
    </row>
    <row r="523" spans="1:4" x14ac:dyDescent="0.2">
      <c r="A523" s="115"/>
      <c r="B523" s="106"/>
      <c r="C523" s="115"/>
      <c r="D523" s="115"/>
    </row>
    <row r="524" spans="1:4" x14ac:dyDescent="0.2">
      <c r="A524" s="115"/>
      <c r="B524" s="106"/>
      <c r="C524" s="115"/>
      <c r="D524" s="115"/>
    </row>
    <row r="525" spans="1:4" x14ac:dyDescent="0.2">
      <c r="A525" s="115"/>
      <c r="B525" s="106"/>
      <c r="C525" s="115"/>
      <c r="D525" s="115"/>
    </row>
    <row r="526" spans="1:4" x14ac:dyDescent="0.2">
      <c r="A526" s="115"/>
      <c r="B526" s="106"/>
      <c r="C526" s="115"/>
      <c r="D526" s="115"/>
    </row>
    <row r="527" spans="1:4" x14ac:dyDescent="0.2">
      <c r="A527" s="115"/>
      <c r="B527" s="106"/>
      <c r="C527" s="115"/>
      <c r="D527" s="115"/>
    </row>
    <row r="528" spans="1:4" x14ac:dyDescent="0.2">
      <c r="A528" s="115"/>
      <c r="B528" s="106"/>
      <c r="C528" s="115"/>
      <c r="D528" s="115"/>
    </row>
    <row r="529" spans="1:4" x14ac:dyDescent="0.2">
      <c r="A529" s="115"/>
      <c r="B529" s="106"/>
      <c r="C529" s="115"/>
      <c r="D529" s="115"/>
    </row>
    <row r="530" spans="1:4" x14ac:dyDescent="0.2">
      <c r="A530" s="115"/>
      <c r="B530" s="106"/>
      <c r="C530" s="115"/>
      <c r="D530" s="115"/>
    </row>
    <row r="531" spans="1:4" x14ac:dyDescent="0.2">
      <c r="A531" s="115"/>
      <c r="B531" s="106"/>
      <c r="C531" s="115"/>
      <c r="D531" s="115"/>
    </row>
    <row r="532" spans="1:4" x14ac:dyDescent="0.2">
      <c r="A532" s="115"/>
      <c r="B532" s="106"/>
      <c r="C532" s="115"/>
      <c r="D532" s="115"/>
    </row>
    <row r="533" spans="1:4" x14ac:dyDescent="0.2">
      <c r="A533" s="115"/>
      <c r="B533" s="106"/>
      <c r="C533" s="115"/>
      <c r="D533" s="115"/>
    </row>
    <row r="534" spans="1:4" x14ac:dyDescent="0.2">
      <c r="A534" s="115"/>
      <c r="B534" s="106"/>
      <c r="C534" s="115"/>
      <c r="D534" s="115"/>
    </row>
    <row r="535" spans="1:4" x14ac:dyDescent="0.2">
      <c r="A535" s="115"/>
      <c r="B535" s="106"/>
      <c r="C535" s="115"/>
      <c r="D535" s="115"/>
    </row>
    <row r="536" spans="1:4" x14ac:dyDescent="0.2">
      <c r="A536" s="115"/>
      <c r="B536" s="106"/>
      <c r="C536" s="115"/>
      <c r="D536" s="115"/>
    </row>
    <row r="537" spans="1:4" x14ac:dyDescent="0.2">
      <c r="A537" s="115"/>
      <c r="B537" s="106"/>
      <c r="C537" s="115"/>
      <c r="D537" s="115"/>
    </row>
    <row r="538" spans="1:4" x14ac:dyDescent="0.2">
      <c r="A538" s="115"/>
      <c r="B538" s="106"/>
      <c r="C538" s="115"/>
      <c r="D538" s="115"/>
    </row>
    <row r="539" spans="1:4" x14ac:dyDescent="0.2">
      <c r="A539" s="115"/>
      <c r="B539" s="106"/>
      <c r="C539" s="115"/>
      <c r="D539" s="115"/>
    </row>
    <row r="540" spans="1:4" x14ac:dyDescent="0.2">
      <c r="A540" s="115"/>
      <c r="B540" s="106"/>
      <c r="C540" s="115"/>
      <c r="D540" s="115"/>
    </row>
    <row r="541" spans="1:4" x14ac:dyDescent="0.2">
      <c r="A541" s="115"/>
      <c r="B541" s="106"/>
      <c r="C541" s="115"/>
      <c r="D541" s="115"/>
    </row>
    <row r="542" spans="1:4" x14ac:dyDescent="0.2">
      <c r="A542" s="115"/>
      <c r="B542" s="106"/>
      <c r="C542" s="115"/>
      <c r="D542" s="115"/>
    </row>
    <row r="543" spans="1:4" x14ac:dyDescent="0.2">
      <c r="A543" s="115"/>
      <c r="B543" s="106"/>
      <c r="C543" s="115"/>
      <c r="D543" s="115"/>
    </row>
    <row r="544" spans="1:4" x14ac:dyDescent="0.2">
      <c r="A544" s="115"/>
      <c r="B544" s="106"/>
      <c r="C544" s="115"/>
      <c r="D544" s="115"/>
    </row>
    <row r="545" spans="1:4" x14ac:dyDescent="0.2">
      <c r="A545" s="115"/>
      <c r="B545" s="106"/>
      <c r="C545" s="115"/>
      <c r="D545" s="115"/>
    </row>
    <row r="546" spans="1:4" x14ac:dyDescent="0.2">
      <c r="A546" s="115"/>
      <c r="B546" s="106"/>
      <c r="C546" s="115"/>
      <c r="D546" s="115"/>
    </row>
    <row r="547" spans="1:4" x14ac:dyDescent="0.2">
      <c r="A547" s="115"/>
      <c r="B547" s="106"/>
      <c r="C547" s="115"/>
      <c r="D547" s="115"/>
    </row>
    <row r="548" spans="1:4" x14ac:dyDescent="0.2">
      <c r="A548" s="115"/>
      <c r="B548" s="106"/>
      <c r="C548" s="115"/>
      <c r="D548" s="115"/>
    </row>
    <row r="549" spans="1:4" x14ac:dyDescent="0.2">
      <c r="A549" s="115"/>
      <c r="B549" s="106"/>
      <c r="C549" s="115"/>
      <c r="D549" s="115"/>
    </row>
    <row r="550" spans="1:4" x14ac:dyDescent="0.2">
      <c r="A550" s="115"/>
      <c r="B550" s="106"/>
      <c r="C550" s="115"/>
      <c r="D550" s="115"/>
    </row>
    <row r="551" spans="1:4" x14ac:dyDescent="0.2">
      <c r="A551" s="115"/>
      <c r="B551" s="106"/>
      <c r="C551" s="115"/>
      <c r="D551" s="115"/>
    </row>
    <row r="552" spans="1:4" x14ac:dyDescent="0.2">
      <c r="A552" s="115"/>
      <c r="B552" s="106"/>
      <c r="C552" s="115"/>
      <c r="D552" s="115"/>
    </row>
    <row r="553" spans="1:4" x14ac:dyDescent="0.2">
      <c r="A553" s="115"/>
      <c r="B553" s="106"/>
      <c r="C553" s="115"/>
      <c r="D553" s="115"/>
    </row>
    <row r="554" spans="1:4" x14ac:dyDescent="0.2">
      <c r="A554" s="115"/>
      <c r="B554" s="106"/>
      <c r="C554" s="115"/>
      <c r="D554" s="115"/>
    </row>
    <row r="555" spans="1:4" x14ac:dyDescent="0.2">
      <c r="A555" s="115"/>
      <c r="B555" s="106"/>
      <c r="C555" s="115"/>
      <c r="D555" s="115"/>
    </row>
    <row r="556" spans="1:4" x14ac:dyDescent="0.2">
      <c r="A556" s="115"/>
      <c r="B556" s="106"/>
      <c r="C556" s="115"/>
      <c r="D556" s="115"/>
    </row>
    <row r="557" spans="1:4" x14ac:dyDescent="0.2">
      <c r="A557" s="115"/>
      <c r="B557" s="106"/>
      <c r="C557" s="115"/>
      <c r="D557" s="115"/>
    </row>
    <row r="558" spans="1:4" x14ac:dyDescent="0.2">
      <c r="A558" s="115"/>
      <c r="B558" s="106"/>
      <c r="C558" s="115"/>
      <c r="D558" s="115"/>
    </row>
    <row r="559" spans="1:4" x14ac:dyDescent="0.2">
      <c r="A559" s="115"/>
      <c r="B559" s="106"/>
      <c r="C559" s="115"/>
      <c r="D559" s="115"/>
    </row>
    <row r="560" spans="1:4" x14ac:dyDescent="0.2">
      <c r="A560" s="115"/>
      <c r="B560" s="106"/>
      <c r="C560" s="115"/>
      <c r="D560" s="115"/>
    </row>
    <row r="561" spans="1:4" x14ac:dyDescent="0.2">
      <c r="A561" s="115"/>
      <c r="B561" s="106"/>
      <c r="C561" s="115"/>
      <c r="D561" s="115"/>
    </row>
    <row r="562" spans="1:4" x14ac:dyDescent="0.2">
      <c r="A562" s="115"/>
      <c r="B562" s="106"/>
      <c r="C562" s="115"/>
      <c r="D562" s="115"/>
    </row>
    <row r="563" spans="1:4" x14ac:dyDescent="0.2">
      <c r="A563" s="115"/>
      <c r="B563" s="106"/>
      <c r="C563" s="115"/>
      <c r="D563" s="115"/>
    </row>
    <row r="564" spans="1:4" x14ac:dyDescent="0.2">
      <c r="A564" s="115"/>
      <c r="B564" s="106"/>
      <c r="C564" s="115"/>
      <c r="D564" s="115"/>
    </row>
    <row r="565" spans="1:4" x14ac:dyDescent="0.2">
      <c r="A565" s="115"/>
      <c r="B565" s="106"/>
      <c r="C565" s="115"/>
      <c r="D565" s="115"/>
    </row>
    <row r="566" spans="1:4" x14ac:dyDescent="0.2">
      <c r="A566" s="115"/>
      <c r="B566" s="106"/>
      <c r="C566" s="115"/>
      <c r="D566" s="115"/>
    </row>
    <row r="567" spans="1:4" x14ac:dyDescent="0.2">
      <c r="A567" s="115"/>
      <c r="B567" s="106"/>
      <c r="C567" s="115"/>
      <c r="D567" s="115"/>
    </row>
    <row r="568" spans="1:4" x14ac:dyDescent="0.2">
      <c r="A568" s="115"/>
      <c r="B568" s="106"/>
      <c r="C568" s="115"/>
      <c r="D568" s="115"/>
    </row>
    <row r="569" spans="1:4" x14ac:dyDescent="0.2">
      <c r="A569" s="115"/>
      <c r="B569" s="106"/>
      <c r="C569" s="115"/>
      <c r="D569" s="115"/>
    </row>
    <row r="570" spans="1:4" x14ac:dyDescent="0.2">
      <c r="A570" s="115"/>
      <c r="B570" s="106"/>
      <c r="C570" s="115"/>
      <c r="D570" s="115"/>
    </row>
    <row r="571" spans="1:4" x14ac:dyDescent="0.2">
      <c r="A571" s="115"/>
      <c r="B571" s="106"/>
      <c r="C571" s="115"/>
      <c r="D571" s="115"/>
    </row>
    <row r="572" spans="1:4" x14ac:dyDescent="0.2">
      <c r="A572" s="115"/>
      <c r="B572" s="106"/>
      <c r="C572" s="115"/>
      <c r="D572" s="115"/>
    </row>
    <row r="573" spans="1:4" x14ac:dyDescent="0.2">
      <c r="A573" s="115"/>
      <c r="B573" s="106"/>
      <c r="C573" s="115"/>
      <c r="D573" s="115"/>
    </row>
    <row r="574" spans="1:4" x14ac:dyDescent="0.2">
      <c r="A574" s="115"/>
      <c r="B574" s="106"/>
      <c r="C574" s="115"/>
      <c r="D574" s="115"/>
    </row>
    <row r="575" spans="1:4" x14ac:dyDescent="0.2">
      <c r="A575" s="115"/>
      <c r="B575" s="106"/>
      <c r="C575" s="115"/>
      <c r="D575" s="115"/>
    </row>
    <row r="576" spans="1:4" x14ac:dyDescent="0.2">
      <c r="A576" s="115"/>
      <c r="B576" s="106"/>
      <c r="C576" s="115"/>
      <c r="D576" s="115"/>
    </row>
    <row r="577" spans="1:4" x14ac:dyDescent="0.2">
      <c r="A577" s="115"/>
      <c r="B577" s="106"/>
      <c r="C577" s="115"/>
      <c r="D577" s="115"/>
    </row>
    <row r="578" spans="1:4" x14ac:dyDescent="0.2">
      <c r="A578" s="115"/>
      <c r="B578" s="106"/>
      <c r="C578" s="115"/>
      <c r="D578" s="115"/>
    </row>
    <row r="579" spans="1:4" x14ac:dyDescent="0.2">
      <c r="A579" s="115"/>
      <c r="B579" s="106"/>
      <c r="C579" s="115"/>
      <c r="D579" s="115"/>
    </row>
    <row r="580" spans="1:4" x14ac:dyDescent="0.2">
      <c r="A580" s="115"/>
      <c r="B580" s="106"/>
      <c r="C580" s="115"/>
      <c r="D580" s="115"/>
    </row>
    <row r="581" spans="1:4" x14ac:dyDescent="0.2">
      <c r="A581" s="115"/>
      <c r="B581" s="106"/>
      <c r="C581" s="115"/>
      <c r="D581" s="115"/>
    </row>
    <row r="582" spans="1:4" x14ac:dyDescent="0.2">
      <c r="A582" s="115"/>
      <c r="B582" s="106"/>
      <c r="C582" s="115"/>
      <c r="D582" s="115"/>
    </row>
    <row r="583" spans="1:4" x14ac:dyDescent="0.2">
      <c r="A583" s="115"/>
      <c r="B583" s="106"/>
      <c r="C583" s="115"/>
      <c r="D583" s="115"/>
    </row>
    <row r="584" spans="1:4" x14ac:dyDescent="0.2">
      <c r="A584" s="115"/>
      <c r="B584" s="106"/>
      <c r="C584" s="115"/>
      <c r="D584" s="115"/>
    </row>
    <row r="585" spans="1:4" x14ac:dyDescent="0.2">
      <c r="A585" s="115"/>
      <c r="B585" s="106"/>
      <c r="C585" s="115"/>
      <c r="D585" s="115"/>
    </row>
    <row r="586" spans="1:4" x14ac:dyDescent="0.2">
      <c r="A586" s="115"/>
      <c r="B586" s="106"/>
      <c r="C586" s="115"/>
      <c r="D586" s="115"/>
    </row>
    <row r="587" spans="1:4" x14ac:dyDescent="0.2">
      <c r="A587" s="115"/>
      <c r="B587" s="106"/>
      <c r="C587" s="115"/>
      <c r="D587" s="115"/>
    </row>
    <row r="588" spans="1:4" x14ac:dyDescent="0.2">
      <c r="A588" s="115"/>
      <c r="B588" s="106"/>
      <c r="C588" s="115"/>
      <c r="D588" s="115"/>
    </row>
    <row r="589" spans="1:4" x14ac:dyDescent="0.2">
      <c r="A589" s="115"/>
      <c r="B589" s="106"/>
      <c r="C589" s="115"/>
      <c r="D589" s="115"/>
    </row>
    <row r="590" spans="1:4" x14ac:dyDescent="0.2">
      <c r="A590" s="115"/>
      <c r="B590" s="106"/>
      <c r="C590" s="115"/>
      <c r="D590" s="115"/>
    </row>
    <row r="591" spans="1:4" x14ac:dyDescent="0.2">
      <c r="A591" s="115"/>
      <c r="B591" s="106"/>
      <c r="C591" s="115"/>
      <c r="D591" s="115"/>
    </row>
    <row r="592" spans="1:4" x14ac:dyDescent="0.2">
      <c r="A592" s="115"/>
      <c r="B592" s="106"/>
      <c r="C592" s="115"/>
      <c r="D592" s="115"/>
    </row>
    <row r="593" spans="1:4" x14ac:dyDescent="0.2">
      <c r="A593" s="115"/>
      <c r="B593" s="106"/>
      <c r="C593" s="115"/>
      <c r="D593" s="115"/>
    </row>
    <row r="594" spans="1:4" x14ac:dyDescent="0.2">
      <c r="A594" s="115"/>
      <c r="B594" s="106"/>
      <c r="C594" s="115"/>
      <c r="D594" s="115"/>
    </row>
    <row r="595" spans="1:4" x14ac:dyDescent="0.2">
      <c r="A595" s="115"/>
      <c r="B595" s="106"/>
      <c r="C595" s="115"/>
      <c r="D595" s="115"/>
    </row>
    <row r="596" spans="1:4" x14ac:dyDescent="0.2">
      <c r="A596" s="115"/>
      <c r="B596" s="106"/>
      <c r="C596" s="115"/>
      <c r="D596" s="115"/>
    </row>
    <row r="597" spans="1:4" x14ac:dyDescent="0.2">
      <c r="A597" s="115"/>
      <c r="B597" s="106"/>
      <c r="C597" s="115"/>
      <c r="D597" s="115"/>
    </row>
    <row r="598" spans="1:4" x14ac:dyDescent="0.2">
      <c r="A598" s="115"/>
      <c r="B598" s="106"/>
      <c r="C598" s="115"/>
      <c r="D598" s="115"/>
    </row>
    <row r="599" spans="1:4" x14ac:dyDescent="0.2">
      <c r="A599" s="115"/>
      <c r="B599" s="106"/>
      <c r="C599" s="115"/>
      <c r="D599" s="115"/>
    </row>
    <row r="600" spans="1:4" x14ac:dyDescent="0.2">
      <c r="A600" s="115"/>
      <c r="B600" s="106"/>
      <c r="C600" s="115"/>
      <c r="D600" s="115"/>
    </row>
    <row r="601" spans="1:4" x14ac:dyDescent="0.2">
      <c r="A601" s="115"/>
      <c r="B601" s="106"/>
      <c r="C601" s="115"/>
      <c r="D601" s="115"/>
    </row>
    <row r="602" spans="1:4" x14ac:dyDescent="0.2">
      <c r="A602" s="115"/>
      <c r="B602" s="106"/>
      <c r="C602" s="115"/>
      <c r="D602" s="115"/>
    </row>
    <row r="603" spans="1:4" x14ac:dyDescent="0.2">
      <c r="A603" s="115"/>
      <c r="B603" s="106"/>
      <c r="C603" s="115"/>
      <c r="D603" s="115"/>
    </row>
    <row r="604" spans="1:4" x14ac:dyDescent="0.2">
      <c r="A604" s="115"/>
      <c r="B604" s="106"/>
      <c r="C604" s="115"/>
      <c r="D604" s="115"/>
    </row>
    <row r="605" spans="1:4" x14ac:dyDescent="0.2">
      <c r="A605" s="115"/>
      <c r="B605" s="106"/>
      <c r="C605" s="115"/>
      <c r="D605" s="115"/>
    </row>
    <row r="606" spans="1:4" x14ac:dyDescent="0.2">
      <c r="A606" s="115"/>
      <c r="B606" s="106"/>
      <c r="C606" s="115"/>
      <c r="D606" s="115"/>
    </row>
    <row r="607" spans="1:4" x14ac:dyDescent="0.2">
      <c r="A607" s="115"/>
      <c r="B607" s="106"/>
      <c r="C607" s="115"/>
      <c r="D607" s="115"/>
    </row>
    <row r="608" spans="1:4" x14ac:dyDescent="0.2">
      <c r="A608" s="115"/>
      <c r="B608" s="106"/>
      <c r="C608" s="115"/>
      <c r="D608" s="115"/>
    </row>
    <row r="609" spans="1:4" x14ac:dyDescent="0.2">
      <c r="A609" s="115"/>
      <c r="B609" s="106"/>
      <c r="C609" s="115"/>
      <c r="D609" s="115"/>
    </row>
    <row r="610" spans="1:4" x14ac:dyDescent="0.2">
      <c r="A610" s="115"/>
      <c r="B610" s="106"/>
      <c r="C610" s="115"/>
      <c r="D610" s="115"/>
    </row>
    <row r="611" spans="1:4" x14ac:dyDescent="0.2">
      <c r="A611" s="115"/>
      <c r="B611" s="106"/>
      <c r="C611" s="115"/>
      <c r="D611" s="115"/>
    </row>
    <row r="612" spans="1:4" x14ac:dyDescent="0.2">
      <c r="A612" s="115"/>
      <c r="B612" s="106"/>
      <c r="C612" s="115"/>
      <c r="D612" s="115"/>
    </row>
    <row r="613" spans="1:4" x14ac:dyDescent="0.2">
      <c r="A613" s="115"/>
      <c r="B613" s="106"/>
      <c r="C613" s="115"/>
      <c r="D613" s="115"/>
    </row>
    <row r="614" spans="1:4" x14ac:dyDescent="0.2">
      <c r="A614" s="115"/>
      <c r="B614" s="106"/>
      <c r="C614" s="115"/>
      <c r="D614" s="115"/>
    </row>
    <row r="615" spans="1:4" x14ac:dyDescent="0.2">
      <c r="A615" s="115"/>
      <c r="B615" s="106"/>
      <c r="C615" s="115"/>
      <c r="D615" s="115"/>
    </row>
    <row r="616" spans="1:4" x14ac:dyDescent="0.2">
      <c r="A616" s="115"/>
      <c r="B616" s="106"/>
      <c r="C616" s="115"/>
      <c r="D616" s="115"/>
    </row>
    <row r="617" spans="1:4" x14ac:dyDescent="0.2">
      <c r="A617" s="115"/>
      <c r="B617" s="106"/>
      <c r="C617" s="115"/>
      <c r="D617" s="115"/>
    </row>
    <row r="618" spans="1:4" x14ac:dyDescent="0.2">
      <c r="A618" s="115"/>
      <c r="B618" s="106"/>
      <c r="C618" s="115"/>
      <c r="D618" s="115"/>
    </row>
    <row r="619" spans="1:4" x14ac:dyDescent="0.2">
      <c r="A619" s="115"/>
      <c r="B619" s="106"/>
      <c r="C619" s="115"/>
      <c r="D619" s="115"/>
    </row>
    <row r="620" spans="1:4" x14ac:dyDescent="0.2">
      <c r="A620" s="115"/>
      <c r="B620" s="106"/>
      <c r="C620" s="115"/>
      <c r="D620" s="115"/>
    </row>
    <row r="621" spans="1:4" x14ac:dyDescent="0.2">
      <c r="A621" s="115"/>
      <c r="B621" s="106"/>
      <c r="C621" s="115"/>
      <c r="D621" s="115"/>
    </row>
    <row r="622" spans="1:4" x14ac:dyDescent="0.2">
      <c r="A622" s="115"/>
      <c r="B622" s="106"/>
      <c r="C622" s="115"/>
      <c r="D622" s="115"/>
    </row>
    <row r="623" spans="1:4" x14ac:dyDescent="0.2">
      <c r="A623" s="115"/>
      <c r="B623" s="106"/>
      <c r="C623" s="115"/>
      <c r="D623" s="115"/>
    </row>
    <row r="624" spans="1:4" x14ac:dyDescent="0.2">
      <c r="A624" s="115"/>
      <c r="B624" s="106"/>
      <c r="C624" s="115"/>
      <c r="D624" s="115"/>
    </row>
    <row r="625" spans="1:4" x14ac:dyDescent="0.2">
      <c r="A625" s="115"/>
      <c r="B625" s="106"/>
      <c r="C625" s="115"/>
      <c r="D625" s="115"/>
    </row>
    <row r="626" spans="1:4" x14ac:dyDescent="0.2">
      <c r="A626" s="115"/>
      <c r="B626" s="106"/>
      <c r="C626" s="115"/>
      <c r="D626" s="115"/>
    </row>
    <row r="627" spans="1:4" x14ac:dyDescent="0.2">
      <c r="A627" s="115"/>
      <c r="B627" s="106"/>
      <c r="C627" s="115"/>
      <c r="D627" s="115"/>
    </row>
    <row r="628" spans="1:4" x14ac:dyDescent="0.2">
      <c r="A628" s="115"/>
      <c r="B628" s="106"/>
      <c r="C628" s="115"/>
      <c r="D628" s="115"/>
    </row>
    <row r="629" spans="1:4" x14ac:dyDescent="0.2">
      <c r="A629" s="115"/>
      <c r="B629" s="106"/>
      <c r="C629" s="115"/>
      <c r="D629" s="115"/>
    </row>
    <row r="630" spans="1:4" x14ac:dyDescent="0.2">
      <c r="A630" s="115"/>
      <c r="B630" s="106"/>
      <c r="C630" s="115"/>
      <c r="D630" s="115"/>
    </row>
    <row r="631" spans="1:4" x14ac:dyDescent="0.2">
      <c r="A631" s="115"/>
      <c r="B631" s="106"/>
      <c r="C631" s="115"/>
      <c r="D631" s="115"/>
    </row>
    <row r="632" spans="1:4" x14ac:dyDescent="0.2">
      <c r="A632" s="115"/>
      <c r="B632" s="106"/>
      <c r="C632" s="115"/>
      <c r="D632" s="115"/>
    </row>
    <row r="633" spans="1:4" x14ac:dyDescent="0.2">
      <c r="A633" s="115"/>
      <c r="B633" s="106"/>
      <c r="C633" s="115"/>
      <c r="D633" s="115"/>
    </row>
    <row r="634" spans="1:4" x14ac:dyDescent="0.2">
      <c r="A634" s="115"/>
      <c r="B634" s="106"/>
      <c r="C634" s="115"/>
      <c r="D634" s="115"/>
    </row>
    <row r="635" spans="1:4" x14ac:dyDescent="0.2">
      <c r="A635" s="115"/>
      <c r="B635" s="106"/>
      <c r="C635" s="115"/>
      <c r="D635" s="115"/>
    </row>
    <row r="636" spans="1:4" x14ac:dyDescent="0.2">
      <c r="A636" s="115"/>
      <c r="B636" s="106"/>
      <c r="C636" s="115"/>
      <c r="D636" s="115"/>
    </row>
    <row r="637" spans="1:4" x14ac:dyDescent="0.2">
      <c r="A637" s="115"/>
      <c r="B637" s="106"/>
      <c r="C637" s="115"/>
      <c r="D637" s="115"/>
    </row>
    <row r="638" spans="1:4" x14ac:dyDescent="0.2">
      <c r="A638" s="115"/>
      <c r="B638" s="106"/>
      <c r="C638" s="115"/>
      <c r="D638" s="115"/>
    </row>
    <row r="639" spans="1:4" x14ac:dyDescent="0.2">
      <c r="A639" s="115"/>
      <c r="B639" s="106"/>
      <c r="C639" s="115"/>
      <c r="D639" s="115"/>
    </row>
    <row r="640" spans="1:4" x14ac:dyDescent="0.2">
      <c r="A640" s="115"/>
      <c r="B640" s="106"/>
      <c r="C640" s="115"/>
      <c r="D640" s="115"/>
    </row>
    <row r="641" spans="1:4" x14ac:dyDescent="0.2">
      <c r="A641" s="115"/>
      <c r="B641" s="106"/>
      <c r="C641" s="115"/>
      <c r="D641" s="115"/>
    </row>
    <row r="642" spans="1:4" x14ac:dyDescent="0.2">
      <c r="A642" s="115"/>
      <c r="B642" s="106"/>
      <c r="C642" s="115"/>
      <c r="D642" s="115"/>
    </row>
    <row r="643" spans="1:4" x14ac:dyDescent="0.2">
      <c r="A643" s="115"/>
      <c r="B643" s="106"/>
      <c r="C643" s="115"/>
      <c r="D643" s="115"/>
    </row>
    <row r="644" spans="1:4" x14ac:dyDescent="0.2">
      <c r="A644" s="115"/>
      <c r="B644" s="106"/>
      <c r="C644" s="115"/>
      <c r="D644" s="115"/>
    </row>
    <row r="645" spans="1:4" x14ac:dyDescent="0.2">
      <c r="A645" s="115"/>
      <c r="B645" s="106"/>
      <c r="C645" s="115"/>
      <c r="D645" s="115"/>
    </row>
    <row r="646" spans="1:4" x14ac:dyDescent="0.2">
      <c r="A646" s="115"/>
      <c r="B646" s="106"/>
      <c r="C646" s="115"/>
      <c r="D646" s="115"/>
    </row>
    <row r="647" spans="1:4" x14ac:dyDescent="0.2">
      <c r="A647" s="115"/>
      <c r="B647" s="106"/>
      <c r="C647" s="115"/>
      <c r="D647" s="115"/>
    </row>
    <row r="648" spans="1:4" x14ac:dyDescent="0.2">
      <c r="A648" s="115"/>
      <c r="B648" s="106"/>
      <c r="C648" s="115"/>
      <c r="D648" s="115"/>
    </row>
    <row r="649" spans="1:4" x14ac:dyDescent="0.2">
      <c r="A649" s="115"/>
      <c r="B649" s="106"/>
      <c r="C649" s="115"/>
      <c r="D649" s="115"/>
    </row>
    <row r="650" spans="1:4" x14ac:dyDescent="0.2">
      <c r="A650" s="115"/>
      <c r="B650" s="106"/>
      <c r="C650" s="115"/>
      <c r="D650" s="115"/>
    </row>
    <row r="651" spans="1:4" x14ac:dyDescent="0.2">
      <c r="A651" s="115"/>
      <c r="B651" s="106"/>
      <c r="C651" s="115"/>
      <c r="D651" s="115"/>
    </row>
  </sheetData>
  <autoFilter ref="A1:D17" xr:uid="{7FD946A1-E2A0-4099-AC01-93D7BE882AFA}"/>
  <pageMargins left="0.7" right="0.7" top="0.75" bottom="0.75" header="0.3" footer="0.3"/>
  <pageSetup orientation="portrait" r:id="rId1"/>
  <headerFooter>
    <oddFooter>&amp;R_x000D_&amp;1#&amp;"Calibri"&amp;10&amp;K000000 Official Use Only</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1BD31-F33D-4EEA-875D-4BD4F5FE08E7}">
  <sheetPr>
    <tabColor theme="9" tint="0.59999389629810485"/>
  </sheetPr>
  <dimension ref="A1:AW1119"/>
  <sheetViews>
    <sheetView zoomScale="170" zoomScaleNormal="170" workbookViewId="0">
      <pane ySplit="1" topLeftCell="A2" activePane="bottomLeft" state="frozen"/>
      <selection activeCell="B3" sqref="B3"/>
      <selection pane="bottomLeft" activeCell="C1" sqref="C1"/>
    </sheetView>
  </sheetViews>
  <sheetFormatPr baseColWidth="10" defaultColWidth="9" defaultRowHeight="15" x14ac:dyDescent="0.2"/>
  <cols>
    <col min="1" max="1" width="21.5" style="72" customWidth="1"/>
    <col min="2" max="2" width="14.6640625" style="72" customWidth="1"/>
    <col min="3" max="3" width="23.1640625" style="72" bestFit="1" customWidth="1"/>
    <col min="4" max="4" width="74.83203125" style="70" customWidth="1"/>
    <col min="5" max="16384" width="9" style="71"/>
  </cols>
  <sheetData>
    <row r="1" spans="1:49" s="75" customFormat="1" ht="16" x14ac:dyDescent="0.2">
      <c r="A1" s="81" t="s">
        <v>14</v>
      </c>
      <c r="B1" s="81" t="s">
        <v>717</v>
      </c>
      <c r="C1" s="82" t="s">
        <v>20</v>
      </c>
      <c r="D1" s="83" t="s">
        <v>273</v>
      </c>
    </row>
    <row r="2" spans="1:49" ht="32" x14ac:dyDescent="0.2">
      <c r="A2" s="70" t="s">
        <v>694</v>
      </c>
      <c r="B2" s="70" t="s">
        <v>30</v>
      </c>
      <c r="C2" s="70" t="s">
        <v>10</v>
      </c>
      <c r="D2" s="109" t="s">
        <v>726</v>
      </c>
    </row>
    <row r="3" spans="1:49" ht="32" x14ac:dyDescent="0.2">
      <c r="A3" s="70" t="s">
        <v>694</v>
      </c>
      <c r="B3" s="70" t="s">
        <v>30</v>
      </c>
      <c r="C3" s="70" t="s">
        <v>10</v>
      </c>
      <c r="D3" s="109" t="s">
        <v>705</v>
      </c>
    </row>
    <row r="4" spans="1:49" ht="32" x14ac:dyDescent="0.2">
      <c r="A4" s="70" t="s">
        <v>694</v>
      </c>
      <c r="B4" s="70" t="s">
        <v>30</v>
      </c>
      <c r="C4" s="70" t="s">
        <v>10</v>
      </c>
      <c r="D4" s="109" t="s">
        <v>727</v>
      </c>
    </row>
    <row r="5" spans="1:49" ht="32" x14ac:dyDescent="0.2">
      <c r="A5" s="70" t="s">
        <v>694</v>
      </c>
      <c r="B5" s="70" t="s">
        <v>5</v>
      </c>
      <c r="C5" s="70" t="s">
        <v>11</v>
      </c>
      <c r="D5" s="109" t="s">
        <v>729</v>
      </c>
    </row>
    <row r="6" spans="1:49" ht="48" x14ac:dyDescent="0.2">
      <c r="A6" s="70" t="s">
        <v>694</v>
      </c>
      <c r="B6" s="70" t="s">
        <v>5</v>
      </c>
      <c r="C6" s="70" t="s">
        <v>12</v>
      </c>
      <c r="D6" s="109" t="s">
        <v>728</v>
      </c>
    </row>
    <row r="7" spans="1:49" ht="48" x14ac:dyDescent="0.2">
      <c r="A7" s="70" t="s">
        <v>694</v>
      </c>
      <c r="B7" s="70" t="s">
        <v>5</v>
      </c>
      <c r="C7" s="70" t="s">
        <v>12</v>
      </c>
      <c r="D7" s="109" t="s">
        <v>730</v>
      </c>
    </row>
    <row r="8" spans="1:49" ht="48" x14ac:dyDescent="0.2">
      <c r="A8" s="70" t="s">
        <v>694</v>
      </c>
      <c r="B8" s="70" t="s">
        <v>5</v>
      </c>
      <c r="C8" s="70" t="s">
        <v>12</v>
      </c>
      <c r="D8" s="109" t="s">
        <v>731</v>
      </c>
    </row>
    <row r="9" spans="1:49" ht="64" x14ac:dyDescent="0.2">
      <c r="A9" s="70" t="s">
        <v>694</v>
      </c>
      <c r="B9" s="70" t="s">
        <v>645</v>
      </c>
      <c r="C9" s="76" t="s">
        <v>644</v>
      </c>
      <c r="D9" s="109" t="s">
        <v>733</v>
      </c>
    </row>
    <row r="10" spans="1:49" ht="64" x14ac:dyDescent="0.2">
      <c r="A10" s="70" t="s">
        <v>694</v>
      </c>
      <c r="B10" s="70" t="s">
        <v>645</v>
      </c>
      <c r="C10" s="76" t="s">
        <v>644</v>
      </c>
      <c r="D10" s="109" t="s">
        <v>732</v>
      </c>
    </row>
    <row r="11" spans="1:49" s="70" customFormat="1" ht="32" x14ac:dyDescent="0.2">
      <c r="A11" s="70" t="s">
        <v>757</v>
      </c>
      <c r="B11" s="70" t="s">
        <v>30</v>
      </c>
      <c r="C11" s="70" t="s">
        <v>10</v>
      </c>
      <c r="D11" s="110" t="s">
        <v>767</v>
      </c>
      <c r="E11" s="106"/>
      <c r="F11" s="106"/>
      <c r="G11" s="106"/>
      <c r="H11" s="106"/>
      <c r="I11" s="106"/>
      <c r="J11" s="106"/>
      <c r="K11" s="106"/>
      <c r="L11" s="106"/>
      <c r="M11" s="106"/>
      <c r="N11" s="106"/>
      <c r="O11" s="106"/>
      <c r="P11" s="106"/>
      <c r="Q11" s="106"/>
      <c r="R11" s="106"/>
      <c r="S11" s="106"/>
      <c r="T11" s="106"/>
      <c r="U11" s="106"/>
      <c r="V11" s="106"/>
      <c r="W11" s="106"/>
      <c r="X11" s="106"/>
      <c r="Y11" s="106"/>
      <c r="Z11" s="106"/>
      <c r="AA11" s="106"/>
      <c r="AB11" s="106"/>
      <c r="AC11" s="106"/>
      <c r="AD11" s="106"/>
      <c r="AE11" s="106"/>
      <c r="AF11" s="106"/>
      <c r="AG11" s="106"/>
      <c r="AH11" s="106"/>
      <c r="AI11" s="106"/>
      <c r="AJ11" s="106"/>
      <c r="AK11" s="106"/>
      <c r="AL11" s="106"/>
      <c r="AM11" s="106"/>
      <c r="AN11" s="106"/>
      <c r="AO11" s="106"/>
      <c r="AP11" s="106"/>
      <c r="AQ11" s="106"/>
      <c r="AR11" s="106"/>
      <c r="AS11" s="106"/>
      <c r="AT11" s="106"/>
      <c r="AU11" s="106"/>
      <c r="AV11" s="106"/>
      <c r="AW11" s="106"/>
    </row>
    <row r="12" spans="1:49" s="70" customFormat="1" ht="32" x14ac:dyDescent="0.2">
      <c r="A12" s="70" t="s">
        <v>757</v>
      </c>
      <c r="B12" s="70" t="s">
        <v>30</v>
      </c>
      <c r="C12" s="70" t="s">
        <v>10</v>
      </c>
      <c r="D12" s="110" t="s">
        <v>285</v>
      </c>
      <c r="E12" s="106"/>
      <c r="F12" s="106"/>
      <c r="G12" s="106"/>
      <c r="H12" s="106"/>
      <c r="I12" s="106"/>
      <c r="J12" s="106"/>
      <c r="K12" s="106"/>
      <c r="L12" s="106"/>
      <c r="M12" s="106"/>
      <c r="N12" s="106"/>
      <c r="O12" s="106"/>
      <c r="P12" s="106"/>
      <c r="Q12" s="106"/>
      <c r="R12" s="106"/>
      <c r="S12" s="106"/>
      <c r="T12" s="106"/>
      <c r="U12" s="106"/>
      <c r="V12" s="106"/>
      <c r="W12" s="106"/>
      <c r="X12" s="106"/>
      <c r="Y12" s="106"/>
      <c r="Z12" s="106"/>
      <c r="AA12" s="106"/>
      <c r="AB12" s="106"/>
      <c r="AC12" s="106"/>
      <c r="AD12" s="106"/>
      <c r="AE12" s="106"/>
      <c r="AF12" s="106"/>
      <c r="AG12" s="106"/>
      <c r="AH12" s="106"/>
      <c r="AI12" s="106"/>
      <c r="AJ12" s="106"/>
      <c r="AK12" s="106"/>
      <c r="AL12" s="106"/>
      <c r="AM12" s="106"/>
      <c r="AN12" s="106"/>
      <c r="AO12" s="106"/>
      <c r="AP12" s="106"/>
      <c r="AQ12" s="106"/>
      <c r="AR12" s="106"/>
      <c r="AS12" s="106"/>
      <c r="AT12" s="106"/>
      <c r="AU12" s="106"/>
      <c r="AV12" s="106"/>
      <c r="AW12" s="106"/>
    </row>
    <row r="13" spans="1:49" s="77" customFormat="1" ht="32" x14ac:dyDescent="0.2">
      <c r="A13" s="70" t="s">
        <v>757</v>
      </c>
      <c r="B13" s="70" t="s">
        <v>5</v>
      </c>
      <c r="C13" s="70" t="s">
        <v>11</v>
      </c>
      <c r="D13" s="110" t="s">
        <v>772</v>
      </c>
      <c r="E13" s="115"/>
      <c r="F13" s="115"/>
      <c r="G13" s="115"/>
      <c r="H13" s="115"/>
      <c r="I13" s="115"/>
      <c r="J13" s="115"/>
      <c r="K13" s="115"/>
      <c r="L13" s="115"/>
      <c r="M13" s="115"/>
      <c r="N13" s="115"/>
      <c r="O13" s="115"/>
      <c r="P13" s="115"/>
      <c r="Q13" s="115"/>
      <c r="R13" s="115"/>
      <c r="S13" s="115"/>
      <c r="T13" s="115"/>
      <c r="U13" s="115"/>
      <c r="V13" s="115"/>
      <c r="W13" s="115"/>
      <c r="X13" s="115"/>
      <c r="Y13" s="115"/>
      <c r="Z13" s="115"/>
      <c r="AA13" s="115"/>
      <c r="AB13" s="115"/>
      <c r="AC13" s="115"/>
      <c r="AD13" s="115"/>
      <c r="AE13" s="115"/>
      <c r="AF13" s="115"/>
      <c r="AG13" s="115"/>
      <c r="AH13" s="115"/>
      <c r="AI13" s="115"/>
      <c r="AJ13" s="115"/>
      <c r="AK13" s="115"/>
      <c r="AL13" s="115"/>
      <c r="AM13" s="115"/>
      <c r="AN13" s="115"/>
      <c r="AO13" s="115"/>
      <c r="AP13" s="115"/>
      <c r="AQ13" s="115"/>
      <c r="AR13" s="115"/>
      <c r="AS13" s="115"/>
      <c r="AT13" s="115"/>
      <c r="AU13" s="115"/>
      <c r="AV13" s="115"/>
      <c r="AW13" s="115"/>
    </row>
    <row r="14" spans="1:49" s="77" customFormat="1" ht="32" x14ac:dyDescent="0.2">
      <c r="A14" s="70" t="s">
        <v>757</v>
      </c>
      <c r="B14" s="70" t="s">
        <v>5</v>
      </c>
      <c r="C14" s="70" t="s">
        <v>11</v>
      </c>
      <c r="D14" s="110" t="s">
        <v>773</v>
      </c>
      <c r="E14" s="115"/>
      <c r="F14" s="115"/>
      <c r="G14" s="115"/>
      <c r="H14" s="115"/>
      <c r="I14" s="115"/>
      <c r="J14" s="115"/>
      <c r="K14" s="115"/>
      <c r="L14" s="115"/>
      <c r="M14" s="115"/>
      <c r="N14" s="115"/>
      <c r="O14" s="115"/>
      <c r="P14" s="115"/>
      <c r="Q14" s="115"/>
      <c r="R14" s="115"/>
      <c r="S14" s="115"/>
      <c r="T14" s="115"/>
      <c r="U14" s="115"/>
      <c r="V14" s="115"/>
      <c r="W14" s="115"/>
      <c r="X14" s="115"/>
      <c r="Y14" s="115"/>
      <c r="Z14" s="115"/>
      <c r="AA14" s="115"/>
      <c r="AB14" s="115"/>
      <c r="AC14" s="115"/>
      <c r="AD14" s="115"/>
      <c r="AE14" s="115"/>
      <c r="AF14" s="115"/>
      <c r="AG14" s="115"/>
      <c r="AH14" s="115"/>
      <c r="AI14" s="115"/>
      <c r="AJ14" s="115"/>
      <c r="AK14" s="115"/>
      <c r="AL14" s="115"/>
      <c r="AM14" s="115"/>
      <c r="AN14" s="115"/>
      <c r="AO14" s="115"/>
      <c r="AP14" s="115"/>
      <c r="AQ14" s="115"/>
      <c r="AR14" s="115"/>
      <c r="AS14" s="115"/>
      <c r="AT14" s="115"/>
      <c r="AU14" s="115"/>
      <c r="AV14" s="115"/>
      <c r="AW14" s="115"/>
    </row>
    <row r="15" spans="1:49" s="77" customFormat="1" ht="48" x14ac:dyDescent="0.2">
      <c r="A15" s="70" t="s">
        <v>757</v>
      </c>
      <c r="B15" s="70" t="s">
        <v>5</v>
      </c>
      <c r="C15" s="70" t="s">
        <v>12</v>
      </c>
      <c r="D15" s="110" t="s">
        <v>780</v>
      </c>
      <c r="E15" s="115"/>
      <c r="F15" s="115"/>
      <c r="G15" s="115"/>
      <c r="H15" s="115"/>
      <c r="I15" s="115"/>
      <c r="J15" s="115"/>
      <c r="K15" s="115"/>
      <c r="L15" s="115"/>
      <c r="M15" s="115"/>
      <c r="N15" s="115"/>
      <c r="O15" s="115"/>
      <c r="P15" s="115"/>
      <c r="Q15" s="115"/>
      <c r="R15" s="115"/>
      <c r="S15" s="115"/>
      <c r="T15" s="115"/>
      <c r="U15" s="115"/>
      <c r="V15" s="115"/>
      <c r="W15" s="115"/>
      <c r="X15" s="115"/>
      <c r="Y15" s="115"/>
      <c r="Z15" s="115"/>
      <c r="AA15" s="115"/>
      <c r="AB15" s="115"/>
      <c r="AC15" s="115"/>
      <c r="AD15" s="115"/>
      <c r="AE15" s="115"/>
      <c r="AF15" s="115"/>
      <c r="AG15" s="115"/>
      <c r="AH15" s="115"/>
      <c r="AI15" s="115"/>
      <c r="AJ15" s="115"/>
      <c r="AK15" s="115"/>
      <c r="AL15" s="115"/>
      <c r="AM15" s="115"/>
      <c r="AN15" s="115"/>
      <c r="AO15" s="115"/>
      <c r="AP15" s="115"/>
      <c r="AQ15" s="115"/>
      <c r="AR15" s="115"/>
      <c r="AS15" s="115"/>
      <c r="AT15" s="115"/>
      <c r="AU15" s="115"/>
      <c r="AV15" s="115"/>
      <c r="AW15" s="115"/>
    </row>
    <row r="16" spans="1:49" s="77" customFormat="1" ht="48" x14ac:dyDescent="0.2">
      <c r="A16" s="70" t="s">
        <v>757</v>
      </c>
      <c r="B16" s="70" t="s">
        <v>5</v>
      </c>
      <c r="C16" s="70" t="s">
        <v>12</v>
      </c>
      <c r="D16" s="110" t="s">
        <v>781</v>
      </c>
      <c r="E16" s="115"/>
      <c r="F16" s="115"/>
      <c r="G16" s="115"/>
      <c r="H16" s="115"/>
      <c r="I16" s="115"/>
      <c r="J16" s="115"/>
      <c r="K16" s="115"/>
      <c r="L16" s="115"/>
      <c r="M16" s="115"/>
      <c r="N16" s="115"/>
      <c r="O16" s="115"/>
      <c r="P16" s="115"/>
      <c r="Q16" s="115"/>
      <c r="R16" s="115"/>
      <c r="S16" s="115"/>
      <c r="T16" s="115"/>
      <c r="U16" s="115"/>
      <c r="V16" s="115"/>
      <c r="W16" s="115"/>
      <c r="X16" s="115"/>
      <c r="Y16" s="115"/>
      <c r="Z16" s="115"/>
      <c r="AA16" s="115"/>
      <c r="AB16" s="115"/>
      <c r="AC16" s="115"/>
      <c r="AD16" s="115"/>
      <c r="AE16" s="115"/>
      <c r="AF16" s="115"/>
      <c r="AG16" s="115"/>
      <c r="AH16" s="115"/>
      <c r="AI16" s="115"/>
      <c r="AJ16" s="115"/>
      <c r="AK16" s="115"/>
      <c r="AL16" s="115"/>
      <c r="AM16" s="115"/>
      <c r="AN16" s="115"/>
      <c r="AO16" s="115"/>
      <c r="AP16" s="115"/>
      <c r="AQ16" s="115"/>
      <c r="AR16" s="115"/>
      <c r="AS16" s="115"/>
      <c r="AT16" s="115"/>
      <c r="AU16" s="115"/>
      <c r="AV16" s="115"/>
      <c r="AW16" s="115"/>
    </row>
    <row r="17" spans="1:49" s="77" customFormat="1" ht="48" x14ac:dyDescent="0.2">
      <c r="A17" s="70" t="s">
        <v>757</v>
      </c>
      <c r="B17" s="70" t="s">
        <v>5</v>
      </c>
      <c r="C17" s="70" t="s">
        <v>12</v>
      </c>
      <c r="D17" s="110" t="s">
        <v>782</v>
      </c>
      <c r="E17" s="115"/>
      <c r="F17" s="115"/>
      <c r="G17" s="115"/>
      <c r="H17" s="115"/>
      <c r="I17" s="115"/>
      <c r="J17" s="115"/>
      <c r="K17" s="115"/>
      <c r="L17" s="115"/>
      <c r="M17" s="115"/>
      <c r="N17" s="115"/>
      <c r="O17" s="115"/>
      <c r="P17" s="115"/>
      <c r="Q17" s="115"/>
      <c r="R17" s="115"/>
      <c r="S17" s="115"/>
      <c r="T17" s="115"/>
      <c r="U17" s="115"/>
      <c r="V17" s="115"/>
      <c r="W17" s="115"/>
      <c r="X17" s="115"/>
      <c r="Y17" s="115"/>
      <c r="Z17" s="115"/>
      <c r="AA17" s="115"/>
      <c r="AB17" s="115"/>
      <c r="AC17" s="115"/>
      <c r="AD17" s="115"/>
      <c r="AE17" s="115"/>
      <c r="AF17" s="115"/>
      <c r="AG17" s="115"/>
      <c r="AH17" s="115"/>
      <c r="AI17" s="115"/>
      <c r="AJ17" s="115"/>
      <c r="AK17" s="115"/>
      <c r="AL17" s="115"/>
      <c r="AM17" s="115"/>
      <c r="AN17" s="115"/>
      <c r="AO17" s="115"/>
      <c r="AP17" s="115"/>
      <c r="AQ17" s="115"/>
      <c r="AR17" s="115"/>
      <c r="AS17" s="115"/>
      <c r="AT17" s="115"/>
      <c r="AU17" s="115"/>
      <c r="AV17" s="115"/>
      <c r="AW17" s="115"/>
    </row>
    <row r="18" spans="1:49" s="77" customFormat="1" ht="64" x14ac:dyDescent="0.2">
      <c r="A18" s="70" t="s">
        <v>757</v>
      </c>
      <c r="B18" s="70" t="s">
        <v>645</v>
      </c>
      <c r="C18" s="76" t="s">
        <v>644</v>
      </c>
      <c r="D18" s="110" t="s">
        <v>784</v>
      </c>
      <c r="E18" s="115"/>
      <c r="F18" s="115"/>
      <c r="G18" s="115"/>
      <c r="H18" s="115"/>
      <c r="I18" s="115"/>
      <c r="J18" s="115"/>
      <c r="K18" s="115"/>
      <c r="L18" s="115"/>
      <c r="M18" s="115"/>
      <c r="N18" s="115"/>
      <c r="O18" s="115"/>
      <c r="P18" s="115"/>
      <c r="Q18" s="115"/>
      <c r="R18" s="115"/>
      <c r="S18" s="115"/>
      <c r="T18" s="115"/>
      <c r="U18" s="115"/>
      <c r="V18" s="115"/>
      <c r="W18" s="115"/>
      <c r="X18" s="115"/>
      <c r="Y18" s="115"/>
      <c r="Z18" s="115"/>
      <c r="AA18" s="115"/>
      <c r="AB18" s="115"/>
      <c r="AC18" s="115"/>
      <c r="AD18" s="115"/>
      <c r="AE18" s="115"/>
      <c r="AF18" s="115"/>
      <c r="AG18" s="115"/>
      <c r="AH18" s="115"/>
      <c r="AI18" s="115"/>
      <c r="AJ18" s="115"/>
      <c r="AK18" s="115"/>
      <c r="AL18" s="115"/>
      <c r="AM18" s="115"/>
      <c r="AN18" s="115"/>
      <c r="AO18" s="115"/>
      <c r="AP18" s="115"/>
      <c r="AQ18" s="115"/>
      <c r="AR18" s="115"/>
      <c r="AS18" s="115"/>
      <c r="AT18" s="115"/>
      <c r="AU18" s="115"/>
      <c r="AV18" s="115"/>
      <c r="AW18" s="115"/>
    </row>
    <row r="19" spans="1:49" s="77" customFormat="1" ht="64" x14ac:dyDescent="0.2">
      <c r="A19" s="70" t="s">
        <v>757</v>
      </c>
      <c r="B19" s="70" t="s">
        <v>645</v>
      </c>
      <c r="C19" s="76" t="s">
        <v>644</v>
      </c>
      <c r="D19" s="110" t="s">
        <v>783</v>
      </c>
      <c r="E19" s="115"/>
      <c r="F19" s="115"/>
      <c r="G19" s="115"/>
      <c r="H19" s="115"/>
      <c r="I19" s="115"/>
      <c r="J19" s="115"/>
      <c r="K19" s="115"/>
      <c r="L19" s="115"/>
      <c r="M19" s="115"/>
      <c r="N19" s="115"/>
      <c r="O19" s="115"/>
      <c r="P19" s="115"/>
      <c r="Q19" s="115"/>
      <c r="R19" s="115"/>
      <c r="S19" s="115"/>
      <c r="T19" s="115"/>
      <c r="U19" s="115"/>
      <c r="V19" s="115"/>
      <c r="W19" s="115"/>
      <c r="X19" s="115"/>
      <c r="Y19" s="115"/>
      <c r="Z19" s="115"/>
      <c r="AA19" s="115"/>
      <c r="AB19" s="115"/>
      <c r="AC19" s="115"/>
      <c r="AD19" s="115"/>
      <c r="AE19" s="115"/>
      <c r="AF19" s="115"/>
      <c r="AG19" s="115"/>
      <c r="AH19" s="115"/>
      <c r="AI19" s="115"/>
      <c r="AJ19" s="115"/>
      <c r="AK19" s="115"/>
      <c r="AL19" s="115"/>
      <c r="AM19" s="115"/>
      <c r="AN19" s="115"/>
      <c r="AO19" s="115"/>
      <c r="AP19" s="115"/>
      <c r="AQ19" s="115"/>
      <c r="AR19" s="115"/>
      <c r="AS19" s="115"/>
      <c r="AT19" s="115"/>
      <c r="AU19" s="115"/>
      <c r="AV19" s="115"/>
      <c r="AW19" s="115"/>
    </row>
    <row r="20" spans="1:49" s="70" customFormat="1" ht="32" x14ac:dyDescent="0.2">
      <c r="A20" s="78" t="s">
        <v>725</v>
      </c>
      <c r="B20" s="70" t="s">
        <v>5</v>
      </c>
      <c r="C20" s="70" t="s">
        <v>10</v>
      </c>
      <c r="D20" s="109" t="s">
        <v>716</v>
      </c>
      <c r="E20" s="106"/>
      <c r="F20" s="106"/>
      <c r="G20" s="106"/>
      <c r="H20" s="106"/>
      <c r="I20" s="106"/>
      <c r="J20" s="106"/>
      <c r="K20" s="106"/>
      <c r="L20" s="106"/>
      <c r="M20" s="106"/>
      <c r="N20" s="106"/>
      <c r="O20" s="106"/>
      <c r="P20" s="106"/>
      <c r="Q20" s="106"/>
      <c r="R20" s="106"/>
      <c r="S20" s="106"/>
      <c r="T20" s="106"/>
      <c r="U20" s="106"/>
      <c r="V20" s="106"/>
      <c r="W20" s="106"/>
      <c r="X20" s="106"/>
      <c r="Y20" s="106"/>
      <c r="Z20" s="106"/>
      <c r="AA20" s="106"/>
      <c r="AB20" s="106"/>
      <c r="AC20" s="106"/>
      <c r="AD20" s="106"/>
      <c r="AE20" s="106"/>
      <c r="AF20" s="106"/>
      <c r="AG20" s="106"/>
      <c r="AH20" s="106"/>
      <c r="AI20" s="106"/>
      <c r="AJ20" s="106"/>
      <c r="AK20" s="106"/>
      <c r="AL20" s="106"/>
      <c r="AM20" s="106"/>
      <c r="AN20" s="106"/>
      <c r="AO20" s="106"/>
      <c r="AP20" s="106"/>
      <c r="AQ20" s="106"/>
      <c r="AR20" s="106"/>
      <c r="AS20" s="106"/>
      <c r="AT20" s="106"/>
      <c r="AU20" s="106"/>
      <c r="AV20" s="106"/>
      <c r="AW20" s="106"/>
    </row>
    <row r="21" spans="1:49" s="70" customFormat="1" ht="32" x14ac:dyDescent="0.2">
      <c r="A21" s="78" t="s">
        <v>725</v>
      </c>
      <c r="B21" s="70" t="s">
        <v>5</v>
      </c>
      <c r="C21" s="70" t="s">
        <v>10</v>
      </c>
      <c r="D21" s="109" t="s">
        <v>707</v>
      </c>
      <c r="E21" s="106"/>
      <c r="F21" s="106"/>
      <c r="G21" s="106"/>
      <c r="H21" s="106"/>
      <c r="I21" s="106"/>
      <c r="J21" s="106"/>
      <c r="K21" s="106"/>
      <c r="L21" s="106"/>
      <c r="M21" s="106"/>
      <c r="N21" s="106"/>
      <c r="O21" s="106"/>
      <c r="P21" s="106"/>
      <c r="Q21" s="106"/>
      <c r="R21" s="106"/>
      <c r="S21" s="106"/>
      <c r="T21" s="106"/>
      <c r="U21" s="106"/>
      <c r="V21" s="106"/>
      <c r="W21" s="106"/>
      <c r="X21" s="106"/>
      <c r="Y21" s="106"/>
      <c r="Z21" s="106"/>
      <c r="AA21" s="106"/>
      <c r="AB21" s="106"/>
      <c r="AC21" s="106"/>
      <c r="AD21" s="106"/>
      <c r="AE21" s="106"/>
      <c r="AF21" s="106"/>
      <c r="AG21" s="106"/>
      <c r="AH21" s="106"/>
      <c r="AI21" s="106"/>
      <c r="AJ21" s="106"/>
      <c r="AK21" s="106"/>
      <c r="AL21" s="106"/>
      <c r="AM21" s="106"/>
      <c r="AN21" s="106"/>
      <c r="AO21" s="106"/>
      <c r="AP21" s="106"/>
      <c r="AQ21" s="106"/>
      <c r="AR21" s="106"/>
      <c r="AS21" s="106"/>
      <c r="AT21" s="106"/>
      <c r="AU21" s="106"/>
      <c r="AV21" s="106"/>
      <c r="AW21" s="106"/>
    </row>
    <row r="22" spans="1:49" s="70" customFormat="1" ht="32" x14ac:dyDescent="0.2">
      <c r="A22" s="78" t="s">
        <v>725</v>
      </c>
      <c r="B22" s="70" t="s">
        <v>5</v>
      </c>
      <c r="C22" s="70" t="s">
        <v>10</v>
      </c>
      <c r="D22" s="109" t="s">
        <v>472</v>
      </c>
      <c r="E22" s="106"/>
      <c r="F22" s="106"/>
      <c r="G22" s="106"/>
      <c r="H22" s="106"/>
      <c r="I22" s="106"/>
      <c r="J22" s="106"/>
      <c r="K22" s="106"/>
      <c r="L22" s="106"/>
      <c r="M22" s="106"/>
      <c r="N22" s="106"/>
      <c r="O22" s="106"/>
      <c r="P22" s="106"/>
      <c r="Q22" s="106"/>
      <c r="R22" s="106"/>
      <c r="S22" s="106"/>
      <c r="T22" s="106"/>
      <c r="U22" s="106"/>
      <c r="V22" s="106"/>
      <c r="W22" s="106"/>
      <c r="X22" s="106"/>
      <c r="Y22" s="106"/>
      <c r="Z22" s="106"/>
      <c r="AA22" s="106"/>
      <c r="AB22" s="106"/>
      <c r="AC22" s="106"/>
      <c r="AD22" s="106"/>
      <c r="AE22" s="106"/>
      <c r="AF22" s="106"/>
      <c r="AG22" s="106"/>
      <c r="AH22" s="106"/>
      <c r="AI22" s="106"/>
      <c r="AJ22" s="106"/>
      <c r="AK22" s="106"/>
      <c r="AL22" s="106"/>
      <c r="AM22" s="106"/>
      <c r="AN22" s="106"/>
      <c r="AO22" s="106"/>
      <c r="AP22" s="106"/>
      <c r="AQ22" s="106"/>
      <c r="AR22" s="106"/>
      <c r="AS22" s="106"/>
      <c r="AT22" s="106"/>
      <c r="AU22" s="106"/>
      <c r="AV22" s="106"/>
      <c r="AW22" s="106"/>
    </row>
    <row r="23" spans="1:49" s="70" customFormat="1" ht="32" x14ac:dyDescent="0.2">
      <c r="A23" s="78" t="s">
        <v>725</v>
      </c>
      <c r="B23" s="70" t="s">
        <v>5</v>
      </c>
      <c r="C23" s="70" t="s">
        <v>10</v>
      </c>
      <c r="D23" s="109" t="s">
        <v>706</v>
      </c>
      <c r="E23" s="106"/>
      <c r="F23" s="106"/>
      <c r="G23" s="106"/>
      <c r="H23" s="106"/>
      <c r="I23" s="106"/>
      <c r="J23" s="106"/>
      <c r="K23" s="106"/>
      <c r="L23" s="106"/>
      <c r="M23" s="106"/>
      <c r="N23" s="106"/>
      <c r="O23" s="106"/>
      <c r="P23" s="106"/>
      <c r="Q23" s="106"/>
      <c r="R23" s="106"/>
      <c r="S23" s="106"/>
      <c r="T23" s="106"/>
      <c r="U23" s="106"/>
      <c r="V23" s="106"/>
      <c r="W23" s="106"/>
      <c r="X23" s="106"/>
      <c r="Y23" s="106"/>
      <c r="Z23" s="106"/>
      <c r="AA23" s="106"/>
      <c r="AB23" s="106"/>
      <c r="AC23" s="106"/>
      <c r="AD23" s="106"/>
      <c r="AE23" s="106"/>
      <c r="AF23" s="106"/>
      <c r="AG23" s="106"/>
      <c r="AH23" s="106"/>
      <c r="AI23" s="106"/>
      <c r="AJ23" s="106"/>
      <c r="AK23" s="106"/>
      <c r="AL23" s="106"/>
      <c r="AM23" s="106"/>
      <c r="AN23" s="106"/>
      <c r="AO23" s="106"/>
      <c r="AP23" s="106"/>
      <c r="AQ23" s="106"/>
      <c r="AR23" s="106"/>
      <c r="AS23" s="106"/>
      <c r="AT23" s="106"/>
      <c r="AU23" s="106"/>
      <c r="AV23" s="106"/>
      <c r="AW23" s="106"/>
    </row>
    <row r="24" spans="1:49" s="77" customFormat="1" ht="32" x14ac:dyDescent="0.2">
      <c r="A24" s="78" t="s">
        <v>725</v>
      </c>
      <c r="B24" s="70" t="s">
        <v>5</v>
      </c>
      <c r="C24" s="70" t="s">
        <v>11</v>
      </c>
      <c r="D24" s="111" t="s">
        <v>476</v>
      </c>
      <c r="E24" s="115"/>
      <c r="F24" s="115"/>
      <c r="G24" s="115"/>
      <c r="H24" s="115"/>
      <c r="I24" s="115"/>
      <c r="J24" s="115"/>
      <c r="K24" s="115"/>
      <c r="L24" s="115"/>
      <c r="M24" s="115"/>
      <c r="N24" s="115"/>
      <c r="O24" s="115"/>
      <c r="P24" s="115"/>
      <c r="Q24" s="115"/>
      <c r="R24" s="115"/>
      <c r="S24" s="115"/>
      <c r="T24" s="115"/>
      <c r="U24" s="115"/>
      <c r="V24" s="115"/>
      <c r="W24" s="115"/>
      <c r="X24" s="115"/>
      <c r="Y24" s="115"/>
      <c r="Z24" s="115"/>
      <c r="AA24" s="115"/>
      <c r="AB24" s="115"/>
      <c r="AC24" s="115"/>
      <c r="AD24" s="115"/>
      <c r="AE24" s="115"/>
      <c r="AF24" s="115"/>
      <c r="AG24" s="115"/>
      <c r="AH24" s="115"/>
      <c r="AI24" s="115"/>
      <c r="AJ24" s="115"/>
      <c r="AK24" s="115"/>
      <c r="AL24" s="115"/>
      <c r="AM24" s="115"/>
      <c r="AN24" s="115"/>
      <c r="AO24" s="115"/>
      <c r="AP24" s="115"/>
      <c r="AQ24" s="115"/>
      <c r="AR24" s="115"/>
      <c r="AS24" s="115"/>
      <c r="AT24" s="115"/>
      <c r="AU24" s="115"/>
      <c r="AV24" s="115"/>
      <c r="AW24" s="115"/>
    </row>
    <row r="25" spans="1:49" s="77" customFormat="1" ht="32" x14ac:dyDescent="0.2">
      <c r="A25" s="78" t="s">
        <v>725</v>
      </c>
      <c r="B25" s="70" t="s">
        <v>5</v>
      </c>
      <c r="C25" s="70" t="s">
        <v>11</v>
      </c>
      <c r="D25" s="109" t="s">
        <v>718</v>
      </c>
      <c r="E25" s="115"/>
      <c r="F25" s="115"/>
      <c r="G25" s="115"/>
      <c r="H25" s="115"/>
      <c r="I25" s="115"/>
      <c r="J25" s="115"/>
      <c r="K25" s="115"/>
      <c r="L25" s="115"/>
      <c r="M25" s="115"/>
      <c r="N25" s="115"/>
      <c r="O25" s="115"/>
      <c r="P25" s="115"/>
      <c r="Q25" s="115"/>
      <c r="R25" s="115"/>
      <c r="S25" s="115"/>
      <c r="T25" s="115"/>
      <c r="U25" s="115"/>
      <c r="V25" s="115"/>
      <c r="W25" s="115"/>
      <c r="X25" s="115"/>
      <c r="Y25" s="115"/>
      <c r="Z25" s="115"/>
      <c r="AA25" s="115"/>
      <c r="AB25" s="115"/>
      <c r="AC25" s="115"/>
      <c r="AD25" s="115"/>
      <c r="AE25" s="115"/>
      <c r="AF25" s="115"/>
      <c r="AG25" s="115"/>
      <c r="AH25" s="115"/>
      <c r="AI25" s="115"/>
      <c r="AJ25" s="115"/>
      <c r="AK25" s="115"/>
      <c r="AL25" s="115"/>
      <c r="AM25" s="115"/>
      <c r="AN25" s="115"/>
      <c r="AO25" s="115"/>
      <c r="AP25" s="115"/>
      <c r="AQ25" s="115"/>
      <c r="AR25" s="115"/>
      <c r="AS25" s="115"/>
      <c r="AT25" s="115"/>
      <c r="AU25" s="115"/>
      <c r="AV25" s="115"/>
      <c r="AW25" s="115"/>
    </row>
    <row r="26" spans="1:49" s="77" customFormat="1" ht="48" x14ac:dyDescent="0.2">
      <c r="A26" s="78" t="s">
        <v>725</v>
      </c>
      <c r="B26" s="70" t="s">
        <v>5</v>
      </c>
      <c r="C26" s="70" t="s">
        <v>11</v>
      </c>
      <c r="D26" s="109" t="s">
        <v>719</v>
      </c>
      <c r="E26" s="115"/>
      <c r="F26" s="115"/>
      <c r="G26" s="115"/>
      <c r="H26" s="115"/>
      <c r="I26" s="115"/>
      <c r="J26" s="115"/>
      <c r="K26" s="115"/>
      <c r="L26" s="115"/>
      <c r="M26" s="115"/>
      <c r="N26" s="115"/>
      <c r="O26" s="115"/>
      <c r="P26" s="115"/>
      <c r="Q26" s="115"/>
      <c r="R26" s="115"/>
      <c r="S26" s="115"/>
      <c r="T26" s="115"/>
      <c r="U26" s="115"/>
      <c r="V26" s="115"/>
      <c r="W26" s="115"/>
      <c r="X26" s="115"/>
      <c r="Y26" s="115"/>
      <c r="Z26" s="115"/>
      <c r="AA26" s="115"/>
      <c r="AB26" s="115"/>
      <c r="AC26" s="115"/>
      <c r="AD26" s="115"/>
      <c r="AE26" s="115"/>
      <c r="AF26" s="115"/>
      <c r="AG26" s="115"/>
      <c r="AH26" s="115"/>
      <c r="AI26" s="115"/>
      <c r="AJ26" s="115"/>
      <c r="AK26" s="115"/>
      <c r="AL26" s="115"/>
      <c r="AM26" s="115"/>
      <c r="AN26" s="115"/>
      <c r="AO26" s="115"/>
      <c r="AP26" s="115"/>
      <c r="AQ26" s="115"/>
      <c r="AR26" s="115"/>
      <c r="AS26" s="115"/>
      <c r="AT26" s="115"/>
      <c r="AU26" s="115"/>
      <c r="AV26" s="115"/>
      <c r="AW26" s="115"/>
    </row>
    <row r="27" spans="1:49" s="77" customFormat="1" ht="32" x14ac:dyDescent="0.2">
      <c r="A27" s="78" t="s">
        <v>725</v>
      </c>
      <c r="B27" s="70" t="s">
        <v>5</v>
      </c>
      <c r="C27" s="70" t="s">
        <v>11</v>
      </c>
      <c r="D27" s="109" t="s">
        <v>720</v>
      </c>
      <c r="E27" s="115"/>
      <c r="F27" s="115"/>
      <c r="G27" s="115"/>
      <c r="H27" s="115"/>
      <c r="I27" s="115"/>
      <c r="J27" s="115"/>
      <c r="K27" s="115"/>
      <c r="L27" s="115"/>
      <c r="M27" s="115"/>
      <c r="N27" s="115"/>
      <c r="O27" s="115"/>
      <c r="P27" s="115"/>
      <c r="Q27" s="115"/>
      <c r="R27" s="115"/>
      <c r="S27" s="115"/>
      <c r="T27" s="115"/>
      <c r="U27" s="115"/>
      <c r="V27" s="115"/>
      <c r="W27" s="115"/>
      <c r="X27" s="115"/>
      <c r="Y27" s="115"/>
      <c r="Z27" s="115"/>
      <c r="AA27" s="115"/>
      <c r="AB27" s="115"/>
      <c r="AC27" s="115"/>
      <c r="AD27" s="115"/>
      <c r="AE27" s="115"/>
      <c r="AF27" s="115"/>
      <c r="AG27" s="115"/>
      <c r="AH27" s="115"/>
      <c r="AI27" s="115"/>
      <c r="AJ27" s="115"/>
      <c r="AK27" s="115"/>
      <c r="AL27" s="115"/>
      <c r="AM27" s="115"/>
      <c r="AN27" s="115"/>
      <c r="AO27" s="115"/>
      <c r="AP27" s="115"/>
      <c r="AQ27" s="115"/>
      <c r="AR27" s="115"/>
      <c r="AS27" s="115"/>
      <c r="AT27" s="115"/>
      <c r="AU27" s="115"/>
      <c r="AV27" s="115"/>
      <c r="AW27" s="115"/>
    </row>
    <row r="28" spans="1:49" s="77" customFormat="1" ht="48" x14ac:dyDescent="0.2">
      <c r="A28" s="78" t="s">
        <v>725</v>
      </c>
      <c r="B28" s="70" t="s">
        <v>5</v>
      </c>
      <c r="C28" s="70" t="s">
        <v>12</v>
      </c>
      <c r="D28" s="111" t="s">
        <v>721</v>
      </c>
      <c r="E28" s="115"/>
      <c r="F28" s="115"/>
      <c r="G28" s="115"/>
      <c r="H28" s="115"/>
      <c r="I28" s="115"/>
      <c r="J28" s="115"/>
      <c r="K28" s="115"/>
      <c r="L28" s="115"/>
      <c r="M28" s="115"/>
      <c r="N28" s="115"/>
      <c r="O28" s="115"/>
      <c r="P28" s="115"/>
      <c r="Q28" s="115"/>
      <c r="R28" s="115"/>
      <c r="S28" s="115"/>
      <c r="T28" s="115"/>
      <c r="U28" s="115"/>
      <c r="V28" s="115"/>
      <c r="W28" s="115"/>
      <c r="X28" s="115"/>
      <c r="Y28" s="115"/>
      <c r="Z28" s="115"/>
      <c r="AA28" s="115"/>
      <c r="AB28" s="115"/>
      <c r="AC28" s="115"/>
      <c r="AD28" s="115"/>
      <c r="AE28" s="115"/>
      <c r="AF28" s="115"/>
      <c r="AG28" s="115"/>
      <c r="AH28" s="115"/>
      <c r="AI28" s="115"/>
      <c r="AJ28" s="115"/>
      <c r="AK28" s="115"/>
      <c r="AL28" s="115"/>
      <c r="AM28" s="115"/>
      <c r="AN28" s="115"/>
      <c r="AO28" s="115"/>
      <c r="AP28" s="115"/>
      <c r="AQ28" s="115"/>
      <c r="AR28" s="115"/>
      <c r="AS28" s="115"/>
      <c r="AT28" s="115"/>
      <c r="AU28" s="115"/>
      <c r="AV28" s="115"/>
      <c r="AW28" s="115"/>
    </row>
    <row r="29" spans="1:49" s="77" customFormat="1" ht="48" x14ac:dyDescent="0.2">
      <c r="A29" s="78" t="s">
        <v>725</v>
      </c>
      <c r="B29" s="70" t="s">
        <v>5</v>
      </c>
      <c r="C29" s="70" t="s">
        <v>12</v>
      </c>
      <c r="D29" s="111" t="s">
        <v>722</v>
      </c>
      <c r="E29" s="115"/>
      <c r="F29" s="115"/>
      <c r="G29" s="115"/>
      <c r="H29" s="115"/>
      <c r="I29" s="115"/>
      <c r="J29" s="115"/>
      <c r="K29" s="115"/>
      <c r="L29" s="115"/>
      <c r="M29" s="115"/>
      <c r="N29" s="115"/>
      <c r="O29" s="115"/>
      <c r="P29" s="115"/>
      <c r="Q29" s="115"/>
      <c r="R29" s="115"/>
      <c r="S29" s="115"/>
      <c r="T29" s="115"/>
      <c r="U29" s="115"/>
      <c r="V29" s="115"/>
      <c r="W29" s="115"/>
      <c r="X29" s="115"/>
      <c r="Y29" s="115"/>
      <c r="Z29" s="115"/>
      <c r="AA29" s="115"/>
      <c r="AB29" s="115"/>
      <c r="AC29" s="115"/>
      <c r="AD29" s="115"/>
      <c r="AE29" s="115"/>
      <c r="AF29" s="115"/>
      <c r="AG29" s="115"/>
      <c r="AH29" s="115"/>
      <c r="AI29" s="115"/>
      <c r="AJ29" s="115"/>
      <c r="AK29" s="115"/>
      <c r="AL29" s="115"/>
      <c r="AM29" s="115"/>
      <c r="AN29" s="115"/>
      <c r="AO29" s="115"/>
      <c r="AP29" s="115"/>
      <c r="AQ29" s="115"/>
      <c r="AR29" s="115"/>
      <c r="AS29" s="115"/>
      <c r="AT29" s="115"/>
      <c r="AU29" s="115"/>
      <c r="AV29" s="115"/>
      <c r="AW29" s="115"/>
    </row>
    <row r="30" spans="1:49" s="77" customFormat="1" ht="48" x14ac:dyDescent="0.2">
      <c r="A30" s="78" t="s">
        <v>725</v>
      </c>
      <c r="B30" s="70" t="s">
        <v>226</v>
      </c>
      <c r="C30" s="76" t="s">
        <v>644</v>
      </c>
      <c r="D30" s="111" t="s">
        <v>489</v>
      </c>
      <c r="E30" s="115"/>
      <c r="F30" s="115"/>
      <c r="G30" s="115"/>
      <c r="H30" s="115"/>
      <c r="I30" s="115"/>
      <c r="J30" s="115"/>
      <c r="K30" s="115"/>
      <c r="L30" s="115"/>
      <c r="M30" s="115"/>
      <c r="N30" s="115"/>
      <c r="O30" s="115"/>
      <c r="P30" s="115"/>
      <c r="Q30" s="115"/>
      <c r="R30" s="115"/>
      <c r="S30" s="115"/>
      <c r="T30" s="115"/>
      <c r="U30" s="115"/>
      <c r="V30" s="115"/>
      <c r="W30" s="115"/>
      <c r="X30" s="115"/>
      <c r="Y30" s="115"/>
      <c r="Z30" s="115"/>
      <c r="AA30" s="115"/>
      <c r="AB30" s="115"/>
      <c r="AC30" s="115"/>
      <c r="AD30" s="115"/>
      <c r="AE30" s="115"/>
      <c r="AF30" s="115"/>
      <c r="AG30" s="115"/>
      <c r="AH30" s="115"/>
      <c r="AI30" s="115"/>
      <c r="AJ30" s="115"/>
      <c r="AK30" s="115"/>
      <c r="AL30" s="115"/>
      <c r="AM30" s="115"/>
      <c r="AN30" s="115"/>
      <c r="AO30" s="115"/>
      <c r="AP30" s="115"/>
      <c r="AQ30" s="115"/>
      <c r="AR30" s="115"/>
      <c r="AS30" s="115"/>
      <c r="AT30" s="115"/>
      <c r="AU30" s="115"/>
      <c r="AV30" s="115"/>
      <c r="AW30" s="115"/>
    </row>
    <row r="31" spans="1:49" s="77" customFormat="1" ht="48" x14ac:dyDescent="0.2">
      <c r="A31" s="78" t="s">
        <v>725</v>
      </c>
      <c r="B31" s="70" t="s">
        <v>226</v>
      </c>
      <c r="C31" s="76" t="s">
        <v>644</v>
      </c>
      <c r="D31" s="111" t="s">
        <v>723</v>
      </c>
      <c r="E31" s="115"/>
      <c r="F31" s="115"/>
      <c r="G31" s="115"/>
      <c r="H31" s="115"/>
      <c r="I31" s="115"/>
      <c r="J31" s="115"/>
      <c r="K31" s="115"/>
      <c r="L31" s="115"/>
      <c r="M31" s="115"/>
      <c r="N31" s="115"/>
      <c r="O31" s="115"/>
      <c r="P31" s="115"/>
      <c r="Q31" s="115"/>
      <c r="R31" s="115"/>
      <c r="S31" s="115"/>
      <c r="T31" s="115"/>
      <c r="U31" s="115"/>
      <c r="V31" s="115"/>
      <c r="W31" s="115"/>
      <c r="X31" s="115"/>
      <c r="Y31" s="115"/>
      <c r="Z31" s="115"/>
      <c r="AA31" s="115"/>
      <c r="AB31" s="115"/>
      <c r="AC31" s="115"/>
      <c r="AD31" s="115"/>
      <c r="AE31" s="115"/>
      <c r="AF31" s="115"/>
      <c r="AG31" s="115"/>
      <c r="AH31" s="115"/>
      <c r="AI31" s="115"/>
      <c r="AJ31" s="115"/>
      <c r="AK31" s="115"/>
      <c r="AL31" s="115"/>
      <c r="AM31" s="115"/>
      <c r="AN31" s="115"/>
      <c r="AO31" s="115"/>
      <c r="AP31" s="115"/>
      <c r="AQ31" s="115"/>
      <c r="AR31" s="115"/>
      <c r="AS31" s="115"/>
      <c r="AT31" s="115"/>
      <c r="AU31" s="115"/>
      <c r="AV31" s="115"/>
      <c r="AW31" s="115"/>
    </row>
    <row r="32" spans="1:49" ht="32" x14ac:dyDescent="0.2">
      <c r="A32" s="70" t="s">
        <v>786</v>
      </c>
      <c r="B32" s="70" t="s">
        <v>30</v>
      </c>
      <c r="C32" s="70" t="s">
        <v>10</v>
      </c>
      <c r="D32" s="109" t="s">
        <v>797</v>
      </c>
    </row>
    <row r="33" spans="1:4" ht="32" x14ac:dyDescent="0.2">
      <c r="A33" s="70" t="s">
        <v>786</v>
      </c>
      <c r="B33" s="70" t="s">
        <v>30</v>
      </c>
      <c r="C33" s="70" t="s">
        <v>10</v>
      </c>
      <c r="D33" s="109" t="s">
        <v>299</v>
      </c>
    </row>
    <row r="34" spans="1:4" s="91" customFormat="1" ht="48" x14ac:dyDescent="0.2">
      <c r="A34" s="70" t="s">
        <v>786</v>
      </c>
      <c r="B34" s="70" t="s">
        <v>5</v>
      </c>
      <c r="C34" s="70" t="s">
        <v>11</v>
      </c>
      <c r="D34" s="112" t="s">
        <v>798</v>
      </c>
    </row>
    <row r="35" spans="1:4" s="91" customFormat="1" ht="32" x14ac:dyDescent="0.2">
      <c r="A35" s="70" t="s">
        <v>786</v>
      </c>
      <c r="B35" s="70" t="s">
        <v>5</v>
      </c>
      <c r="C35" s="70" t="s">
        <v>11</v>
      </c>
      <c r="D35" s="109" t="s">
        <v>799</v>
      </c>
    </row>
    <row r="36" spans="1:4" s="91" customFormat="1" ht="48" x14ac:dyDescent="0.2">
      <c r="A36" s="70" t="s">
        <v>786</v>
      </c>
      <c r="B36" s="70" t="s">
        <v>5</v>
      </c>
      <c r="C36" s="70" t="s">
        <v>12</v>
      </c>
      <c r="D36" s="112" t="s">
        <v>300</v>
      </c>
    </row>
    <row r="37" spans="1:4" s="91" customFormat="1" ht="48" x14ac:dyDescent="0.2">
      <c r="A37" s="70" t="s">
        <v>786</v>
      </c>
      <c r="B37" s="70" t="s">
        <v>5</v>
      </c>
      <c r="C37" s="70" t="s">
        <v>12</v>
      </c>
      <c r="D37" s="109" t="s">
        <v>301</v>
      </c>
    </row>
    <row r="38" spans="1:4" s="91" customFormat="1" ht="32" x14ac:dyDescent="0.2">
      <c r="A38" s="70" t="s">
        <v>786</v>
      </c>
      <c r="B38" s="70"/>
      <c r="C38" s="76" t="s">
        <v>644</v>
      </c>
      <c r="D38" s="109" t="s">
        <v>302</v>
      </c>
    </row>
    <row r="39" spans="1:4" s="91" customFormat="1" ht="32" x14ac:dyDescent="0.2">
      <c r="A39" s="70" t="s">
        <v>786</v>
      </c>
      <c r="B39" s="70"/>
      <c r="C39" s="76" t="s">
        <v>644</v>
      </c>
      <c r="D39" s="112" t="s">
        <v>303</v>
      </c>
    </row>
    <row r="40" spans="1:4" ht="48" x14ac:dyDescent="0.2">
      <c r="A40" s="70" t="s">
        <v>724</v>
      </c>
      <c r="B40" s="76" t="s">
        <v>30</v>
      </c>
      <c r="C40" s="76" t="s">
        <v>10</v>
      </c>
      <c r="D40" s="110" t="s">
        <v>711</v>
      </c>
    </row>
    <row r="41" spans="1:4" ht="32" x14ac:dyDescent="0.2">
      <c r="A41" s="70" t="s">
        <v>724</v>
      </c>
      <c r="B41" s="76" t="s">
        <v>30</v>
      </c>
      <c r="C41" s="76" t="s">
        <v>10</v>
      </c>
      <c r="D41" s="110" t="s">
        <v>708</v>
      </c>
    </row>
    <row r="42" spans="1:4" s="79" customFormat="1" ht="48" x14ac:dyDescent="0.2">
      <c r="A42" s="70" t="s">
        <v>724</v>
      </c>
      <c r="B42" s="76" t="s">
        <v>5</v>
      </c>
      <c r="C42" s="80" t="s">
        <v>11</v>
      </c>
      <c r="D42" s="110" t="s">
        <v>712</v>
      </c>
    </row>
    <row r="43" spans="1:4" s="79" customFormat="1" ht="48" x14ac:dyDescent="0.2">
      <c r="A43" s="70" t="s">
        <v>724</v>
      </c>
      <c r="B43" s="76" t="s">
        <v>5</v>
      </c>
      <c r="C43" s="80" t="s">
        <v>11</v>
      </c>
      <c r="D43" s="113" t="s">
        <v>709</v>
      </c>
    </row>
    <row r="44" spans="1:4" s="79" customFormat="1" ht="48" x14ac:dyDescent="0.2">
      <c r="A44" s="70" t="s">
        <v>724</v>
      </c>
      <c r="B44" s="76" t="s">
        <v>5</v>
      </c>
      <c r="C44" s="80" t="s">
        <v>12</v>
      </c>
      <c r="D44" s="113" t="s">
        <v>713</v>
      </c>
    </row>
    <row r="45" spans="1:4" s="79" customFormat="1" ht="64" x14ac:dyDescent="0.2">
      <c r="A45" s="70" t="s">
        <v>724</v>
      </c>
      <c r="B45" s="76" t="s">
        <v>5</v>
      </c>
      <c r="C45" s="80" t="s">
        <v>12</v>
      </c>
      <c r="D45" s="113" t="s">
        <v>710</v>
      </c>
    </row>
    <row r="46" spans="1:4" s="79" customFormat="1" ht="48" x14ac:dyDescent="0.2">
      <c r="A46" s="70" t="s">
        <v>724</v>
      </c>
      <c r="B46" s="76" t="s">
        <v>5</v>
      </c>
      <c r="C46" s="80" t="s">
        <v>12</v>
      </c>
      <c r="D46" s="113" t="s">
        <v>714</v>
      </c>
    </row>
    <row r="47" spans="1:4" s="79" customFormat="1" ht="64" x14ac:dyDescent="0.2">
      <c r="A47" s="70" t="s">
        <v>724</v>
      </c>
      <c r="B47" s="76" t="s">
        <v>645</v>
      </c>
      <c r="C47" s="76" t="s">
        <v>644</v>
      </c>
      <c r="D47" s="113" t="s">
        <v>309</v>
      </c>
    </row>
    <row r="48" spans="1:4" s="79" customFormat="1" ht="64" x14ac:dyDescent="0.2">
      <c r="A48" s="107" t="s">
        <v>724</v>
      </c>
      <c r="B48" s="108" t="s">
        <v>645</v>
      </c>
      <c r="C48" s="108" t="s">
        <v>644</v>
      </c>
      <c r="D48" s="114" t="s">
        <v>715</v>
      </c>
    </row>
    <row r="49" spans="1:4" ht="48" x14ac:dyDescent="0.2">
      <c r="A49" s="156" t="s">
        <v>1078</v>
      </c>
      <c r="B49" s="76" t="s">
        <v>30</v>
      </c>
      <c r="C49" s="76" t="s">
        <v>10</v>
      </c>
      <c r="D49" s="127" t="s">
        <v>1080</v>
      </c>
    </row>
    <row r="50" spans="1:4" ht="48" x14ac:dyDescent="0.2">
      <c r="A50" s="156" t="s">
        <v>1078</v>
      </c>
      <c r="B50" s="76" t="s">
        <v>30</v>
      </c>
      <c r="C50" s="76" t="s">
        <v>10</v>
      </c>
      <c r="D50" s="127" t="s">
        <v>1079</v>
      </c>
    </row>
    <row r="51" spans="1:4" ht="64" x14ac:dyDescent="0.2">
      <c r="A51" s="156" t="s">
        <v>1078</v>
      </c>
      <c r="B51" s="76" t="s">
        <v>5</v>
      </c>
      <c r="C51" s="80" t="s">
        <v>11</v>
      </c>
      <c r="D51" s="127" t="s">
        <v>1014</v>
      </c>
    </row>
    <row r="52" spans="1:4" ht="48" x14ac:dyDescent="0.2">
      <c r="A52" s="156" t="s">
        <v>1078</v>
      </c>
      <c r="B52" s="76" t="s">
        <v>5</v>
      </c>
      <c r="C52" s="80" t="s">
        <v>11</v>
      </c>
      <c r="D52" s="127" t="s">
        <v>1015</v>
      </c>
    </row>
    <row r="53" spans="1:4" ht="48" x14ac:dyDescent="0.2">
      <c r="A53" s="156" t="s">
        <v>1078</v>
      </c>
      <c r="B53" s="76" t="s">
        <v>5</v>
      </c>
      <c r="C53" s="80" t="s">
        <v>12</v>
      </c>
      <c r="D53" s="127" t="s">
        <v>1016</v>
      </c>
    </row>
    <row r="54" spans="1:4" ht="48" x14ac:dyDescent="0.2">
      <c r="A54" s="156" t="s">
        <v>1078</v>
      </c>
      <c r="B54" s="76" t="s">
        <v>5</v>
      </c>
      <c r="C54" s="80" t="s">
        <v>12</v>
      </c>
      <c r="D54" s="127" t="s">
        <v>1017</v>
      </c>
    </row>
    <row r="55" spans="1:4" ht="64" x14ac:dyDescent="0.2">
      <c r="A55" s="156" t="s">
        <v>1078</v>
      </c>
      <c r="B55" s="108" t="s">
        <v>645</v>
      </c>
      <c r="C55" s="108" t="s">
        <v>644</v>
      </c>
      <c r="D55" s="127" t="s">
        <v>1018</v>
      </c>
    </row>
    <row r="56" spans="1:4" ht="64" x14ac:dyDescent="0.2">
      <c r="A56" s="156" t="s">
        <v>1078</v>
      </c>
      <c r="B56" s="108" t="s">
        <v>645</v>
      </c>
      <c r="C56" s="108" t="s">
        <v>644</v>
      </c>
      <c r="D56" s="127" t="s">
        <v>1019</v>
      </c>
    </row>
    <row r="57" spans="1:4" x14ac:dyDescent="0.2">
      <c r="A57" s="71"/>
      <c r="B57" s="71"/>
      <c r="C57" s="71"/>
      <c r="D57" s="106"/>
    </row>
    <row r="58" spans="1:4" x14ac:dyDescent="0.2">
      <c r="A58" s="71"/>
      <c r="B58" s="71"/>
      <c r="C58" s="71"/>
      <c r="D58" s="106"/>
    </row>
    <row r="59" spans="1:4" x14ac:dyDescent="0.2">
      <c r="A59" s="71"/>
      <c r="B59" s="71"/>
      <c r="C59" s="71"/>
      <c r="D59" s="106"/>
    </row>
    <row r="60" spans="1:4" x14ac:dyDescent="0.2">
      <c r="A60" s="71"/>
      <c r="B60" s="71"/>
      <c r="C60" s="71"/>
      <c r="D60" s="106"/>
    </row>
    <row r="61" spans="1:4" x14ac:dyDescent="0.2">
      <c r="A61" s="71"/>
      <c r="B61" s="71"/>
      <c r="C61" s="71"/>
      <c r="D61" s="106"/>
    </row>
    <row r="62" spans="1:4" x14ac:dyDescent="0.2">
      <c r="A62" s="71"/>
      <c r="B62" s="71"/>
      <c r="C62" s="71"/>
      <c r="D62" s="106"/>
    </row>
    <row r="63" spans="1:4" x14ac:dyDescent="0.2">
      <c r="A63" s="71"/>
      <c r="B63" s="71"/>
      <c r="C63" s="71"/>
      <c r="D63" s="106"/>
    </row>
    <row r="64" spans="1:4" x14ac:dyDescent="0.2">
      <c r="A64" s="71"/>
      <c r="B64" s="71"/>
      <c r="C64" s="71"/>
      <c r="D64" s="106"/>
    </row>
    <row r="65" spans="1:4" x14ac:dyDescent="0.2">
      <c r="A65" s="71"/>
      <c r="B65" s="71"/>
      <c r="C65" s="71"/>
      <c r="D65" s="106"/>
    </row>
    <row r="66" spans="1:4" x14ac:dyDescent="0.2">
      <c r="A66" s="71"/>
      <c r="B66" s="71"/>
      <c r="C66" s="71"/>
      <c r="D66" s="106"/>
    </row>
    <row r="67" spans="1:4" x14ac:dyDescent="0.2">
      <c r="A67" s="71"/>
      <c r="B67" s="71"/>
      <c r="C67" s="71"/>
      <c r="D67" s="106"/>
    </row>
    <row r="68" spans="1:4" x14ac:dyDescent="0.2">
      <c r="A68" s="71"/>
      <c r="B68" s="71"/>
      <c r="C68" s="71"/>
      <c r="D68" s="106"/>
    </row>
    <row r="69" spans="1:4" x14ac:dyDescent="0.2">
      <c r="A69" s="71"/>
      <c r="B69" s="71"/>
      <c r="C69" s="71"/>
      <c r="D69" s="106"/>
    </row>
    <row r="70" spans="1:4" x14ac:dyDescent="0.2">
      <c r="A70" s="71"/>
      <c r="B70" s="71"/>
      <c r="C70" s="71"/>
      <c r="D70" s="106"/>
    </row>
    <row r="71" spans="1:4" x14ac:dyDescent="0.2">
      <c r="A71" s="71"/>
      <c r="B71" s="71"/>
      <c r="C71" s="71"/>
      <c r="D71" s="106"/>
    </row>
    <row r="72" spans="1:4" x14ac:dyDescent="0.2">
      <c r="A72" s="71"/>
      <c r="B72" s="71"/>
      <c r="C72" s="71"/>
      <c r="D72" s="106"/>
    </row>
    <row r="73" spans="1:4" x14ac:dyDescent="0.2">
      <c r="A73" s="71"/>
      <c r="B73" s="71"/>
      <c r="C73" s="71"/>
      <c r="D73" s="106"/>
    </row>
    <row r="74" spans="1:4" x14ac:dyDescent="0.2">
      <c r="A74" s="71"/>
      <c r="B74" s="71"/>
      <c r="C74" s="71"/>
      <c r="D74" s="106"/>
    </row>
    <row r="75" spans="1:4" x14ac:dyDescent="0.2">
      <c r="A75" s="71"/>
      <c r="B75" s="71"/>
      <c r="C75" s="71"/>
      <c r="D75" s="106"/>
    </row>
    <row r="76" spans="1:4" x14ac:dyDescent="0.2">
      <c r="A76" s="71"/>
      <c r="B76" s="71"/>
      <c r="C76" s="71"/>
      <c r="D76" s="106"/>
    </row>
    <row r="77" spans="1:4" x14ac:dyDescent="0.2">
      <c r="A77" s="71"/>
      <c r="B77" s="71"/>
      <c r="C77" s="71"/>
      <c r="D77" s="106"/>
    </row>
    <row r="78" spans="1:4" x14ac:dyDescent="0.2">
      <c r="A78" s="71"/>
      <c r="B78" s="71"/>
      <c r="C78" s="71"/>
      <c r="D78" s="106"/>
    </row>
    <row r="79" spans="1:4" x14ac:dyDescent="0.2">
      <c r="A79" s="71"/>
      <c r="B79" s="71"/>
      <c r="C79" s="71"/>
      <c r="D79" s="106"/>
    </row>
    <row r="80" spans="1:4" x14ac:dyDescent="0.2">
      <c r="A80" s="71"/>
      <c r="B80" s="71"/>
      <c r="C80" s="71"/>
      <c r="D80" s="106"/>
    </row>
    <row r="81" spans="1:4" x14ac:dyDescent="0.2">
      <c r="A81" s="71"/>
      <c r="B81" s="71"/>
      <c r="C81" s="71"/>
      <c r="D81" s="106"/>
    </row>
    <row r="82" spans="1:4" x14ac:dyDescent="0.2">
      <c r="A82" s="71"/>
      <c r="B82" s="71"/>
      <c r="C82" s="71"/>
      <c r="D82" s="106"/>
    </row>
    <row r="83" spans="1:4" x14ac:dyDescent="0.2">
      <c r="A83" s="71"/>
      <c r="B83" s="71"/>
      <c r="C83" s="71"/>
      <c r="D83" s="106"/>
    </row>
    <row r="84" spans="1:4" x14ac:dyDescent="0.2">
      <c r="A84" s="71"/>
      <c r="B84" s="71"/>
      <c r="C84" s="71"/>
      <c r="D84" s="106"/>
    </row>
    <row r="85" spans="1:4" x14ac:dyDescent="0.2">
      <c r="A85" s="71"/>
      <c r="B85" s="71"/>
      <c r="C85" s="71"/>
      <c r="D85" s="106"/>
    </row>
    <row r="86" spans="1:4" x14ac:dyDescent="0.2">
      <c r="A86" s="71"/>
      <c r="B86" s="71"/>
      <c r="C86" s="71"/>
      <c r="D86" s="106"/>
    </row>
    <row r="87" spans="1:4" x14ac:dyDescent="0.2">
      <c r="A87" s="71"/>
      <c r="B87" s="71"/>
      <c r="C87" s="71"/>
      <c r="D87" s="106"/>
    </row>
    <row r="88" spans="1:4" x14ac:dyDescent="0.2">
      <c r="A88" s="71"/>
      <c r="B88" s="71"/>
      <c r="C88" s="71"/>
      <c r="D88" s="106"/>
    </row>
    <row r="89" spans="1:4" x14ac:dyDescent="0.2">
      <c r="A89" s="71"/>
      <c r="B89" s="71"/>
      <c r="C89" s="71"/>
      <c r="D89" s="106"/>
    </row>
    <row r="90" spans="1:4" x14ac:dyDescent="0.2">
      <c r="A90" s="71"/>
      <c r="B90" s="71"/>
      <c r="C90" s="71"/>
      <c r="D90" s="106"/>
    </row>
    <row r="91" spans="1:4" x14ac:dyDescent="0.2">
      <c r="A91" s="71"/>
      <c r="B91" s="71"/>
      <c r="C91" s="71"/>
      <c r="D91" s="106"/>
    </row>
    <row r="92" spans="1:4" x14ac:dyDescent="0.2">
      <c r="A92" s="71"/>
      <c r="B92" s="71"/>
      <c r="C92" s="71"/>
      <c r="D92" s="106"/>
    </row>
    <row r="93" spans="1:4" x14ac:dyDescent="0.2">
      <c r="A93" s="71"/>
      <c r="B93" s="71"/>
      <c r="C93" s="71"/>
      <c r="D93" s="106"/>
    </row>
    <row r="94" spans="1:4" x14ac:dyDescent="0.2">
      <c r="A94" s="71"/>
      <c r="B94" s="71"/>
      <c r="C94" s="71"/>
      <c r="D94" s="106"/>
    </row>
    <row r="95" spans="1:4" x14ac:dyDescent="0.2">
      <c r="A95" s="71"/>
      <c r="B95" s="71"/>
      <c r="C95" s="71"/>
      <c r="D95" s="106"/>
    </row>
    <row r="96" spans="1:4" x14ac:dyDescent="0.2">
      <c r="A96" s="71"/>
      <c r="B96" s="71"/>
      <c r="C96" s="71"/>
      <c r="D96" s="106"/>
    </row>
    <row r="97" spans="1:4" x14ac:dyDescent="0.2">
      <c r="A97" s="71"/>
      <c r="B97" s="71"/>
      <c r="C97" s="71"/>
      <c r="D97" s="106"/>
    </row>
    <row r="98" spans="1:4" x14ac:dyDescent="0.2">
      <c r="A98" s="71"/>
      <c r="B98" s="71"/>
      <c r="C98" s="71"/>
      <c r="D98" s="106"/>
    </row>
    <row r="99" spans="1:4" x14ac:dyDescent="0.2">
      <c r="A99" s="71"/>
      <c r="B99" s="71"/>
      <c r="C99" s="71"/>
      <c r="D99" s="106"/>
    </row>
    <row r="100" spans="1:4" x14ac:dyDescent="0.2">
      <c r="A100" s="71"/>
      <c r="B100" s="71"/>
      <c r="C100" s="71"/>
      <c r="D100" s="106"/>
    </row>
    <row r="101" spans="1:4" x14ac:dyDescent="0.2">
      <c r="A101" s="71"/>
      <c r="B101" s="71"/>
      <c r="C101" s="71"/>
      <c r="D101" s="106"/>
    </row>
    <row r="102" spans="1:4" x14ac:dyDescent="0.2">
      <c r="A102" s="71"/>
      <c r="B102" s="71"/>
      <c r="C102" s="71"/>
      <c r="D102" s="106"/>
    </row>
    <row r="103" spans="1:4" x14ac:dyDescent="0.2">
      <c r="A103" s="71"/>
      <c r="B103" s="71"/>
      <c r="C103" s="71"/>
      <c r="D103" s="106"/>
    </row>
    <row r="104" spans="1:4" x14ac:dyDescent="0.2">
      <c r="A104" s="71"/>
      <c r="B104" s="71"/>
      <c r="C104" s="71"/>
      <c r="D104" s="106"/>
    </row>
    <row r="105" spans="1:4" x14ac:dyDescent="0.2">
      <c r="A105" s="71"/>
      <c r="B105" s="71"/>
      <c r="C105" s="71"/>
      <c r="D105" s="106"/>
    </row>
    <row r="106" spans="1:4" x14ac:dyDescent="0.2">
      <c r="A106" s="71"/>
      <c r="B106" s="71"/>
      <c r="C106" s="71"/>
      <c r="D106" s="106"/>
    </row>
    <row r="107" spans="1:4" x14ac:dyDescent="0.2">
      <c r="A107" s="71"/>
      <c r="B107" s="71"/>
      <c r="C107" s="71"/>
      <c r="D107" s="106"/>
    </row>
    <row r="108" spans="1:4" x14ac:dyDescent="0.2">
      <c r="A108" s="71"/>
      <c r="B108" s="71"/>
      <c r="C108" s="71"/>
      <c r="D108" s="106"/>
    </row>
    <row r="109" spans="1:4" x14ac:dyDescent="0.2">
      <c r="A109" s="71"/>
      <c r="B109" s="71"/>
      <c r="C109" s="71"/>
      <c r="D109" s="106"/>
    </row>
    <row r="110" spans="1:4" x14ac:dyDescent="0.2">
      <c r="A110" s="71"/>
      <c r="B110" s="71"/>
      <c r="C110" s="71"/>
      <c r="D110" s="106"/>
    </row>
    <row r="111" spans="1:4" x14ac:dyDescent="0.2">
      <c r="A111" s="71"/>
      <c r="B111" s="71"/>
      <c r="C111" s="71"/>
      <c r="D111" s="106"/>
    </row>
    <row r="112" spans="1:4" x14ac:dyDescent="0.2">
      <c r="A112" s="71"/>
      <c r="B112" s="71"/>
      <c r="C112" s="71"/>
      <c r="D112" s="106"/>
    </row>
    <row r="113" spans="1:4" x14ac:dyDescent="0.2">
      <c r="A113" s="71"/>
      <c r="B113" s="71"/>
      <c r="C113" s="71"/>
      <c r="D113" s="106"/>
    </row>
    <row r="114" spans="1:4" x14ac:dyDescent="0.2">
      <c r="A114" s="71"/>
      <c r="B114" s="71"/>
      <c r="C114" s="71"/>
      <c r="D114" s="106"/>
    </row>
    <row r="115" spans="1:4" x14ac:dyDescent="0.2">
      <c r="A115" s="71"/>
      <c r="B115" s="71"/>
      <c r="C115" s="71"/>
      <c r="D115" s="106"/>
    </row>
    <row r="116" spans="1:4" x14ac:dyDescent="0.2">
      <c r="A116" s="71"/>
      <c r="B116" s="71"/>
      <c r="C116" s="71"/>
      <c r="D116" s="106"/>
    </row>
    <row r="117" spans="1:4" x14ac:dyDescent="0.2">
      <c r="A117" s="71"/>
      <c r="B117" s="71"/>
      <c r="C117" s="71"/>
      <c r="D117" s="106"/>
    </row>
    <row r="118" spans="1:4" x14ac:dyDescent="0.2">
      <c r="A118" s="71"/>
      <c r="B118" s="71"/>
      <c r="C118" s="71"/>
      <c r="D118" s="106"/>
    </row>
    <row r="119" spans="1:4" x14ac:dyDescent="0.2">
      <c r="A119" s="71"/>
      <c r="B119" s="71"/>
      <c r="C119" s="71"/>
      <c r="D119" s="106"/>
    </row>
    <row r="120" spans="1:4" x14ac:dyDescent="0.2">
      <c r="A120" s="71"/>
      <c r="B120" s="71"/>
      <c r="C120" s="71"/>
      <c r="D120" s="106"/>
    </row>
    <row r="121" spans="1:4" x14ac:dyDescent="0.2">
      <c r="A121" s="71"/>
      <c r="B121" s="71"/>
      <c r="C121" s="71"/>
      <c r="D121" s="106"/>
    </row>
    <row r="122" spans="1:4" x14ac:dyDescent="0.2">
      <c r="A122" s="71"/>
      <c r="B122" s="71"/>
      <c r="C122" s="71"/>
      <c r="D122" s="106"/>
    </row>
    <row r="123" spans="1:4" x14ac:dyDescent="0.2">
      <c r="A123" s="71"/>
      <c r="B123" s="71"/>
      <c r="C123" s="71"/>
      <c r="D123" s="106"/>
    </row>
    <row r="124" spans="1:4" x14ac:dyDescent="0.2">
      <c r="A124" s="71"/>
      <c r="B124" s="71"/>
      <c r="C124" s="71"/>
      <c r="D124" s="106"/>
    </row>
    <row r="125" spans="1:4" x14ac:dyDescent="0.2">
      <c r="A125" s="71"/>
      <c r="B125" s="71"/>
      <c r="C125" s="71"/>
      <c r="D125" s="106"/>
    </row>
    <row r="126" spans="1:4" x14ac:dyDescent="0.2">
      <c r="A126" s="71"/>
      <c r="B126" s="71"/>
      <c r="C126" s="71"/>
      <c r="D126" s="106"/>
    </row>
    <row r="127" spans="1:4" x14ac:dyDescent="0.2">
      <c r="A127" s="71"/>
      <c r="B127" s="71"/>
      <c r="C127" s="71"/>
      <c r="D127" s="106"/>
    </row>
    <row r="128" spans="1:4" x14ac:dyDescent="0.2">
      <c r="A128" s="71"/>
      <c r="B128" s="71"/>
      <c r="C128" s="71"/>
      <c r="D128" s="106"/>
    </row>
    <row r="129" spans="1:4" x14ac:dyDescent="0.2">
      <c r="A129" s="71"/>
      <c r="B129" s="71"/>
      <c r="C129" s="71"/>
      <c r="D129" s="106"/>
    </row>
    <row r="130" spans="1:4" x14ac:dyDescent="0.2">
      <c r="A130" s="71"/>
      <c r="B130" s="71"/>
      <c r="C130" s="71"/>
      <c r="D130" s="106"/>
    </row>
    <row r="131" spans="1:4" x14ac:dyDescent="0.2">
      <c r="A131" s="71"/>
      <c r="B131" s="71"/>
      <c r="C131" s="71"/>
      <c r="D131" s="106"/>
    </row>
    <row r="132" spans="1:4" x14ac:dyDescent="0.2">
      <c r="A132" s="71"/>
      <c r="B132" s="71"/>
      <c r="C132" s="71"/>
      <c r="D132" s="106"/>
    </row>
    <row r="133" spans="1:4" x14ac:dyDescent="0.2">
      <c r="A133" s="71"/>
      <c r="B133" s="71"/>
      <c r="C133" s="71"/>
      <c r="D133" s="106"/>
    </row>
    <row r="134" spans="1:4" x14ac:dyDescent="0.2">
      <c r="A134" s="71"/>
      <c r="B134" s="71"/>
      <c r="C134" s="71"/>
      <c r="D134" s="106"/>
    </row>
    <row r="135" spans="1:4" x14ac:dyDescent="0.2">
      <c r="A135" s="71"/>
      <c r="B135" s="71"/>
      <c r="C135" s="71"/>
      <c r="D135" s="106"/>
    </row>
    <row r="136" spans="1:4" x14ac:dyDescent="0.2">
      <c r="A136" s="71"/>
      <c r="B136" s="71"/>
      <c r="C136" s="71"/>
      <c r="D136" s="106"/>
    </row>
    <row r="137" spans="1:4" x14ac:dyDescent="0.2">
      <c r="A137" s="71"/>
      <c r="B137" s="71"/>
      <c r="C137" s="71"/>
      <c r="D137" s="106"/>
    </row>
    <row r="138" spans="1:4" x14ac:dyDescent="0.2">
      <c r="A138" s="71"/>
      <c r="B138" s="71"/>
      <c r="C138" s="71"/>
      <c r="D138" s="106"/>
    </row>
    <row r="139" spans="1:4" x14ac:dyDescent="0.2">
      <c r="A139" s="71"/>
      <c r="B139" s="71"/>
      <c r="C139" s="71"/>
      <c r="D139" s="106"/>
    </row>
    <row r="140" spans="1:4" x14ac:dyDescent="0.2">
      <c r="A140" s="71"/>
      <c r="B140" s="71"/>
      <c r="C140" s="71"/>
      <c r="D140" s="106"/>
    </row>
    <row r="141" spans="1:4" x14ac:dyDescent="0.2">
      <c r="A141" s="71"/>
      <c r="B141" s="71"/>
      <c r="C141" s="71"/>
      <c r="D141" s="106"/>
    </row>
    <row r="142" spans="1:4" x14ac:dyDescent="0.2">
      <c r="A142" s="71"/>
      <c r="B142" s="71"/>
      <c r="C142" s="71"/>
      <c r="D142" s="106"/>
    </row>
    <row r="143" spans="1:4" x14ac:dyDescent="0.2">
      <c r="A143" s="71"/>
      <c r="B143" s="71"/>
      <c r="C143" s="71"/>
      <c r="D143" s="106"/>
    </row>
    <row r="144" spans="1:4" x14ac:dyDescent="0.2">
      <c r="A144" s="71"/>
      <c r="B144" s="71"/>
      <c r="C144" s="71"/>
      <c r="D144" s="106"/>
    </row>
    <row r="145" spans="1:4" x14ac:dyDescent="0.2">
      <c r="A145" s="71"/>
      <c r="B145" s="71"/>
      <c r="C145" s="71"/>
      <c r="D145" s="106"/>
    </row>
    <row r="146" spans="1:4" x14ac:dyDescent="0.2">
      <c r="A146" s="71"/>
      <c r="B146" s="71"/>
      <c r="C146" s="71"/>
      <c r="D146" s="106"/>
    </row>
    <row r="147" spans="1:4" x14ac:dyDescent="0.2">
      <c r="A147" s="71"/>
      <c r="B147" s="71"/>
      <c r="C147" s="71"/>
      <c r="D147" s="106"/>
    </row>
    <row r="148" spans="1:4" x14ac:dyDescent="0.2">
      <c r="A148" s="71"/>
      <c r="B148" s="71"/>
      <c r="C148" s="71"/>
      <c r="D148" s="106"/>
    </row>
    <row r="149" spans="1:4" x14ac:dyDescent="0.2">
      <c r="A149" s="71"/>
      <c r="B149" s="71"/>
      <c r="C149" s="71"/>
      <c r="D149" s="106"/>
    </row>
    <row r="150" spans="1:4" x14ac:dyDescent="0.2">
      <c r="A150" s="71"/>
      <c r="B150" s="71"/>
      <c r="C150" s="71"/>
      <c r="D150" s="106"/>
    </row>
    <row r="151" spans="1:4" x14ac:dyDescent="0.2">
      <c r="A151" s="71"/>
      <c r="B151" s="71"/>
      <c r="C151" s="71"/>
      <c r="D151" s="106"/>
    </row>
    <row r="152" spans="1:4" x14ac:dyDescent="0.2">
      <c r="A152" s="71"/>
      <c r="B152" s="71"/>
      <c r="C152" s="71"/>
      <c r="D152" s="106"/>
    </row>
    <row r="153" spans="1:4" x14ac:dyDescent="0.2">
      <c r="A153" s="71"/>
      <c r="B153" s="71"/>
      <c r="C153" s="71"/>
      <c r="D153" s="106"/>
    </row>
    <row r="154" spans="1:4" x14ac:dyDescent="0.2">
      <c r="A154" s="71"/>
      <c r="B154" s="71"/>
      <c r="C154" s="71"/>
      <c r="D154" s="106"/>
    </row>
    <row r="155" spans="1:4" x14ac:dyDescent="0.2">
      <c r="A155" s="71"/>
      <c r="B155" s="71"/>
      <c r="C155" s="71"/>
      <c r="D155" s="106"/>
    </row>
    <row r="156" spans="1:4" x14ac:dyDescent="0.2">
      <c r="A156" s="71"/>
      <c r="B156" s="71"/>
      <c r="C156" s="71"/>
      <c r="D156" s="106"/>
    </row>
    <row r="157" spans="1:4" x14ac:dyDescent="0.2">
      <c r="A157" s="71"/>
      <c r="B157" s="71"/>
      <c r="C157" s="71"/>
      <c r="D157" s="106"/>
    </row>
    <row r="158" spans="1:4" x14ac:dyDescent="0.2">
      <c r="A158" s="71"/>
      <c r="B158" s="71"/>
      <c r="C158" s="71"/>
      <c r="D158" s="106"/>
    </row>
    <row r="159" spans="1:4" x14ac:dyDescent="0.2">
      <c r="A159" s="71"/>
      <c r="B159" s="71"/>
      <c r="C159" s="71"/>
      <c r="D159" s="106"/>
    </row>
    <row r="160" spans="1:4" x14ac:dyDescent="0.2">
      <c r="A160" s="71"/>
      <c r="B160" s="71"/>
      <c r="C160" s="71"/>
      <c r="D160" s="106"/>
    </row>
    <row r="161" spans="1:4" x14ac:dyDescent="0.2">
      <c r="A161" s="71"/>
      <c r="B161" s="71"/>
      <c r="C161" s="71"/>
      <c r="D161" s="106"/>
    </row>
    <row r="162" spans="1:4" x14ac:dyDescent="0.2">
      <c r="A162" s="71"/>
      <c r="B162" s="71"/>
      <c r="C162" s="71"/>
      <c r="D162" s="106"/>
    </row>
    <row r="163" spans="1:4" x14ac:dyDescent="0.2">
      <c r="A163" s="71"/>
      <c r="B163" s="71"/>
      <c r="C163" s="71"/>
      <c r="D163" s="106"/>
    </row>
    <row r="164" spans="1:4" x14ac:dyDescent="0.2">
      <c r="A164" s="71"/>
      <c r="B164" s="71"/>
      <c r="C164" s="71"/>
      <c r="D164" s="106"/>
    </row>
    <row r="165" spans="1:4" x14ac:dyDescent="0.2">
      <c r="A165" s="71"/>
      <c r="B165" s="71"/>
      <c r="C165" s="71"/>
      <c r="D165" s="106"/>
    </row>
    <row r="166" spans="1:4" x14ac:dyDescent="0.2">
      <c r="A166" s="71"/>
      <c r="B166" s="71"/>
      <c r="C166" s="71"/>
      <c r="D166" s="106"/>
    </row>
    <row r="167" spans="1:4" x14ac:dyDescent="0.2">
      <c r="A167" s="71"/>
      <c r="B167" s="71"/>
      <c r="C167" s="71"/>
      <c r="D167" s="106"/>
    </row>
    <row r="168" spans="1:4" x14ac:dyDescent="0.2">
      <c r="A168" s="71"/>
      <c r="B168" s="71"/>
      <c r="C168" s="71"/>
      <c r="D168" s="106"/>
    </row>
    <row r="169" spans="1:4" x14ac:dyDescent="0.2">
      <c r="A169" s="71"/>
      <c r="B169" s="71"/>
      <c r="C169" s="71"/>
      <c r="D169" s="106"/>
    </row>
    <row r="170" spans="1:4" x14ac:dyDescent="0.2">
      <c r="A170" s="71"/>
      <c r="B170" s="71"/>
      <c r="C170" s="71"/>
      <c r="D170" s="106"/>
    </row>
    <row r="171" spans="1:4" x14ac:dyDescent="0.2">
      <c r="A171" s="71"/>
      <c r="B171" s="71"/>
      <c r="C171" s="71"/>
      <c r="D171" s="106"/>
    </row>
    <row r="172" spans="1:4" x14ac:dyDescent="0.2">
      <c r="A172" s="71"/>
      <c r="B172" s="71"/>
      <c r="C172" s="71"/>
      <c r="D172" s="106"/>
    </row>
    <row r="173" spans="1:4" x14ac:dyDescent="0.2">
      <c r="A173" s="71"/>
      <c r="B173" s="71"/>
      <c r="C173" s="71"/>
      <c r="D173" s="106"/>
    </row>
    <row r="174" spans="1:4" x14ac:dyDescent="0.2">
      <c r="A174" s="71"/>
      <c r="B174" s="71"/>
      <c r="C174" s="71"/>
      <c r="D174" s="106"/>
    </row>
    <row r="175" spans="1:4" x14ac:dyDescent="0.2">
      <c r="A175" s="71"/>
      <c r="B175" s="71"/>
      <c r="C175" s="71"/>
      <c r="D175" s="106"/>
    </row>
    <row r="176" spans="1:4" x14ac:dyDescent="0.2">
      <c r="A176" s="71"/>
      <c r="B176" s="71"/>
      <c r="C176" s="71"/>
      <c r="D176" s="106"/>
    </row>
    <row r="177" spans="1:4" x14ac:dyDescent="0.2">
      <c r="A177" s="71"/>
      <c r="B177" s="71"/>
      <c r="C177" s="71"/>
      <c r="D177" s="106"/>
    </row>
    <row r="178" spans="1:4" x14ac:dyDescent="0.2">
      <c r="A178" s="71"/>
      <c r="B178" s="71"/>
      <c r="C178" s="71"/>
      <c r="D178" s="106"/>
    </row>
    <row r="179" spans="1:4" x14ac:dyDescent="0.2">
      <c r="A179" s="71"/>
      <c r="B179" s="71"/>
      <c r="C179" s="71"/>
      <c r="D179" s="106"/>
    </row>
    <row r="180" spans="1:4" x14ac:dyDescent="0.2">
      <c r="A180" s="71"/>
      <c r="B180" s="71"/>
      <c r="C180" s="71"/>
      <c r="D180" s="106"/>
    </row>
    <row r="181" spans="1:4" x14ac:dyDescent="0.2">
      <c r="A181" s="71"/>
      <c r="B181" s="71"/>
      <c r="C181" s="71"/>
      <c r="D181" s="106"/>
    </row>
    <row r="182" spans="1:4" x14ac:dyDescent="0.2">
      <c r="A182" s="71"/>
      <c r="B182" s="71"/>
      <c r="C182" s="71"/>
      <c r="D182" s="106"/>
    </row>
    <row r="183" spans="1:4" x14ac:dyDescent="0.2">
      <c r="A183" s="71"/>
      <c r="B183" s="71"/>
      <c r="C183" s="71"/>
      <c r="D183" s="106"/>
    </row>
    <row r="184" spans="1:4" x14ac:dyDescent="0.2">
      <c r="A184" s="71"/>
      <c r="B184" s="71"/>
      <c r="C184" s="71"/>
      <c r="D184" s="106"/>
    </row>
    <row r="185" spans="1:4" x14ac:dyDescent="0.2">
      <c r="A185" s="71"/>
      <c r="B185" s="71"/>
      <c r="C185" s="71"/>
      <c r="D185" s="106"/>
    </row>
    <row r="186" spans="1:4" x14ac:dyDescent="0.2">
      <c r="A186" s="71"/>
      <c r="B186" s="71"/>
      <c r="C186" s="71"/>
      <c r="D186" s="106"/>
    </row>
    <row r="187" spans="1:4" x14ac:dyDescent="0.2">
      <c r="A187" s="71"/>
      <c r="B187" s="71"/>
      <c r="C187" s="71"/>
      <c r="D187" s="106"/>
    </row>
    <row r="188" spans="1:4" x14ac:dyDescent="0.2">
      <c r="A188" s="71"/>
      <c r="B188" s="71"/>
      <c r="C188" s="71"/>
      <c r="D188" s="106"/>
    </row>
    <row r="189" spans="1:4" x14ac:dyDescent="0.2">
      <c r="A189" s="71"/>
      <c r="B189" s="71"/>
      <c r="C189" s="71"/>
      <c r="D189" s="106"/>
    </row>
    <row r="190" spans="1:4" x14ac:dyDescent="0.2">
      <c r="A190" s="71"/>
      <c r="B190" s="71"/>
      <c r="C190" s="71"/>
      <c r="D190" s="106"/>
    </row>
    <row r="191" spans="1:4" x14ac:dyDescent="0.2">
      <c r="A191" s="71"/>
      <c r="B191" s="71"/>
      <c r="C191" s="71"/>
      <c r="D191" s="106"/>
    </row>
    <row r="192" spans="1:4" x14ac:dyDescent="0.2">
      <c r="A192" s="71"/>
      <c r="B192" s="71"/>
      <c r="C192" s="71"/>
      <c r="D192" s="106"/>
    </row>
    <row r="193" spans="1:4" x14ac:dyDescent="0.2">
      <c r="A193" s="71"/>
      <c r="B193" s="71"/>
      <c r="C193" s="71"/>
      <c r="D193" s="106"/>
    </row>
    <row r="194" spans="1:4" x14ac:dyDescent="0.2">
      <c r="A194" s="71"/>
      <c r="B194" s="71"/>
      <c r="C194" s="71"/>
      <c r="D194" s="106"/>
    </row>
    <row r="195" spans="1:4" x14ac:dyDescent="0.2">
      <c r="A195" s="71"/>
      <c r="B195" s="71"/>
      <c r="C195" s="71"/>
      <c r="D195" s="106"/>
    </row>
    <row r="196" spans="1:4" x14ac:dyDescent="0.2">
      <c r="A196" s="71"/>
      <c r="B196" s="71"/>
      <c r="C196" s="71"/>
      <c r="D196" s="106"/>
    </row>
    <row r="197" spans="1:4" x14ac:dyDescent="0.2">
      <c r="A197" s="71"/>
      <c r="B197" s="71"/>
      <c r="C197" s="71"/>
      <c r="D197" s="106"/>
    </row>
    <row r="198" spans="1:4" x14ac:dyDescent="0.2">
      <c r="A198" s="71"/>
      <c r="B198" s="71"/>
      <c r="C198" s="71"/>
      <c r="D198" s="106"/>
    </row>
    <row r="199" spans="1:4" x14ac:dyDescent="0.2">
      <c r="A199" s="71"/>
      <c r="B199" s="71"/>
      <c r="C199" s="71"/>
      <c r="D199" s="106"/>
    </row>
    <row r="200" spans="1:4" x14ac:dyDescent="0.2">
      <c r="A200" s="71"/>
      <c r="B200" s="71"/>
      <c r="C200" s="71"/>
      <c r="D200" s="106"/>
    </row>
    <row r="201" spans="1:4" x14ac:dyDescent="0.2">
      <c r="A201" s="71"/>
      <c r="B201" s="71"/>
      <c r="C201" s="71"/>
      <c r="D201" s="106"/>
    </row>
    <row r="202" spans="1:4" x14ac:dyDescent="0.2">
      <c r="A202" s="71"/>
      <c r="B202" s="71"/>
      <c r="C202" s="71"/>
      <c r="D202" s="106"/>
    </row>
    <row r="203" spans="1:4" x14ac:dyDescent="0.2">
      <c r="A203" s="71"/>
      <c r="B203" s="71"/>
      <c r="C203" s="71"/>
      <c r="D203" s="106"/>
    </row>
    <row r="204" spans="1:4" x14ac:dyDescent="0.2">
      <c r="A204" s="71"/>
      <c r="B204" s="71"/>
      <c r="C204" s="71"/>
      <c r="D204" s="106"/>
    </row>
    <row r="205" spans="1:4" x14ac:dyDescent="0.2">
      <c r="A205" s="71"/>
      <c r="B205" s="71"/>
      <c r="C205" s="71"/>
      <c r="D205" s="106"/>
    </row>
    <row r="206" spans="1:4" x14ac:dyDescent="0.2">
      <c r="A206" s="71"/>
      <c r="B206" s="71"/>
      <c r="C206" s="71"/>
      <c r="D206" s="106"/>
    </row>
    <row r="207" spans="1:4" x14ac:dyDescent="0.2">
      <c r="A207" s="71"/>
      <c r="B207" s="71"/>
      <c r="C207" s="71"/>
      <c r="D207" s="106"/>
    </row>
    <row r="208" spans="1:4" x14ac:dyDescent="0.2">
      <c r="A208" s="71"/>
      <c r="B208" s="71"/>
      <c r="C208" s="71"/>
      <c r="D208" s="106"/>
    </row>
    <row r="209" spans="1:4" x14ac:dyDescent="0.2">
      <c r="A209" s="71"/>
      <c r="B209" s="71"/>
      <c r="C209" s="71"/>
      <c r="D209" s="106"/>
    </row>
    <row r="210" spans="1:4" x14ac:dyDescent="0.2">
      <c r="A210" s="71"/>
      <c r="B210" s="71"/>
      <c r="C210" s="71"/>
      <c r="D210" s="106"/>
    </row>
    <row r="211" spans="1:4" x14ac:dyDescent="0.2">
      <c r="A211" s="71"/>
      <c r="B211" s="71"/>
      <c r="C211" s="71"/>
      <c r="D211" s="106"/>
    </row>
    <row r="212" spans="1:4" x14ac:dyDescent="0.2">
      <c r="A212" s="71"/>
      <c r="B212" s="71"/>
      <c r="C212" s="71"/>
      <c r="D212" s="106"/>
    </row>
    <row r="213" spans="1:4" x14ac:dyDescent="0.2">
      <c r="A213" s="71"/>
      <c r="B213" s="71"/>
      <c r="C213" s="71"/>
      <c r="D213" s="106"/>
    </row>
    <row r="214" spans="1:4" x14ac:dyDescent="0.2">
      <c r="A214" s="71"/>
      <c r="B214" s="71"/>
      <c r="C214" s="71"/>
      <c r="D214" s="106"/>
    </row>
    <row r="215" spans="1:4" x14ac:dyDescent="0.2">
      <c r="A215" s="71"/>
      <c r="B215" s="71"/>
      <c r="C215" s="71"/>
      <c r="D215" s="106"/>
    </row>
    <row r="216" spans="1:4" x14ac:dyDescent="0.2">
      <c r="A216" s="71"/>
      <c r="B216" s="71"/>
      <c r="C216" s="71"/>
      <c r="D216" s="106"/>
    </row>
    <row r="217" spans="1:4" x14ac:dyDescent="0.2">
      <c r="A217" s="71"/>
      <c r="B217" s="71"/>
      <c r="C217" s="71"/>
      <c r="D217" s="106"/>
    </row>
    <row r="218" spans="1:4" x14ac:dyDescent="0.2">
      <c r="A218" s="71"/>
      <c r="B218" s="71"/>
      <c r="C218" s="71"/>
      <c r="D218" s="106"/>
    </row>
    <row r="219" spans="1:4" x14ac:dyDescent="0.2">
      <c r="A219" s="71"/>
      <c r="B219" s="71"/>
      <c r="C219" s="71"/>
      <c r="D219" s="106"/>
    </row>
    <row r="220" spans="1:4" x14ac:dyDescent="0.2">
      <c r="A220" s="71"/>
      <c r="B220" s="71"/>
      <c r="C220" s="71"/>
      <c r="D220" s="106"/>
    </row>
    <row r="221" spans="1:4" x14ac:dyDescent="0.2">
      <c r="A221" s="71"/>
      <c r="B221" s="71"/>
      <c r="C221" s="71"/>
      <c r="D221" s="106"/>
    </row>
    <row r="222" spans="1:4" x14ac:dyDescent="0.2">
      <c r="A222" s="71"/>
      <c r="B222" s="71"/>
      <c r="C222" s="71"/>
      <c r="D222" s="106"/>
    </row>
    <row r="223" spans="1:4" x14ac:dyDescent="0.2">
      <c r="A223" s="71"/>
      <c r="B223" s="71"/>
      <c r="C223" s="71"/>
      <c r="D223" s="106"/>
    </row>
    <row r="224" spans="1:4" x14ac:dyDescent="0.2">
      <c r="A224" s="71"/>
      <c r="B224" s="71"/>
      <c r="C224" s="71"/>
      <c r="D224" s="106"/>
    </row>
    <row r="225" spans="1:4" x14ac:dyDescent="0.2">
      <c r="A225" s="71"/>
      <c r="B225" s="71"/>
      <c r="C225" s="71"/>
      <c r="D225" s="106"/>
    </row>
    <row r="226" spans="1:4" x14ac:dyDescent="0.2">
      <c r="A226" s="71"/>
      <c r="B226" s="71"/>
      <c r="C226" s="71"/>
      <c r="D226" s="106"/>
    </row>
    <row r="227" spans="1:4" x14ac:dyDescent="0.2">
      <c r="A227" s="71"/>
      <c r="B227" s="71"/>
      <c r="C227" s="71"/>
      <c r="D227" s="106"/>
    </row>
    <row r="228" spans="1:4" x14ac:dyDescent="0.2">
      <c r="A228" s="71"/>
      <c r="B228" s="71"/>
      <c r="C228" s="71"/>
      <c r="D228" s="106"/>
    </row>
    <row r="229" spans="1:4" x14ac:dyDescent="0.2">
      <c r="A229" s="71"/>
      <c r="B229" s="71"/>
      <c r="C229" s="71"/>
      <c r="D229" s="106"/>
    </row>
    <row r="230" spans="1:4" x14ac:dyDescent="0.2">
      <c r="A230" s="71"/>
      <c r="B230" s="71"/>
      <c r="C230" s="71"/>
      <c r="D230" s="106"/>
    </row>
    <row r="231" spans="1:4" x14ac:dyDescent="0.2">
      <c r="A231" s="71"/>
      <c r="B231" s="71"/>
      <c r="C231" s="71"/>
      <c r="D231" s="106"/>
    </row>
    <row r="232" spans="1:4" x14ac:dyDescent="0.2">
      <c r="A232" s="71"/>
      <c r="B232" s="71"/>
      <c r="C232" s="71"/>
      <c r="D232" s="106"/>
    </row>
    <row r="233" spans="1:4" x14ac:dyDescent="0.2">
      <c r="A233" s="71"/>
      <c r="B233" s="71"/>
      <c r="C233" s="71"/>
      <c r="D233" s="106"/>
    </row>
    <row r="234" spans="1:4" x14ac:dyDescent="0.2">
      <c r="A234" s="71"/>
      <c r="B234" s="71"/>
      <c r="C234" s="71"/>
      <c r="D234" s="106"/>
    </row>
    <row r="235" spans="1:4" x14ac:dyDescent="0.2">
      <c r="A235" s="71"/>
      <c r="B235" s="71"/>
      <c r="C235" s="71"/>
      <c r="D235" s="106"/>
    </row>
    <row r="236" spans="1:4" x14ac:dyDescent="0.2">
      <c r="A236" s="71"/>
      <c r="B236" s="71"/>
      <c r="C236" s="71"/>
      <c r="D236" s="106"/>
    </row>
    <row r="237" spans="1:4" x14ac:dyDescent="0.2">
      <c r="A237" s="71"/>
      <c r="B237" s="71"/>
      <c r="C237" s="71"/>
      <c r="D237" s="106"/>
    </row>
    <row r="238" spans="1:4" x14ac:dyDescent="0.2">
      <c r="A238" s="71"/>
      <c r="B238" s="71"/>
      <c r="C238" s="71"/>
      <c r="D238" s="106"/>
    </row>
    <row r="239" spans="1:4" x14ac:dyDescent="0.2">
      <c r="A239" s="71"/>
      <c r="B239" s="71"/>
      <c r="C239" s="71"/>
      <c r="D239" s="106"/>
    </row>
    <row r="240" spans="1:4" x14ac:dyDescent="0.2">
      <c r="A240" s="71"/>
      <c r="B240" s="71"/>
      <c r="C240" s="71"/>
      <c r="D240" s="106"/>
    </row>
    <row r="241" spans="1:4" x14ac:dyDescent="0.2">
      <c r="A241" s="71"/>
      <c r="B241" s="71"/>
      <c r="C241" s="71"/>
      <c r="D241" s="106"/>
    </row>
    <row r="242" spans="1:4" x14ac:dyDescent="0.2">
      <c r="A242" s="71"/>
      <c r="B242" s="71"/>
      <c r="C242" s="71"/>
      <c r="D242" s="106"/>
    </row>
    <row r="243" spans="1:4" x14ac:dyDescent="0.2">
      <c r="A243" s="71"/>
      <c r="B243" s="71"/>
      <c r="C243" s="71"/>
      <c r="D243" s="106"/>
    </row>
    <row r="244" spans="1:4" x14ac:dyDescent="0.2">
      <c r="A244" s="71"/>
      <c r="B244" s="71"/>
      <c r="C244" s="71"/>
      <c r="D244" s="106"/>
    </row>
    <row r="245" spans="1:4" x14ac:dyDescent="0.2">
      <c r="A245" s="71"/>
      <c r="B245" s="71"/>
      <c r="C245" s="71"/>
      <c r="D245" s="106"/>
    </row>
    <row r="246" spans="1:4" x14ac:dyDescent="0.2">
      <c r="A246" s="71"/>
      <c r="B246" s="71"/>
      <c r="C246" s="71"/>
      <c r="D246" s="106"/>
    </row>
    <row r="247" spans="1:4" x14ac:dyDescent="0.2">
      <c r="A247" s="71"/>
      <c r="B247" s="71"/>
      <c r="C247" s="71"/>
      <c r="D247" s="106"/>
    </row>
    <row r="248" spans="1:4" x14ac:dyDescent="0.2">
      <c r="A248" s="71"/>
      <c r="B248" s="71"/>
      <c r="C248" s="71"/>
      <c r="D248" s="106"/>
    </row>
    <row r="249" spans="1:4" x14ac:dyDescent="0.2">
      <c r="A249" s="71"/>
      <c r="B249" s="71"/>
      <c r="C249" s="71"/>
      <c r="D249" s="106"/>
    </row>
    <row r="250" spans="1:4" x14ac:dyDescent="0.2">
      <c r="A250" s="71"/>
      <c r="B250" s="71"/>
      <c r="C250" s="71"/>
      <c r="D250" s="106"/>
    </row>
    <row r="251" spans="1:4" x14ac:dyDescent="0.2">
      <c r="A251" s="71"/>
      <c r="B251" s="71"/>
      <c r="C251" s="71"/>
      <c r="D251" s="106"/>
    </row>
    <row r="252" spans="1:4" x14ac:dyDescent="0.2">
      <c r="A252" s="71"/>
      <c r="B252" s="71"/>
      <c r="C252" s="71"/>
      <c r="D252" s="106"/>
    </row>
    <row r="253" spans="1:4" x14ac:dyDescent="0.2">
      <c r="A253" s="71"/>
      <c r="B253" s="71"/>
      <c r="C253" s="71"/>
      <c r="D253" s="106"/>
    </row>
    <row r="254" spans="1:4" x14ac:dyDescent="0.2">
      <c r="A254" s="71"/>
      <c r="B254" s="71"/>
      <c r="C254" s="71"/>
      <c r="D254" s="106"/>
    </row>
    <row r="255" spans="1:4" x14ac:dyDescent="0.2">
      <c r="A255" s="71"/>
      <c r="B255" s="71"/>
      <c r="C255" s="71"/>
      <c r="D255" s="106"/>
    </row>
    <row r="256" spans="1:4" x14ac:dyDescent="0.2">
      <c r="A256" s="71"/>
      <c r="B256" s="71"/>
      <c r="C256" s="71"/>
      <c r="D256" s="106"/>
    </row>
    <row r="257" spans="1:4" x14ac:dyDescent="0.2">
      <c r="A257" s="71"/>
      <c r="B257" s="71"/>
      <c r="C257" s="71"/>
      <c r="D257" s="106"/>
    </row>
    <row r="258" spans="1:4" x14ac:dyDescent="0.2">
      <c r="A258" s="71"/>
      <c r="B258" s="71"/>
      <c r="C258" s="71"/>
      <c r="D258" s="106"/>
    </row>
    <row r="259" spans="1:4" x14ac:dyDescent="0.2">
      <c r="A259" s="71"/>
      <c r="B259" s="71"/>
      <c r="C259" s="71"/>
      <c r="D259" s="106"/>
    </row>
    <row r="260" spans="1:4" x14ac:dyDescent="0.2">
      <c r="A260" s="71"/>
      <c r="B260" s="71"/>
      <c r="C260" s="71"/>
      <c r="D260" s="106"/>
    </row>
    <row r="261" spans="1:4" x14ac:dyDescent="0.2">
      <c r="A261" s="71"/>
      <c r="B261" s="71"/>
      <c r="C261" s="71"/>
      <c r="D261" s="106"/>
    </row>
    <row r="262" spans="1:4" x14ac:dyDescent="0.2">
      <c r="A262" s="71"/>
      <c r="B262" s="71"/>
      <c r="C262" s="71"/>
      <c r="D262" s="106"/>
    </row>
    <row r="263" spans="1:4" x14ac:dyDescent="0.2">
      <c r="A263" s="71"/>
      <c r="B263" s="71"/>
      <c r="C263" s="71"/>
      <c r="D263" s="106"/>
    </row>
    <row r="264" spans="1:4" x14ac:dyDescent="0.2">
      <c r="A264" s="71"/>
      <c r="B264" s="71"/>
      <c r="C264" s="71"/>
      <c r="D264" s="106"/>
    </row>
    <row r="265" spans="1:4" x14ac:dyDescent="0.2">
      <c r="A265" s="71"/>
      <c r="B265" s="71"/>
      <c r="C265" s="71"/>
      <c r="D265" s="106"/>
    </row>
    <row r="266" spans="1:4" x14ac:dyDescent="0.2">
      <c r="A266" s="71"/>
      <c r="B266" s="71"/>
      <c r="C266" s="71"/>
      <c r="D266" s="106"/>
    </row>
    <row r="267" spans="1:4" x14ac:dyDescent="0.2">
      <c r="A267" s="71"/>
      <c r="B267" s="71"/>
      <c r="C267" s="71"/>
      <c r="D267" s="106"/>
    </row>
    <row r="268" spans="1:4" x14ac:dyDescent="0.2">
      <c r="A268" s="71"/>
      <c r="B268" s="71"/>
      <c r="C268" s="71"/>
      <c r="D268" s="106"/>
    </row>
    <row r="269" spans="1:4" x14ac:dyDescent="0.2">
      <c r="A269" s="71"/>
      <c r="B269" s="71"/>
      <c r="C269" s="71"/>
      <c r="D269" s="106"/>
    </row>
    <row r="270" spans="1:4" x14ac:dyDescent="0.2">
      <c r="A270" s="71"/>
      <c r="B270" s="71"/>
      <c r="C270" s="71"/>
      <c r="D270" s="106"/>
    </row>
    <row r="271" spans="1:4" x14ac:dyDescent="0.2">
      <c r="A271" s="71"/>
      <c r="B271" s="71"/>
      <c r="C271" s="71"/>
      <c r="D271" s="106"/>
    </row>
    <row r="272" spans="1:4" x14ac:dyDescent="0.2">
      <c r="A272" s="71"/>
      <c r="B272" s="71"/>
      <c r="C272" s="71"/>
      <c r="D272" s="106"/>
    </row>
    <row r="273" spans="1:4" x14ac:dyDescent="0.2">
      <c r="A273" s="71"/>
      <c r="B273" s="71"/>
      <c r="C273" s="71"/>
      <c r="D273" s="106"/>
    </row>
    <row r="274" spans="1:4" x14ac:dyDescent="0.2">
      <c r="A274" s="71"/>
      <c r="B274" s="71"/>
      <c r="C274" s="71"/>
      <c r="D274" s="106"/>
    </row>
    <row r="275" spans="1:4" x14ac:dyDescent="0.2">
      <c r="A275" s="71"/>
      <c r="B275" s="71"/>
      <c r="C275" s="71"/>
      <c r="D275" s="106"/>
    </row>
    <row r="276" spans="1:4" x14ac:dyDescent="0.2">
      <c r="A276" s="71"/>
      <c r="B276" s="71"/>
      <c r="C276" s="71"/>
      <c r="D276" s="106"/>
    </row>
    <row r="277" spans="1:4" x14ac:dyDescent="0.2">
      <c r="A277" s="71"/>
      <c r="B277" s="71"/>
      <c r="C277" s="71"/>
      <c r="D277" s="106"/>
    </row>
    <row r="278" spans="1:4" x14ac:dyDescent="0.2">
      <c r="A278" s="71"/>
      <c r="B278" s="71"/>
      <c r="C278" s="71"/>
      <c r="D278" s="106"/>
    </row>
    <row r="279" spans="1:4" x14ac:dyDescent="0.2">
      <c r="A279" s="71"/>
      <c r="B279" s="71"/>
      <c r="C279" s="71"/>
      <c r="D279" s="106"/>
    </row>
    <row r="280" spans="1:4" x14ac:dyDescent="0.2">
      <c r="A280" s="71"/>
      <c r="B280" s="71"/>
      <c r="C280" s="71"/>
      <c r="D280" s="106"/>
    </row>
    <row r="281" spans="1:4" x14ac:dyDescent="0.2">
      <c r="A281" s="71"/>
      <c r="B281" s="71"/>
      <c r="C281" s="71"/>
      <c r="D281" s="106"/>
    </row>
    <row r="282" spans="1:4" x14ac:dyDescent="0.2">
      <c r="A282" s="71"/>
      <c r="B282" s="71"/>
      <c r="C282" s="71"/>
      <c r="D282" s="106"/>
    </row>
    <row r="283" spans="1:4" x14ac:dyDescent="0.2">
      <c r="A283" s="71"/>
      <c r="B283" s="71"/>
      <c r="C283" s="71"/>
      <c r="D283" s="106"/>
    </row>
    <row r="284" spans="1:4" x14ac:dyDescent="0.2">
      <c r="A284" s="71"/>
      <c r="B284" s="71"/>
      <c r="C284" s="71"/>
      <c r="D284" s="106"/>
    </row>
    <row r="285" spans="1:4" x14ac:dyDescent="0.2">
      <c r="A285" s="71"/>
      <c r="B285" s="71"/>
      <c r="C285" s="71"/>
      <c r="D285" s="106"/>
    </row>
    <row r="286" spans="1:4" x14ac:dyDescent="0.2">
      <c r="A286" s="71"/>
      <c r="B286" s="71"/>
      <c r="C286" s="71"/>
      <c r="D286" s="106"/>
    </row>
    <row r="287" spans="1:4" x14ac:dyDescent="0.2">
      <c r="A287" s="71"/>
      <c r="B287" s="71"/>
      <c r="C287" s="71"/>
      <c r="D287" s="106"/>
    </row>
    <row r="288" spans="1:4" x14ac:dyDescent="0.2">
      <c r="A288" s="71"/>
      <c r="B288" s="71"/>
      <c r="C288" s="71"/>
      <c r="D288" s="106"/>
    </row>
    <row r="289" spans="1:4" x14ac:dyDescent="0.2">
      <c r="A289" s="71"/>
      <c r="B289" s="71"/>
      <c r="C289" s="71"/>
      <c r="D289" s="106"/>
    </row>
    <row r="290" spans="1:4" x14ac:dyDescent="0.2">
      <c r="A290" s="71"/>
      <c r="B290" s="71"/>
      <c r="C290" s="71"/>
      <c r="D290" s="106"/>
    </row>
    <row r="291" spans="1:4" x14ac:dyDescent="0.2">
      <c r="A291" s="71"/>
      <c r="B291" s="71"/>
      <c r="C291" s="71"/>
      <c r="D291" s="106"/>
    </row>
    <row r="292" spans="1:4" x14ac:dyDescent="0.2">
      <c r="A292" s="71"/>
      <c r="B292" s="71"/>
      <c r="C292" s="71"/>
      <c r="D292" s="106"/>
    </row>
    <row r="293" spans="1:4" x14ac:dyDescent="0.2">
      <c r="A293" s="71"/>
      <c r="B293" s="71"/>
      <c r="C293" s="71"/>
      <c r="D293" s="106"/>
    </row>
    <row r="294" spans="1:4" x14ac:dyDescent="0.2">
      <c r="A294" s="71"/>
      <c r="B294" s="71"/>
      <c r="C294" s="71"/>
      <c r="D294" s="106"/>
    </row>
    <row r="295" spans="1:4" x14ac:dyDescent="0.2">
      <c r="A295" s="71"/>
      <c r="B295" s="71"/>
      <c r="C295" s="71"/>
      <c r="D295" s="106"/>
    </row>
    <row r="296" spans="1:4" x14ac:dyDescent="0.2">
      <c r="A296" s="71"/>
      <c r="B296" s="71"/>
      <c r="C296" s="71"/>
      <c r="D296" s="106"/>
    </row>
    <row r="297" spans="1:4" x14ac:dyDescent="0.2">
      <c r="A297" s="71"/>
      <c r="B297" s="71"/>
      <c r="C297" s="71"/>
      <c r="D297" s="106"/>
    </row>
    <row r="298" spans="1:4" x14ac:dyDescent="0.2">
      <c r="A298" s="71"/>
      <c r="B298" s="71"/>
      <c r="C298" s="71"/>
      <c r="D298" s="106"/>
    </row>
    <row r="299" spans="1:4" x14ac:dyDescent="0.2">
      <c r="A299" s="71"/>
      <c r="B299" s="71"/>
      <c r="C299" s="71"/>
      <c r="D299" s="106"/>
    </row>
    <row r="300" spans="1:4" x14ac:dyDescent="0.2">
      <c r="A300" s="71"/>
      <c r="B300" s="71"/>
      <c r="C300" s="71"/>
      <c r="D300" s="106"/>
    </row>
    <row r="301" spans="1:4" x14ac:dyDescent="0.2">
      <c r="A301" s="71"/>
      <c r="B301" s="71"/>
      <c r="C301" s="71"/>
      <c r="D301" s="106"/>
    </row>
    <row r="302" spans="1:4" x14ac:dyDescent="0.2">
      <c r="A302" s="71"/>
      <c r="B302" s="71"/>
      <c r="C302" s="71"/>
      <c r="D302" s="106"/>
    </row>
    <row r="303" spans="1:4" x14ac:dyDescent="0.2">
      <c r="A303" s="71"/>
      <c r="B303" s="71"/>
      <c r="C303" s="71"/>
      <c r="D303" s="106"/>
    </row>
    <row r="304" spans="1:4" x14ac:dyDescent="0.2">
      <c r="A304" s="71"/>
      <c r="B304" s="71"/>
      <c r="C304" s="71"/>
      <c r="D304" s="106"/>
    </row>
    <row r="305" spans="1:4" x14ac:dyDescent="0.2">
      <c r="A305" s="71"/>
      <c r="B305" s="71"/>
      <c r="C305" s="71"/>
      <c r="D305" s="106"/>
    </row>
    <row r="306" spans="1:4" x14ac:dyDescent="0.2">
      <c r="A306" s="71"/>
      <c r="B306" s="71"/>
      <c r="C306" s="71"/>
      <c r="D306" s="106"/>
    </row>
    <row r="307" spans="1:4" x14ac:dyDescent="0.2">
      <c r="A307" s="71"/>
      <c r="B307" s="71"/>
      <c r="C307" s="71"/>
      <c r="D307" s="106"/>
    </row>
    <row r="308" spans="1:4" x14ac:dyDescent="0.2">
      <c r="A308" s="71"/>
      <c r="B308" s="71"/>
      <c r="C308" s="71"/>
      <c r="D308" s="106"/>
    </row>
    <row r="309" spans="1:4" x14ac:dyDescent="0.2">
      <c r="A309" s="71"/>
      <c r="B309" s="71"/>
      <c r="C309" s="71"/>
      <c r="D309" s="106"/>
    </row>
    <row r="310" spans="1:4" x14ac:dyDescent="0.2">
      <c r="A310" s="71"/>
      <c r="B310" s="71"/>
      <c r="C310" s="71"/>
      <c r="D310" s="106"/>
    </row>
    <row r="311" spans="1:4" x14ac:dyDescent="0.2">
      <c r="A311" s="71"/>
      <c r="B311" s="71"/>
      <c r="C311" s="71"/>
      <c r="D311" s="106"/>
    </row>
    <row r="312" spans="1:4" x14ac:dyDescent="0.2">
      <c r="A312" s="71"/>
      <c r="B312" s="71"/>
      <c r="C312" s="71"/>
      <c r="D312" s="106"/>
    </row>
    <row r="313" spans="1:4" x14ac:dyDescent="0.2">
      <c r="A313" s="71"/>
      <c r="B313" s="71"/>
      <c r="C313" s="71"/>
      <c r="D313" s="106"/>
    </row>
    <row r="314" spans="1:4" x14ac:dyDescent="0.2">
      <c r="A314" s="71"/>
      <c r="B314" s="71"/>
      <c r="C314" s="71"/>
      <c r="D314" s="106"/>
    </row>
    <row r="315" spans="1:4" x14ac:dyDescent="0.2">
      <c r="A315" s="71"/>
      <c r="B315" s="71"/>
      <c r="C315" s="71"/>
      <c r="D315" s="106"/>
    </row>
    <row r="316" spans="1:4" x14ac:dyDescent="0.2">
      <c r="A316" s="71"/>
      <c r="B316" s="71"/>
      <c r="C316" s="71"/>
      <c r="D316" s="106"/>
    </row>
    <row r="317" spans="1:4" x14ac:dyDescent="0.2">
      <c r="A317" s="71"/>
      <c r="B317" s="71"/>
      <c r="C317" s="71"/>
      <c r="D317" s="106"/>
    </row>
    <row r="318" spans="1:4" x14ac:dyDescent="0.2">
      <c r="A318" s="71"/>
      <c r="B318" s="71"/>
      <c r="C318" s="71"/>
      <c r="D318" s="106"/>
    </row>
    <row r="319" spans="1:4" x14ac:dyDescent="0.2">
      <c r="A319" s="71"/>
      <c r="B319" s="71"/>
      <c r="C319" s="71"/>
      <c r="D319" s="106"/>
    </row>
    <row r="320" spans="1:4" x14ac:dyDescent="0.2">
      <c r="A320" s="71"/>
      <c r="B320" s="71"/>
      <c r="C320" s="71"/>
      <c r="D320" s="106"/>
    </row>
    <row r="321" spans="1:4" x14ac:dyDescent="0.2">
      <c r="A321" s="71"/>
      <c r="B321" s="71"/>
      <c r="C321" s="71"/>
      <c r="D321" s="106"/>
    </row>
    <row r="322" spans="1:4" x14ac:dyDescent="0.2">
      <c r="A322" s="71"/>
      <c r="B322" s="71"/>
      <c r="C322" s="71"/>
      <c r="D322" s="106"/>
    </row>
    <row r="323" spans="1:4" x14ac:dyDescent="0.2">
      <c r="A323" s="71"/>
      <c r="B323" s="71"/>
      <c r="C323" s="71"/>
      <c r="D323" s="106"/>
    </row>
    <row r="324" spans="1:4" x14ac:dyDescent="0.2">
      <c r="A324" s="71"/>
      <c r="B324" s="71"/>
      <c r="C324" s="71"/>
      <c r="D324" s="106"/>
    </row>
    <row r="325" spans="1:4" x14ac:dyDescent="0.2">
      <c r="A325" s="71"/>
      <c r="B325" s="71"/>
      <c r="C325" s="71"/>
      <c r="D325" s="106"/>
    </row>
    <row r="326" spans="1:4" x14ac:dyDescent="0.2">
      <c r="A326" s="71"/>
      <c r="B326" s="71"/>
      <c r="C326" s="71"/>
      <c r="D326" s="106"/>
    </row>
    <row r="327" spans="1:4" x14ac:dyDescent="0.2">
      <c r="A327" s="71"/>
      <c r="B327" s="71"/>
      <c r="C327" s="71"/>
      <c r="D327" s="106"/>
    </row>
    <row r="328" spans="1:4" x14ac:dyDescent="0.2">
      <c r="A328" s="71"/>
      <c r="B328" s="71"/>
      <c r="C328" s="71"/>
      <c r="D328" s="106"/>
    </row>
    <row r="329" spans="1:4" x14ac:dyDescent="0.2">
      <c r="A329" s="71"/>
      <c r="B329" s="71"/>
      <c r="C329" s="71"/>
      <c r="D329" s="106"/>
    </row>
    <row r="330" spans="1:4" x14ac:dyDescent="0.2">
      <c r="A330" s="71"/>
      <c r="B330" s="71"/>
      <c r="C330" s="71"/>
      <c r="D330" s="106"/>
    </row>
    <row r="331" spans="1:4" x14ac:dyDescent="0.2">
      <c r="A331" s="71"/>
      <c r="B331" s="71"/>
      <c r="C331" s="71"/>
      <c r="D331" s="106"/>
    </row>
    <row r="332" spans="1:4" x14ac:dyDescent="0.2">
      <c r="A332" s="71"/>
      <c r="B332" s="71"/>
      <c r="C332" s="71"/>
      <c r="D332" s="106"/>
    </row>
    <row r="333" spans="1:4" x14ac:dyDescent="0.2">
      <c r="A333" s="71"/>
      <c r="B333" s="71"/>
      <c r="C333" s="71"/>
      <c r="D333" s="106"/>
    </row>
    <row r="334" spans="1:4" x14ac:dyDescent="0.2">
      <c r="A334" s="71"/>
      <c r="B334" s="71"/>
      <c r="C334" s="71"/>
      <c r="D334" s="106"/>
    </row>
    <row r="335" spans="1:4" x14ac:dyDescent="0.2">
      <c r="A335" s="71"/>
      <c r="B335" s="71"/>
      <c r="C335" s="71"/>
      <c r="D335" s="106"/>
    </row>
    <row r="336" spans="1:4" x14ac:dyDescent="0.2">
      <c r="A336" s="71"/>
      <c r="B336" s="71"/>
      <c r="C336" s="71"/>
      <c r="D336" s="106"/>
    </row>
    <row r="337" spans="1:4" x14ac:dyDescent="0.2">
      <c r="A337" s="71"/>
      <c r="B337" s="71"/>
      <c r="C337" s="71"/>
      <c r="D337" s="106"/>
    </row>
    <row r="338" spans="1:4" x14ac:dyDescent="0.2">
      <c r="A338" s="71"/>
      <c r="B338" s="71"/>
      <c r="C338" s="71"/>
      <c r="D338" s="106"/>
    </row>
    <row r="339" spans="1:4" x14ac:dyDescent="0.2">
      <c r="A339" s="71"/>
      <c r="B339" s="71"/>
      <c r="C339" s="71"/>
      <c r="D339" s="106"/>
    </row>
    <row r="340" spans="1:4" x14ac:dyDescent="0.2">
      <c r="A340" s="71"/>
      <c r="B340" s="71"/>
      <c r="C340" s="71"/>
      <c r="D340" s="106"/>
    </row>
    <row r="341" spans="1:4" x14ac:dyDescent="0.2">
      <c r="A341" s="71"/>
      <c r="B341" s="71"/>
      <c r="C341" s="71"/>
      <c r="D341" s="106"/>
    </row>
    <row r="342" spans="1:4" x14ac:dyDescent="0.2">
      <c r="A342" s="71"/>
      <c r="B342" s="71"/>
      <c r="C342" s="71"/>
      <c r="D342" s="106"/>
    </row>
    <row r="343" spans="1:4" x14ac:dyDescent="0.2">
      <c r="A343" s="71"/>
      <c r="B343" s="71"/>
      <c r="C343" s="71"/>
      <c r="D343" s="106"/>
    </row>
    <row r="344" spans="1:4" x14ac:dyDescent="0.2">
      <c r="A344" s="71"/>
      <c r="B344" s="71"/>
      <c r="C344" s="71"/>
      <c r="D344" s="106"/>
    </row>
    <row r="345" spans="1:4" x14ac:dyDescent="0.2">
      <c r="A345" s="71"/>
      <c r="B345" s="71"/>
      <c r="C345" s="71"/>
      <c r="D345" s="106"/>
    </row>
    <row r="346" spans="1:4" x14ac:dyDescent="0.2">
      <c r="A346" s="71"/>
      <c r="B346" s="71"/>
      <c r="C346" s="71"/>
      <c r="D346" s="106"/>
    </row>
    <row r="347" spans="1:4" x14ac:dyDescent="0.2">
      <c r="A347" s="71"/>
      <c r="B347" s="71"/>
      <c r="C347" s="71"/>
      <c r="D347" s="106"/>
    </row>
    <row r="348" spans="1:4" x14ac:dyDescent="0.2">
      <c r="A348" s="71"/>
      <c r="B348" s="71"/>
      <c r="C348" s="71"/>
      <c r="D348" s="106"/>
    </row>
    <row r="349" spans="1:4" x14ac:dyDescent="0.2">
      <c r="A349" s="71"/>
      <c r="B349" s="71"/>
      <c r="C349" s="71"/>
      <c r="D349" s="106"/>
    </row>
    <row r="350" spans="1:4" x14ac:dyDescent="0.2">
      <c r="A350" s="71"/>
      <c r="B350" s="71"/>
      <c r="C350" s="71"/>
      <c r="D350" s="106"/>
    </row>
    <row r="351" spans="1:4" x14ac:dyDescent="0.2">
      <c r="A351" s="71"/>
      <c r="B351" s="71"/>
      <c r="C351" s="71"/>
      <c r="D351" s="106"/>
    </row>
    <row r="352" spans="1:4" x14ac:dyDescent="0.2">
      <c r="A352" s="71"/>
      <c r="B352" s="71"/>
      <c r="C352" s="71"/>
      <c r="D352" s="106"/>
    </row>
    <row r="353" spans="1:4" x14ac:dyDescent="0.2">
      <c r="A353" s="71"/>
      <c r="B353" s="71"/>
      <c r="C353" s="71"/>
      <c r="D353" s="106"/>
    </row>
    <row r="354" spans="1:4" x14ac:dyDescent="0.2">
      <c r="A354" s="71"/>
      <c r="B354" s="71"/>
      <c r="C354" s="71"/>
      <c r="D354" s="106"/>
    </row>
    <row r="355" spans="1:4" x14ac:dyDescent="0.2">
      <c r="A355" s="71"/>
      <c r="B355" s="71"/>
      <c r="C355" s="71"/>
      <c r="D355" s="106"/>
    </row>
    <row r="356" spans="1:4" x14ac:dyDescent="0.2">
      <c r="A356" s="71"/>
      <c r="B356" s="71"/>
      <c r="C356" s="71"/>
      <c r="D356" s="106"/>
    </row>
    <row r="357" spans="1:4" x14ac:dyDescent="0.2">
      <c r="A357" s="71"/>
      <c r="B357" s="71"/>
      <c r="C357" s="71"/>
      <c r="D357" s="106"/>
    </row>
    <row r="358" spans="1:4" x14ac:dyDescent="0.2">
      <c r="A358" s="71"/>
      <c r="B358" s="71"/>
      <c r="C358" s="71"/>
      <c r="D358" s="106"/>
    </row>
    <row r="359" spans="1:4" x14ac:dyDescent="0.2">
      <c r="A359" s="71"/>
      <c r="B359" s="71"/>
      <c r="C359" s="71"/>
      <c r="D359" s="106"/>
    </row>
    <row r="360" spans="1:4" x14ac:dyDescent="0.2">
      <c r="A360" s="71"/>
      <c r="B360" s="71"/>
      <c r="C360" s="71"/>
      <c r="D360" s="106"/>
    </row>
    <row r="361" spans="1:4" x14ac:dyDescent="0.2">
      <c r="A361" s="71"/>
      <c r="B361" s="71"/>
      <c r="C361" s="71"/>
      <c r="D361" s="106"/>
    </row>
    <row r="362" spans="1:4" x14ac:dyDescent="0.2">
      <c r="A362" s="71"/>
      <c r="B362" s="71"/>
      <c r="C362" s="71"/>
      <c r="D362" s="106"/>
    </row>
    <row r="363" spans="1:4" x14ac:dyDescent="0.2">
      <c r="A363" s="71"/>
      <c r="B363" s="71"/>
      <c r="C363" s="71"/>
      <c r="D363" s="106"/>
    </row>
    <row r="364" spans="1:4" x14ac:dyDescent="0.2">
      <c r="A364" s="71"/>
      <c r="B364" s="71"/>
      <c r="C364" s="71"/>
      <c r="D364" s="106"/>
    </row>
    <row r="365" spans="1:4" x14ac:dyDescent="0.2">
      <c r="A365" s="71"/>
      <c r="B365" s="71"/>
      <c r="C365" s="71"/>
      <c r="D365" s="106"/>
    </row>
    <row r="366" spans="1:4" x14ac:dyDescent="0.2">
      <c r="A366" s="71"/>
      <c r="B366" s="71"/>
      <c r="C366" s="71"/>
      <c r="D366" s="106"/>
    </row>
    <row r="367" spans="1:4" x14ac:dyDescent="0.2">
      <c r="A367" s="71"/>
      <c r="B367" s="71"/>
      <c r="C367" s="71"/>
      <c r="D367" s="106"/>
    </row>
    <row r="368" spans="1:4" x14ac:dyDescent="0.2">
      <c r="A368" s="71"/>
      <c r="B368" s="71"/>
      <c r="C368" s="71"/>
      <c r="D368" s="106"/>
    </row>
    <row r="369" spans="1:4" x14ac:dyDescent="0.2">
      <c r="A369" s="71"/>
      <c r="B369" s="71"/>
      <c r="C369" s="71"/>
      <c r="D369" s="106"/>
    </row>
    <row r="370" spans="1:4" x14ac:dyDescent="0.2">
      <c r="A370" s="71"/>
      <c r="B370" s="71"/>
      <c r="C370" s="71"/>
      <c r="D370" s="106"/>
    </row>
    <row r="371" spans="1:4" x14ac:dyDescent="0.2">
      <c r="A371" s="71"/>
      <c r="B371" s="71"/>
      <c r="C371" s="71"/>
      <c r="D371" s="106"/>
    </row>
    <row r="372" spans="1:4" x14ac:dyDescent="0.2">
      <c r="A372" s="71"/>
      <c r="B372" s="71"/>
      <c r="C372" s="71"/>
      <c r="D372" s="106"/>
    </row>
    <row r="373" spans="1:4" x14ac:dyDescent="0.2">
      <c r="A373" s="71"/>
      <c r="B373" s="71"/>
      <c r="C373" s="71"/>
      <c r="D373" s="106"/>
    </row>
    <row r="374" spans="1:4" x14ac:dyDescent="0.2">
      <c r="A374" s="71"/>
      <c r="B374" s="71"/>
      <c r="C374" s="71"/>
      <c r="D374" s="106"/>
    </row>
    <row r="375" spans="1:4" x14ac:dyDescent="0.2">
      <c r="A375" s="71"/>
      <c r="B375" s="71"/>
      <c r="C375" s="71"/>
      <c r="D375" s="106"/>
    </row>
    <row r="376" spans="1:4" x14ac:dyDescent="0.2">
      <c r="A376" s="71"/>
      <c r="B376" s="71"/>
      <c r="C376" s="71"/>
      <c r="D376" s="106"/>
    </row>
    <row r="377" spans="1:4" x14ac:dyDescent="0.2">
      <c r="A377" s="71"/>
      <c r="B377" s="71"/>
      <c r="C377" s="71"/>
      <c r="D377" s="106"/>
    </row>
    <row r="378" spans="1:4" x14ac:dyDescent="0.2">
      <c r="A378" s="71"/>
      <c r="B378" s="71"/>
      <c r="C378" s="71"/>
      <c r="D378" s="106"/>
    </row>
    <row r="379" spans="1:4" x14ac:dyDescent="0.2">
      <c r="A379" s="71"/>
      <c r="B379" s="71"/>
      <c r="C379" s="71"/>
      <c r="D379" s="106"/>
    </row>
    <row r="380" spans="1:4" x14ac:dyDescent="0.2">
      <c r="A380" s="71"/>
      <c r="B380" s="71"/>
      <c r="C380" s="71"/>
      <c r="D380" s="106"/>
    </row>
    <row r="381" spans="1:4" x14ac:dyDescent="0.2">
      <c r="A381" s="71"/>
      <c r="B381" s="71"/>
      <c r="C381" s="71"/>
      <c r="D381" s="106"/>
    </row>
    <row r="382" spans="1:4" x14ac:dyDescent="0.2">
      <c r="A382" s="71"/>
      <c r="B382" s="71"/>
      <c r="C382" s="71"/>
      <c r="D382" s="106"/>
    </row>
    <row r="383" spans="1:4" x14ac:dyDescent="0.2">
      <c r="A383" s="71"/>
      <c r="B383" s="71"/>
      <c r="C383" s="71"/>
      <c r="D383" s="106"/>
    </row>
    <row r="384" spans="1:4" x14ac:dyDescent="0.2">
      <c r="A384" s="71"/>
      <c r="B384" s="71"/>
      <c r="C384" s="71"/>
      <c r="D384" s="106"/>
    </row>
    <row r="385" spans="1:4" x14ac:dyDescent="0.2">
      <c r="A385" s="71"/>
      <c r="B385" s="71"/>
      <c r="C385" s="71"/>
      <c r="D385" s="106"/>
    </row>
    <row r="386" spans="1:4" x14ac:dyDescent="0.2">
      <c r="A386" s="71"/>
      <c r="B386" s="71"/>
      <c r="C386" s="71"/>
      <c r="D386" s="106"/>
    </row>
    <row r="387" spans="1:4" x14ac:dyDescent="0.2">
      <c r="A387" s="71"/>
      <c r="B387" s="71"/>
      <c r="C387" s="71"/>
      <c r="D387" s="106"/>
    </row>
    <row r="388" spans="1:4" x14ac:dyDescent="0.2">
      <c r="A388" s="71"/>
      <c r="B388" s="71"/>
      <c r="C388" s="71"/>
      <c r="D388" s="106"/>
    </row>
    <row r="389" spans="1:4" x14ac:dyDescent="0.2">
      <c r="A389" s="71"/>
      <c r="B389" s="71"/>
      <c r="C389" s="71"/>
      <c r="D389" s="106"/>
    </row>
    <row r="390" spans="1:4" x14ac:dyDescent="0.2">
      <c r="A390" s="71"/>
      <c r="B390" s="71"/>
      <c r="C390" s="71"/>
      <c r="D390" s="106"/>
    </row>
    <row r="391" spans="1:4" x14ac:dyDescent="0.2">
      <c r="A391" s="71"/>
      <c r="B391" s="71"/>
      <c r="C391" s="71"/>
      <c r="D391" s="106"/>
    </row>
    <row r="392" spans="1:4" x14ac:dyDescent="0.2">
      <c r="A392" s="71"/>
      <c r="B392" s="71"/>
      <c r="C392" s="71"/>
      <c r="D392" s="106"/>
    </row>
    <row r="393" spans="1:4" x14ac:dyDescent="0.2">
      <c r="A393" s="71"/>
      <c r="B393" s="71"/>
      <c r="C393" s="71"/>
      <c r="D393" s="106"/>
    </row>
    <row r="394" spans="1:4" x14ac:dyDescent="0.2">
      <c r="A394" s="71"/>
      <c r="B394" s="71"/>
      <c r="C394" s="71"/>
      <c r="D394" s="106"/>
    </row>
    <row r="395" spans="1:4" x14ac:dyDescent="0.2">
      <c r="A395" s="71"/>
      <c r="B395" s="71"/>
      <c r="C395" s="71"/>
      <c r="D395" s="106"/>
    </row>
    <row r="396" spans="1:4" x14ac:dyDescent="0.2">
      <c r="A396" s="71"/>
      <c r="B396" s="71"/>
      <c r="C396" s="71"/>
      <c r="D396" s="106"/>
    </row>
    <row r="397" spans="1:4" x14ac:dyDescent="0.2">
      <c r="A397" s="71"/>
      <c r="B397" s="71"/>
      <c r="C397" s="71"/>
      <c r="D397" s="106"/>
    </row>
    <row r="398" spans="1:4" x14ac:dyDescent="0.2">
      <c r="A398" s="71"/>
      <c r="B398" s="71"/>
      <c r="C398" s="71"/>
      <c r="D398" s="106"/>
    </row>
    <row r="399" spans="1:4" x14ac:dyDescent="0.2">
      <c r="A399" s="71"/>
      <c r="B399" s="71"/>
      <c r="C399" s="71"/>
      <c r="D399" s="106"/>
    </row>
    <row r="400" spans="1:4" x14ac:dyDescent="0.2">
      <c r="A400" s="71"/>
      <c r="B400" s="71"/>
      <c r="C400" s="71"/>
      <c r="D400" s="106"/>
    </row>
    <row r="401" spans="1:4" x14ac:dyDescent="0.2">
      <c r="A401" s="71"/>
      <c r="B401" s="71"/>
      <c r="C401" s="71"/>
      <c r="D401" s="106"/>
    </row>
    <row r="402" spans="1:4" x14ac:dyDescent="0.2">
      <c r="A402" s="71"/>
      <c r="B402" s="71"/>
      <c r="C402" s="71"/>
      <c r="D402" s="106"/>
    </row>
    <row r="403" spans="1:4" x14ac:dyDescent="0.2">
      <c r="A403" s="71"/>
      <c r="B403" s="71"/>
      <c r="C403" s="71"/>
      <c r="D403" s="106"/>
    </row>
    <row r="404" spans="1:4" x14ac:dyDescent="0.2">
      <c r="A404" s="71"/>
      <c r="B404" s="71"/>
      <c r="C404" s="71"/>
      <c r="D404" s="106"/>
    </row>
    <row r="405" spans="1:4" x14ac:dyDescent="0.2">
      <c r="A405" s="71"/>
      <c r="B405" s="71"/>
      <c r="C405" s="71"/>
      <c r="D405" s="106"/>
    </row>
    <row r="406" spans="1:4" x14ac:dyDescent="0.2">
      <c r="A406" s="71"/>
      <c r="B406" s="71"/>
      <c r="C406" s="71"/>
      <c r="D406" s="106"/>
    </row>
    <row r="407" spans="1:4" x14ac:dyDescent="0.2">
      <c r="A407" s="71"/>
      <c r="B407" s="71"/>
      <c r="C407" s="71"/>
      <c r="D407" s="106"/>
    </row>
    <row r="408" spans="1:4" x14ac:dyDescent="0.2">
      <c r="A408" s="71"/>
      <c r="B408" s="71"/>
      <c r="C408" s="71"/>
      <c r="D408" s="106"/>
    </row>
    <row r="409" spans="1:4" x14ac:dyDescent="0.2">
      <c r="A409" s="71"/>
      <c r="B409" s="71"/>
      <c r="C409" s="71"/>
      <c r="D409" s="106"/>
    </row>
    <row r="410" spans="1:4" x14ac:dyDescent="0.2">
      <c r="A410" s="71"/>
      <c r="B410" s="71"/>
      <c r="C410" s="71"/>
      <c r="D410" s="106"/>
    </row>
    <row r="411" spans="1:4" x14ac:dyDescent="0.2">
      <c r="A411" s="71"/>
      <c r="B411" s="71"/>
      <c r="C411" s="71"/>
      <c r="D411" s="106"/>
    </row>
    <row r="412" spans="1:4" x14ac:dyDescent="0.2">
      <c r="A412" s="71"/>
      <c r="B412" s="71"/>
      <c r="C412" s="71"/>
      <c r="D412" s="106"/>
    </row>
    <row r="413" spans="1:4" x14ac:dyDescent="0.2">
      <c r="A413" s="71"/>
      <c r="B413" s="71"/>
      <c r="C413" s="71"/>
      <c r="D413" s="106"/>
    </row>
    <row r="414" spans="1:4" x14ac:dyDescent="0.2">
      <c r="A414" s="71"/>
      <c r="B414" s="71"/>
      <c r="C414" s="71"/>
      <c r="D414" s="106"/>
    </row>
    <row r="415" spans="1:4" x14ac:dyDescent="0.2">
      <c r="A415" s="71"/>
      <c r="B415" s="71"/>
      <c r="C415" s="71"/>
      <c r="D415" s="106"/>
    </row>
    <row r="416" spans="1:4" x14ac:dyDescent="0.2">
      <c r="A416" s="71"/>
      <c r="B416" s="71"/>
      <c r="C416" s="71"/>
      <c r="D416" s="106"/>
    </row>
    <row r="417" spans="1:4" x14ac:dyDescent="0.2">
      <c r="A417" s="71"/>
      <c r="B417" s="71"/>
      <c r="C417" s="71"/>
      <c r="D417" s="106"/>
    </row>
    <row r="418" spans="1:4" x14ac:dyDescent="0.2">
      <c r="A418" s="71"/>
      <c r="B418" s="71"/>
      <c r="C418" s="71"/>
      <c r="D418" s="106"/>
    </row>
    <row r="419" spans="1:4" x14ac:dyDescent="0.2">
      <c r="A419" s="71"/>
      <c r="B419" s="71"/>
      <c r="C419" s="71"/>
      <c r="D419" s="106"/>
    </row>
    <row r="420" spans="1:4" x14ac:dyDescent="0.2">
      <c r="A420" s="71"/>
      <c r="B420" s="71"/>
      <c r="C420" s="71"/>
      <c r="D420" s="106"/>
    </row>
    <row r="421" spans="1:4" x14ac:dyDescent="0.2">
      <c r="A421" s="71"/>
      <c r="B421" s="71"/>
      <c r="C421" s="71"/>
      <c r="D421" s="106"/>
    </row>
    <row r="422" spans="1:4" x14ac:dyDescent="0.2">
      <c r="A422" s="71"/>
      <c r="B422" s="71"/>
      <c r="C422" s="71"/>
      <c r="D422" s="106"/>
    </row>
    <row r="423" spans="1:4" x14ac:dyDescent="0.2">
      <c r="A423" s="71"/>
      <c r="B423" s="71"/>
      <c r="C423" s="71"/>
      <c r="D423" s="106"/>
    </row>
    <row r="424" spans="1:4" x14ac:dyDescent="0.2">
      <c r="A424" s="71"/>
      <c r="B424" s="71"/>
      <c r="C424" s="71"/>
      <c r="D424" s="106"/>
    </row>
    <row r="425" spans="1:4" x14ac:dyDescent="0.2">
      <c r="A425" s="71"/>
      <c r="B425" s="71"/>
      <c r="C425" s="71"/>
      <c r="D425" s="106"/>
    </row>
    <row r="426" spans="1:4" x14ac:dyDescent="0.2">
      <c r="A426" s="71"/>
      <c r="B426" s="71"/>
      <c r="C426" s="71"/>
      <c r="D426" s="106"/>
    </row>
    <row r="427" spans="1:4" x14ac:dyDescent="0.2">
      <c r="A427" s="71"/>
      <c r="B427" s="71"/>
      <c r="C427" s="71"/>
      <c r="D427" s="106"/>
    </row>
    <row r="428" spans="1:4" x14ac:dyDescent="0.2">
      <c r="A428" s="71"/>
      <c r="B428" s="71"/>
      <c r="C428" s="71"/>
      <c r="D428" s="106"/>
    </row>
    <row r="429" spans="1:4" x14ac:dyDescent="0.2">
      <c r="A429" s="71"/>
      <c r="B429" s="71"/>
      <c r="C429" s="71"/>
      <c r="D429" s="106"/>
    </row>
    <row r="430" spans="1:4" x14ac:dyDescent="0.2">
      <c r="A430" s="71"/>
      <c r="B430" s="71"/>
      <c r="C430" s="71"/>
      <c r="D430" s="106"/>
    </row>
    <row r="431" spans="1:4" x14ac:dyDescent="0.2">
      <c r="A431" s="71"/>
      <c r="B431" s="71"/>
      <c r="C431" s="71"/>
      <c r="D431" s="106"/>
    </row>
    <row r="432" spans="1:4" x14ac:dyDescent="0.2">
      <c r="A432" s="71"/>
      <c r="B432" s="71"/>
      <c r="C432" s="71"/>
      <c r="D432" s="106"/>
    </row>
    <row r="433" spans="1:4" x14ac:dyDescent="0.2">
      <c r="A433" s="71"/>
      <c r="B433" s="71"/>
      <c r="C433" s="71"/>
      <c r="D433" s="106"/>
    </row>
    <row r="434" spans="1:4" x14ac:dyDescent="0.2">
      <c r="A434" s="71"/>
      <c r="B434" s="71"/>
      <c r="C434" s="71"/>
      <c r="D434" s="106"/>
    </row>
    <row r="435" spans="1:4" x14ac:dyDescent="0.2">
      <c r="A435" s="71"/>
      <c r="B435" s="71"/>
      <c r="C435" s="71"/>
      <c r="D435" s="106"/>
    </row>
    <row r="436" spans="1:4" x14ac:dyDescent="0.2">
      <c r="A436" s="71"/>
      <c r="B436" s="71"/>
      <c r="C436" s="71"/>
      <c r="D436" s="106"/>
    </row>
    <row r="437" spans="1:4" x14ac:dyDescent="0.2">
      <c r="A437" s="71"/>
      <c r="B437" s="71"/>
      <c r="C437" s="71"/>
      <c r="D437" s="106"/>
    </row>
    <row r="438" spans="1:4" x14ac:dyDescent="0.2">
      <c r="A438" s="71"/>
      <c r="B438" s="71"/>
      <c r="C438" s="71"/>
      <c r="D438" s="106"/>
    </row>
    <row r="439" spans="1:4" x14ac:dyDescent="0.2">
      <c r="A439" s="71"/>
      <c r="B439" s="71"/>
      <c r="C439" s="71"/>
      <c r="D439" s="106"/>
    </row>
    <row r="440" spans="1:4" x14ac:dyDescent="0.2">
      <c r="A440" s="71"/>
      <c r="B440" s="71"/>
      <c r="C440" s="71"/>
      <c r="D440" s="106"/>
    </row>
    <row r="441" spans="1:4" x14ac:dyDescent="0.2">
      <c r="A441" s="71"/>
      <c r="B441" s="71"/>
      <c r="C441" s="71"/>
      <c r="D441" s="106"/>
    </row>
    <row r="442" spans="1:4" x14ac:dyDescent="0.2">
      <c r="A442" s="71"/>
      <c r="B442" s="71"/>
      <c r="C442" s="71"/>
      <c r="D442" s="106"/>
    </row>
    <row r="443" spans="1:4" x14ac:dyDescent="0.2">
      <c r="A443" s="71"/>
      <c r="B443" s="71"/>
      <c r="C443" s="71"/>
      <c r="D443" s="106"/>
    </row>
    <row r="444" spans="1:4" x14ac:dyDescent="0.2">
      <c r="A444" s="71"/>
      <c r="B444" s="71"/>
      <c r="C444" s="71"/>
      <c r="D444" s="106"/>
    </row>
    <row r="445" spans="1:4" x14ac:dyDescent="0.2">
      <c r="A445" s="71"/>
      <c r="B445" s="71"/>
      <c r="C445" s="71"/>
      <c r="D445" s="106"/>
    </row>
    <row r="446" spans="1:4" x14ac:dyDescent="0.2">
      <c r="A446" s="71"/>
      <c r="B446" s="71"/>
      <c r="C446" s="71"/>
      <c r="D446" s="106"/>
    </row>
    <row r="447" spans="1:4" x14ac:dyDescent="0.2">
      <c r="A447" s="71"/>
      <c r="B447" s="71"/>
      <c r="C447" s="71"/>
      <c r="D447" s="106"/>
    </row>
    <row r="448" spans="1:4" x14ac:dyDescent="0.2">
      <c r="A448" s="71"/>
      <c r="B448" s="71"/>
      <c r="C448" s="71"/>
      <c r="D448" s="106"/>
    </row>
    <row r="449" spans="1:4" x14ac:dyDescent="0.2">
      <c r="A449" s="71"/>
      <c r="B449" s="71"/>
      <c r="C449" s="71"/>
      <c r="D449" s="106"/>
    </row>
    <row r="450" spans="1:4" x14ac:dyDescent="0.2">
      <c r="A450" s="71"/>
      <c r="B450" s="71"/>
      <c r="C450" s="71"/>
      <c r="D450" s="106"/>
    </row>
    <row r="451" spans="1:4" x14ac:dyDescent="0.2">
      <c r="A451" s="71"/>
      <c r="B451" s="71"/>
      <c r="C451" s="71"/>
      <c r="D451" s="106"/>
    </row>
    <row r="452" spans="1:4" x14ac:dyDescent="0.2">
      <c r="A452" s="71"/>
      <c r="B452" s="71"/>
      <c r="C452" s="71"/>
      <c r="D452" s="106"/>
    </row>
    <row r="453" spans="1:4" x14ac:dyDescent="0.2">
      <c r="A453" s="71"/>
      <c r="B453" s="71"/>
      <c r="C453" s="71"/>
      <c r="D453" s="106"/>
    </row>
    <row r="454" spans="1:4" x14ac:dyDescent="0.2">
      <c r="A454" s="71"/>
      <c r="B454" s="71"/>
      <c r="C454" s="71"/>
      <c r="D454" s="106"/>
    </row>
    <row r="455" spans="1:4" x14ac:dyDescent="0.2">
      <c r="A455" s="71"/>
      <c r="B455" s="71"/>
      <c r="C455" s="71"/>
      <c r="D455" s="106"/>
    </row>
    <row r="456" spans="1:4" x14ac:dyDescent="0.2">
      <c r="A456" s="71"/>
      <c r="B456" s="71"/>
      <c r="C456" s="71"/>
      <c r="D456" s="106"/>
    </row>
    <row r="457" spans="1:4" x14ac:dyDescent="0.2">
      <c r="A457" s="71"/>
      <c r="B457" s="71"/>
      <c r="C457" s="71"/>
      <c r="D457" s="106"/>
    </row>
    <row r="458" spans="1:4" x14ac:dyDescent="0.2">
      <c r="A458" s="71"/>
      <c r="B458" s="71"/>
      <c r="C458" s="71"/>
      <c r="D458" s="106"/>
    </row>
    <row r="459" spans="1:4" x14ac:dyDescent="0.2">
      <c r="A459" s="71"/>
      <c r="B459" s="71"/>
      <c r="C459" s="71"/>
      <c r="D459" s="106"/>
    </row>
    <row r="460" spans="1:4" x14ac:dyDescent="0.2">
      <c r="A460" s="71"/>
      <c r="B460" s="71"/>
      <c r="C460" s="71"/>
      <c r="D460" s="106"/>
    </row>
    <row r="461" spans="1:4" x14ac:dyDescent="0.2">
      <c r="A461" s="71"/>
      <c r="B461" s="71"/>
      <c r="C461" s="71"/>
      <c r="D461" s="106"/>
    </row>
    <row r="462" spans="1:4" x14ac:dyDescent="0.2">
      <c r="A462" s="71"/>
      <c r="B462" s="71"/>
      <c r="C462" s="71"/>
      <c r="D462" s="106"/>
    </row>
    <row r="463" spans="1:4" x14ac:dyDescent="0.2">
      <c r="A463" s="71"/>
      <c r="B463" s="71"/>
      <c r="C463" s="71"/>
      <c r="D463" s="106"/>
    </row>
    <row r="464" spans="1:4" x14ac:dyDescent="0.2">
      <c r="A464" s="71"/>
      <c r="B464" s="71"/>
      <c r="C464" s="71"/>
      <c r="D464" s="106"/>
    </row>
    <row r="465" spans="1:4" x14ac:dyDescent="0.2">
      <c r="A465" s="71"/>
      <c r="B465" s="71"/>
      <c r="C465" s="71"/>
      <c r="D465" s="106"/>
    </row>
    <row r="466" spans="1:4" x14ac:dyDescent="0.2">
      <c r="A466" s="71"/>
      <c r="B466" s="71"/>
      <c r="C466" s="71"/>
      <c r="D466" s="106"/>
    </row>
    <row r="467" spans="1:4" x14ac:dyDescent="0.2">
      <c r="A467" s="71"/>
      <c r="B467" s="71"/>
      <c r="C467" s="71"/>
      <c r="D467" s="106"/>
    </row>
    <row r="468" spans="1:4" x14ac:dyDescent="0.2">
      <c r="A468" s="71"/>
      <c r="B468" s="71"/>
      <c r="C468" s="71"/>
      <c r="D468" s="106"/>
    </row>
    <row r="469" spans="1:4" x14ac:dyDescent="0.2">
      <c r="A469" s="71"/>
      <c r="B469" s="71"/>
      <c r="C469" s="71"/>
      <c r="D469" s="106"/>
    </row>
    <row r="470" spans="1:4" x14ac:dyDescent="0.2">
      <c r="A470" s="71"/>
      <c r="B470" s="71"/>
      <c r="C470" s="71"/>
      <c r="D470" s="106"/>
    </row>
    <row r="471" spans="1:4" x14ac:dyDescent="0.2">
      <c r="A471" s="71"/>
      <c r="B471" s="71"/>
      <c r="C471" s="71"/>
      <c r="D471" s="106"/>
    </row>
    <row r="472" spans="1:4" x14ac:dyDescent="0.2">
      <c r="A472" s="71"/>
      <c r="B472" s="71"/>
      <c r="C472" s="71"/>
      <c r="D472" s="106"/>
    </row>
    <row r="473" spans="1:4" x14ac:dyDescent="0.2">
      <c r="A473" s="71"/>
      <c r="B473" s="71"/>
      <c r="C473" s="71"/>
      <c r="D473" s="106"/>
    </row>
    <row r="474" spans="1:4" x14ac:dyDescent="0.2">
      <c r="A474" s="71"/>
      <c r="B474" s="71"/>
      <c r="C474" s="71"/>
      <c r="D474" s="106"/>
    </row>
    <row r="475" spans="1:4" x14ac:dyDescent="0.2">
      <c r="A475" s="71"/>
      <c r="B475" s="71"/>
      <c r="C475" s="71"/>
      <c r="D475" s="106"/>
    </row>
    <row r="476" spans="1:4" x14ac:dyDescent="0.2">
      <c r="A476" s="71"/>
      <c r="B476" s="71"/>
      <c r="C476" s="71"/>
      <c r="D476" s="106"/>
    </row>
    <row r="477" spans="1:4" x14ac:dyDescent="0.2">
      <c r="A477" s="71"/>
      <c r="B477" s="71"/>
      <c r="C477" s="71"/>
      <c r="D477" s="106"/>
    </row>
    <row r="478" spans="1:4" x14ac:dyDescent="0.2">
      <c r="A478" s="71"/>
      <c r="B478" s="71"/>
      <c r="C478" s="71"/>
      <c r="D478" s="106"/>
    </row>
    <row r="479" spans="1:4" x14ac:dyDescent="0.2">
      <c r="A479" s="71"/>
      <c r="B479" s="71"/>
      <c r="C479" s="71"/>
      <c r="D479" s="106"/>
    </row>
    <row r="480" spans="1:4" x14ac:dyDescent="0.2">
      <c r="A480" s="71"/>
      <c r="B480" s="71"/>
      <c r="C480" s="71"/>
      <c r="D480" s="106"/>
    </row>
    <row r="481" spans="1:4" x14ac:dyDescent="0.2">
      <c r="A481" s="71"/>
      <c r="B481" s="71"/>
      <c r="C481" s="71"/>
      <c r="D481" s="106"/>
    </row>
    <row r="482" spans="1:4" x14ac:dyDescent="0.2">
      <c r="A482" s="71"/>
      <c r="B482" s="71"/>
      <c r="C482" s="71"/>
      <c r="D482" s="106"/>
    </row>
    <row r="483" spans="1:4" x14ac:dyDescent="0.2">
      <c r="A483" s="71"/>
      <c r="B483" s="71"/>
      <c r="C483" s="71"/>
      <c r="D483" s="106"/>
    </row>
    <row r="484" spans="1:4" x14ac:dyDescent="0.2">
      <c r="A484" s="71"/>
      <c r="B484" s="71"/>
      <c r="C484" s="71"/>
      <c r="D484" s="106"/>
    </row>
    <row r="485" spans="1:4" x14ac:dyDescent="0.2">
      <c r="A485" s="71"/>
      <c r="B485" s="71"/>
      <c r="C485" s="71"/>
      <c r="D485" s="106"/>
    </row>
    <row r="486" spans="1:4" x14ac:dyDescent="0.2">
      <c r="A486" s="71"/>
      <c r="B486" s="71"/>
      <c r="C486" s="71"/>
      <c r="D486" s="106"/>
    </row>
    <row r="487" spans="1:4" x14ac:dyDescent="0.2">
      <c r="A487" s="71"/>
      <c r="B487" s="71"/>
      <c r="C487" s="71"/>
      <c r="D487" s="106"/>
    </row>
    <row r="488" spans="1:4" x14ac:dyDescent="0.2">
      <c r="A488" s="71"/>
      <c r="B488" s="71"/>
      <c r="C488" s="71"/>
      <c r="D488" s="106"/>
    </row>
    <row r="489" spans="1:4" x14ac:dyDescent="0.2">
      <c r="A489" s="71"/>
      <c r="B489" s="71"/>
      <c r="C489" s="71"/>
      <c r="D489" s="106"/>
    </row>
    <row r="490" spans="1:4" x14ac:dyDescent="0.2">
      <c r="A490" s="71"/>
      <c r="B490" s="71"/>
      <c r="C490" s="71"/>
      <c r="D490" s="106"/>
    </row>
    <row r="491" spans="1:4" x14ac:dyDescent="0.2">
      <c r="A491" s="71"/>
      <c r="B491" s="71"/>
      <c r="C491" s="71"/>
      <c r="D491" s="106"/>
    </row>
    <row r="492" spans="1:4" x14ac:dyDescent="0.2">
      <c r="A492" s="71"/>
      <c r="B492" s="71"/>
      <c r="C492" s="71"/>
      <c r="D492" s="106"/>
    </row>
    <row r="493" spans="1:4" x14ac:dyDescent="0.2">
      <c r="A493" s="71"/>
      <c r="B493" s="71"/>
      <c r="C493" s="71"/>
      <c r="D493" s="106"/>
    </row>
    <row r="494" spans="1:4" x14ac:dyDescent="0.2">
      <c r="A494" s="71"/>
      <c r="B494" s="71"/>
      <c r="C494" s="71"/>
      <c r="D494" s="106"/>
    </row>
    <row r="495" spans="1:4" x14ac:dyDescent="0.2">
      <c r="A495" s="71"/>
      <c r="B495" s="71"/>
      <c r="C495" s="71"/>
      <c r="D495" s="106"/>
    </row>
    <row r="496" spans="1:4" x14ac:dyDescent="0.2">
      <c r="A496" s="71"/>
      <c r="B496" s="71"/>
      <c r="C496" s="71"/>
      <c r="D496" s="106"/>
    </row>
    <row r="497" spans="1:4" x14ac:dyDescent="0.2">
      <c r="A497" s="71"/>
      <c r="B497" s="71"/>
      <c r="C497" s="71"/>
      <c r="D497" s="106"/>
    </row>
    <row r="498" spans="1:4" x14ac:dyDescent="0.2">
      <c r="A498" s="71"/>
      <c r="B498" s="71"/>
      <c r="C498" s="71"/>
      <c r="D498" s="106"/>
    </row>
    <row r="499" spans="1:4" x14ac:dyDescent="0.2">
      <c r="A499" s="71"/>
      <c r="B499" s="71"/>
      <c r="C499" s="71"/>
      <c r="D499" s="106"/>
    </row>
    <row r="500" spans="1:4" x14ac:dyDescent="0.2">
      <c r="A500" s="71"/>
      <c r="B500" s="71"/>
      <c r="C500" s="71"/>
      <c r="D500" s="106"/>
    </row>
    <row r="501" spans="1:4" x14ac:dyDescent="0.2">
      <c r="A501" s="71"/>
      <c r="B501" s="71"/>
      <c r="C501" s="71"/>
      <c r="D501" s="106"/>
    </row>
    <row r="502" spans="1:4" x14ac:dyDescent="0.2">
      <c r="A502" s="71"/>
      <c r="B502" s="71"/>
      <c r="C502" s="71"/>
      <c r="D502" s="106"/>
    </row>
    <row r="503" spans="1:4" x14ac:dyDescent="0.2">
      <c r="A503" s="71"/>
      <c r="B503" s="71"/>
      <c r="C503" s="71"/>
      <c r="D503" s="106"/>
    </row>
    <row r="504" spans="1:4" x14ac:dyDescent="0.2">
      <c r="A504" s="71"/>
      <c r="B504" s="71"/>
      <c r="C504" s="71"/>
      <c r="D504" s="106"/>
    </row>
    <row r="505" spans="1:4" x14ac:dyDescent="0.2">
      <c r="A505" s="71"/>
      <c r="B505" s="71"/>
      <c r="C505" s="71"/>
      <c r="D505" s="106"/>
    </row>
    <row r="506" spans="1:4" x14ac:dyDescent="0.2">
      <c r="A506" s="71"/>
      <c r="B506" s="71"/>
      <c r="C506" s="71"/>
      <c r="D506" s="106"/>
    </row>
    <row r="507" spans="1:4" x14ac:dyDescent="0.2">
      <c r="A507" s="71"/>
      <c r="B507" s="71"/>
      <c r="C507" s="71"/>
      <c r="D507" s="106"/>
    </row>
    <row r="508" spans="1:4" x14ac:dyDescent="0.2">
      <c r="A508" s="71"/>
      <c r="B508" s="71"/>
      <c r="C508" s="71"/>
      <c r="D508" s="106"/>
    </row>
    <row r="509" spans="1:4" x14ac:dyDescent="0.2">
      <c r="A509" s="71"/>
      <c r="B509" s="71"/>
      <c r="C509" s="71"/>
      <c r="D509" s="106"/>
    </row>
    <row r="510" spans="1:4" x14ac:dyDescent="0.2">
      <c r="A510" s="71"/>
      <c r="B510" s="71"/>
      <c r="C510" s="71"/>
      <c r="D510" s="106"/>
    </row>
    <row r="511" spans="1:4" x14ac:dyDescent="0.2">
      <c r="A511" s="71"/>
      <c r="B511" s="71"/>
      <c r="C511" s="71"/>
      <c r="D511" s="106"/>
    </row>
    <row r="512" spans="1:4" x14ac:dyDescent="0.2">
      <c r="A512" s="71"/>
      <c r="B512" s="71"/>
      <c r="C512" s="71"/>
      <c r="D512" s="106"/>
    </row>
    <row r="513" spans="1:4" x14ac:dyDescent="0.2">
      <c r="A513" s="71"/>
      <c r="B513" s="71"/>
      <c r="C513" s="71"/>
      <c r="D513" s="106"/>
    </row>
    <row r="514" spans="1:4" x14ac:dyDescent="0.2">
      <c r="A514" s="71"/>
      <c r="B514" s="71"/>
      <c r="C514" s="71"/>
      <c r="D514" s="106"/>
    </row>
    <row r="515" spans="1:4" x14ac:dyDescent="0.2">
      <c r="A515" s="71"/>
      <c r="B515" s="71"/>
      <c r="C515" s="71"/>
      <c r="D515" s="106"/>
    </row>
    <row r="516" spans="1:4" x14ac:dyDescent="0.2">
      <c r="A516" s="71"/>
      <c r="B516" s="71"/>
      <c r="C516" s="71"/>
      <c r="D516" s="106"/>
    </row>
    <row r="517" spans="1:4" x14ac:dyDescent="0.2">
      <c r="A517" s="71"/>
      <c r="B517" s="71"/>
      <c r="C517" s="71"/>
      <c r="D517" s="106"/>
    </row>
    <row r="518" spans="1:4" x14ac:dyDescent="0.2">
      <c r="A518" s="71"/>
      <c r="B518" s="71"/>
      <c r="C518" s="71"/>
      <c r="D518" s="106"/>
    </row>
    <row r="519" spans="1:4" x14ac:dyDescent="0.2">
      <c r="A519" s="71"/>
      <c r="B519" s="71"/>
      <c r="C519" s="71"/>
      <c r="D519" s="106"/>
    </row>
    <row r="520" spans="1:4" x14ac:dyDescent="0.2">
      <c r="A520" s="71"/>
      <c r="B520" s="71"/>
      <c r="C520" s="71"/>
      <c r="D520" s="106"/>
    </row>
    <row r="521" spans="1:4" x14ac:dyDescent="0.2">
      <c r="A521" s="71"/>
      <c r="B521" s="71"/>
      <c r="C521" s="71"/>
      <c r="D521" s="106"/>
    </row>
    <row r="522" spans="1:4" x14ac:dyDescent="0.2">
      <c r="A522" s="71"/>
      <c r="B522" s="71"/>
      <c r="C522" s="71"/>
      <c r="D522" s="106"/>
    </row>
    <row r="523" spans="1:4" x14ac:dyDescent="0.2">
      <c r="A523" s="71"/>
      <c r="B523" s="71"/>
      <c r="C523" s="71"/>
      <c r="D523" s="106"/>
    </row>
    <row r="524" spans="1:4" x14ac:dyDescent="0.2">
      <c r="A524" s="71"/>
      <c r="B524" s="71"/>
      <c r="C524" s="71"/>
      <c r="D524" s="106"/>
    </row>
    <row r="525" spans="1:4" x14ac:dyDescent="0.2">
      <c r="A525" s="71"/>
      <c r="B525" s="71"/>
      <c r="C525" s="71"/>
      <c r="D525" s="106"/>
    </row>
    <row r="526" spans="1:4" x14ac:dyDescent="0.2">
      <c r="A526" s="71"/>
      <c r="B526" s="71"/>
      <c r="C526" s="71"/>
      <c r="D526" s="106"/>
    </row>
    <row r="527" spans="1:4" x14ac:dyDescent="0.2">
      <c r="A527" s="71"/>
      <c r="B527" s="71"/>
      <c r="C527" s="71"/>
      <c r="D527" s="106"/>
    </row>
    <row r="528" spans="1:4" x14ac:dyDescent="0.2">
      <c r="A528" s="71"/>
      <c r="B528" s="71"/>
      <c r="C528" s="71"/>
      <c r="D528" s="106"/>
    </row>
    <row r="529" spans="1:4" x14ac:dyDescent="0.2">
      <c r="A529" s="71"/>
      <c r="B529" s="71"/>
      <c r="C529" s="71"/>
      <c r="D529" s="106"/>
    </row>
    <row r="530" spans="1:4" x14ac:dyDescent="0.2">
      <c r="A530" s="71"/>
      <c r="B530" s="71"/>
      <c r="C530" s="71"/>
      <c r="D530" s="106"/>
    </row>
    <row r="531" spans="1:4" x14ac:dyDescent="0.2">
      <c r="A531" s="71"/>
      <c r="B531" s="71"/>
      <c r="C531" s="71"/>
      <c r="D531" s="106"/>
    </row>
    <row r="532" spans="1:4" x14ac:dyDescent="0.2">
      <c r="A532" s="71"/>
      <c r="B532" s="71"/>
      <c r="C532" s="71"/>
      <c r="D532" s="106"/>
    </row>
    <row r="533" spans="1:4" x14ac:dyDescent="0.2">
      <c r="A533" s="71"/>
      <c r="B533" s="71"/>
      <c r="C533" s="71"/>
      <c r="D533" s="106"/>
    </row>
    <row r="534" spans="1:4" x14ac:dyDescent="0.2">
      <c r="A534" s="71"/>
      <c r="B534" s="71"/>
      <c r="C534" s="71"/>
      <c r="D534" s="106"/>
    </row>
    <row r="535" spans="1:4" x14ac:dyDescent="0.2">
      <c r="A535" s="71"/>
      <c r="B535" s="71"/>
      <c r="C535" s="71"/>
      <c r="D535" s="106"/>
    </row>
    <row r="536" spans="1:4" x14ac:dyDescent="0.2">
      <c r="A536" s="71"/>
      <c r="B536" s="71"/>
      <c r="C536" s="71"/>
      <c r="D536" s="106"/>
    </row>
    <row r="537" spans="1:4" x14ac:dyDescent="0.2">
      <c r="A537" s="71"/>
      <c r="B537" s="71"/>
      <c r="C537" s="71"/>
      <c r="D537" s="106"/>
    </row>
    <row r="538" spans="1:4" x14ac:dyDescent="0.2">
      <c r="A538" s="71"/>
      <c r="B538" s="71"/>
      <c r="C538" s="71"/>
      <c r="D538" s="106"/>
    </row>
    <row r="539" spans="1:4" x14ac:dyDescent="0.2">
      <c r="A539" s="71"/>
      <c r="B539" s="71"/>
      <c r="C539" s="71"/>
      <c r="D539" s="106"/>
    </row>
    <row r="540" spans="1:4" x14ac:dyDescent="0.2">
      <c r="A540" s="71"/>
      <c r="B540" s="71"/>
      <c r="C540" s="71"/>
      <c r="D540" s="106"/>
    </row>
    <row r="541" spans="1:4" x14ac:dyDescent="0.2">
      <c r="A541" s="71"/>
      <c r="B541" s="71"/>
      <c r="C541" s="71"/>
      <c r="D541" s="106"/>
    </row>
    <row r="542" spans="1:4" x14ac:dyDescent="0.2">
      <c r="A542" s="71"/>
      <c r="B542" s="71"/>
      <c r="C542" s="71"/>
      <c r="D542" s="106"/>
    </row>
    <row r="543" spans="1:4" x14ac:dyDescent="0.2">
      <c r="A543" s="71"/>
      <c r="B543" s="71"/>
      <c r="C543" s="71"/>
      <c r="D543" s="106"/>
    </row>
    <row r="544" spans="1:4" x14ac:dyDescent="0.2">
      <c r="A544" s="71"/>
      <c r="B544" s="71"/>
      <c r="C544" s="71"/>
      <c r="D544" s="106"/>
    </row>
    <row r="545" spans="1:4" x14ac:dyDescent="0.2">
      <c r="A545" s="71"/>
      <c r="B545" s="71"/>
      <c r="C545" s="71"/>
      <c r="D545" s="106"/>
    </row>
    <row r="546" spans="1:4" x14ac:dyDescent="0.2">
      <c r="A546" s="71"/>
      <c r="B546" s="71"/>
      <c r="C546" s="71"/>
      <c r="D546" s="106"/>
    </row>
    <row r="547" spans="1:4" x14ac:dyDescent="0.2">
      <c r="A547" s="71"/>
      <c r="B547" s="71"/>
      <c r="C547" s="71"/>
      <c r="D547" s="106"/>
    </row>
    <row r="548" spans="1:4" x14ac:dyDescent="0.2">
      <c r="A548" s="71"/>
      <c r="B548" s="71"/>
      <c r="C548" s="71"/>
      <c r="D548" s="106"/>
    </row>
    <row r="549" spans="1:4" x14ac:dyDescent="0.2">
      <c r="A549" s="71"/>
      <c r="B549" s="71"/>
      <c r="C549" s="71"/>
      <c r="D549" s="106"/>
    </row>
    <row r="550" spans="1:4" x14ac:dyDescent="0.2">
      <c r="A550" s="71"/>
      <c r="B550" s="71"/>
      <c r="C550" s="71"/>
      <c r="D550" s="106"/>
    </row>
    <row r="551" spans="1:4" x14ac:dyDescent="0.2">
      <c r="A551" s="71"/>
      <c r="B551" s="71"/>
      <c r="C551" s="71"/>
      <c r="D551" s="106"/>
    </row>
    <row r="552" spans="1:4" x14ac:dyDescent="0.2">
      <c r="A552" s="71"/>
      <c r="B552" s="71"/>
      <c r="C552" s="71"/>
      <c r="D552" s="106"/>
    </row>
    <row r="553" spans="1:4" x14ac:dyDescent="0.2">
      <c r="A553" s="71"/>
      <c r="B553" s="71"/>
      <c r="C553" s="71"/>
      <c r="D553" s="106"/>
    </row>
    <row r="554" spans="1:4" x14ac:dyDescent="0.2">
      <c r="A554" s="71"/>
      <c r="B554" s="71"/>
      <c r="C554" s="71"/>
      <c r="D554" s="106"/>
    </row>
    <row r="555" spans="1:4" x14ac:dyDescent="0.2">
      <c r="A555" s="71"/>
      <c r="B555" s="71"/>
      <c r="C555" s="71"/>
      <c r="D555" s="106"/>
    </row>
    <row r="556" spans="1:4" x14ac:dyDescent="0.2">
      <c r="A556" s="71"/>
      <c r="B556" s="71"/>
      <c r="C556" s="71"/>
      <c r="D556" s="106"/>
    </row>
    <row r="557" spans="1:4" x14ac:dyDescent="0.2">
      <c r="A557" s="71"/>
      <c r="B557" s="71"/>
      <c r="C557" s="71"/>
      <c r="D557" s="106"/>
    </row>
    <row r="558" spans="1:4" x14ac:dyDescent="0.2">
      <c r="A558" s="71"/>
      <c r="B558" s="71"/>
      <c r="C558" s="71"/>
      <c r="D558" s="106"/>
    </row>
    <row r="559" spans="1:4" x14ac:dyDescent="0.2">
      <c r="A559" s="71"/>
      <c r="B559" s="71"/>
      <c r="C559" s="71"/>
      <c r="D559" s="106"/>
    </row>
    <row r="560" spans="1:4" x14ac:dyDescent="0.2">
      <c r="A560" s="71"/>
      <c r="B560" s="71"/>
      <c r="C560" s="71"/>
      <c r="D560" s="106"/>
    </row>
    <row r="561" spans="1:4" x14ac:dyDescent="0.2">
      <c r="A561" s="71"/>
      <c r="B561" s="71"/>
      <c r="C561" s="71"/>
      <c r="D561" s="106"/>
    </row>
    <row r="562" spans="1:4" x14ac:dyDescent="0.2">
      <c r="A562" s="71"/>
      <c r="B562" s="71"/>
      <c r="C562" s="71"/>
      <c r="D562" s="106"/>
    </row>
    <row r="563" spans="1:4" x14ac:dyDescent="0.2">
      <c r="A563" s="71"/>
      <c r="B563" s="71"/>
      <c r="C563" s="71"/>
      <c r="D563" s="106"/>
    </row>
    <row r="564" spans="1:4" x14ac:dyDescent="0.2">
      <c r="A564" s="71"/>
      <c r="B564" s="71"/>
      <c r="C564" s="71"/>
      <c r="D564" s="106"/>
    </row>
    <row r="565" spans="1:4" x14ac:dyDescent="0.2">
      <c r="A565" s="71"/>
      <c r="B565" s="71"/>
      <c r="C565" s="71"/>
      <c r="D565" s="106"/>
    </row>
    <row r="566" spans="1:4" x14ac:dyDescent="0.2">
      <c r="A566" s="71"/>
      <c r="B566" s="71"/>
      <c r="C566" s="71"/>
      <c r="D566" s="106"/>
    </row>
    <row r="567" spans="1:4" x14ac:dyDescent="0.2">
      <c r="A567" s="71"/>
      <c r="B567" s="71"/>
      <c r="C567" s="71"/>
      <c r="D567" s="106"/>
    </row>
    <row r="568" spans="1:4" x14ac:dyDescent="0.2">
      <c r="A568" s="71"/>
      <c r="B568" s="71"/>
      <c r="C568" s="71"/>
      <c r="D568" s="106"/>
    </row>
    <row r="569" spans="1:4" x14ac:dyDescent="0.2">
      <c r="A569" s="71"/>
      <c r="B569" s="71"/>
      <c r="C569" s="71"/>
      <c r="D569" s="106"/>
    </row>
    <row r="570" spans="1:4" x14ac:dyDescent="0.2">
      <c r="A570" s="71"/>
      <c r="B570" s="71"/>
      <c r="C570" s="71"/>
      <c r="D570" s="106"/>
    </row>
    <row r="571" spans="1:4" x14ac:dyDescent="0.2">
      <c r="A571" s="71"/>
      <c r="B571" s="71"/>
      <c r="C571" s="71"/>
      <c r="D571" s="106"/>
    </row>
    <row r="572" spans="1:4" x14ac:dyDescent="0.2">
      <c r="A572" s="71"/>
      <c r="B572" s="71"/>
      <c r="C572" s="71"/>
      <c r="D572" s="106"/>
    </row>
    <row r="573" spans="1:4" x14ac:dyDescent="0.2">
      <c r="A573" s="71"/>
      <c r="B573" s="71"/>
      <c r="C573" s="71"/>
      <c r="D573" s="106"/>
    </row>
    <row r="574" spans="1:4" x14ac:dyDescent="0.2">
      <c r="A574" s="71"/>
      <c r="B574" s="71"/>
      <c r="C574" s="71"/>
      <c r="D574" s="106"/>
    </row>
    <row r="575" spans="1:4" x14ac:dyDescent="0.2">
      <c r="A575" s="71"/>
      <c r="B575" s="71"/>
      <c r="C575" s="71"/>
      <c r="D575" s="106"/>
    </row>
    <row r="576" spans="1:4" x14ac:dyDescent="0.2">
      <c r="A576" s="71"/>
      <c r="B576" s="71"/>
      <c r="C576" s="71"/>
      <c r="D576" s="106"/>
    </row>
    <row r="577" spans="1:4" x14ac:dyDescent="0.2">
      <c r="A577" s="71"/>
      <c r="B577" s="71"/>
      <c r="C577" s="71"/>
      <c r="D577" s="106"/>
    </row>
    <row r="578" spans="1:4" x14ac:dyDescent="0.2">
      <c r="A578" s="71"/>
      <c r="B578" s="71"/>
      <c r="C578" s="71"/>
      <c r="D578" s="106"/>
    </row>
    <row r="579" spans="1:4" x14ac:dyDescent="0.2">
      <c r="A579" s="71"/>
      <c r="B579" s="71"/>
      <c r="C579" s="71"/>
      <c r="D579" s="106"/>
    </row>
    <row r="580" spans="1:4" x14ac:dyDescent="0.2">
      <c r="A580" s="71"/>
      <c r="B580" s="71"/>
      <c r="C580" s="71"/>
      <c r="D580" s="106"/>
    </row>
    <row r="581" spans="1:4" x14ac:dyDescent="0.2">
      <c r="A581" s="71"/>
      <c r="B581" s="71"/>
      <c r="C581" s="71"/>
      <c r="D581" s="106"/>
    </row>
    <row r="582" spans="1:4" x14ac:dyDescent="0.2">
      <c r="A582" s="71"/>
      <c r="B582" s="71"/>
      <c r="C582" s="71"/>
      <c r="D582" s="106"/>
    </row>
    <row r="583" spans="1:4" x14ac:dyDescent="0.2">
      <c r="A583" s="71"/>
      <c r="B583" s="71"/>
      <c r="C583" s="71"/>
      <c r="D583" s="106"/>
    </row>
    <row r="584" spans="1:4" x14ac:dyDescent="0.2">
      <c r="A584" s="71"/>
      <c r="B584" s="71"/>
      <c r="C584" s="71"/>
      <c r="D584" s="106"/>
    </row>
    <row r="585" spans="1:4" x14ac:dyDescent="0.2">
      <c r="A585" s="71"/>
      <c r="B585" s="71"/>
      <c r="C585" s="71"/>
      <c r="D585" s="106"/>
    </row>
    <row r="586" spans="1:4" x14ac:dyDescent="0.2">
      <c r="A586" s="71"/>
      <c r="B586" s="71"/>
      <c r="C586" s="71"/>
      <c r="D586" s="106"/>
    </row>
    <row r="587" spans="1:4" x14ac:dyDescent="0.2">
      <c r="A587" s="71"/>
      <c r="B587" s="71"/>
      <c r="C587" s="71"/>
      <c r="D587" s="106"/>
    </row>
    <row r="588" spans="1:4" x14ac:dyDescent="0.2">
      <c r="A588" s="71"/>
      <c r="B588" s="71"/>
      <c r="C588" s="71"/>
      <c r="D588" s="106"/>
    </row>
    <row r="589" spans="1:4" x14ac:dyDescent="0.2">
      <c r="A589" s="71"/>
      <c r="B589" s="71"/>
      <c r="C589" s="71"/>
      <c r="D589" s="106"/>
    </row>
    <row r="590" spans="1:4" x14ac:dyDescent="0.2">
      <c r="A590" s="71"/>
      <c r="B590" s="71"/>
      <c r="C590" s="71"/>
      <c r="D590" s="106"/>
    </row>
    <row r="591" spans="1:4" x14ac:dyDescent="0.2">
      <c r="A591" s="71"/>
      <c r="B591" s="71"/>
      <c r="C591" s="71"/>
      <c r="D591" s="106"/>
    </row>
    <row r="592" spans="1:4" x14ac:dyDescent="0.2">
      <c r="A592" s="71"/>
      <c r="B592" s="71"/>
      <c r="C592" s="71"/>
      <c r="D592" s="106"/>
    </row>
    <row r="593" spans="1:4" x14ac:dyDescent="0.2">
      <c r="A593" s="71"/>
      <c r="B593" s="71"/>
      <c r="C593" s="71"/>
      <c r="D593" s="106"/>
    </row>
    <row r="594" spans="1:4" x14ac:dyDescent="0.2">
      <c r="A594" s="71"/>
      <c r="B594" s="71"/>
      <c r="C594" s="71"/>
      <c r="D594" s="106"/>
    </row>
    <row r="595" spans="1:4" x14ac:dyDescent="0.2">
      <c r="A595" s="71"/>
      <c r="B595" s="71"/>
      <c r="C595" s="71"/>
      <c r="D595" s="106"/>
    </row>
    <row r="596" spans="1:4" x14ac:dyDescent="0.2">
      <c r="A596" s="71"/>
      <c r="B596" s="71"/>
      <c r="C596" s="71"/>
      <c r="D596" s="106"/>
    </row>
    <row r="597" spans="1:4" x14ac:dyDescent="0.2">
      <c r="A597" s="71"/>
      <c r="B597" s="71"/>
      <c r="C597" s="71"/>
      <c r="D597" s="106"/>
    </row>
    <row r="598" spans="1:4" x14ac:dyDescent="0.2">
      <c r="A598" s="71"/>
      <c r="B598" s="71"/>
      <c r="C598" s="71"/>
      <c r="D598" s="106"/>
    </row>
    <row r="599" spans="1:4" x14ac:dyDescent="0.2">
      <c r="A599" s="71"/>
      <c r="B599" s="71"/>
      <c r="C599" s="71"/>
      <c r="D599" s="106"/>
    </row>
    <row r="600" spans="1:4" x14ac:dyDescent="0.2">
      <c r="A600" s="71"/>
      <c r="B600" s="71"/>
      <c r="C600" s="71"/>
      <c r="D600" s="106"/>
    </row>
    <row r="601" spans="1:4" x14ac:dyDescent="0.2">
      <c r="A601" s="71"/>
      <c r="B601" s="71"/>
      <c r="C601" s="71"/>
      <c r="D601" s="106"/>
    </row>
    <row r="602" spans="1:4" x14ac:dyDescent="0.2">
      <c r="A602" s="71"/>
      <c r="B602" s="71"/>
      <c r="C602" s="71"/>
      <c r="D602" s="106"/>
    </row>
    <row r="603" spans="1:4" x14ac:dyDescent="0.2">
      <c r="A603" s="71"/>
      <c r="B603" s="71"/>
      <c r="C603" s="71"/>
      <c r="D603" s="106"/>
    </row>
    <row r="604" spans="1:4" x14ac:dyDescent="0.2">
      <c r="A604" s="71"/>
      <c r="B604" s="71"/>
      <c r="C604" s="71"/>
      <c r="D604" s="106"/>
    </row>
    <row r="605" spans="1:4" x14ac:dyDescent="0.2">
      <c r="A605" s="71"/>
      <c r="B605" s="71"/>
      <c r="C605" s="71"/>
      <c r="D605" s="106"/>
    </row>
    <row r="606" spans="1:4" x14ac:dyDescent="0.2">
      <c r="A606" s="71"/>
      <c r="B606" s="71"/>
      <c r="C606" s="71"/>
      <c r="D606" s="106"/>
    </row>
    <row r="607" spans="1:4" x14ac:dyDescent="0.2">
      <c r="A607" s="71"/>
      <c r="B607" s="71"/>
      <c r="C607" s="71"/>
      <c r="D607" s="106"/>
    </row>
    <row r="608" spans="1:4" x14ac:dyDescent="0.2">
      <c r="A608" s="71"/>
      <c r="B608" s="71"/>
      <c r="C608" s="71"/>
      <c r="D608" s="106"/>
    </row>
    <row r="609" spans="1:4" x14ac:dyDescent="0.2">
      <c r="A609" s="71"/>
      <c r="B609" s="71"/>
      <c r="C609" s="71"/>
      <c r="D609" s="106"/>
    </row>
    <row r="610" spans="1:4" x14ac:dyDescent="0.2">
      <c r="A610" s="71"/>
      <c r="B610" s="71"/>
      <c r="C610" s="71"/>
      <c r="D610" s="106"/>
    </row>
    <row r="611" spans="1:4" x14ac:dyDescent="0.2">
      <c r="A611" s="71"/>
      <c r="B611" s="71"/>
      <c r="C611" s="71"/>
      <c r="D611" s="106"/>
    </row>
    <row r="612" spans="1:4" x14ac:dyDescent="0.2">
      <c r="A612" s="71"/>
      <c r="B612" s="71"/>
      <c r="C612" s="71"/>
      <c r="D612" s="106"/>
    </row>
    <row r="613" spans="1:4" x14ac:dyDescent="0.2">
      <c r="A613" s="71"/>
      <c r="B613" s="71"/>
      <c r="C613" s="71"/>
      <c r="D613" s="106"/>
    </row>
    <row r="614" spans="1:4" x14ac:dyDescent="0.2">
      <c r="A614" s="71"/>
      <c r="B614" s="71"/>
      <c r="C614" s="71"/>
      <c r="D614" s="106"/>
    </row>
    <row r="615" spans="1:4" x14ac:dyDescent="0.2">
      <c r="A615" s="71"/>
      <c r="B615" s="71"/>
      <c r="C615" s="71"/>
      <c r="D615" s="106"/>
    </row>
    <row r="616" spans="1:4" x14ac:dyDescent="0.2">
      <c r="A616" s="71"/>
      <c r="B616" s="71"/>
      <c r="C616" s="71"/>
      <c r="D616" s="106"/>
    </row>
    <row r="617" spans="1:4" x14ac:dyDescent="0.2">
      <c r="A617" s="71"/>
      <c r="B617" s="71"/>
      <c r="C617" s="71"/>
      <c r="D617" s="106"/>
    </row>
    <row r="618" spans="1:4" x14ac:dyDescent="0.2">
      <c r="A618" s="71"/>
      <c r="B618" s="71"/>
      <c r="C618" s="71"/>
      <c r="D618" s="106"/>
    </row>
    <row r="619" spans="1:4" x14ac:dyDescent="0.2">
      <c r="A619" s="71"/>
      <c r="B619" s="71"/>
      <c r="C619" s="71"/>
      <c r="D619" s="106"/>
    </row>
    <row r="620" spans="1:4" x14ac:dyDescent="0.2">
      <c r="A620" s="71"/>
      <c r="B620" s="71"/>
      <c r="C620" s="71"/>
      <c r="D620" s="106"/>
    </row>
    <row r="621" spans="1:4" x14ac:dyDescent="0.2">
      <c r="A621" s="71"/>
      <c r="B621" s="71"/>
      <c r="C621" s="71"/>
      <c r="D621" s="106"/>
    </row>
    <row r="622" spans="1:4" x14ac:dyDescent="0.2">
      <c r="A622" s="71"/>
      <c r="B622" s="71"/>
      <c r="C622" s="71"/>
      <c r="D622" s="106"/>
    </row>
    <row r="623" spans="1:4" x14ac:dyDescent="0.2">
      <c r="A623" s="71"/>
      <c r="B623" s="71"/>
      <c r="C623" s="71"/>
      <c r="D623" s="106"/>
    </row>
    <row r="624" spans="1:4" x14ac:dyDescent="0.2">
      <c r="A624" s="71"/>
      <c r="B624" s="71"/>
      <c r="C624" s="71"/>
      <c r="D624" s="106"/>
    </row>
    <row r="625" spans="1:4" x14ac:dyDescent="0.2">
      <c r="A625" s="71"/>
      <c r="B625" s="71"/>
      <c r="C625" s="71"/>
      <c r="D625" s="106"/>
    </row>
    <row r="626" spans="1:4" x14ac:dyDescent="0.2">
      <c r="A626" s="71"/>
      <c r="B626" s="71"/>
      <c r="C626" s="71"/>
      <c r="D626" s="106"/>
    </row>
    <row r="627" spans="1:4" x14ac:dyDescent="0.2">
      <c r="A627" s="71"/>
      <c r="B627" s="71"/>
      <c r="C627" s="71"/>
      <c r="D627" s="106"/>
    </row>
    <row r="628" spans="1:4" x14ac:dyDescent="0.2">
      <c r="A628" s="71"/>
      <c r="B628" s="71"/>
      <c r="C628" s="71"/>
      <c r="D628" s="106"/>
    </row>
    <row r="629" spans="1:4" x14ac:dyDescent="0.2">
      <c r="A629" s="71"/>
      <c r="B629" s="71"/>
      <c r="C629" s="71"/>
      <c r="D629" s="106"/>
    </row>
    <row r="630" spans="1:4" x14ac:dyDescent="0.2">
      <c r="A630" s="71"/>
      <c r="B630" s="71"/>
      <c r="C630" s="71"/>
      <c r="D630" s="106"/>
    </row>
    <row r="631" spans="1:4" x14ac:dyDescent="0.2">
      <c r="A631" s="71"/>
      <c r="B631" s="71"/>
      <c r="C631" s="71"/>
      <c r="D631" s="106"/>
    </row>
    <row r="632" spans="1:4" x14ac:dyDescent="0.2">
      <c r="A632" s="71"/>
      <c r="B632" s="71"/>
      <c r="C632" s="71"/>
      <c r="D632" s="106"/>
    </row>
    <row r="633" spans="1:4" x14ac:dyDescent="0.2">
      <c r="A633" s="71"/>
      <c r="B633" s="71"/>
      <c r="C633" s="71"/>
      <c r="D633" s="106"/>
    </row>
    <row r="634" spans="1:4" x14ac:dyDescent="0.2">
      <c r="A634" s="71"/>
      <c r="B634" s="71"/>
      <c r="C634" s="71"/>
      <c r="D634" s="106"/>
    </row>
    <row r="635" spans="1:4" x14ac:dyDescent="0.2">
      <c r="A635" s="71"/>
      <c r="B635" s="71"/>
      <c r="C635" s="71"/>
      <c r="D635" s="106"/>
    </row>
    <row r="636" spans="1:4" x14ac:dyDescent="0.2">
      <c r="A636" s="71"/>
      <c r="B636" s="71"/>
      <c r="C636" s="71"/>
      <c r="D636" s="106"/>
    </row>
    <row r="637" spans="1:4" x14ac:dyDescent="0.2">
      <c r="A637" s="71"/>
      <c r="B637" s="71"/>
      <c r="C637" s="71"/>
      <c r="D637" s="106"/>
    </row>
    <row r="638" spans="1:4" x14ac:dyDescent="0.2">
      <c r="A638" s="71"/>
      <c r="B638" s="71"/>
      <c r="C638" s="71"/>
      <c r="D638" s="106"/>
    </row>
    <row r="639" spans="1:4" x14ac:dyDescent="0.2">
      <c r="A639" s="71"/>
      <c r="B639" s="71"/>
      <c r="C639" s="71"/>
      <c r="D639" s="106"/>
    </row>
    <row r="640" spans="1:4" x14ac:dyDescent="0.2">
      <c r="A640" s="71"/>
      <c r="B640" s="71"/>
      <c r="C640" s="71"/>
      <c r="D640" s="106"/>
    </row>
    <row r="641" spans="1:4" x14ac:dyDescent="0.2">
      <c r="A641" s="71"/>
      <c r="B641" s="71"/>
      <c r="C641" s="71"/>
      <c r="D641" s="106"/>
    </row>
    <row r="642" spans="1:4" x14ac:dyDescent="0.2">
      <c r="A642" s="71"/>
      <c r="B642" s="71"/>
      <c r="C642" s="71"/>
      <c r="D642" s="106"/>
    </row>
    <row r="643" spans="1:4" x14ac:dyDescent="0.2">
      <c r="A643" s="71"/>
      <c r="B643" s="71"/>
      <c r="C643" s="71"/>
      <c r="D643" s="106"/>
    </row>
    <row r="644" spans="1:4" x14ac:dyDescent="0.2">
      <c r="A644" s="71"/>
      <c r="B644" s="71"/>
      <c r="C644" s="71"/>
      <c r="D644" s="106"/>
    </row>
    <row r="645" spans="1:4" x14ac:dyDescent="0.2">
      <c r="A645" s="71"/>
      <c r="B645" s="71"/>
      <c r="C645" s="71"/>
      <c r="D645" s="106"/>
    </row>
    <row r="646" spans="1:4" x14ac:dyDescent="0.2">
      <c r="A646" s="71"/>
      <c r="B646" s="71"/>
      <c r="C646" s="71"/>
      <c r="D646" s="106"/>
    </row>
    <row r="647" spans="1:4" x14ac:dyDescent="0.2">
      <c r="A647" s="71"/>
      <c r="B647" s="71"/>
      <c r="C647" s="71"/>
      <c r="D647" s="106"/>
    </row>
    <row r="648" spans="1:4" x14ac:dyDescent="0.2">
      <c r="A648" s="71"/>
      <c r="B648" s="71"/>
      <c r="C648" s="71"/>
      <c r="D648" s="106"/>
    </row>
    <row r="649" spans="1:4" x14ac:dyDescent="0.2">
      <c r="A649" s="71"/>
      <c r="B649" s="71"/>
      <c r="C649" s="71"/>
      <c r="D649" s="106"/>
    </row>
    <row r="650" spans="1:4" x14ac:dyDescent="0.2">
      <c r="A650" s="71"/>
      <c r="B650" s="71"/>
      <c r="C650" s="71"/>
      <c r="D650" s="106"/>
    </row>
    <row r="651" spans="1:4" x14ac:dyDescent="0.2">
      <c r="A651" s="71"/>
      <c r="B651" s="71"/>
      <c r="C651" s="71"/>
      <c r="D651" s="106"/>
    </row>
    <row r="652" spans="1:4" x14ac:dyDescent="0.2">
      <c r="A652" s="71"/>
      <c r="B652" s="71"/>
      <c r="C652" s="71"/>
      <c r="D652" s="106"/>
    </row>
    <row r="653" spans="1:4" x14ac:dyDescent="0.2">
      <c r="A653" s="71"/>
      <c r="B653" s="71"/>
      <c r="C653" s="71"/>
      <c r="D653" s="106"/>
    </row>
    <row r="654" spans="1:4" x14ac:dyDescent="0.2">
      <c r="A654" s="71"/>
      <c r="B654" s="71"/>
      <c r="C654" s="71"/>
      <c r="D654" s="106"/>
    </row>
    <row r="655" spans="1:4" x14ac:dyDescent="0.2">
      <c r="A655" s="71"/>
      <c r="B655" s="71"/>
      <c r="C655" s="71"/>
      <c r="D655" s="106"/>
    </row>
    <row r="656" spans="1:4" x14ac:dyDescent="0.2">
      <c r="A656" s="71"/>
      <c r="B656" s="71"/>
      <c r="C656" s="71"/>
      <c r="D656" s="106"/>
    </row>
    <row r="657" spans="1:4" x14ac:dyDescent="0.2">
      <c r="A657" s="71"/>
      <c r="B657" s="71"/>
      <c r="C657" s="71"/>
      <c r="D657" s="106"/>
    </row>
    <row r="658" spans="1:4" x14ac:dyDescent="0.2">
      <c r="A658" s="71"/>
      <c r="B658" s="71"/>
      <c r="C658" s="71"/>
      <c r="D658" s="106"/>
    </row>
    <row r="659" spans="1:4" x14ac:dyDescent="0.2">
      <c r="A659" s="71"/>
      <c r="B659" s="71"/>
      <c r="C659" s="71"/>
      <c r="D659" s="106"/>
    </row>
    <row r="660" spans="1:4" x14ac:dyDescent="0.2">
      <c r="A660" s="71"/>
      <c r="B660" s="71"/>
      <c r="C660" s="71"/>
      <c r="D660" s="106"/>
    </row>
    <row r="661" spans="1:4" x14ac:dyDescent="0.2">
      <c r="A661" s="71"/>
      <c r="B661" s="71"/>
      <c r="C661" s="71"/>
      <c r="D661" s="106"/>
    </row>
    <row r="662" spans="1:4" x14ac:dyDescent="0.2">
      <c r="A662" s="71"/>
      <c r="B662" s="71"/>
      <c r="C662" s="71"/>
      <c r="D662" s="106"/>
    </row>
    <row r="663" spans="1:4" x14ac:dyDescent="0.2">
      <c r="A663" s="71"/>
      <c r="B663" s="71"/>
      <c r="C663" s="71"/>
      <c r="D663" s="106"/>
    </row>
    <row r="664" spans="1:4" x14ac:dyDescent="0.2">
      <c r="A664" s="71"/>
      <c r="B664" s="71"/>
      <c r="C664" s="71"/>
      <c r="D664" s="106"/>
    </row>
    <row r="665" spans="1:4" x14ac:dyDescent="0.2">
      <c r="A665" s="71"/>
      <c r="B665" s="71"/>
      <c r="C665" s="71"/>
      <c r="D665" s="106"/>
    </row>
    <row r="666" spans="1:4" x14ac:dyDescent="0.2">
      <c r="A666" s="71"/>
      <c r="B666" s="71"/>
      <c r="C666" s="71"/>
      <c r="D666" s="106"/>
    </row>
    <row r="667" spans="1:4" x14ac:dyDescent="0.2">
      <c r="A667" s="71"/>
      <c r="B667" s="71"/>
      <c r="C667" s="71"/>
      <c r="D667" s="106"/>
    </row>
    <row r="668" spans="1:4" x14ac:dyDescent="0.2">
      <c r="A668" s="71"/>
      <c r="B668" s="71"/>
      <c r="C668" s="71"/>
      <c r="D668" s="106"/>
    </row>
    <row r="669" spans="1:4" x14ac:dyDescent="0.2">
      <c r="A669" s="71"/>
      <c r="B669" s="71"/>
      <c r="C669" s="71"/>
      <c r="D669" s="106"/>
    </row>
    <row r="670" spans="1:4" x14ac:dyDescent="0.2">
      <c r="A670" s="71"/>
      <c r="B670" s="71"/>
      <c r="C670" s="71"/>
      <c r="D670" s="106"/>
    </row>
    <row r="671" spans="1:4" x14ac:dyDescent="0.2">
      <c r="A671" s="71"/>
      <c r="B671" s="71"/>
      <c r="C671" s="71"/>
      <c r="D671" s="106"/>
    </row>
    <row r="672" spans="1:4" x14ac:dyDescent="0.2">
      <c r="A672" s="71"/>
      <c r="B672" s="71"/>
      <c r="C672" s="71"/>
      <c r="D672" s="106"/>
    </row>
    <row r="673" spans="1:4" x14ac:dyDescent="0.2">
      <c r="A673" s="71"/>
      <c r="B673" s="71"/>
      <c r="C673" s="71"/>
      <c r="D673" s="106"/>
    </row>
    <row r="674" spans="1:4" x14ac:dyDescent="0.2">
      <c r="A674" s="71"/>
      <c r="B674" s="71"/>
      <c r="C674" s="71"/>
      <c r="D674" s="106"/>
    </row>
    <row r="675" spans="1:4" x14ac:dyDescent="0.2">
      <c r="A675" s="71"/>
      <c r="B675" s="71"/>
      <c r="C675" s="71"/>
      <c r="D675" s="106"/>
    </row>
    <row r="676" spans="1:4" x14ac:dyDescent="0.2">
      <c r="A676" s="71"/>
      <c r="B676" s="71"/>
      <c r="C676" s="71"/>
      <c r="D676" s="106"/>
    </row>
    <row r="677" spans="1:4" x14ac:dyDescent="0.2">
      <c r="A677" s="71"/>
      <c r="B677" s="71"/>
      <c r="C677" s="71"/>
      <c r="D677" s="106"/>
    </row>
    <row r="678" spans="1:4" x14ac:dyDescent="0.2">
      <c r="A678" s="71"/>
      <c r="B678" s="71"/>
      <c r="C678" s="71"/>
      <c r="D678" s="106"/>
    </row>
    <row r="679" spans="1:4" x14ac:dyDescent="0.2">
      <c r="A679" s="71"/>
      <c r="B679" s="71"/>
      <c r="C679" s="71"/>
      <c r="D679" s="106"/>
    </row>
    <row r="680" spans="1:4" x14ac:dyDescent="0.2">
      <c r="A680" s="71"/>
      <c r="B680" s="71"/>
      <c r="C680" s="71"/>
      <c r="D680" s="106"/>
    </row>
    <row r="681" spans="1:4" x14ac:dyDescent="0.2">
      <c r="A681" s="71"/>
      <c r="B681" s="71"/>
      <c r="C681" s="71"/>
      <c r="D681" s="106"/>
    </row>
    <row r="682" spans="1:4" x14ac:dyDescent="0.2">
      <c r="A682" s="71"/>
      <c r="B682" s="71"/>
      <c r="C682" s="71"/>
      <c r="D682" s="106"/>
    </row>
    <row r="683" spans="1:4" x14ac:dyDescent="0.2">
      <c r="A683" s="71"/>
      <c r="B683" s="71"/>
      <c r="C683" s="71"/>
      <c r="D683" s="106"/>
    </row>
    <row r="684" spans="1:4" x14ac:dyDescent="0.2">
      <c r="A684" s="71"/>
      <c r="B684" s="71"/>
      <c r="C684" s="71"/>
      <c r="D684" s="106"/>
    </row>
    <row r="685" spans="1:4" x14ac:dyDescent="0.2">
      <c r="A685" s="71"/>
      <c r="B685" s="71"/>
      <c r="C685" s="71"/>
      <c r="D685" s="106"/>
    </row>
    <row r="686" spans="1:4" x14ac:dyDescent="0.2">
      <c r="A686" s="71"/>
      <c r="B686" s="71"/>
      <c r="C686" s="71"/>
      <c r="D686" s="106"/>
    </row>
    <row r="687" spans="1:4" x14ac:dyDescent="0.2">
      <c r="A687" s="71"/>
      <c r="B687" s="71"/>
      <c r="C687" s="71"/>
      <c r="D687" s="106"/>
    </row>
    <row r="688" spans="1:4" x14ac:dyDescent="0.2">
      <c r="A688" s="71"/>
      <c r="B688" s="71"/>
      <c r="C688" s="71"/>
      <c r="D688" s="106"/>
    </row>
    <row r="689" spans="1:4" x14ac:dyDescent="0.2">
      <c r="A689" s="71"/>
      <c r="B689" s="71"/>
      <c r="C689" s="71"/>
      <c r="D689" s="106"/>
    </row>
    <row r="690" spans="1:4" x14ac:dyDescent="0.2">
      <c r="A690" s="71"/>
      <c r="B690" s="71"/>
      <c r="C690" s="71"/>
      <c r="D690" s="106"/>
    </row>
    <row r="691" spans="1:4" x14ac:dyDescent="0.2">
      <c r="A691" s="71"/>
      <c r="B691" s="71"/>
      <c r="C691" s="71"/>
      <c r="D691" s="106"/>
    </row>
    <row r="692" spans="1:4" x14ac:dyDescent="0.2">
      <c r="A692" s="71"/>
      <c r="B692" s="71"/>
      <c r="C692" s="71"/>
      <c r="D692" s="106"/>
    </row>
    <row r="693" spans="1:4" x14ac:dyDescent="0.2">
      <c r="A693" s="71"/>
      <c r="B693" s="71"/>
      <c r="C693" s="71"/>
      <c r="D693" s="106"/>
    </row>
    <row r="694" spans="1:4" x14ac:dyDescent="0.2">
      <c r="A694" s="71"/>
      <c r="B694" s="71"/>
      <c r="C694" s="71"/>
      <c r="D694" s="106"/>
    </row>
    <row r="695" spans="1:4" x14ac:dyDescent="0.2">
      <c r="A695" s="71"/>
      <c r="B695" s="71"/>
      <c r="C695" s="71"/>
      <c r="D695" s="106"/>
    </row>
    <row r="696" spans="1:4" x14ac:dyDescent="0.2">
      <c r="A696" s="71"/>
      <c r="B696" s="71"/>
      <c r="C696" s="71"/>
      <c r="D696" s="106"/>
    </row>
    <row r="697" spans="1:4" x14ac:dyDescent="0.2">
      <c r="A697" s="71"/>
      <c r="B697" s="71"/>
      <c r="C697" s="71"/>
      <c r="D697" s="106"/>
    </row>
    <row r="698" spans="1:4" x14ac:dyDescent="0.2">
      <c r="A698" s="71"/>
      <c r="B698" s="71"/>
      <c r="C698" s="71"/>
      <c r="D698" s="106"/>
    </row>
    <row r="699" spans="1:4" x14ac:dyDescent="0.2">
      <c r="A699" s="71"/>
      <c r="B699" s="71"/>
      <c r="C699" s="71"/>
      <c r="D699" s="106"/>
    </row>
    <row r="700" spans="1:4" x14ac:dyDescent="0.2">
      <c r="A700" s="71"/>
      <c r="B700" s="71"/>
      <c r="C700" s="71"/>
      <c r="D700" s="106"/>
    </row>
    <row r="701" spans="1:4" x14ac:dyDescent="0.2">
      <c r="A701" s="71"/>
      <c r="B701" s="71"/>
      <c r="C701" s="71"/>
      <c r="D701" s="106"/>
    </row>
    <row r="702" spans="1:4" x14ac:dyDescent="0.2">
      <c r="A702" s="71"/>
      <c r="B702" s="71"/>
      <c r="C702" s="71"/>
      <c r="D702" s="106"/>
    </row>
    <row r="703" spans="1:4" x14ac:dyDescent="0.2">
      <c r="A703" s="71"/>
      <c r="B703" s="71"/>
      <c r="C703" s="71"/>
      <c r="D703" s="106"/>
    </row>
    <row r="704" spans="1:4" x14ac:dyDescent="0.2">
      <c r="A704" s="71"/>
      <c r="B704" s="71"/>
      <c r="C704" s="71"/>
      <c r="D704" s="106"/>
    </row>
    <row r="705" spans="1:4" x14ac:dyDescent="0.2">
      <c r="A705" s="71"/>
      <c r="B705" s="71"/>
      <c r="C705" s="71"/>
      <c r="D705" s="106"/>
    </row>
    <row r="706" spans="1:4" x14ac:dyDescent="0.2">
      <c r="A706" s="71"/>
      <c r="B706" s="71"/>
      <c r="C706" s="71"/>
      <c r="D706" s="106"/>
    </row>
    <row r="707" spans="1:4" x14ac:dyDescent="0.2">
      <c r="A707" s="71"/>
      <c r="B707" s="71"/>
      <c r="C707" s="71"/>
      <c r="D707" s="106"/>
    </row>
    <row r="708" spans="1:4" x14ac:dyDescent="0.2">
      <c r="A708" s="71"/>
      <c r="B708" s="71"/>
      <c r="C708" s="71"/>
      <c r="D708" s="106"/>
    </row>
    <row r="709" spans="1:4" x14ac:dyDescent="0.2">
      <c r="A709" s="71"/>
      <c r="B709" s="71"/>
      <c r="C709" s="71"/>
      <c r="D709" s="106"/>
    </row>
    <row r="710" spans="1:4" x14ac:dyDescent="0.2">
      <c r="A710" s="71"/>
      <c r="B710" s="71"/>
      <c r="C710" s="71"/>
      <c r="D710" s="106"/>
    </row>
    <row r="711" spans="1:4" x14ac:dyDescent="0.2">
      <c r="A711" s="71"/>
      <c r="B711" s="71"/>
      <c r="C711" s="71"/>
      <c r="D711" s="106"/>
    </row>
    <row r="712" spans="1:4" x14ac:dyDescent="0.2">
      <c r="A712" s="71"/>
      <c r="B712" s="71"/>
      <c r="C712" s="71"/>
      <c r="D712" s="106"/>
    </row>
    <row r="713" spans="1:4" x14ac:dyDescent="0.2">
      <c r="A713" s="71"/>
      <c r="B713" s="71"/>
      <c r="C713" s="71"/>
      <c r="D713" s="106"/>
    </row>
    <row r="714" spans="1:4" x14ac:dyDescent="0.2">
      <c r="A714" s="71"/>
      <c r="B714" s="71"/>
      <c r="C714" s="71"/>
      <c r="D714" s="106"/>
    </row>
    <row r="715" spans="1:4" x14ac:dyDescent="0.2">
      <c r="A715" s="71"/>
      <c r="B715" s="71"/>
      <c r="C715" s="71"/>
      <c r="D715" s="106"/>
    </row>
    <row r="716" spans="1:4" x14ac:dyDescent="0.2">
      <c r="A716" s="71"/>
      <c r="B716" s="71"/>
      <c r="C716" s="71"/>
      <c r="D716" s="106"/>
    </row>
    <row r="717" spans="1:4" x14ac:dyDescent="0.2">
      <c r="A717" s="71"/>
      <c r="B717" s="71"/>
      <c r="C717" s="71"/>
      <c r="D717" s="106"/>
    </row>
    <row r="718" spans="1:4" x14ac:dyDescent="0.2">
      <c r="A718" s="71"/>
      <c r="B718" s="71"/>
      <c r="C718" s="71"/>
      <c r="D718" s="106"/>
    </row>
    <row r="719" spans="1:4" x14ac:dyDescent="0.2">
      <c r="A719" s="71"/>
      <c r="B719" s="71"/>
      <c r="C719" s="71"/>
      <c r="D719" s="106"/>
    </row>
    <row r="720" spans="1:4" x14ac:dyDescent="0.2">
      <c r="A720" s="71"/>
      <c r="B720" s="71"/>
      <c r="C720" s="71"/>
      <c r="D720" s="106"/>
    </row>
    <row r="721" spans="1:4" x14ac:dyDescent="0.2">
      <c r="A721" s="71"/>
      <c r="B721" s="71"/>
      <c r="C721" s="71"/>
      <c r="D721" s="106"/>
    </row>
    <row r="722" spans="1:4" x14ac:dyDescent="0.2">
      <c r="A722" s="71"/>
      <c r="B722" s="71"/>
      <c r="C722" s="71"/>
      <c r="D722" s="106"/>
    </row>
    <row r="723" spans="1:4" x14ac:dyDescent="0.2">
      <c r="A723" s="71"/>
      <c r="B723" s="71"/>
      <c r="C723" s="71"/>
      <c r="D723" s="106"/>
    </row>
    <row r="724" spans="1:4" x14ac:dyDescent="0.2">
      <c r="A724" s="71"/>
      <c r="B724" s="71"/>
      <c r="C724" s="71"/>
      <c r="D724" s="106"/>
    </row>
    <row r="725" spans="1:4" x14ac:dyDescent="0.2">
      <c r="A725" s="71"/>
      <c r="B725" s="71"/>
      <c r="C725" s="71"/>
      <c r="D725" s="106"/>
    </row>
    <row r="726" spans="1:4" x14ac:dyDescent="0.2">
      <c r="A726" s="71"/>
      <c r="B726" s="71"/>
      <c r="C726" s="71"/>
      <c r="D726" s="106"/>
    </row>
    <row r="727" spans="1:4" x14ac:dyDescent="0.2">
      <c r="A727" s="71"/>
      <c r="B727" s="71"/>
      <c r="C727" s="71"/>
      <c r="D727" s="106"/>
    </row>
    <row r="728" spans="1:4" x14ac:dyDescent="0.2">
      <c r="A728" s="71"/>
      <c r="B728" s="71"/>
      <c r="C728" s="71"/>
      <c r="D728" s="106"/>
    </row>
    <row r="729" spans="1:4" x14ac:dyDescent="0.2">
      <c r="A729" s="71"/>
      <c r="B729" s="71"/>
      <c r="C729" s="71"/>
      <c r="D729" s="106"/>
    </row>
    <row r="730" spans="1:4" x14ac:dyDescent="0.2">
      <c r="A730" s="71"/>
      <c r="B730" s="71"/>
      <c r="C730" s="71"/>
      <c r="D730" s="106"/>
    </row>
    <row r="731" spans="1:4" x14ac:dyDescent="0.2">
      <c r="A731" s="71"/>
      <c r="B731" s="71"/>
      <c r="C731" s="71"/>
      <c r="D731" s="106"/>
    </row>
    <row r="732" spans="1:4" x14ac:dyDescent="0.2">
      <c r="A732" s="71"/>
      <c r="B732" s="71"/>
      <c r="C732" s="71"/>
      <c r="D732" s="106"/>
    </row>
    <row r="733" spans="1:4" x14ac:dyDescent="0.2">
      <c r="A733" s="71"/>
      <c r="B733" s="71"/>
      <c r="C733" s="71"/>
      <c r="D733" s="106"/>
    </row>
    <row r="734" spans="1:4" x14ac:dyDescent="0.2">
      <c r="A734" s="71"/>
      <c r="B734" s="71"/>
      <c r="C734" s="71"/>
      <c r="D734" s="106"/>
    </row>
    <row r="735" spans="1:4" x14ac:dyDescent="0.2">
      <c r="A735" s="71"/>
      <c r="B735" s="71"/>
      <c r="C735" s="71"/>
      <c r="D735" s="106"/>
    </row>
    <row r="736" spans="1:4" x14ac:dyDescent="0.2">
      <c r="A736" s="71"/>
      <c r="B736" s="71"/>
      <c r="C736" s="71"/>
      <c r="D736" s="106"/>
    </row>
    <row r="737" spans="1:4" x14ac:dyDescent="0.2">
      <c r="A737" s="71"/>
      <c r="B737" s="71"/>
      <c r="C737" s="71"/>
      <c r="D737" s="106"/>
    </row>
    <row r="738" spans="1:4" x14ac:dyDescent="0.2">
      <c r="A738" s="71"/>
      <c r="B738" s="71"/>
      <c r="C738" s="71"/>
      <c r="D738" s="106"/>
    </row>
    <row r="739" spans="1:4" x14ac:dyDescent="0.2">
      <c r="A739" s="71"/>
      <c r="B739" s="71"/>
      <c r="C739" s="71"/>
      <c r="D739" s="106"/>
    </row>
    <row r="740" spans="1:4" x14ac:dyDescent="0.2">
      <c r="A740" s="71"/>
      <c r="B740" s="71"/>
      <c r="C740" s="71"/>
      <c r="D740" s="106"/>
    </row>
    <row r="741" spans="1:4" x14ac:dyDescent="0.2">
      <c r="A741" s="71"/>
      <c r="B741" s="71"/>
      <c r="C741" s="71"/>
      <c r="D741" s="106"/>
    </row>
    <row r="742" spans="1:4" x14ac:dyDescent="0.2">
      <c r="A742" s="71"/>
      <c r="B742" s="71"/>
      <c r="C742" s="71"/>
      <c r="D742" s="106"/>
    </row>
    <row r="743" spans="1:4" x14ac:dyDescent="0.2">
      <c r="A743" s="71"/>
      <c r="B743" s="71"/>
      <c r="C743" s="71"/>
      <c r="D743" s="106"/>
    </row>
    <row r="744" spans="1:4" x14ac:dyDescent="0.2">
      <c r="A744" s="71"/>
      <c r="B744" s="71"/>
      <c r="C744" s="71"/>
      <c r="D744" s="106"/>
    </row>
    <row r="745" spans="1:4" x14ac:dyDescent="0.2">
      <c r="A745" s="71"/>
      <c r="B745" s="71"/>
      <c r="C745" s="71"/>
      <c r="D745" s="106"/>
    </row>
    <row r="746" spans="1:4" x14ac:dyDescent="0.2">
      <c r="A746" s="71"/>
      <c r="B746" s="71"/>
      <c r="C746" s="71"/>
      <c r="D746" s="106"/>
    </row>
    <row r="747" spans="1:4" x14ac:dyDescent="0.2">
      <c r="A747" s="71"/>
      <c r="B747" s="71"/>
      <c r="C747" s="71"/>
      <c r="D747" s="106"/>
    </row>
    <row r="748" spans="1:4" x14ac:dyDescent="0.2">
      <c r="A748" s="71"/>
      <c r="B748" s="71"/>
      <c r="C748" s="71"/>
      <c r="D748" s="106"/>
    </row>
    <row r="749" spans="1:4" x14ac:dyDescent="0.2">
      <c r="A749" s="71"/>
      <c r="B749" s="71"/>
      <c r="C749" s="71"/>
      <c r="D749" s="106"/>
    </row>
    <row r="750" spans="1:4" x14ac:dyDescent="0.2">
      <c r="A750" s="71"/>
      <c r="B750" s="71"/>
      <c r="C750" s="71"/>
      <c r="D750" s="106"/>
    </row>
    <row r="751" spans="1:4" x14ac:dyDescent="0.2">
      <c r="A751" s="71"/>
      <c r="B751" s="71"/>
      <c r="C751" s="71"/>
      <c r="D751" s="106"/>
    </row>
    <row r="752" spans="1:4" x14ac:dyDescent="0.2">
      <c r="A752" s="71"/>
      <c r="B752" s="71"/>
      <c r="C752" s="71"/>
      <c r="D752" s="106"/>
    </row>
    <row r="753" spans="1:4" x14ac:dyDescent="0.2">
      <c r="A753" s="71"/>
      <c r="B753" s="71"/>
      <c r="C753" s="71"/>
      <c r="D753" s="106"/>
    </row>
    <row r="754" spans="1:4" x14ac:dyDescent="0.2">
      <c r="A754" s="71"/>
      <c r="B754" s="71"/>
      <c r="C754" s="71"/>
      <c r="D754" s="106"/>
    </row>
    <row r="755" spans="1:4" x14ac:dyDescent="0.2">
      <c r="A755" s="71"/>
      <c r="B755" s="71"/>
      <c r="C755" s="71"/>
      <c r="D755" s="106"/>
    </row>
    <row r="756" spans="1:4" x14ac:dyDescent="0.2">
      <c r="A756" s="71"/>
      <c r="B756" s="71"/>
      <c r="C756" s="71"/>
      <c r="D756" s="106"/>
    </row>
    <row r="757" spans="1:4" x14ac:dyDescent="0.2">
      <c r="A757" s="71"/>
      <c r="B757" s="71"/>
      <c r="C757" s="71"/>
      <c r="D757" s="106"/>
    </row>
    <row r="758" spans="1:4" x14ac:dyDescent="0.2">
      <c r="A758" s="71"/>
      <c r="B758" s="71"/>
      <c r="C758" s="71"/>
      <c r="D758" s="106"/>
    </row>
    <row r="759" spans="1:4" x14ac:dyDescent="0.2">
      <c r="A759" s="71"/>
      <c r="B759" s="71"/>
      <c r="C759" s="71"/>
      <c r="D759" s="106"/>
    </row>
    <row r="760" spans="1:4" x14ac:dyDescent="0.2">
      <c r="A760" s="71"/>
      <c r="B760" s="71"/>
      <c r="C760" s="71"/>
      <c r="D760" s="106"/>
    </row>
    <row r="761" spans="1:4" x14ac:dyDescent="0.2">
      <c r="A761" s="71"/>
      <c r="B761" s="71"/>
      <c r="C761" s="71"/>
      <c r="D761" s="106"/>
    </row>
    <row r="762" spans="1:4" x14ac:dyDescent="0.2">
      <c r="A762" s="71"/>
      <c r="B762" s="71"/>
      <c r="C762" s="71"/>
      <c r="D762" s="106"/>
    </row>
    <row r="763" spans="1:4" x14ac:dyDescent="0.2">
      <c r="A763" s="71"/>
      <c r="B763" s="71"/>
      <c r="C763" s="71"/>
      <c r="D763" s="106"/>
    </row>
    <row r="764" spans="1:4" x14ac:dyDescent="0.2">
      <c r="A764" s="71"/>
      <c r="B764" s="71"/>
      <c r="C764" s="71"/>
      <c r="D764" s="106"/>
    </row>
    <row r="765" spans="1:4" x14ac:dyDescent="0.2">
      <c r="A765" s="71"/>
      <c r="B765" s="71"/>
      <c r="C765" s="71"/>
      <c r="D765" s="106"/>
    </row>
    <row r="766" spans="1:4" x14ac:dyDescent="0.2">
      <c r="A766" s="71"/>
      <c r="B766" s="71"/>
      <c r="C766" s="71"/>
      <c r="D766" s="106"/>
    </row>
    <row r="767" spans="1:4" x14ac:dyDescent="0.2">
      <c r="A767" s="71"/>
      <c r="B767" s="71"/>
      <c r="C767" s="71"/>
      <c r="D767" s="106"/>
    </row>
    <row r="768" spans="1:4" x14ac:dyDescent="0.2">
      <c r="A768" s="71"/>
      <c r="B768" s="71"/>
      <c r="C768" s="71"/>
      <c r="D768" s="106"/>
    </row>
    <row r="769" spans="1:4" x14ac:dyDescent="0.2">
      <c r="A769" s="71"/>
      <c r="B769" s="71"/>
      <c r="C769" s="71"/>
      <c r="D769" s="106"/>
    </row>
    <row r="770" spans="1:4" x14ac:dyDescent="0.2">
      <c r="A770" s="71"/>
      <c r="B770" s="71"/>
      <c r="C770" s="71"/>
      <c r="D770" s="106"/>
    </row>
    <row r="771" spans="1:4" x14ac:dyDescent="0.2">
      <c r="A771" s="71"/>
      <c r="B771" s="71"/>
      <c r="C771" s="71"/>
      <c r="D771" s="106"/>
    </row>
    <row r="772" spans="1:4" x14ac:dyDescent="0.2">
      <c r="A772" s="71"/>
      <c r="B772" s="71"/>
      <c r="C772" s="71"/>
      <c r="D772" s="106"/>
    </row>
    <row r="773" spans="1:4" x14ac:dyDescent="0.2">
      <c r="A773" s="71"/>
      <c r="B773" s="71"/>
      <c r="C773" s="71"/>
      <c r="D773" s="106"/>
    </row>
    <row r="774" spans="1:4" x14ac:dyDescent="0.2">
      <c r="A774" s="71"/>
      <c r="B774" s="71"/>
      <c r="C774" s="71"/>
      <c r="D774" s="106"/>
    </row>
    <row r="775" spans="1:4" x14ac:dyDescent="0.2">
      <c r="A775" s="71"/>
      <c r="B775" s="71"/>
      <c r="C775" s="71"/>
      <c r="D775" s="106"/>
    </row>
    <row r="776" spans="1:4" x14ac:dyDescent="0.2">
      <c r="A776" s="71"/>
      <c r="B776" s="71"/>
      <c r="C776" s="71"/>
      <c r="D776" s="106"/>
    </row>
    <row r="777" spans="1:4" x14ac:dyDescent="0.2">
      <c r="A777" s="71"/>
      <c r="B777" s="71"/>
      <c r="C777" s="71"/>
      <c r="D777" s="106"/>
    </row>
    <row r="778" spans="1:4" x14ac:dyDescent="0.2">
      <c r="A778" s="71"/>
      <c r="B778" s="71"/>
      <c r="C778" s="71"/>
      <c r="D778" s="106"/>
    </row>
    <row r="779" spans="1:4" x14ac:dyDescent="0.2">
      <c r="A779" s="71"/>
      <c r="B779" s="71"/>
      <c r="C779" s="71"/>
      <c r="D779" s="106"/>
    </row>
    <row r="780" spans="1:4" x14ac:dyDescent="0.2">
      <c r="A780" s="71"/>
      <c r="B780" s="71"/>
      <c r="C780" s="71"/>
      <c r="D780" s="106"/>
    </row>
    <row r="781" spans="1:4" x14ac:dyDescent="0.2">
      <c r="A781" s="71"/>
      <c r="B781" s="71"/>
      <c r="C781" s="71"/>
      <c r="D781" s="106"/>
    </row>
    <row r="782" spans="1:4" x14ac:dyDescent="0.2">
      <c r="A782" s="71"/>
      <c r="B782" s="71"/>
      <c r="C782" s="71"/>
      <c r="D782" s="106"/>
    </row>
    <row r="783" spans="1:4" x14ac:dyDescent="0.2">
      <c r="A783" s="71"/>
      <c r="B783" s="71"/>
      <c r="C783" s="71"/>
      <c r="D783" s="106"/>
    </row>
    <row r="784" spans="1:4" x14ac:dyDescent="0.2">
      <c r="A784" s="71"/>
      <c r="B784" s="71"/>
      <c r="C784" s="71"/>
      <c r="D784" s="106"/>
    </row>
    <row r="785" spans="1:4" x14ac:dyDescent="0.2">
      <c r="A785" s="71"/>
      <c r="B785" s="71"/>
      <c r="C785" s="71"/>
      <c r="D785" s="106"/>
    </row>
    <row r="786" spans="1:4" x14ac:dyDescent="0.2">
      <c r="A786" s="71"/>
      <c r="B786" s="71"/>
      <c r="C786" s="71"/>
      <c r="D786" s="106"/>
    </row>
    <row r="787" spans="1:4" x14ac:dyDescent="0.2">
      <c r="A787" s="71"/>
      <c r="B787" s="71"/>
      <c r="C787" s="71"/>
      <c r="D787" s="106"/>
    </row>
    <row r="788" spans="1:4" x14ac:dyDescent="0.2">
      <c r="A788" s="71"/>
      <c r="B788" s="71"/>
      <c r="C788" s="71"/>
      <c r="D788" s="106"/>
    </row>
    <row r="789" spans="1:4" x14ac:dyDescent="0.2">
      <c r="A789" s="71"/>
      <c r="B789" s="71"/>
      <c r="C789" s="71"/>
      <c r="D789" s="106"/>
    </row>
    <row r="790" spans="1:4" x14ac:dyDescent="0.2">
      <c r="A790" s="71"/>
      <c r="B790" s="71"/>
      <c r="C790" s="71"/>
      <c r="D790" s="106"/>
    </row>
    <row r="791" spans="1:4" x14ac:dyDescent="0.2">
      <c r="A791" s="71"/>
      <c r="B791" s="71"/>
      <c r="C791" s="71"/>
      <c r="D791" s="106"/>
    </row>
    <row r="792" spans="1:4" x14ac:dyDescent="0.2">
      <c r="A792" s="71"/>
      <c r="B792" s="71"/>
      <c r="C792" s="71"/>
      <c r="D792" s="106"/>
    </row>
    <row r="793" spans="1:4" x14ac:dyDescent="0.2">
      <c r="A793" s="71"/>
      <c r="B793" s="71"/>
      <c r="C793" s="71"/>
      <c r="D793" s="106"/>
    </row>
    <row r="794" spans="1:4" x14ac:dyDescent="0.2">
      <c r="A794" s="71"/>
      <c r="B794" s="71"/>
      <c r="C794" s="71"/>
      <c r="D794" s="106"/>
    </row>
    <row r="795" spans="1:4" x14ac:dyDescent="0.2">
      <c r="A795" s="71"/>
      <c r="B795" s="71"/>
      <c r="C795" s="71"/>
      <c r="D795" s="106"/>
    </row>
    <row r="796" spans="1:4" x14ac:dyDescent="0.2">
      <c r="A796" s="71"/>
      <c r="B796" s="71"/>
      <c r="C796" s="71"/>
      <c r="D796" s="106"/>
    </row>
    <row r="797" spans="1:4" x14ac:dyDescent="0.2">
      <c r="A797" s="71"/>
      <c r="B797" s="71"/>
      <c r="C797" s="71"/>
      <c r="D797" s="106"/>
    </row>
    <row r="798" spans="1:4" x14ac:dyDescent="0.2">
      <c r="A798" s="71"/>
      <c r="B798" s="71"/>
      <c r="C798" s="71"/>
      <c r="D798" s="106"/>
    </row>
    <row r="799" spans="1:4" x14ac:dyDescent="0.2">
      <c r="A799" s="71"/>
      <c r="B799" s="71"/>
      <c r="C799" s="71"/>
      <c r="D799" s="106"/>
    </row>
    <row r="800" spans="1:4" x14ac:dyDescent="0.2">
      <c r="A800" s="71"/>
      <c r="B800" s="71"/>
      <c r="C800" s="71"/>
      <c r="D800" s="106"/>
    </row>
    <row r="801" spans="1:4" x14ac:dyDescent="0.2">
      <c r="A801" s="71"/>
      <c r="B801" s="71"/>
      <c r="C801" s="71"/>
      <c r="D801" s="106"/>
    </row>
    <row r="802" spans="1:4" x14ac:dyDescent="0.2">
      <c r="A802" s="71"/>
      <c r="B802" s="71"/>
      <c r="C802" s="71"/>
      <c r="D802" s="106"/>
    </row>
    <row r="803" spans="1:4" x14ac:dyDescent="0.2">
      <c r="A803" s="71"/>
      <c r="B803" s="71"/>
      <c r="C803" s="71"/>
      <c r="D803" s="106"/>
    </row>
    <row r="804" spans="1:4" x14ac:dyDescent="0.2">
      <c r="A804" s="71"/>
      <c r="B804" s="71"/>
      <c r="C804" s="71"/>
      <c r="D804" s="106"/>
    </row>
    <row r="805" spans="1:4" x14ac:dyDescent="0.2">
      <c r="A805" s="71"/>
      <c r="B805" s="71"/>
      <c r="C805" s="71"/>
      <c r="D805" s="106"/>
    </row>
    <row r="806" spans="1:4" x14ac:dyDescent="0.2">
      <c r="A806" s="71"/>
      <c r="B806" s="71"/>
      <c r="C806" s="71"/>
      <c r="D806" s="106"/>
    </row>
    <row r="807" spans="1:4" x14ac:dyDescent="0.2">
      <c r="A807" s="71"/>
      <c r="B807" s="71"/>
      <c r="C807" s="71"/>
      <c r="D807" s="106"/>
    </row>
    <row r="808" spans="1:4" x14ac:dyDescent="0.2">
      <c r="A808" s="71"/>
      <c r="B808" s="71"/>
      <c r="C808" s="71"/>
      <c r="D808" s="106"/>
    </row>
    <row r="809" spans="1:4" x14ac:dyDescent="0.2">
      <c r="A809" s="71"/>
      <c r="B809" s="71"/>
      <c r="C809" s="71"/>
      <c r="D809" s="106"/>
    </row>
    <row r="810" spans="1:4" x14ac:dyDescent="0.2">
      <c r="A810" s="71"/>
      <c r="B810" s="71"/>
      <c r="C810" s="71"/>
      <c r="D810" s="106"/>
    </row>
    <row r="811" spans="1:4" x14ac:dyDescent="0.2">
      <c r="A811" s="71"/>
      <c r="B811" s="71"/>
      <c r="C811" s="71"/>
      <c r="D811" s="106"/>
    </row>
    <row r="812" spans="1:4" x14ac:dyDescent="0.2">
      <c r="A812" s="71"/>
      <c r="B812" s="71"/>
      <c r="C812" s="71"/>
      <c r="D812" s="106"/>
    </row>
    <row r="813" spans="1:4" x14ac:dyDescent="0.2">
      <c r="A813" s="71"/>
      <c r="B813" s="71"/>
      <c r="C813" s="71"/>
      <c r="D813" s="106"/>
    </row>
    <row r="814" spans="1:4" x14ac:dyDescent="0.2">
      <c r="A814" s="71"/>
      <c r="B814" s="71"/>
      <c r="C814" s="71"/>
      <c r="D814" s="106"/>
    </row>
    <row r="815" spans="1:4" x14ac:dyDescent="0.2">
      <c r="A815" s="71"/>
      <c r="B815" s="71"/>
      <c r="C815" s="71"/>
      <c r="D815" s="106"/>
    </row>
    <row r="816" spans="1:4" x14ac:dyDescent="0.2">
      <c r="A816" s="71"/>
      <c r="B816" s="71"/>
      <c r="C816" s="71"/>
      <c r="D816" s="106"/>
    </row>
    <row r="817" spans="1:4" x14ac:dyDescent="0.2">
      <c r="A817" s="71"/>
      <c r="B817" s="71"/>
      <c r="C817" s="71"/>
      <c r="D817" s="106"/>
    </row>
    <row r="818" spans="1:4" x14ac:dyDescent="0.2">
      <c r="A818" s="71"/>
      <c r="B818" s="71"/>
      <c r="C818" s="71"/>
      <c r="D818" s="106"/>
    </row>
    <row r="819" spans="1:4" x14ac:dyDescent="0.2">
      <c r="A819" s="71"/>
      <c r="B819" s="71"/>
      <c r="C819" s="71"/>
      <c r="D819" s="106"/>
    </row>
    <row r="820" spans="1:4" x14ac:dyDescent="0.2">
      <c r="A820" s="71"/>
      <c r="B820" s="71"/>
      <c r="C820" s="71"/>
      <c r="D820" s="106"/>
    </row>
    <row r="821" spans="1:4" x14ac:dyDescent="0.2">
      <c r="A821" s="71"/>
      <c r="B821" s="71"/>
      <c r="C821" s="71"/>
      <c r="D821" s="106"/>
    </row>
    <row r="822" spans="1:4" x14ac:dyDescent="0.2">
      <c r="A822" s="71"/>
      <c r="B822" s="71"/>
      <c r="C822" s="71"/>
      <c r="D822" s="106"/>
    </row>
    <row r="823" spans="1:4" x14ac:dyDescent="0.2">
      <c r="A823" s="71"/>
      <c r="B823" s="71"/>
      <c r="C823" s="71"/>
      <c r="D823" s="106"/>
    </row>
    <row r="824" spans="1:4" x14ac:dyDescent="0.2">
      <c r="A824" s="71"/>
      <c r="B824" s="71"/>
      <c r="C824" s="71"/>
      <c r="D824" s="106"/>
    </row>
    <row r="825" spans="1:4" x14ac:dyDescent="0.2">
      <c r="A825" s="71"/>
      <c r="B825" s="71"/>
      <c r="C825" s="71"/>
      <c r="D825" s="106"/>
    </row>
    <row r="826" spans="1:4" x14ac:dyDescent="0.2">
      <c r="A826" s="71"/>
      <c r="B826" s="71"/>
      <c r="C826" s="71"/>
      <c r="D826" s="106"/>
    </row>
    <row r="827" spans="1:4" x14ac:dyDescent="0.2">
      <c r="A827" s="71"/>
      <c r="B827" s="71"/>
      <c r="C827" s="71"/>
      <c r="D827" s="106"/>
    </row>
    <row r="828" spans="1:4" x14ac:dyDescent="0.2">
      <c r="A828" s="71"/>
      <c r="B828" s="71"/>
      <c r="C828" s="71"/>
      <c r="D828" s="106"/>
    </row>
    <row r="829" spans="1:4" x14ac:dyDescent="0.2">
      <c r="A829" s="71"/>
      <c r="B829" s="71"/>
      <c r="C829" s="71"/>
      <c r="D829" s="106"/>
    </row>
    <row r="830" spans="1:4" x14ac:dyDescent="0.2">
      <c r="A830" s="71"/>
      <c r="B830" s="71"/>
      <c r="C830" s="71"/>
      <c r="D830" s="106"/>
    </row>
    <row r="831" spans="1:4" x14ac:dyDescent="0.2">
      <c r="A831" s="71"/>
      <c r="B831" s="71"/>
      <c r="C831" s="71"/>
      <c r="D831" s="106"/>
    </row>
    <row r="832" spans="1:4" x14ac:dyDescent="0.2">
      <c r="A832" s="71"/>
      <c r="B832" s="71"/>
      <c r="C832" s="71"/>
      <c r="D832" s="106"/>
    </row>
    <row r="833" spans="1:4" x14ac:dyDescent="0.2">
      <c r="A833" s="71"/>
      <c r="B833" s="71"/>
      <c r="C833" s="71"/>
      <c r="D833" s="106"/>
    </row>
    <row r="834" spans="1:4" x14ac:dyDescent="0.2">
      <c r="A834" s="71"/>
      <c r="B834" s="71"/>
      <c r="C834" s="71"/>
      <c r="D834" s="106"/>
    </row>
    <row r="835" spans="1:4" x14ac:dyDescent="0.2">
      <c r="A835" s="71"/>
      <c r="B835" s="71"/>
      <c r="C835" s="71"/>
      <c r="D835" s="106"/>
    </row>
    <row r="836" spans="1:4" x14ac:dyDescent="0.2">
      <c r="A836" s="71"/>
      <c r="B836" s="71"/>
      <c r="C836" s="71"/>
      <c r="D836" s="106"/>
    </row>
    <row r="837" spans="1:4" x14ac:dyDescent="0.2">
      <c r="A837" s="71"/>
      <c r="B837" s="71"/>
      <c r="C837" s="71"/>
      <c r="D837" s="106"/>
    </row>
    <row r="838" spans="1:4" x14ac:dyDescent="0.2">
      <c r="A838" s="71"/>
      <c r="B838" s="71"/>
      <c r="C838" s="71"/>
      <c r="D838" s="106"/>
    </row>
    <row r="839" spans="1:4" x14ac:dyDescent="0.2">
      <c r="A839" s="71"/>
      <c r="B839" s="71"/>
      <c r="C839" s="71"/>
      <c r="D839" s="106"/>
    </row>
    <row r="840" spans="1:4" x14ac:dyDescent="0.2">
      <c r="A840" s="71"/>
      <c r="B840" s="71"/>
      <c r="C840" s="71"/>
      <c r="D840" s="106"/>
    </row>
    <row r="841" spans="1:4" x14ac:dyDescent="0.2">
      <c r="A841" s="71"/>
      <c r="B841" s="71"/>
      <c r="C841" s="71"/>
      <c r="D841" s="106"/>
    </row>
    <row r="842" spans="1:4" x14ac:dyDescent="0.2">
      <c r="A842" s="71"/>
      <c r="B842" s="71"/>
      <c r="C842" s="71"/>
      <c r="D842" s="106"/>
    </row>
    <row r="843" spans="1:4" x14ac:dyDescent="0.2">
      <c r="A843" s="71"/>
      <c r="B843" s="71"/>
      <c r="C843" s="71"/>
      <c r="D843" s="106"/>
    </row>
    <row r="844" spans="1:4" x14ac:dyDescent="0.2">
      <c r="A844" s="71"/>
      <c r="B844" s="71"/>
      <c r="C844" s="71"/>
      <c r="D844" s="106"/>
    </row>
    <row r="845" spans="1:4" x14ac:dyDescent="0.2">
      <c r="A845" s="71"/>
      <c r="B845" s="71"/>
      <c r="C845" s="71"/>
      <c r="D845" s="106"/>
    </row>
    <row r="846" spans="1:4" x14ac:dyDescent="0.2">
      <c r="A846" s="71"/>
      <c r="B846" s="71"/>
      <c r="C846" s="71"/>
      <c r="D846" s="106"/>
    </row>
    <row r="847" spans="1:4" x14ac:dyDescent="0.2">
      <c r="A847" s="71"/>
      <c r="B847" s="71"/>
      <c r="C847" s="71"/>
      <c r="D847" s="106"/>
    </row>
    <row r="848" spans="1:4" x14ac:dyDescent="0.2">
      <c r="A848" s="71"/>
      <c r="B848" s="71"/>
      <c r="C848" s="71"/>
      <c r="D848" s="106"/>
    </row>
    <row r="849" spans="1:4" x14ac:dyDescent="0.2">
      <c r="A849" s="71"/>
      <c r="B849" s="71"/>
      <c r="C849" s="71"/>
      <c r="D849" s="106"/>
    </row>
    <row r="850" spans="1:4" x14ac:dyDescent="0.2">
      <c r="A850" s="71"/>
      <c r="B850" s="71"/>
      <c r="C850" s="71"/>
      <c r="D850" s="106"/>
    </row>
    <row r="851" spans="1:4" x14ac:dyDescent="0.2">
      <c r="A851" s="71"/>
      <c r="B851" s="71"/>
      <c r="C851" s="71"/>
      <c r="D851" s="106"/>
    </row>
    <row r="852" spans="1:4" x14ac:dyDescent="0.2">
      <c r="A852" s="71"/>
      <c r="B852" s="71"/>
      <c r="C852" s="71"/>
      <c r="D852" s="106"/>
    </row>
    <row r="853" spans="1:4" x14ac:dyDescent="0.2">
      <c r="A853" s="71"/>
      <c r="B853" s="71"/>
      <c r="C853" s="71"/>
      <c r="D853" s="106"/>
    </row>
    <row r="854" spans="1:4" x14ac:dyDescent="0.2">
      <c r="A854" s="71"/>
      <c r="B854" s="71"/>
      <c r="C854" s="71"/>
      <c r="D854" s="106"/>
    </row>
    <row r="855" spans="1:4" x14ac:dyDescent="0.2">
      <c r="A855" s="71"/>
      <c r="B855" s="71"/>
      <c r="C855" s="71"/>
      <c r="D855" s="106"/>
    </row>
    <row r="856" spans="1:4" x14ac:dyDescent="0.2">
      <c r="A856" s="71"/>
      <c r="B856" s="71"/>
      <c r="C856" s="71"/>
      <c r="D856" s="106"/>
    </row>
    <row r="857" spans="1:4" x14ac:dyDescent="0.2">
      <c r="A857" s="71"/>
      <c r="B857" s="71"/>
      <c r="C857" s="71"/>
      <c r="D857" s="106"/>
    </row>
    <row r="858" spans="1:4" x14ac:dyDescent="0.2">
      <c r="A858" s="71"/>
      <c r="B858" s="71"/>
      <c r="C858" s="71"/>
      <c r="D858" s="106"/>
    </row>
    <row r="859" spans="1:4" x14ac:dyDescent="0.2">
      <c r="A859" s="71"/>
      <c r="B859" s="71"/>
      <c r="C859" s="71"/>
      <c r="D859" s="106"/>
    </row>
    <row r="860" spans="1:4" x14ac:dyDescent="0.2">
      <c r="A860" s="71"/>
      <c r="B860" s="71"/>
      <c r="C860" s="71"/>
      <c r="D860" s="106"/>
    </row>
    <row r="861" spans="1:4" x14ac:dyDescent="0.2">
      <c r="A861" s="71"/>
      <c r="B861" s="71"/>
      <c r="C861" s="71"/>
      <c r="D861" s="106"/>
    </row>
    <row r="862" spans="1:4" x14ac:dyDescent="0.2">
      <c r="A862" s="71"/>
      <c r="B862" s="71"/>
      <c r="C862" s="71"/>
      <c r="D862" s="106"/>
    </row>
    <row r="863" spans="1:4" x14ac:dyDescent="0.2">
      <c r="A863" s="71"/>
      <c r="B863" s="71"/>
      <c r="C863" s="71"/>
      <c r="D863" s="106"/>
    </row>
    <row r="864" spans="1:4" x14ac:dyDescent="0.2">
      <c r="A864" s="71"/>
      <c r="B864" s="71"/>
      <c r="C864" s="71"/>
      <c r="D864" s="106"/>
    </row>
    <row r="865" spans="1:4" x14ac:dyDescent="0.2">
      <c r="A865" s="71"/>
      <c r="B865" s="71"/>
      <c r="C865" s="71"/>
      <c r="D865" s="106"/>
    </row>
    <row r="866" spans="1:4" x14ac:dyDescent="0.2">
      <c r="A866" s="71"/>
      <c r="B866" s="71"/>
      <c r="C866" s="71"/>
      <c r="D866" s="106"/>
    </row>
    <row r="867" spans="1:4" x14ac:dyDescent="0.2">
      <c r="A867" s="71"/>
      <c r="B867" s="71"/>
      <c r="C867" s="71"/>
      <c r="D867" s="106"/>
    </row>
    <row r="868" spans="1:4" x14ac:dyDescent="0.2">
      <c r="A868" s="71"/>
      <c r="B868" s="71"/>
      <c r="C868" s="71"/>
      <c r="D868" s="106"/>
    </row>
    <row r="869" spans="1:4" x14ac:dyDescent="0.2">
      <c r="A869" s="71"/>
      <c r="B869" s="71"/>
      <c r="C869" s="71"/>
      <c r="D869" s="106"/>
    </row>
    <row r="870" spans="1:4" x14ac:dyDescent="0.2">
      <c r="A870" s="71"/>
      <c r="B870" s="71"/>
      <c r="C870" s="71"/>
      <c r="D870" s="106"/>
    </row>
    <row r="871" spans="1:4" x14ac:dyDescent="0.2">
      <c r="A871" s="71"/>
      <c r="B871" s="71"/>
      <c r="C871" s="71"/>
      <c r="D871" s="106"/>
    </row>
    <row r="872" spans="1:4" x14ac:dyDescent="0.2">
      <c r="A872" s="71"/>
      <c r="B872" s="71"/>
      <c r="C872" s="71"/>
      <c r="D872" s="106"/>
    </row>
    <row r="873" spans="1:4" x14ac:dyDescent="0.2">
      <c r="A873" s="71"/>
      <c r="B873" s="71"/>
      <c r="C873" s="71"/>
      <c r="D873" s="106"/>
    </row>
    <row r="874" spans="1:4" x14ac:dyDescent="0.2">
      <c r="A874" s="71"/>
      <c r="B874" s="71"/>
      <c r="C874" s="71"/>
      <c r="D874" s="106"/>
    </row>
    <row r="875" spans="1:4" x14ac:dyDescent="0.2">
      <c r="A875" s="71"/>
      <c r="B875" s="71"/>
      <c r="C875" s="71"/>
      <c r="D875" s="106"/>
    </row>
    <row r="876" spans="1:4" x14ac:dyDescent="0.2">
      <c r="A876" s="71"/>
      <c r="B876" s="71"/>
      <c r="C876" s="71"/>
      <c r="D876" s="106"/>
    </row>
    <row r="877" spans="1:4" x14ac:dyDescent="0.2">
      <c r="A877" s="71"/>
      <c r="B877" s="71"/>
      <c r="C877" s="71"/>
      <c r="D877" s="106"/>
    </row>
    <row r="878" spans="1:4" x14ac:dyDescent="0.2">
      <c r="A878" s="71"/>
      <c r="B878" s="71"/>
      <c r="C878" s="71"/>
      <c r="D878" s="106"/>
    </row>
    <row r="879" spans="1:4" x14ac:dyDescent="0.2">
      <c r="A879" s="71"/>
      <c r="B879" s="71"/>
      <c r="C879" s="71"/>
      <c r="D879" s="106"/>
    </row>
    <row r="880" spans="1:4" x14ac:dyDescent="0.2">
      <c r="A880" s="71"/>
      <c r="B880" s="71"/>
      <c r="C880" s="71"/>
      <c r="D880" s="106"/>
    </row>
    <row r="881" spans="1:4" x14ac:dyDescent="0.2">
      <c r="A881" s="71"/>
      <c r="B881" s="71"/>
      <c r="C881" s="71"/>
      <c r="D881" s="106"/>
    </row>
    <row r="882" spans="1:4" x14ac:dyDescent="0.2">
      <c r="A882" s="71"/>
      <c r="B882" s="71"/>
      <c r="C882" s="71"/>
      <c r="D882" s="106"/>
    </row>
    <row r="883" spans="1:4" x14ac:dyDescent="0.2">
      <c r="A883" s="71"/>
      <c r="B883" s="71"/>
      <c r="C883" s="71"/>
      <c r="D883" s="106"/>
    </row>
    <row r="884" spans="1:4" x14ac:dyDescent="0.2">
      <c r="A884" s="71"/>
      <c r="B884" s="71"/>
      <c r="C884" s="71"/>
      <c r="D884" s="106"/>
    </row>
    <row r="885" spans="1:4" x14ac:dyDescent="0.2">
      <c r="A885" s="71"/>
      <c r="B885" s="71"/>
      <c r="C885" s="71"/>
      <c r="D885" s="106"/>
    </row>
    <row r="886" spans="1:4" x14ac:dyDescent="0.2">
      <c r="A886" s="71"/>
      <c r="B886" s="71"/>
      <c r="C886" s="71"/>
      <c r="D886" s="106"/>
    </row>
    <row r="887" spans="1:4" x14ac:dyDescent="0.2">
      <c r="A887" s="71"/>
      <c r="B887" s="71"/>
      <c r="C887" s="71"/>
      <c r="D887" s="106"/>
    </row>
    <row r="888" spans="1:4" x14ac:dyDescent="0.2">
      <c r="A888" s="71"/>
      <c r="B888" s="71"/>
      <c r="C888" s="71"/>
      <c r="D888" s="106"/>
    </row>
    <row r="889" spans="1:4" x14ac:dyDescent="0.2">
      <c r="A889" s="71"/>
      <c r="B889" s="71"/>
      <c r="C889" s="71"/>
      <c r="D889" s="106"/>
    </row>
    <row r="890" spans="1:4" x14ac:dyDescent="0.2">
      <c r="A890" s="71"/>
      <c r="B890" s="71"/>
      <c r="C890" s="71"/>
      <c r="D890" s="106"/>
    </row>
    <row r="891" spans="1:4" x14ac:dyDescent="0.2">
      <c r="A891" s="71"/>
      <c r="B891" s="71"/>
      <c r="C891" s="71"/>
      <c r="D891" s="106"/>
    </row>
    <row r="892" spans="1:4" x14ac:dyDescent="0.2">
      <c r="A892" s="71"/>
      <c r="B892" s="71"/>
      <c r="C892" s="71"/>
      <c r="D892" s="106"/>
    </row>
    <row r="893" spans="1:4" x14ac:dyDescent="0.2">
      <c r="A893" s="71"/>
      <c r="B893" s="71"/>
      <c r="C893" s="71"/>
      <c r="D893" s="106"/>
    </row>
    <row r="894" spans="1:4" x14ac:dyDescent="0.2">
      <c r="A894" s="71"/>
      <c r="B894" s="71"/>
      <c r="C894" s="71"/>
      <c r="D894" s="106"/>
    </row>
    <row r="895" spans="1:4" x14ac:dyDescent="0.2">
      <c r="A895" s="71"/>
      <c r="B895" s="71"/>
      <c r="C895" s="71"/>
      <c r="D895" s="106"/>
    </row>
    <row r="896" spans="1:4" x14ac:dyDescent="0.2">
      <c r="A896" s="71"/>
      <c r="B896" s="71"/>
      <c r="C896" s="71"/>
      <c r="D896" s="106"/>
    </row>
    <row r="897" spans="1:4" x14ac:dyDescent="0.2">
      <c r="A897" s="71"/>
      <c r="B897" s="71"/>
      <c r="C897" s="71"/>
      <c r="D897" s="106"/>
    </row>
    <row r="898" spans="1:4" x14ac:dyDescent="0.2">
      <c r="A898" s="71"/>
      <c r="B898" s="71"/>
      <c r="C898" s="71"/>
      <c r="D898" s="106"/>
    </row>
    <row r="899" spans="1:4" x14ac:dyDescent="0.2">
      <c r="A899" s="71"/>
      <c r="B899" s="71"/>
      <c r="C899" s="71"/>
      <c r="D899" s="106"/>
    </row>
    <row r="900" spans="1:4" x14ac:dyDescent="0.2">
      <c r="A900" s="71"/>
      <c r="B900" s="71"/>
      <c r="C900" s="71"/>
      <c r="D900" s="106"/>
    </row>
    <row r="901" spans="1:4" x14ac:dyDescent="0.2">
      <c r="A901" s="71"/>
      <c r="B901" s="71"/>
      <c r="C901" s="71"/>
      <c r="D901" s="106"/>
    </row>
    <row r="902" spans="1:4" x14ac:dyDescent="0.2">
      <c r="A902" s="71"/>
      <c r="B902" s="71"/>
      <c r="C902" s="71"/>
      <c r="D902" s="106"/>
    </row>
    <row r="903" spans="1:4" x14ac:dyDescent="0.2">
      <c r="A903" s="71"/>
      <c r="B903" s="71"/>
      <c r="C903" s="71"/>
      <c r="D903" s="106"/>
    </row>
    <row r="904" spans="1:4" x14ac:dyDescent="0.2">
      <c r="A904" s="71"/>
      <c r="B904" s="71"/>
      <c r="C904" s="71"/>
      <c r="D904" s="106"/>
    </row>
    <row r="905" spans="1:4" x14ac:dyDescent="0.2">
      <c r="A905" s="71"/>
      <c r="B905" s="71"/>
      <c r="C905" s="71"/>
      <c r="D905" s="106"/>
    </row>
    <row r="906" spans="1:4" x14ac:dyDescent="0.2">
      <c r="A906" s="71"/>
      <c r="B906" s="71"/>
      <c r="C906" s="71"/>
      <c r="D906" s="106"/>
    </row>
    <row r="907" spans="1:4" x14ac:dyDescent="0.2">
      <c r="A907" s="71"/>
      <c r="B907" s="71"/>
      <c r="C907" s="71"/>
      <c r="D907" s="106"/>
    </row>
    <row r="908" spans="1:4" x14ac:dyDescent="0.2">
      <c r="A908" s="71"/>
      <c r="B908" s="71"/>
      <c r="C908" s="71"/>
      <c r="D908" s="106"/>
    </row>
    <row r="909" spans="1:4" x14ac:dyDescent="0.2">
      <c r="A909" s="71"/>
      <c r="B909" s="71"/>
      <c r="C909" s="71"/>
      <c r="D909" s="106"/>
    </row>
    <row r="910" spans="1:4" x14ac:dyDescent="0.2">
      <c r="A910" s="71"/>
      <c r="B910" s="71"/>
      <c r="C910" s="71"/>
      <c r="D910" s="106"/>
    </row>
    <row r="911" spans="1:4" x14ac:dyDescent="0.2">
      <c r="A911" s="71"/>
      <c r="B911" s="71"/>
      <c r="C911" s="71"/>
      <c r="D911" s="106"/>
    </row>
    <row r="912" spans="1:4" x14ac:dyDescent="0.2">
      <c r="A912" s="71"/>
      <c r="B912" s="71"/>
      <c r="C912" s="71"/>
      <c r="D912" s="106"/>
    </row>
    <row r="913" spans="1:4" x14ac:dyDescent="0.2">
      <c r="A913" s="71"/>
      <c r="B913" s="71"/>
      <c r="C913" s="71"/>
      <c r="D913" s="106"/>
    </row>
    <row r="914" spans="1:4" x14ac:dyDescent="0.2">
      <c r="A914" s="71"/>
      <c r="B914" s="71"/>
      <c r="C914" s="71"/>
      <c r="D914" s="106"/>
    </row>
    <row r="915" spans="1:4" x14ac:dyDescent="0.2">
      <c r="A915" s="71"/>
      <c r="B915" s="71"/>
      <c r="C915" s="71"/>
      <c r="D915" s="106"/>
    </row>
    <row r="916" spans="1:4" x14ac:dyDescent="0.2">
      <c r="A916" s="71"/>
      <c r="B916" s="71"/>
      <c r="C916" s="71"/>
      <c r="D916" s="106"/>
    </row>
    <row r="917" spans="1:4" x14ac:dyDescent="0.2">
      <c r="A917" s="71"/>
      <c r="B917" s="71"/>
      <c r="C917" s="71"/>
      <c r="D917" s="106"/>
    </row>
    <row r="918" spans="1:4" x14ac:dyDescent="0.2">
      <c r="A918" s="71"/>
      <c r="B918" s="71"/>
      <c r="C918" s="71"/>
      <c r="D918" s="106"/>
    </row>
    <row r="919" spans="1:4" x14ac:dyDescent="0.2">
      <c r="A919" s="71"/>
      <c r="B919" s="71"/>
      <c r="C919" s="71"/>
      <c r="D919" s="106"/>
    </row>
    <row r="920" spans="1:4" x14ac:dyDescent="0.2">
      <c r="A920" s="71"/>
      <c r="B920" s="71"/>
      <c r="C920" s="71"/>
      <c r="D920" s="106"/>
    </row>
    <row r="921" spans="1:4" x14ac:dyDescent="0.2">
      <c r="A921" s="71"/>
      <c r="B921" s="71"/>
      <c r="C921" s="71"/>
      <c r="D921" s="106"/>
    </row>
    <row r="922" spans="1:4" x14ac:dyDescent="0.2">
      <c r="A922" s="71"/>
      <c r="B922" s="71"/>
      <c r="C922" s="71"/>
      <c r="D922" s="106"/>
    </row>
    <row r="923" spans="1:4" x14ac:dyDescent="0.2">
      <c r="A923" s="71"/>
      <c r="B923" s="71"/>
      <c r="C923" s="71"/>
      <c r="D923" s="106"/>
    </row>
    <row r="924" spans="1:4" x14ac:dyDescent="0.2">
      <c r="A924" s="71"/>
      <c r="B924" s="71"/>
      <c r="C924" s="71"/>
      <c r="D924" s="106"/>
    </row>
    <row r="925" spans="1:4" x14ac:dyDescent="0.2">
      <c r="A925" s="71"/>
      <c r="B925" s="71"/>
      <c r="C925" s="71"/>
      <c r="D925" s="106"/>
    </row>
    <row r="926" spans="1:4" x14ac:dyDescent="0.2">
      <c r="A926" s="71"/>
      <c r="B926" s="71"/>
      <c r="C926" s="71"/>
      <c r="D926" s="106"/>
    </row>
    <row r="927" spans="1:4" x14ac:dyDescent="0.2">
      <c r="A927" s="71"/>
      <c r="B927" s="71"/>
      <c r="C927" s="71"/>
      <c r="D927" s="106"/>
    </row>
    <row r="928" spans="1:4" x14ac:dyDescent="0.2">
      <c r="A928" s="71"/>
      <c r="B928" s="71"/>
      <c r="C928" s="71"/>
      <c r="D928" s="106"/>
    </row>
    <row r="929" spans="1:4" x14ac:dyDescent="0.2">
      <c r="A929" s="71"/>
      <c r="B929" s="71"/>
      <c r="C929" s="71"/>
      <c r="D929" s="106"/>
    </row>
    <row r="930" spans="1:4" x14ac:dyDescent="0.2">
      <c r="A930" s="71"/>
      <c r="B930" s="71"/>
      <c r="C930" s="71"/>
      <c r="D930" s="106"/>
    </row>
    <row r="931" spans="1:4" x14ac:dyDescent="0.2">
      <c r="A931" s="71"/>
      <c r="B931" s="71"/>
      <c r="C931" s="71"/>
      <c r="D931" s="106"/>
    </row>
    <row r="932" spans="1:4" x14ac:dyDescent="0.2">
      <c r="A932" s="71"/>
      <c r="B932" s="71"/>
      <c r="C932" s="71"/>
      <c r="D932" s="106"/>
    </row>
    <row r="933" spans="1:4" x14ac:dyDescent="0.2">
      <c r="A933" s="71"/>
      <c r="B933" s="71"/>
      <c r="C933" s="71"/>
      <c r="D933" s="106"/>
    </row>
    <row r="934" spans="1:4" x14ac:dyDescent="0.2">
      <c r="A934" s="71"/>
      <c r="B934" s="71"/>
      <c r="C934" s="71"/>
      <c r="D934" s="106"/>
    </row>
    <row r="935" spans="1:4" x14ac:dyDescent="0.2">
      <c r="A935" s="71"/>
      <c r="B935" s="71"/>
      <c r="C935" s="71"/>
      <c r="D935" s="106"/>
    </row>
    <row r="936" spans="1:4" x14ac:dyDescent="0.2">
      <c r="A936" s="71"/>
      <c r="B936" s="71"/>
      <c r="C936" s="71"/>
      <c r="D936" s="106"/>
    </row>
    <row r="937" spans="1:4" x14ac:dyDescent="0.2">
      <c r="A937" s="71"/>
      <c r="B937" s="71"/>
      <c r="C937" s="71"/>
      <c r="D937" s="106"/>
    </row>
    <row r="938" spans="1:4" x14ac:dyDescent="0.2">
      <c r="A938" s="71"/>
      <c r="B938" s="71"/>
      <c r="C938" s="71"/>
      <c r="D938" s="106"/>
    </row>
    <row r="939" spans="1:4" x14ac:dyDescent="0.2">
      <c r="A939" s="71"/>
      <c r="B939" s="71"/>
      <c r="C939" s="71"/>
      <c r="D939" s="106"/>
    </row>
    <row r="940" spans="1:4" x14ac:dyDescent="0.2">
      <c r="A940" s="71"/>
      <c r="B940" s="71"/>
      <c r="C940" s="71"/>
      <c r="D940" s="106"/>
    </row>
    <row r="941" spans="1:4" x14ac:dyDescent="0.2">
      <c r="A941" s="71"/>
      <c r="B941" s="71"/>
      <c r="C941" s="71"/>
      <c r="D941" s="106"/>
    </row>
    <row r="942" spans="1:4" x14ac:dyDescent="0.2">
      <c r="A942" s="71"/>
      <c r="B942" s="71"/>
      <c r="C942" s="71"/>
      <c r="D942" s="106"/>
    </row>
    <row r="943" spans="1:4" x14ac:dyDescent="0.2">
      <c r="A943" s="71"/>
      <c r="B943" s="71"/>
      <c r="C943" s="71"/>
      <c r="D943" s="106"/>
    </row>
    <row r="944" spans="1:4" x14ac:dyDescent="0.2">
      <c r="A944" s="71"/>
      <c r="B944" s="71"/>
      <c r="C944" s="71"/>
      <c r="D944" s="106"/>
    </row>
    <row r="945" spans="1:4" x14ac:dyDescent="0.2">
      <c r="A945" s="71"/>
      <c r="B945" s="71"/>
      <c r="C945" s="71"/>
      <c r="D945" s="106"/>
    </row>
    <row r="946" spans="1:4" x14ac:dyDescent="0.2">
      <c r="A946" s="71"/>
      <c r="B946" s="71"/>
      <c r="C946" s="71"/>
      <c r="D946" s="106"/>
    </row>
    <row r="947" spans="1:4" x14ac:dyDescent="0.2">
      <c r="A947" s="71"/>
      <c r="B947" s="71"/>
      <c r="C947" s="71"/>
      <c r="D947" s="106"/>
    </row>
    <row r="948" spans="1:4" x14ac:dyDescent="0.2">
      <c r="A948" s="71"/>
      <c r="B948" s="71"/>
      <c r="C948" s="71"/>
      <c r="D948" s="106"/>
    </row>
    <row r="949" spans="1:4" x14ac:dyDescent="0.2">
      <c r="A949" s="71"/>
      <c r="B949" s="71"/>
      <c r="C949" s="71"/>
      <c r="D949" s="106"/>
    </row>
    <row r="950" spans="1:4" x14ac:dyDescent="0.2">
      <c r="A950" s="71"/>
      <c r="B950" s="71"/>
      <c r="C950" s="71"/>
      <c r="D950" s="106"/>
    </row>
    <row r="951" spans="1:4" x14ac:dyDescent="0.2">
      <c r="A951" s="71"/>
      <c r="B951" s="71"/>
      <c r="C951" s="71"/>
      <c r="D951" s="106"/>
    </row>
    <row r="952" spans="1:4" x14ac:dyDescent="0.2">
      <c r="A952" s="71"/>
      <c r="B952" s="71"/>
      <c r="C952" s="71"/>
      <c r="D952" s="106"/>
    </row>
    <row r="953" spans="1:4" x14ac:dyDescent="0.2">
      <c r="A953" s="71"/>
      <c r="B953" s="71"/>
      <c r="C953" s="71"/>
      <c r="D953" s="106"/>
    </row>
    <row r="954" spans="1:4" x14ac:dyDescent="0.2">
      <c r="A954" s="71"/>
      <c r="B954" s="71"/>
      <c r="C954" s="71"/>
      <c r="D954" s="106"/>
    </row>
    <row r="955" spans="1:4" x14ac:dyDescent="0.2">
      <c r="A955" s="71"/>
      <c r="B955" s="71"/>
      <c r="C955" s="71"/>
      <c r="D955" s="106"/>
    </row>
    <row r="956" spans="1:4" x14ac:dyDescent="0.2">
      <c r="A956" s="71"/>
      <c r="B956" s="71"/>
      <c r="C956" s="71"/>
      <c r="D956" s="106"/>
    </row>
    <row r="957" spans="1:4" x14ac:dyDescent="0.2">
      <c r="A957" s="71"/>
      <c r="B957" s="71"/>
      <c r="C957" s="71"/>
      <c r="D957" s="106"/>
    </row>
    <row r="958" spans="1:4" x14ac:dyDescent="0.2">
      <c r="A958" s="71"/>
      <c r="B958" s="71"/>
      <c r="C958" s="71"/>
      <c r="D958" s="106"/>
    </row>
    <row r="959" spans="1:4" x14ac:dyDescent="0.2">
      <c r="A959" s="71"/>
      <c r="B959" s="71"/>
      <c r="C959" s="71"/>
      <c r="D959" s="106"/>
    </row>
    <row r="960" spans="1:4" x14ac:dyDescent="0.2">
      <c r="A960" s="71"/>
      <c r="B960" s="71"/>
      <c r="C960" s="71"/>
      <c r="D960" s="106"/>
    </row>
    <row r="961" spans="1:4" x14ac:dyDescent="0.2">
      <c r="A961" s="71"/>
      <c r="B961" s="71"/>
      <c r="C961" s="71"/>
      <c r="D961" s="106"/>
    </row>
    <row r="962" spans="1:4" x14ac:dyDescent="0.2">
      <c r="A962" s="71"/>
      <c r="B962" s="71"/>
      <c r="C962" s="71"/>
      <c r="D962" s="106"/>
    </row>
    <row r="963" spans="1:4" x14ac:dyDescent="0.2">
      <c r="A963" s="71"/>
      <c r="B963" s="71"/>
      <c r="C963" s="71"/>
      <c r="D963" s="106"/>
    </row>
    <row r="964" spans="1:4" x14ac:dyDescent="0.2">
      <c r="A964" s="71"/>
      <c r="B964" s="71"/>
      <c r="C964" s="71"/>
      <c r="D964" s="106"/>
    </row>
    <row r="965" spans="1:4" x14ac:dyDescent="0.2">
      <c r="A965" s="71"/>
      <c r="B965" s="71"/>
      <c r="C965" s="71"/>
      <c r="D965" s="106"/>
    </row>
    <row r="966" spans="1:4" x14ac:dyDescent="0.2">
      <c r="A966" s="71"/>
      <c r="B966" s="71"/>
      <c r="C966" s="71"/>
      <c r="D966" s="106"/>
    </row>
    <row r="967" spans="1:4" x14ac:dyDescent="0.2">
      <c r="A967" s="71"/>
      <c r="B967" s="71"/>
      <c r="C967" s="71"/>
      <c r="D967" s="106"/>
    </row>
    <row r="968" spans="1:4" x14ac:dyDescent="0.2">
      <c r="A968" s="71"/>
      <c r="B968" s="71"/>
      <c r="C968" s="71"/>
      <c r="D968" s="106"/>
    </row>
    <row r="969" spans="1:4" x14ac:dyDescent="0.2">
      <c r="A969" s="71"/>
      <c r="B969" s="71"/>
      <c r="C969" s="71"/>
      <c r="D969" s="106"/>
    </row>
    <row r="970" spans="1:4" x14ac:dyDescent="0.2">
      <c r="A970" s="71"/>
      <c r="B970" s="71"/>
      <c r="C970" s="71"/>
      <c r="D970" s="106"/>
    </row>
    <row r="971" spans="1:4" x14ac:dyDescent="0.2">
      <c r="A971" s="71"/>
      <c r="B971" s="71"/>
      <c r="C971" s="71"/>
      <c r="D971" s="106"/>
    </row>
    <row r="972" spans="1:4" x14ac:dyDescent="0.2">
      <c r="A972" s="71"/>
      <c r="B972" s="71"/>
      <c r="C972" s="71"/>
      <c r="D972" s="106"/>
    </row>
    <row r="973" spans="1:4" x14ac:dyDescent="0.2">
      <c r="A973" s="71"/>
      <c r="B973" s="71"/>
      <c r="C973" s="71"/>
      <c r="D973" s="106"/>
    </row>
    <row r="974" spans="1:4" x14ac:dyDescent="0.2">
      <c r="A974" s="71"/>
      <c r="B974" s="71"/>
      <c r="C974" s="71"/>
      <c r="D974" s="106"/>
    </row>
    <row r="975" spans="1:4" x14ac:dyDescent="0.2">
      <c r="A975" s="71"/>
      <c r="B975" s="71"/>
      <c r="C975" s="71"/>
      <c r="D975" s="106"/>
    </row>
    <row r="976" spans="1:4" x14ac:dyDescent="0.2">
      <c r="A976" s="71"/>
      <c r="B976" s="71"/>
      <c r="C976" s="71"/>
      <c r="D976" s="106"/>
    </row>
    <row r="977" spans="1:4" x14ac:dyDescent="0.2">
      <c r="A977" s="71"/>
      <c r="B977" s="71"/>
      <c r="C977" s="71"/>
      <c r="D977" s="106"/>
    </row>
    <row r="978" spans="1:4" x14ac:dyDescent="0.2">
      <c r="A978" s="71"/>
      <c r="B978" s="71"/>
      <c r="C978" s="71"/>
      <c r="D978" s="106"/>
    </row>
    <row r="979" spans="1:4" x14ac:dyDescent="0.2">
      <c r="A979" s="71"/>
      <c r="B979" s="71"/>
      <c r="C979" s="71"/>
      <c r="D979" s="106"/>
    </row>
    <row r="980" spans="1:4" x14ac:dyDescent="0.2">
      <c r="A980" s="71"/>
      <c r="B980" s="71"/>
      <c r="C980" s="71"/>
      <c r="D980" s="106"/>
    </row>
    <row r="981" spans="1:4" x14ac:dyDescent="0.2">
      <c r="A981" s="71"/>
      <c r="B981" s="71"/>
      <c r="C981" s="71"/>
      <c r="D981" s="106"/>
    </row>
    <row r="982" spans="1:4" x14ac:dyDescent="0.2">
      <c r="A982" s="71"/>
      <c r="B982" s="71"/>
      <c r="C982" s="71"/>
      <c r="D982" s="106"/>
    </row>
    <row r="983" spans="1:4" x14ac:dyDescent="0.2">
      <c r="A983" s="71"/>
      <c r="B983" s="71"/>
      <c r="C983" s="71"/>
      <c r="D983" s="106"/>
    </row>
    <row r="984" spans="1:4" x14ac:dyDescent="0.2">
      <c r="A984" s="71"/>
      <c r="B984" s="71"/>
      <c r="C984" s="71"/>
      <c r="D984" s="106"/>
    </row>
    <row r="985" spans="1:4" x14ac:dyDescent="0.2">
      <c r="A985" s="71"/>
      <c r="B985" s="71"/>
      <c r="C985" s="71"/>
      <c r="D985" s="106"/>
    </row>
    <row r="986" spans="1:4" x14ac:dyDescent="0.2">
      <c r="A986" s="71"/>
      <c r="B986" s="71"/>
      <c r="C986" s="71"/>
      <c r="D986" s="106"/>
    </row>
    <row r="987" spans="1:4" x14ac:dyDescent="0.2">
      <c r="A987" s="71"/>
      <c r="B987" s="71"/>
      <c r="C987" s="71"/>
      <c r="D987" s="106"/>
    </row>
    <row r="988" spans="1:4" x14ac:dyDescent="0.2">
      <c r="A988" s="71"/>
      <c r="B988" s="71"/>
      <c r="C988" s="71"/>
      <c r="D988" s="106"/>
    </row>
    <row r="989" spans="1:4" x14ac:dyDescent="0.2">
      <c r="A989" s="71"/>
      <c r="B989" s="71"/>
      <c r="C989" s="71"/>
      <c r="D989" s="106"/>
    </row>
    <row r="990" spans="1:4" x14ac:dyDescent="0.2">
      <c r="A990" s="71"/>
      <c r="B990" s="71"/>
      <c r="C990" s="71"/>
      <c r="D990" s="106"/>
    </row>
    <row r="991" spans="1:4" x14ac:dyDescent="0.2">
      <c r="A991" s="71"/>
      <c r="B991" s="71"/>
      <c r="C991" s="71"/>
      <c r="D991" s="106"/>
    </row>
    <row r="992" spans="1:4" x14ac:dyDescent="0.2">
      <c r="A992" s="71"/>
      <c r="B992" s="71"/>
      <c r="C992" s="71"/>
      <c r="D992" s="106"/>
    </row>
    <row r="993" spans="1:4" x14ac:dyDescent="0.2">
      <c r="A993" s="71"/>
      <c r="B993" s="71"/>
      <c r="C993" s="71"/>
      <c r="D993" s="106"/>
    </row>
    <row r="994" spans="1:4" x14ac:dyDescent="0.2">
      <c r="A994" s="71"/>
      <c r="B994" s="71"/>
      <c r="C994" s="71"/>
      <c r="D994" s="106"/>
    </row>
    <row r="995" spans="1:4" x14ac:dyDescent="0.2">
      <c r="A995" s="71"/>
      <c r="B995" s="71"/>
      <c r="C995" s="71"/>
      <c r="D995" s="106"/>
    </row>
    <row r="996" spans="1:4" x14ac:dyDescent="0.2">
      <c r="A996" s="71"/>
      <c r="B996" s="71"/>
      <c r="C996" s="71"/>
      <c r="D996" s="106"/>
    </row>
    <row r="997" spans="1:4" x14ac:dyDescent="0.2">
      <c r="A997" s="71"/>
      <c r="B997" s="71"/>
      <c r="C997" s="71"/>
      <c r="D997" s="106"/>
    </row>
    <row r="998" spans="1:4" x14ac:dyDescent="0.2">
      <c r="A998" s="71"/>
      <c r="B998" s="71"/>
      <c r="C998" s="71"/>
      <c r="D998" s="106"/>
    </row>
    <row r="999" spans="1:4" x14ac:dyDescent="0.2">
      <c r="A999" s="71"/>
      <c r="B999" s="71"/>
      <c r="C999" s="71"/>
      <c r="D999" s="106"/>
    </row>
    <row r="1000" spans="1:4" x14ac:dyDescent="0.2">
      <c r="A1000" s="71"/>
      <c r="B1000" s="71"/>
      <c r="C1000" s="71"/>
      <c r="D1000" s="106"/>
    </row>
    <row r="1001" spans="1:4" x14ac:dyDescent="0.2">
      <c r="A1001" s="71"/>
      <c r="B1001" s="71"/>
      <c r="C1001" s="71"/>
      <c r="D1001" s="106"/>
    </row>
    <row r="1002" spans="1:4" x14ac:dyDescent="0.2">
      <c r="A1002" s="71"/>
      <c r="B1002" s="71"/>
      <c r="C1002" s="71"/>
      <c r="D1002" s="106"/>
    </row>
    <row r="1003" spans="1:4" x14ac:dyDescent="0.2">
      <c r="A1003" s="71"/>
      <c r="B1003" s="71"/>
      <c r="C1003" s="71"/>
      <c r="D1003" s="106"/>
    </row>
    <row r="1004" spans="1:4" x14ac:dyDescent="0.2">
      <c r="A1004" s="71"/>
      <c r="B1004" s="71"/>
      <c r="C1004" s="71"/>
      <c r="D1004" s="106"/>
    </row>
    <row r="1005" spans="1:4" x14ac:dyDescent="0.2">
      <c r="A1005" s="71"/>
      <c r="B1005" s="71"/>
      <c r="C1005" s="71"/>
      <c r="D1005" s="106"/>
    </row>
    <row r="1006" spans="1:4" x14ac:dyDescent="0.2">
      <c r="A1006" s="71"/>
      <c r="B1006" s="71"/>
      <c r="C1006" s="71"/>
      <c r="D1006" s="106"/>
    </row>
    <row r="1007" spans="1:4" x14ac:dyDescent="0.2">
      <c r="A1007" s="71"/>
      <c r="B1007" s="71"/>
      <c r="C1007" s="71"/>
      <c r="D1007" s="106"/>
    </row>
    <row r="1008" spans="1:4" x14ac:dyDescent="0.2">
      <c r="A1008" s="71"/>
      <c r="B1008" s="71"/>
      <c r="C1008" s="71"/>
      <c r="D1008" s="106"/>
    </row>
    <row r="1009" spans="1:4" x14ac:dyDescent="0.2">
      <c r="A1009" s="71"/>
      <c r="B1009" s="71"/>
      <c r="C1009" s="71"/>
      <c r="D1009" s="106"/>
    </row>
    <row r="1010" spans="1:4" x14ac:dyDescent="0.2">
      <c r="A1010" s="71"/>
      <c r="B1010" s="71"/>
      <c r="C1010" s="71"/>
      <c r="D1010" s="106"/>
    </row>
    <row r="1011" spans="1:4" x14ac:dyDescent="0.2">
      <c r="A1011" s="71"/>
      <c r="B1011" s="71"/>
      <c r="C1011" s="71"/>
      <c r="D1011" s="106"/>
    </row>
    <row r="1012" spans="1:4" x14ac:dyDescent="0.2">
      <c r="A1012" s="71"/>
      <c r="B1012" s="71"/>
      <c r="C1012" s="71"/>
      <c r="D1012" s="106"/>
    </row>
    <row r="1013" spans="1:4" x14ac:dyDescent="0.2">
      <c r="A1013" s="71"/>
      <c r="B1013" s="71"/>
      <c r="C1013" s="71"/>
      <c r="D1013" s="106"/>
    </row>
    <row r="1014" spans="1:4" x14ac:dyDescent="0.2">
      <c r="A1014" s="71"/>
      <c r="B1014" s="71"/>
      <c r="C1014" s="71"/>
      <c r="D1014" s="106"/>
    </row>
    <row r="1015" spans="1:4" x14ac:dyDescent="0.2">
      <c r="A1015" s="71"/>
      <c r="B1015" s="71"/>
      <c r="C1015" s="71"/>
      <c r="D1015" s="106"/>
    </row>
    <row r="1016" spans="1:4" x14ac:dyDescent="0.2">
      <c r="A1016" s="71"/>
      <c r="B1016" s="71"/>
      <c r="C1016" s="71"/>
      <c r="D1016" s="106"/>
    </row>
    <row r="1017" spans="1:4" x14ac:dyDescent="0.2">
      <c r="A1017" s="71"/>
      <c r="B1017" s="71"/>
      <c r="C1017" s="71"/>
      <c r="D1017" s="106"/>
    </row>
    <row r="1018" spans="1:4" x14ac:dyDescent="0.2">
      <c r="A1018" s="71"/>
      <c r="B1018" s="71"/>
      <c r="C1018" s="71"/>
      <c r="D1018" s="106"/>
    </row>
    <row r="1019" spans="1:4" x14ac:dyDescent="0.2">
      <c r="A1019" s="71"/>
      <c r="B1019" s="71"/>
      <c r="C1019" s="71"/>
      <c r="D1019" s="106"/>
    </row>
    <row r="1020" spans="1:4" x14ac:dyDescent="0.2">
      <c r="A1020" s="71"/>
      <c r="B1020" s="71"/>
      <c r="C1020" s="71"/>
      <c r="D1020" s="106"/>
    </row>
    <row r="1021" spans="1:4" x14ac:dyDescent="0.2">
      <c r="A1021" s="71"/>
      <c r="B1021" s="71"/>
      <c r="C1021" s="71"/>
      <c r="D1021" s="106"/>
    </row>
    <row r="1022" spans="1:4" x14ac:dyDescent="0.2">
      <c r="A1022" s="71"/>
      <c r="B1022" s="71"/>
      <c r="C1022" s="71"/>
      <c r="D1022" s="106"/>
    </row>
    <row r="1023" spans="1:4" x14ac:dyDescent="0.2">
      <c r="A1023" s="71"/>
      <c r="B1023" s="71"/>
      <c r="C1023" s="71"/>
      <c r="D1023" s="106"/>
    </row>
    <row r="1024" spans="1:4" x14ac:dyDescent="0.2">
      <c r="A1024" s="71"/>
      <c r="B1024" s="71"/>
      <c r="C1024" s="71"/>
      <c r="D1024" s="106"/>
    </row>
    <row r="1025" spans="1:4" x14ac:dyDescent="0.2">
      <c r="A1025" s="71"/>
      <c r="B1025" s="71"/>
      <c r="C1025" s="71"/>
      <c r="D1025" s="106"/>
    </row>
    <row r="1026" spans="1:4" x14ac:dyDescent="0.2">
      <c r="A1026" s="71"/>
      <c r="B1026" s="71"/>
      <c r="C1026" s="71"/>
      <c r="D1026" s="106"/>
    </row>
    <row r="1027" spans="1:4" x14ac:dyDescent="0.2">
      <c r="A1027" s="71"/>
      <c r="B1027" s="71"/>
      <c r="C1027" s="71"/>
      <c r="D1027" s="106"/>
    </row>
    <row r="1028" spans="1:4" x14ac:dyDescent="0.2">
      <c r="A1028" s="71"/>
      <c r="B1028" s="71"/>
      <c r="C1028" s="71"/>
      <c r="D1028" s="106"/>
    </row>
    <row r="1029" spans="1:4" x14ac:dyDescent="0.2">
      <c r="A1029" s="71"/>
      <c r="B1029" s="71"/>
      <c r="C1029" s="71"/>
      <c r="D1029" s="106"/>
    </row>
    <row r="1030" spans="1:4" x14ac:dyDescent="0.2">
      <c r="A1030" s="71"/>
      <c r="B1030" s="71"/>
      <c r="C1030" s="71"/>
      <c r="D1030" s="106"/>
    </row>
    <row r="1031" spans="1:4" x14ac:dyDescent="0.2">
      <c r="A1031" s="71"/>
      <c r="B1031" s="71"/>
      <c r="C1031" s="71"/>
      <c r="D1031" s="106"/>
    </row>
    <row r="1032" spans="1:4" x14ac:dyDescent="0.2">
      <c r="A1032" s="71"/>
      <c r="B1032" s="71"/>
      <c r="C1032" s="71"/>
      <c r="D1032" s="106"/>
    </row>
    <row r="1033" spans="1:4" x14ac:dyDescent="0.2">
      <c r="A1033" s="71"/>
      <c r="B1033" s="71"/>
      <c r="C1033" s="71"/>
      <c r="D1033" s="106"/>
    </row>
    <row r="1034" spans="1:4" x14ac:dyDescent="0.2">
      <c r="A1034" s="71"/>
      <c r="B1034" s="71"/>
      <c r="C1034" s="71"/>
      <c r="D1034" s="106"/>
    </row>
    <row r="1035" spans="1:4" x14ac:dyDescent="0.2">
      <c r="A1035" s="71"/>
      <c r="B1035" s="71"/>
      <c r="C1035" s="71"/>
      <c r="D1035" s="106"/>
    </row>
    <row r="1036" spans="1:4" x14ac:dyDescent="0.2">
      <c r="A1036" s="71"/>
      <c r="B1036" s="71"/>
      <c r="C1036" s="71"/>
      <c r="D1036" s="106"/>
    </row>
    <row r="1037" spans="1:4" x14ac:dyDescent="0.2">
      <c r="A1037" s="71"/>
      <c r="B1037" s="71"/>
      <c r="C1037" s="71"/>
      <c r="D1037" s="106"/>
    </row>
    <row r="1038" spans="1:4" x14ac:dyDescent="0.2">
      <c r="A1038" s="71"/>
      <c r="B1038" s="71"/>
      <c r="C1038" s="71"/>
      <c r="D1038" s="106"/>
    </row>
    <row r="1039" spans="1:4" x14ac:dyDescent="0.2">
      <c r="A1039" s="71"/>
      <c r="B1039" s="71"/>
      <c r="C1039" s="71"/>
      <c r="D1039" s="106"/>
    </row>
    <row r="1040" spans="1:4" x14ac:dyDescent="0.2">
      <c r="A1040" s="71"/>
      <c r="B1040" s="71"/>
      <c r="C1040" s="71"/>
      <c r="D1040" s="106"/>
    </row>
    <row r="1041" spans="1:4" x14ac:dyDescent="0.2">
      <c r="A1041" s="71"/>
      <c r="B1041" s="71"/>
      <c r="C1041" s="71"/>
      <c r="D1041" s="106"/>
    </row>
    <row r="1042" spans="1:4" x14ac:dyDescent="0.2">
      <c r="A1042" s="71"/>
      <c r="B1042" s="71"/>
      <c r="C1042" s="71"/>
      <c r="D1042" s="106"/>
    </row>
    <row r="1043" spans="1:4" x14ac:dyDescent="0.2">
      <c r="A1043" s="71"/>
      <c r="B1043" s="71"/>
      <c r="C1043" s="71"/>
      <c r="D1043" s="106"/>
    </row>
    <row r="1044" spans="1:4" x14ac:dyDescent="0.2">
      <c r="A1044" s="71"/>
      <c r="B1044" s="71"/>
      <c r="C1044" s="71"/>
      <c r="D1044" s="106"/>
    </row>
    <row r="1045" spans="1:4" x14ac:dyDescent="0.2">
      <c r="A1045" s="71"/>
      <c r="B1045" s="71"/>
      <c r="C1045" s="71"/>
      <c r="D1045" s="106"/>
    </row>
    <row r="1046" spans="1:4" x14ac:dyDescent="0.2">
      <c r="A1046" s="71"/>
      <c r="B1046" s="71"/>
      <c r="C1046" s="71"/>
      <c r="D1046" s="106"/>
    </row>
    <row r="1047" spans="1:4" x14ac:dyDescent="0.2">
      <c r="A1047" s="71"/>
      <c r="B1047" s="71"/>
      <c r="C1047" s="71"/>
      <c r="D1047" s="106"/>
    </row>
    <row r="1048" spans="1:4" x14ac:dyDescent="0.2">
      <c r="A1048" s="71"/>
      <c r="B1048" s="71"/>
      <c r="C1048" s="71"/>
      <c r="D1048" s="106"/>
    </row>
    <row r="1049" spans="1:4" x14ac:dyDescent="0.2">
      <c r="A1049" s="71"/>
      <c r="B1049" s="71"/>
      <c r="C1049" s="71"/>
      <c r="D1049" s="106"/>
    </row>
    <row r="1050" spans="1:4" x14ac:dyDescent="0.2">
      <c r="A1050" s="71"/>
      <c r="B1050" s="71"/>
      <c r="C1050" s="71"/>
      <c r="D1050" s="106"/>
    </row>
    <row r="1051" spans="1:4" x14ac:dyDescent="0.2">
      <c r="A1051" s="71"/>
      <c r="B1051" s="71"/>
      <c r="C1051" s="71"/>
      <c r="D1051" s="106"/>
    </row>
    <row r="1052" spans="1:4" x14ac:dyDescent="0.2">
      <c r="A1052" s="71"/>
      <c r="B1052" s="71"/>
      <c r="C1052" s="71"/>
      <c r="D1052" s="106"/>
    </row>
    <row r="1053" spans="1:4" x14ac:dyDescent="0.2">
      <c r="A1053" s="71"/>
      <c r="B1053" s="71"/>
      <c r="C1053" s="71"/>
      <c r="D1053" s="106"/>
    </row>
    <row r="1054" spans="1:4" x14ac:dyDescent="0.2">
      <c r="A1054" s="71"/>
      <c r="B1054" s="71"/>
      <c r="C1054" s="71"/>
      <c r="D1054" s="106"/>
    </row>
    <row r="1055" spans="1:4" x14ac:dyDescent="0.2">
      <c r="A1055" s="71"/>
      <c r="B1055" s="71"/>
      <c r="C1055" s="71"/>
      <c r="D1055" s="106"/>
    </row>
    <row r="1056" spans="1:4" x14ac:dyDescent="0.2">
      <c r="A1056" s="71"/>
      <c r="B1056" s="71"/>
      <c r="C1056" s="71"/>
      <c r="D1056" s="106"/>
    </row>
    <row r="1057" spans="1:4" x14ac:dyDescent="0.2">
      <c r="A1057" s="71"/>
      <c r="B1057" s="71"/>
      <c r="C1057" s="71"/>
      <c r="D1057" s="106"/>
    </row>
    <row r="1058" spans="1:4" x14ac:dyDescent="0.2">
      <c r="A1058" s="71"/>
      <c r="B1058" s="71"/>
      <c r="C1058" s="71"/>
      <c r="D1058" s="106"/>
    </row>
    <row r="1059" spans="1:4" x14ac:dyDescent="0.2">
      <c r="A1059" s="71"/>
      <c r="B1059" s="71"/>
      <c r="C1059" s="71"/>
      <c r="D1059" s="106"/>
    </row>
    <row r="1060" spans="1:4" x14ac:dyDescent="0.2">
      <c r="A1060" s="71"/>
      <c r="B1060" s="71"/>
      <c r="C1060" s="71"/>
      <c r="D1060" s="106"/>
    </row>
    <row r="1061" spans="1:4" x14ac:dyDescent="0.2">
      <c r="A1061" s="71"/>
      <c r="B1061" s="71"/>
      <c r="C1061" s="71"/>
      <c r="D1061" s="106"/>
    </row>
    <row r="1062" spans="1:4" x14ac:dyDescent="0.2">
      <c r="A1062" s="71"/>
      <c r="B1062" s="71"/>
      <c r="C1062" s="71"/>
      <c r="D1062" s="106"/>
    </row>
    <row r="1063" spans="1:4" x14ac:dyDescent="0.2">
      <c r="A1063" s="71"/>
      <c r="B1063" s="71"/>
      <c r="C1063" s="71"/>
      <c r="D1063" s="106"/>
    </row>
    <row r="1064" spans="1:4" x14ac:dyDescent="0.2">
      <c r="A1064" s="71"/>
      <c r="B1064" s="71"/>
      <c r="C1064" s="71"/>
      <c r="D1064" s="106"/>
    </row>
    <row r="1065" spans="1:4" x14ac:dyDescent="0.2">
      <c r="A1065" s="71"/>
      <c r="B1065" s="71"/>
      <c r="C1065" s="71"/>
      <c r="D1065" s="106"/>
    </row>
    <row r="1066" spans="1:4" x14ac:dyDescent="0.2">
      <c r="A1066" s="71"/>
      <c r="B1066" s="71"/>
      <c r="C1066" s="71"/>
      <c r="D1066" s="106"/>
    </row>
    <row r="1067" spans="1:4" x14ac:dyDescent="0.2">
      <c r="A1067" s="71"/>
      <c r="B1067" s="71"/>
      <c r="C1067" s="71"/>
      <c r="D1067" s="106"/>
    </row>
    <row r="1068" spans="1:4" x14ac:dyDescent="0.2">
      <c r="A1068" s="71"/>
      <c r="B1068" s="71"/>
      <c r="C1068" s="71"/>
      <c r="D1068" s="106"/>
    </row>
    <row r="1069" spans="1:4" x14ac:dyDescent="0.2">
      <c r="A1069" s="71"/>
      <c r="B1069" s="71"/>
      <c r="C1069" s="71"/>
      <c r="D1069" s="106"/>
    </row>
    <row r="1070" spans="1:4" x14ac:dyDescent="0.2">
      <c r="A1070" s="71"/>
      <c r="B1070" s="71"/>
      <c r="C1070" s="71"/>
      <c r="D1070" s="106"/>
    </row>
    <row r="1071" spans="1:4" x14ac:dyDescent="0.2">
      <c r="A1071" s="71"/>
      <c r="B1071" s="71"/>
      <c r="C1071" s="71"/>
      <c r="D1071" s="106"/>
    </row>
    <row r="1072" spans="1:4" x14ac:dyDescent="0.2">
      <c r="A1072" s="71"/>
      <c r="B1072" s="71"/>
      <c r="C1072" s="71"/>
      <c r="D1072" s="106"/>
    </row>
    <row r="1073" spans="1:4" x14ac:dyDescent="0.2">
      <c r="A1073" s="71"/>
      <c r="B1073" s="71"/>
      <c r="C1073" s="71"/>
      <c r="D1073" s="106"/>
    </row>
    <row r="1074" spans="1:4" x14ac:dyDescent="0.2">
      <c r="A1074" s="71"/>
      <c r="B1074" s="71"/>
      <c r="C1074" s="71"/>
      <c r="D1074" s="106"/>
    </row>
    <row r="1075" spans="1:4" x14ac:dyDescent="0.2">
      <c r="A1075" s="71"/>
      <c r="B1075" s="71"/>
      <c r="C1075" s="71"/>
      <c r="D1075" s="106"/>
    </row>
    <row r="1076" spans="1:4" x14ac:dyDescent="0.2">
      <c r="A1076" s="71"/>
      <c r="B1076" s="71"/>
      <c r="C1076" s="71"/>
      <c r="D1076" s="106"/>
    </row>
    <row r="1077" spans="1:4" x14ac:dyDescent="0.2">
      <c r="A1077" s="71"/>
      <c r="B1077" s="71"/>
      <c r="C1077" s="71"/>
      <c r="D1077" s="106"/>
    </row>
    <row r="1078" spans="1:4" x14ac:dyDescent="0.2">
      <c r="A1078" s="71"/>
      <c r="B1078" s="71"/>
      <c r="C1078" s="71"/>
      <c r="D1078" s="106"/>
    </row>
    <row r="1079" spans="1:4" x14ac:dyDescent="0.2">
      <c r="A1079" s="71"/>
      <c r="B1079" s="71"/>
      <c r="C1079" s="71"/>
      <c r="D1079" s="106"/>
    </row>
    <row r="1080" spans="1:4" x14ac:dyDescent="0.2">
      <c r="A1080" s="71"/>
      <c r="B1080" s="71"/>
      <c r="C1080" s="71"/>
      <c r="D1080" s="106"/>
    </row>
    <row r="1081" spans="1:4" x14ac:dyDescent="0.2">
      <c r="A1081" s="71"/>
      <c r="B1081" s="71"/>
      <c r="C1081" s="71"/>
      <c r="D1081" s="106"/>
    </row>
    <row r="1082" spans="1:4" x14ac:dyDescent="0.2">
      <c r="A1082" s="71"/>
      <c r="B1082" s="71"/>
      <c r="C1082" s="71"/>
      <c r="D1082" s="106"/>
    </row>
    <row r="1083" spans="1:4" x14ac:dyDescent="0.2">
      <c r="A1083" s="71"/>
      <c r="B1083" s="71"/>
      <c r="C1083" s="71"/>
      <c r="D1083" s="106"/>
    </row>
    <row r="1084" spans="1:4" x14ac:dyDescent="0.2">
      <c r="A1084" s="71"/>
      <c r="B1084" s="71"/>
      <c r="C1084" s="71"/>
      <c r="D1084" s="106"/>
    </row>
    <row r="1085" spans="1:4" x14ac:dyDescent="0.2">
      <c r="A1085" s="71"/>
      <c r="B1085" s="71"/>
      <c r="C1085" s="71"/>
      <c r="D1085" s="106"/>
    </row>
    <row r="1086" spans="1:4" x14ac:dyDescent="0.2">
      <c r="A1086" s="71"/>
      <c r="B1086" s="71"/>
      <c r="C1086" s="71"/>
      <c r="D1086" s="106"/>
    </row>
    <row r="1087" spans="1:4" x14ac:dyDescent="0.2">
      <c r="A1087" s="71"/>
      <c r="B1087" s="71"/>
      <c r="C1087" s="71"/>
      <c r="D1087" s="106"/>
    </row>
    <row r="1088" spans="1:4" x14ac:dyDescent="0.2">
      <c r="A1088" s="71"/>
      <c r="B1088" s="71"/>
      <c r="C1088" s="71"/>
      <c r="D1088" s="106"/>
    </row>
    <row r="1089" spans="1:4" x14ac:dyDescent="0.2">
      <c r="A1089" s="71"/>
      <c r="B1089" s="71"/>
      <c r="C1089" s="71"/>
      <c r="D1089" s="106"/>
    </row>
    <row r="1090" spans="1:4" x14ac:dyDescent="0.2">
      <c r="A1090" s="71"/>
      <c r="B1090" s="71"/>
      <c r="C1090" s="71"/>
      <c r="D1090" s="106"/>
    </row>
    <row r="1091" spans="1:4" x14ac:dyDescent="0.2">
      <c r="A1091" s="71"/>
      <c r="B1091" s="71"/>
      <c r="C1091" s="71"/>
      <c r="D1091" s="106"/>
    </row>
    <row r="1092" spans="1:4" x14ac:dyDescent="0.2">
      <c r="A1092" s="71"/>
      <c r="B1092" s="71"/>
      <c r="C1092" s="71"/>
      <c r="D1092" s="106"/>
    </row>
    <row r="1093" spans="1:4" x14ac:dyDescent="0.2">
      <c r="A1093" s="71"/>
      <c r="B1093" s="71"/>
      <c r="C1093" s="71"/>
      <c r="D1093" s="106"/>
    </row>
    <row r="1094" spans="1:4" x14ac:dyDescent="0.2">
      <c r="A1094" s="71"/>
      <c r="B1094" s="71"/>
      <c r="C1094" s="71"/>
      <c r="D1094" s="106"/>
    </row>
    <row r="1095" spans="1:4" x14ac:dyDescent="0.2">
      <c r="A1095" s="71"/>
      <c r="B1095" s="71"/>
      <c r="C1095" s="71"/>
      <c r="D1095" s="106"/>
    </row>
    <row r="1096" spans="1:4" x14ac:dyDescent="0.2">
      <c r="A1096" s="71"/>
      <c r="B1096" s="71"/>
      <c r="C1096" s="71"/>
      <c r="D1096" s="106"/>
    </row>
    <row r="1097" spans="1:4" x14ac:dyDescent="0.2">
      <c r="A1097" s="71"/>
      <c r="B1097" s="71"/>
      <c r="C1097" s="71"/>
      <c r="D1097" s="106"/>
    </row>
    <row r="1098" spans="1:4" x14ac:dyDescent="0.2">
      <c r="A1098" s="71"/>
      <c r="B1098" s="71"/>
      <c r="C1098" s="71"/>
      <c r="D1098" s="106"/>
    </row>
    <row r="1099" spans="1:4" x14ac:dyDescent="0.2">
      <c r="A1099" s="71"/>
      <c r="B1099" s="71"/>
      <c r="C1099" s="71"/>
      <c r="D1099" s="106"/>
    </row>
    <row r="1100" spans="1:4" x14ac:dyDescent="0.2">
      <c r="A1100" s="71"/>
      <c r="B1100" s="71"/>
      <c r="C1100" s="71"/>
      <c r="D1100" s="106"/>
    </row>
    <row r="1101" spans="1:4" x14ac:dyDescent="0.2">
      <c r="A1101" s="71"/>
      <c r="B1101" s="71"/>
      <c r="C1101" s="71"/>
      <c r="D1101" s="106"/>
    </row>
    <row r="1102" spans="1:4" x14ac:dyDescent="0.2">
      <c r="A1102" s="71"/>
      <c r="B1102" s="71"/>
      <c r="C1102" s="71"/>
      <c r="D1102" s="106"/>
    </row>
    <row r="1103" spans="1:4" x14ac:dyDescent="0.2">
      <c r="A1103" s="71"/>
      <c r="B1103" s="71"/>
      <c r="C1103" s="71"/>
      <c r="D1103" s="106"/>
    </row>
    <row r="1104" spans="1:4" x14ac:dyDescent="0.2">
      <c r="A1104" s="71"/>
      <c r="B1104" s="71"/>
      <c r="C1104" s="71"/>
      <c r="D1104" s="106"/>
    </row>
    <row r="1105" spans="1:4" x14ac:dyDescent="0.2">
      <c r="A1105" s="71"/>
      <c r="B1105" s="71"/>
      <c r="C1105" s="71"/>
      <c r="D1105" s="106"/>
    </row>
    <row r="1106" spans="1:4" x14ac:dyDescent="0.2">
      <c r="A1106" s="71"/>
      <c r="B1106" s="71"/>
      <c r="C1106" s="71"/>
      <c r="D1106" s="106"/>
    </row>
    <row r="1107" spans="1:4" x14ac:dyDescent="0.2">
      <c r="A1107" s="71"/>
      <c r="B1107" s="71"/>
      <c r="C1107" s="71"/>
      <c r="D1107" s="106"/>
    </row>
    <row r="1108" spans="1:4" x14ac:dyDescent="0.2">
      <c r="A1108" s="71"/>
      <c r="B1108" s="71"/>
      <c r="C1108" s="71"/>
      <c r="D1108" s="106"/>
    </row>
    <row r="1109" spans="1:4" x14ac:dyDescent="0.2">
      <c r="A1109" s="71"/>
      <c r="B1109" s="71"/>
      <c r="C1109" s="71"/>
      <c r="D1109" s="106"/>
    </row>
    <row r="1110" spans="1:4" x14ac:dyDescent="0.2">
      <c r="A1110" s="71"/>
      <c r="B1110" s="71"/>
      <c r="C1110" s="71"/>
      <c r="D1110" s="106"/>
    </row>
    <row r="1111" spans="1:4" x14ac:dyDescent="0.2">
      <c r="A1111" s="71"/>
      <c r="B1111" s="71"/>
      <c r="C1111" s="71"/>
      <c r="D1111" s="106"/>
    </row>
    <row r="1112" spans="1:4" x14ac:dyDescent="0.2">
      <c r="A1112" s="71"/>
      <c r="B1112" s="71"/>
      <c r="C1112" s="71"/>
      <c r="D1112" s="106"/>
    </row>
    <row r="1113" spans="1:4" x14ac:dyDescent="0.2">
      <c r="A1113" s="71"/>
      <c r="B1113" s="71"/>
      <c r="C1113" s="71"/>
      <c r="D1113" s="106"/>
    </row>
    <row r="1114" spans="1:4" x14ac:dyDescent="0.2">
      <c r="A1114" s="71"/>
      <c r="B1114" s="71"/>
      <c r="C1114" s="71"/>
      <c r="D1114" s="106"/>
    </row>
    <row r="1115" spans="1:4" x14ac:dyDescent="0.2">
      <c r="A1115" s="71"/>
      <c r="B1115" s="71"/>
      <c r="C1115" s="71"/>
      <c r="D1115" s="106"/>
    </row>
    <row r="1116" spans="1:4" x14ac:dyDescent="0.2">
      <c r="A1116" s="71"/>
      <c r="B1116" s="71"/>
      <c r="C1116" s="71"/>
      <c r="D1116" s="106"/>
    </row>
    <row r="1117" spans="1:4" x14ac:dyDescent="0.2">
      <c r="A1117" s="71"/>
      <c r="B1117" s="71"/>
      <c r="C1117" s="71"/>
      <c r="D1117" s="106"/>
    </row>
    <row r="1118" spans="1:4" x14ac:dyDescent="0.2">
      <c r="A1118" s="71"/>
      <c r="B1118" s="71"/>
      <c r="C1118" s="71"/>
      <c r="D1118" s="106"/>
    </row>
    <row r="1119" spans="1:4" x14ac:dyDescent="0.2">
      <c r="A1119" s="71"/>
      <c r="B1119" s="71"/>
      <c r="C1119" s="71"/>
      <c r="D1119" s="106"/>
    </row>
  </sheetData>
  <dataValidations count="1">
    <dataValidation type="list" allowBlank="1" showInputMessage="1" showErrorMessage="1" sqref="C2:C8 C11:C17 C20:C29 C32:C37 C40:C46 C49:C54" xr:uid="{780EBD9F-638C-4B37-BBC9-8B4107C326B7}">
      <formula1>Roles</formula1>
    </dataValidation>
  </dataValidations>
  <pageMargins left="0.7" right="0.7" top="0.75" bottom="0.75" header="0.3" footer="0.3"/>
  <pageSetup orientation="portrait" r:id="rId1"/>
  <headerFooter>
    <oddFooter>&amp;R_x000D_&amp;1#&amp;"Calibri"&amp;10&amp;K000000 Official Use Only</oddFooter>
  </headerFooter>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AB07-857E-4D80-A29E-D4A6627CEC27}">
  <sheetPr filterMode="1">
    <tabColor theme="9" tint="0.59999389629810485"/>
  </sheetPr>
  <dimension ref="A1:DH1646"/>
  <sheetViews>
    <sheetView zoomScale="125" zoomScaleNormal="125" workbookViewId="0">
      <pane ySplit="1" topLeftCell="A2" activePane="bottomLeft" state="frozen"/>
      <selection activeCell="B3" sqref="B3"/>
      <selection pane="bottomLeft" activeCell="D32" sqref="A1:DH1646"/>
    </sheetView>
  </sheetViews>
  <sheetFormatPr baseColWidth="10" defaultColWidth="9.1640625" defaultRowHeight="15" x14ac:dyDescent="0.2"/>
  <cols>
    <col min="1" max="1" width="27.6640625" style="72" customWidth="1"/>
    <col min="2" max="2" width="41.33203125" style="72" customWidth="1"/>
    <col min="3" max="3" width="56.83203125" style="72" customWidth="1"/>
    <col min="4" max="4" width="62.5" style="70" customWidth="1"/>
    <col min="5" max="16384" width="9.1640625" style="71"/>
  </cols>
  <sheetData>
    <row r="1" spans="1:112" s="75" customFormat="1" ht="16" x14ac:dyDescent="0.2">
      <c r="A1" s="73" t="s">
        <v>656</v>
      </c>
      <c r="B1" s="73" t="s">
        <v>127</v>
      </c>
      <c r="C1" s="74" t="s">
        <v>657</v>
      </c>
      <c r="D1" s="74" t="s">
        <v>646</v>
      </c>
    </row>
    <row r="2" spans="1:112" s="47" customFormat="1" ht="48" hidden="1" x14ac:dyDescent="0.2">
      <c r="A2" s="126" t="s">
        <v>724</v>
      </c>
      <c r="B2" s="126" t="s">
        <v>32</v>
      </c>
      <c r="C2" s="126" t="s">
        <v>135</v>
      </c>
      <c r="D2" s="126" t="s">
        <v>658</v>
      </c>
      <c r="E2" s="48"/>
      <c r="F2" s="48"/>
      <c r="G2" s="48"/>
      <c r="H2" s="48"/>
      <c r="I2" s="48"/>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row>
    <row r="3" spans="1:112" s="47" customFormat="1" ht="48" hidden="1" x14ac:dyDescent="0.2">
      <c r="A3" s="126" t="s">
        <v>724</v>
      </c>
      <c r="B3" s="126" t="s">
        <v>32</v>
      </c>
      <c r="C3" s="126" t="s">
        <v>142</v>
      </c>
      <c r="D3" s="126" t="s">
        <v>659</v>
      </c>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48"/>
      <c r="AX3" s="48"/>
      <c r="AY3" s="48"/>
      <c r="AZ3" s="48"/>
      <c r="BA3" s="48"/>
      <c r="BB3" s="48"/>
      <c r="BC3" s="48"/>
      <c r="BD3" s="48"/>
      <c r="BE3" s="48"/>
      <c r="BF3" s="48"/>
      <c r="BG3" s="48"/>
      <c r="BH3" s="48"/>
      <c r="BI3" s="48"/>
      <c r="BJ3" s="48"/>
      <c r="BK3" s="48"/>
      <c r="BL3" s="48"/>
      <c r="BM3" s="48"/>
      <c r="BN3" s="48"/>
      <c r="BO3" s="48"/>
      <c r="BP3" s="48"/>
      <c r="BQ3" s="48"/>
      <c r="BR3" s="48"/>
      <c r="BS3" s="48"/>
      <c r="BT3" s="48"/>
      <c r="BU3" s="48"/>
      <c r="BV3" s="48"/>
      <c r="BW3" s="48"/>
      <c r="BX3" s="48"/>
      <c r="BY3" s="48"/>
      <c r="BZ3" s="48"/>
      <c r="CA3" s="48"/>
      <c r="CB3" s="48"/>
      <c r="CC3" s="48"/>
      <c r="CD3" s="48"/>
      <c r="CE3" s="48"/>
      <c r="CF3" s="48"/>
      <c r="CG3" s="48"/>
      <c r="CH3" s="48"/>
      <c r="CI3" s="48"/>
      <c r="CJ3" s="48"/>
      <c r="CK3" s="48"/>
      <c r="CL3" s="48"/>
      <c r="CM3" s="48"/>
      <c r="CN3" s="48"/>
      <c r="CO3" s="48"/>
      <c r="CP3" s="48"/>
      <c r="CQ3" s="48"/>
      <c r="CR3" s="48"/>
      <c r="CS3" s="48"/>
      <c r="CT3" s="48"/>
      <c r="CU3" s="48"/>
      <c r="CV3" s="48"/>
      <c r="CW3" s="48"/>
      <c r="CX3" s="48"/>
      <c r="CY3" s="48"/>
      <c r="CZ3" s="48"/>
      <c r="DA3" s="48"/>
      <c r="DB3" s="48"/>
      <c r="DC3" s="48"/>
      <c r="DD3" s="48"/>
      <c r="DE3" s="48"/>
      <c r="DF3" s="48"/>
      <c r="DG3" s="48"/>
      <c r="DH3" s="48"/>
    </row>
    <row r="4" spans="1:112" s="47" customFormat="1" ht="48" hidden="1" x14ac:dyDescent="0.2">
      <c r="A4" s="126" t="s">
        <v>724</v>
      </c>
      <c r="B4" s="126" t="s">
        <v>42</v>
      </c>
      <c r="C4" s="126" t="s">
        <v>150</v>
      </c>
      <c r="D4" s="126" t="s">
        <v>313</v>
      </c>
      <c r="E4" s="48"/>
      <c r="F4" s="48"/>
      <c r="G4" s="48"/>
      <c r="H4" s="48"/>
      <c r="I4" s="48"/>
      <c r="J4" s="48"/>
      <c r="K4" s="48"/>
      <c r="L4" s="48"/>
      <c r="M4" s="48"/>
      <c r="N4" s="48"/>
      <c r="O4" s="48"/>
      <c r="P4" s="48"/>
      <c r="Q4" s="48"/>
      <c r="R4" s="48"/>
      <c r="S4" s="48"/>
      <c r="T4" s="48"/>
      <c r="U4" s="48"/>
      <c r="V4" s="48"/>
      <c r="W4" s="48"/>
      <c r="X4" s="48"/>
      <c r="Y4" s="48"/>
      <c r="Z4" s="48"/>
      <c r="AA4" s="48"/>
      <c r="AB4" s="48"/>
      <c r="AC4" s="48"/>
      <c r="AD4" s="48"/>
      <c r="AE4" s="48"/>
      <c r="AF4" s="48"/>
      <c r="AG4" s="48"/>
      <c r="AH4" s="48"/>
      <c r="AI4" s="48"/>
      <c r="AJ4" s="48"/>
      <c r="AK4" s="48"/>
      <c r="AL4" s="48"/>
      <c r="AM4" s="48"/>
      <c r="AN4" s="48"/>
      <c r="AO4" s="48"/>
      <c r="AP4" s="48"/>
      <c r="AQ4" s="48"/>
      <c r="AR4" s="48"/>
      <c r="AS4" s="48"/>
      <c r="AT4" s="48"/>
      <c r="AU4" s="48"/>
      <c r="AV4" s="48"/>
      <c r="AW4" s="48"/>
      <c r="AX4" s="48"/>
      <c r="AY4" s="48"/>
      <c r="AZ4" s="48"/>
      <c r="BA4" s="48"/>
      <c r="BB4" s="48"/>
      <c r="BC4" s="48"/>
      <c r="BD4" s="48"/>
      <c r="BE4" s="48"/>
      <c r="BF4" s="48"/>
      <c r="BG4" s="48"/>
      <c r="BH4" s="48"/>
      <c r="BI4" s="48"/>
      <c r="BJ4" s="48"/>
      <c r="BK4" s="48"/>
      <c r="BL4" s="48"/>
      <c r="BM4" s="48"/>
      <c r="BN4" s="48"/>
      <c r="BO4" s="48"/>
      <c r="BP4" s="48"/>
      <c r="BQ4" s="48"/>
      <c r="BR4" s="48"/>
      <c r="BS4" s="48"/>
      <c r="BT4" s="48"/>
      <c r="BU4" s="48"/>
      <c r="BV4" s="48"/>
      <c r="BW4" s="48"/>
      <c r="BX4" s="48"/>
      <c r="BY4" s="48"/>
      <c r="BZ4" s="48"/>
      <c r="CA4" s="48"/>
      <c r="CB4" s="48"/>
      <c r="CC4" s="48"/>
      <c r="CD4" s="48"/>
      <c r="CE4" s="48"/>
      <c r="CF4" s="48"/>
      <c r="CG4" s="48"/>
      <c r="CH4" s="48"/>
      <c r="CI4" s="48"/>
      <c r="CJ4" s="48"/>
      <c r="CK4" s="48"/>
      <c r="CL4" s="48"/>
      <c r="CM4" s="48"/>
      <c r="CN4" s="48"/>
      <c r="CO4" s="48"/>
      <c r="CP4" s="48"/>
      <c r="CQ4" s="48"/>
      <c r="CR4" s="48"/>
      <c r="CS4" s="48"/>
      <c r="CT4" s="48"/>
      <c r="CU4" s="48"/>
      <c r="CV4" s="48"/>
      <c r="CW4" s="48"/>
      <c r="CX4" s="48"/>
      <c r="CY4" s="48"/>
      <c r="CZ4" s="48"/>
      <c r="DA4" s="48"/>
      <c r="DB4" s="48"/>
      <c r="DC4" s="48"/>
      <c r="DD4" s="48"/>
      <c r="DE4" s="48"/>
      <c r="DF4" s="48"/>
      <c r="DG4" s="48"/>
      <c r="DH4" s="48"/>
    </row>
    <row r="5" spans="1:112" s="47" customFormat="1" ht="48" hidden="1" x14ac:dyDescent="0.2">
      <c r="A5" s="126" t="s">
        <v>724</v>
      </c>
      <c r="B5" s="126" t="s">
        <v>43</v>
      </c>
      <c r="C5" s="126" t="s">
        <v>155</v>
      </c>
      <c r="D5" s="126" t="s">
        <v>660</v>
      </c>
      <c r="E5" s="48"/>
      <c r="F5" s="48"/>
      <c r="G5" s="48"/>
      <c r="H5" s="48"/>
      <c r="I5" s="48"/>
      <c r="J5" s="48"/>
      <c r="K5" s="48"/>
      <c r="L5" s="48"/>
      <c r="M5" s="48"/>
      <c r="N5" s="48"/>
      <c r="O5" s="48"/>
      <c r="P5" s="48"/>
      <c r="Q5" s="48"/>
      <c r="R5" s="48"/>
      <c r="S5" s="48"/>
      <c r="T5" s="48"/>
      <c r="U5" s="48"/>
      <c r="V5" s="48"/>
      <c r="W5" s="48"/>
      <c r="X5" s="48"/>
      <c r="Y5" s="48"/>
      <c r="Z5" s="48"/>
      <c r="AA5" s="48"/>
      <c r="AB5" s="48"/>
      <c r="AC5" s="48"/>
      <c r="AD5" s="48"/>
      <c r="AE5" s="48"/>
      <c r="AF5" s="48"/>
      <c r="AG5" s="48"/>
      <c r="AH5" s="48"/>
      <c r="AI5" s="48"/>
      <c r="AJ5" s="48"/>
      <c r="AK5" s="48"/>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48"/>
      <c r="BR5" s="48"/>
      <c r="BS5" s="48"/>
      <c r="BT5" s="48"/>
      <c r="BU5" s="48"/>
      <c r="BV5" s="48"/>
      <c r="BW5" s="48"/>
      <c r="BX5" s="48"/>
      <c r="BY5" s="48"/>
      <c r="BZ5" s="48"/>
      <c r="CA5" s="48"/>
      <c r="CB5" s="48"/>
      <c r="CC5" s="48"/>
      <c r="CD5" s="48"/>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8"/>
      <c r="DE5" s="48"/>
      <c r="DF5" s="48"/>
      <c r="DG5" s="48"/>
      <c r="DH5" s="48"/>
    </row>
    <row r="6" spans="1:112" s="47" customFormat="1" ht="64" hidden="1" x14ac:dyDescent="0.2">
      <c r="A6" s="126" t="s">
        <v>724</v>
      </c>
      <c r="B6" s="126" t="s">
        <v>43</v>
      </c>
      <c r="C6" s="126" t="s">
        <v>161</v>
      </c>
      <c r="D6" s="126" t="s">
        <v>661</v>
      </c>
      <c r="E6" s="48"/>
      <c r="F6" s="48"/>
      <c r="G6" s="48"/>
      <c r="H6" s="48"/>
      <c r="I6" s="48"/>
      <c r="J6" s="48"/>
      <c r="K6" s="48"/>
      <c r="L6" s="48"/>
      <c r="M6" s="48"/>
      <c r="N6" s="48"/>
      <c r="O6" s="48"/>
      <c r="P6" s="48"/>
      <c r="Q6" s="48"/>
      <c r="R6" s="48"/>
      <c r="S6" s="48"/>
      <c r="T6" s="48"/>
      <c r="U6" s="48"/>
      <c r="V6" s="48"/>
      <c r="W6" s="48"/>
      <c r="X6" s="48"/>
      <c r="Y6" s="48"/>
      <c r="Z6" s="48"/>
      <c r="AA6" s="48"/>
      <c r="AB6" s="48"/>
      <c r="AC6" s="48"/>
      <c r="AD6" s="48"/>
      <c r="AE6" s="48"/>
      <c r="AF6" s="48"/>
      <c r="AG6" s="48"/>
      <c r="AH6" s="48"/>
      <c r="AI6" s="48"/>
      <c r="AJ6" s="48"/>
      <c r="AK6" s="48"/>
      <c r="AL6" s="48"/>
      <c r="AM6" s="48"/>
      <c r="AN6" s="48"/>
      <c r="AO6" s="48"/>
      <c r="AP6" s="48"/>
      <c r="AQ6" s="48"/>
      <c r="AR6" s="48"/>
      <c r="AS6" s="48"/>
      <c r="AT6" s="48"/>
      <c r="AU6" s="48"/>
      <c r="AV6" s="48"/>
      <c r="AW6" s="48"/>
      <c r="AX6" s="48"/>
      <c r="AY6" s="48"/>
      <c r="AZ6" s="48"/>
      <c r="BA6" s="48"/>
      <c r="BB6" s="48"/>
      <c r="BC6" s="48"/>
      <c r="BD6" s="48"/>
      <c r="BE6" s="48"/>
      <c r="BF6" s="48"/>
      <c r="BG6" s="48"/>
      <c r="BH6" s="48"/>
      <c r="BI6" s="48"/>
      <c r="BJ6" s="48"/>
      <c r="BK6" s="48"/>
      <c r="BL6" s="48"/>
      <c r="BM6" s="48"/>
      <c r="BN6" s="48"/>
      <c r="BO6" s="48"/>
      <c r="BP6" s="48"/>
      <c r="BQ6" s="48"/>
      <c r="BR6" s="48"/>
      <c r="BS6" s="48"/>
      <c r="BT6" s="48"/>
      <c r="BU6" s="48"/>
      <c r="BV6" s="48"/>
      <c r="BW6" s="48"/>
      <c r="BX6" s="48"/>
      <c r="BY6" s="48"/>
      <c r="BZ6" s="48"/>
      <c r="CA6" s="48"/>
      <c r="CB6" s="48"/>
      <c r="CC6" s="48"/>
      <c r="CD6" s="48"/>
      <c r="CE6" s="48"/>
      <c r="CF6" s="48"/>
      <c r="CG6" s="48"/>
      <c r="CH6" s="48"/>
      <c r="CI6" s="48"/>
      <c r="CJ6" s="48"/>
      <c r="CK6" s="48"/>
      <c r="CL6" s="48"/>
      <c r="CM6" s="48"/>
      <c r="CN6" s="48"/>
      <c r="CO6" s="48"/>
      <c r="CP6" s="48"/>
      <c r="CQ6" s="48"/>
      <c r="CR6" s="48"/>
      <c r="CS6" s="48"/>
      <c r="CT6" s="48"/>
      <c r="CU6" s="48"/>
      <c r="CV6" s="48"/>
      <c r="CW6" s="48"/>
      <c r="CX6" s="48"/>
      <c r="CY6" s="48"/>
      <c r="CZ6" s="48"/>
      <c r="DA6" s="48"/>
      <c r="DB6" s="48"/>
      <c r="DC6" s="48"/>
      <c r="DD6" s="48"/>
      <c r="DE6" s="48"/>
      <c r="DF6" s="48"/>
      <c r="DG6" s="48"/>
      <c r="DH6" s="48"/>
    </row>
    <row r="7" spans="1:112" s="47" customFormat="1" ht="48" hidden="1" x14ac:dyDescent="0.2">
      <c r="A7" s="126" t="s">
        <v>724</v>
      </c>
      <c r="B7" s="126" t="s">
        <v>43</v>
      </c>
      <c r="C7" s="126" t="s">
        <v>161</v>
      </c>
      <c r="D7" s="126" t="s">
        <v>315</v>
      </c>
      <c r="E7" s="48"/>
      <c r="F7" s="48"/>
      <c r="G7" s="48"/>
      <c r="H7" s="48"/>
      <c r="I7" s="48"/>
      <c r="J7" s="48"/>
      <c r="K7" s="48"/>
      <c r="L7" s="48"/>
      <c r="M7" s="48"/>
      <c r="N7" s="48"/>
      <c r="O7" s="48"/>
      <c r="P7" s="48"/>
      <c r="Q7" s="48"/>
      <c r="R7" s="48"/>
      <c r="S7" s="48"/>
      <c r="T7" s="48"/>
      <c r="U7" s="48"/>
      <c r="V7" s="48"/>
      <c r="W7" s="48"/>
      <c r="X7" s="48"/>
      <c r="Y7" s="48"/>
      <c r="Z7" s="48"/>
      <c r="AA7" s="48"/>
      <c r="AB7" s="48"/>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8"/>
      <c r="BC7" s="48"/>
      <c r="BD7" s="48"/>
      <c r="BE7" s="48"/>
      <c r="BF7" s="48"/>
      <c r="BG7" s="48"/>
      <c r="BH7" s="48"/>
      <c r="BI7" s="48"/>
      <c r="BJ7" s="48"/>
      <c r="BK7" s="48"/>
      <c r="BL7" s="48"/>
      <c r="BM7" s="48"/>
      <c r="BN7" s="48"/>
      <c r="BO7" s="48"/>
      <c r="BP7" s="48"/>
      <c r="BQ7" s="48"/>
      <c r="BR7" s="48"/>
      <c r="BS7" s="48"/>
      <c r="BT7" s="48"/>
      <c r="BU7" s="48"/>
      <c r="BV7" s="48"/>
      <c r="BW7" s="48"/>
      <c r="BX7" s="48"/>
      <c r="BY7" s="48"/>
      <c r="BZ7" s="48"/>
      <c r="CA7" s="48"/>
      <c r="CB7" s="48"/>
      <c r="CC7" s="48"/>
      <c r="CD7" s="48"/>
      <c r="CE7" s="48"/>
      <c r="CF7" s="48"/>
      <c r="CG7" s="48"/>
      <c r="CH7" s="48"/>
      <c r="CI7" s="48"/>
      <c r="CJ7" s="48"/>
      <c r="CK7" s="48"/>
      <c r="CL7" s="48"/>
      <c r="CM7" s="48"/>
      <c r="CN7" s="48"/>
      <c r="CO7" s="48"/>
      <c r="CP7" s="48"/>
      <c r="CQ7" s="48"/>
      <c r="CR7" s="48"/>
      <c r="CS7" s="48"/>
      <c r="CT7" s="48"/>
      <c r="CU7" s="48"/>
      <c r="CV7" s="48"/>
      <c r="CW7" s="48"/>
      <c r="CX7" s="48"/>
      <c r="CY7" s="48"/>
      <c r="CZ7" s="48"/>
      <c r="DA7" s="48"/>
      <c r="DB7" s="48"/>
      <c r="DC7" s="48"/>
      <c r="DD7" s="48"/>
      <c r="DE7" s="48"/>
      <c r="DF7" s="48"/>
      <c r="DG7" s="48"/>
      <c r="DH7" s="48"/>
    </row>
    <row r="8" spans="1:112" s="47" customFormat="1" ht="48" hidden="1" x14ac:dyDescent="0.2">
      <c r="A8" s="126" t="s">
        <v>724</v>
      </c>
      <c r="B8" s="126" t="s">
        <v>43</v>
      </c>
      <c r="C8" s="126" t="s">
        <v>166</v>
      </c>
      <c r="D8" s="126" t="s">
        <v>316</v>
      </c>
      <c r="E8" s="48"/>
      <c r="F8" s="48"/>
      <c r="G8" s="48"/>
      <c r="H8" s="48"/>
      <c r="I8" s="48"/>
      <c r="J8" s="48"/>
      <c r="K8" s="48"/>
      <c r="L8" s="48"/>
      <c r="M8" s="48"/>
      <c r="N8" s="48"/>
      <c r="O8" s="48"/>
      <c r="P8" s="48"/>
      <c r="Q8" s="48"/>
      <c r="R8" s="48"/>
      <c r="S8" s="48"/>
      <c r="T8" s="48"/>
      <c r="U8" s="48"/>
      <c r="V8" s="48"/>
      <c r="W8" s="48"/>
      <c r="X8" s="48"/>
      <c r="Y8" s="48"/>
      <c r="Z8" s="48"/>
      <c r="AA8" s="48"/>
      <c r="AB8" s="48"/>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8"/>
      <c r="BC8" s="48"/>
      <c r="BD8" s="48"/>
      <c r="BE8" s="48"/>
      <c r="BF8" s="48"/>
      <c r="BG8" s="48"/>
      <c r="BH8" s="48"/>
      <c r="BI8" s="48"/>
      <c r="BJ8" s="48"/>
      <c r="BK8" s="48"/>
      <c r="BL8" s="48"/>
      <c r="BM8" s="48"/>
      <c r="BN8" s="48"/>
      <c r="BO8" s="48"/>
      <c r="BP8" s="48"/>
      <c r="BQ8" s="48"/>
      <c r="BR8" s="48"/>
      <c r="BS8" s="48"/>
      <c r="BT8" s="48"/>
      <c r="BU8" s="48"/>
      <c r="BV8" s="48"/>
      <c r="BW8" s="48"/>
      <c r="BX8" s="48"/>
      <c r="BY8" s="48"/>
      <c r="BZ8" s="48"/>
      <c r="CA8" s="48"/>
      <c r="CB8" s="48"/>
      <c r="CC8" s="48"/>
      <c r="CD8" s="48"/>
      <c r="CE8" s="48"/>
      <c r="CF8" s="48"/>
      <c r="CG8" s="48"/>
      <c r="CH8" s="48"/>
      <c r="CI8" s="48"/>
      <c r="CJ8" s="48"/>
      <c r="CK8" s="48"/>
      <c r="CL8" s="48"/>
      <c r="CM8" s="48"/>
      <c r="CN8" s="48"/>
      <c r="CO8" s="48"/>
      <c r="CP8" s="48"/>
      <c r="CQ8" s="48"/>
      <c r="CR8" s="48"/>
      <c r="CS8" s="48"/>
      <c r="CT8" s="48"/>
      <c r="CU8" s="48"/>
      <c r="CV8" s="48"/>
      <c r="CW8" s="48"/>
      <c r="CX8" s="48"/>
      <c r="CY8" s="48"/>
      <c r="CZ8" s="48"/>
      <c r="DA8" s="48"/>
      <c r="DB8" s="48"/>
      <c r="DC8" s="48"/>
      <c r="DD8" s="48"/>
      <c r="DE8" s="48"/>
      <c r="DF8" s="48"/>
      <c r="DG8" s="48"/>
      <c r="DH8" s="48"/>
    </row>
    <row r="9" spans="1:112" s="47" customFormat="1" ht="48" hidden="1" x14ac:dyDescent="0.2">
      <c r="A9" s="126" t="s">
        <v>724</v>
      </c>
      <c r="B9" s="126" t="s">
        <v>54</v>
      </c>
      <c r="C9" s="126" t="s">
        <v>171</v>
      </c>
      <c r="D9" s="126" t="s">
        <v>662</v>
      </c>
      <c r="E9" s="48"/>
      <c r="F9" s="48"/>
      <c r="G9" s="48"/>
      <c r="H9" s="48"/>
      <c r="I9" s="48"/>
      <c r="J9" s="48"/>
      <c r="K9" s="48"/>
      <c r="L9" s="48"/>
      <c r="M9" s="48"/>
      <c r="N9" s="48"/>
      <c r="O9" s="48"/>
      <c r="P9" s="48"/>
      <c r="Q9" s="48"/>
      <c r="R9" s="48"/>
      <c r="S9" s="48"/>
      <c r="T9" s="48"/>
      <c r="U9" s="48"/>
      <c r="V9" s="48"/>
      <c r="W9" s="48"/>
      <c r="X9" s="48"/>
      <c r="Y9" s="48"/>
      <c r="Z9" s="48"/>
      <c r="AA9" s="48"/>
      <c r="AB9" s="48"/>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8"/>
      <c r="BC9" s="48"/>
      <c r="BD9" s="48"/>
      <c r="BE9" s="48"/>
      <c r="BF9" s="48"/>
      <c r="BG9" s="48"/>
      <c r="BH9" s="48"/>
      <c r="BI9" s="48"/>
      <c r="BJ9" s="48"/>
      <c r="BK9" s="48"/>
      <c r="BL9" s="48"/>
      <c r="BM9" s="48"/>
      <c r="BN9" s="48"/>
      <c r="BO9" s="48"/>
      <c r="BP9" s="48"/>
      <c r="BQ9" s="48"/>
      <c r="BR9" s="48"/>
      <c r="BS9" s="48"/>
      <c r="BT9" s="48"/>
      <c r="BU9" s="48"/>
      <c r="BV9" s="48"/>
      <c r="BW9" s="48"/>
      <c r="BX9" s="48"/>
      <c r="BY9" s="48"/>
      <c r="BZ9" s="48"/>
      <c r="CA9" s="48"/>
      <c r="CB9" s="48"/>
      <c r="CC9" s="48"/>
      <c r="CD9" s="48"/>
      <c r="CE9" s="48"/>
      <c r="CF9" s="48"/>
      <c r="CG9" s="48"/>
      <c r="CH9" s="48"/>
      <c r="CI9" s="48"/>
      <c r="CJ9" s="48"/>
      <c r="CK9" s="48"/>
      <c r="CL9" s="48"/>
      <c r="CM9" s="48"/>
      <c r="CN9" s="48"/>
      <c r="CO9" s="48"/>
      <c r="CP9" s="48"/>
      <c r="CQ9" s="48"/>
      <c r="CR9" s="48"/>
      <c r="CS9" s="48"/>
      <c r="CT9" s="48"/>
      <c r="CU9" s="48"/>
      <c r="CV9" s="48"/>
      <c r="CW9" s="48"/>
      <c r="CX9" s="48"/>
      <c r="CY9" s="48"/>
      <c r="CZ9" s="48"/>
      <c r="DA9" s="48"/>
      <c r="DB9" s="48"/>
      <c r="DC9" s="48"/>
      <c r="DD9" s="48"/>
      <c r="DE9" s="48"/>
      <c r="DF9" s="48"/>
      <c r="DG9" s="48"/>
      <c r="DH9" s="48"/>
    </row>
    <row r="10" spans="1:112" s="47" customFormat="1" ht="32" hidden="1" x14ac:dyDescent="0.2">
      <c r="A10" s="126" t="s">
        <v>724</v>
      </c>
      <c r="B10" s="126" t="s">
        <v>54</v>
      </c>
      <c r="C10" s="126" t="s">
        <v>317</v>
      </c>
      <c r="D10" s="126" t="s">
        <v>318</v>
      </c>
      <c r="E10" s="48"/>
      <c r="F10" s="48"/>
      <c r="G10" s="48"/>
      <c r="H10" s="48"/>
      <c r="I10" s="48"/>
      <c r="J10" s="48"/>
      <c r="K10" s="48"/>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8"/>
      <c r="BD10" s="48"/>
      <c r="BE10" s="48"/>
      <c r="BF10" s="48"/>
      <c r="BG10" s="48"/>
      <c r="BH10" s="48"/>
      <c r="BI10" s="48"/>
      <c r="BJ10" s="48"/>
      <c r="BK10" s="48"/>
      <c r="BL10" s="48"/>
      <c r="BM10" s="48"/>
      <c r="BN10" s="48"/>
      <c r="BO10" s="48"/>
      <c r="BP10" s="48"/>
      <c r="BQ10" s="48"/>
      <c r="BR10" s="48"/>
      <c r="BS10" s="48"/>
      <c r="BT10" s="48"/>
      <c r="BU10" s="48"/>
      <c r="BV10" s="48"/>
      <c r="BW10" s="48"/>
      <c r="BX10" s="48"/>
      <c r="BY10" s="48"/>
      <c r="BZ10" s="48"/>
      <c r="CA10" s="48"/>
      <c r="CB10" s="48"/>
      <c r="CC10" s="48"/>
      <c r="CD10" s="48"/>
      <c r="CE10" s="48"/>
      <c r="CF10" s="48"/>
      <c r="CG10" s="48"/>
      <c r="CH10" s="48"/>
      <c r="CI10" s="48"/>
      <c r="CJ10" s="48"/>
      <c r="CK10" s="48"/>
      <c r="CL10" s="48"/>
      <c r="CM10" s="48"/>
      <c r="CN10" s="48"/>
      <c r="CO10" s="48"/>
      <c r="CP10" s="48"/>
      <c r="CQ10" s="48"/>
      <c r="CR10" s="48"/>
      <c r="CS10" s="48"/>
      <c r="CT10" s="48"/>
      <c r="CU10" s="48"/>
      <c r="CV10" s="48"/>
      <c r="CW10" s="48"/>
      <c r="CX10" s="48"/>
      <c r="CY10" s="48"/>
      <c r="CZ10" s="48"/>
      <c r="DA10" s="48"/>
      <c r="DB10" s="48"/>
      <c r="DC10" s="48"/>
      <c r="DD10" s="48"/>
      <c r="DE10" s="48"/>
      <c r="DF10" s="48"/>
      <c r="DG10" s="48"/>
      <c r="DH10" s="48"/>
    </row>
    <row r="11" spans="1:112" s="47" customFormat="1" ht="64" hidden="1" x14ac:dyDescent="0.2">
      <c r="A11" s="126" t="s">
        <v>724</v>
      </c>
      <c r="B11" s="126" t="s">
        <v>54</v>
      </c>
      <c r="C11" s="126" t="s">
        <v>183</v>
      </c>
      <c r="D11" s="126" t="s">
        <v>319</v>
      </c>
      <c r="E11" s="48"/>
      <c r="F11" s="48"/>
      <c r="G11" s="48"/>
      <c r="H11" s="48"/>
      <c r="I11" s="48"/>
      <c r="J11" s="48"/>
      <c r="K11" s="48"/>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8"/>
      <c r="BI11" s="48"/>
      <c r="BJ11" s="48"/>
      <c r="BK11" s="48"/>
      <c r="BL11" s="48"/>
      <c r="BM11" s="48"/>
      <c r="BN11" s="48"/>
      <c r="BO11" s="48"/>
      <c r="BP11" s="48"/>
      <c r="BQ11" s="48"/>
      <c r="BR11" s="48"/>
      <c r="BS11" s="48"/>
      <c r="BT11" s="48"/>
      <c r="BU11" s="48"/>
      <c r="BV11" s="48"/>
      <c r="BW11" s="48"/>
      <c r="BX11" s="48"/>
      <c r="BY11" s="48"/>
      <c r="BZ11" s="48"/>
      <c r="CA11" s="48"/>
      <c r="CB11" s="48"/>
      <c r="CC11" s="48"/>
      <c r="CD11" s="48"/>
      <c r="CE11" s="48"/>
      <c r="CF11" s="48"/>
      <c r="CG11" s="48"/>
      <c r="CH11" s="48"/>
      <c r="CI11" s="48"/>
      <c r="CJ11" s="48"/>
      <c r="CK11" s="48"/>
      <c r="CL11" s="48"/>
      <c r="CM11" s="48"/>
      <c r="CN11" s="48"/>
      <c r="CO11" s="48"/>
      <c r="CP11" s="48"/>
      <c r="CQ11" s="48"/>
      <c r="CR11" s="48"/>
      <c r="CS11" s="48"/>
      <c r="CT11" s="48"/>
      <c r="CU11" s="48"/>
      <c r="CV11" s="48"/>
      <c r="CW11" s="48"/>
      <c r="CX11" s="48"/>
      <c r="CY11" s="48"/>
      <c r="CZ11" s="48"/>
      <c r="DA11" s="48"/>
      <c r="DB11" s="48"/>
      <c r="DC11" s="48"/>
      <c r="DD11" s="48"/>
      <c r="DE11" s="48"/>
      <c r="DF11" s="48"/>
      <c r="DG11" s="48"/>
      <c r="DH11" s="48"/>
    </row>
    <row r="12" spans="1:112" s="47" customFormat="1" ht="32" hidden="1" x14ac:dyDescent="0.2">
      <c r="A12" s="126" t="s">
        <v>724</v>
      </c>
      <c r="B12" s="126" t="s">
        <v>320</v>
      </c>
      <c r="C12" s="126" t="s">
        <v>187</v>
      </c>
      <c r="D12" s="126" t="s">
        <v>663</v>
      </c>
      <c r="E12" s="48"/>
      <c r="F12" s="48"/>
      <c r="G12" s="48"/>
      <c r="H12" s="48"/>
      <c r="I12" s="48"/>
      <c r="J12" s="48"/>
      <c r="K12" s="48"/>
      <c r="L12" s="48"/>
      <c r="M12" s="48"/>
      <c r="N12" s="48"/>
      <c r="O12" s="48"/>
      <c r="P12" s="48"/>
      <c r="Q12" s="48"/>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8"/>
      <c r="BC12" s="48"/>
      <c r="BD12" s="48"/>
      <c r="BE12" s="48"/>
      <c r="BF12" s="48"/>
      <c r="BG12" s="48"/>
      <c r="BH12" s="48"/>
      <c r="BI12" s="48"/>
      <c r="BJ12" s="48"/>
      <c r="BK12" s="48"/>
      <c r="BL12" s="48"/>
      <c r="BM12" s="48"/>
      <c r="BN12" s="48"/>
      <c r="BO12" s="48"/>
      <c r="BP12" s="48"/>
      <c r="BQ12" s="48"/>
      <c r="BR12" s="48"/>
      <c r="BS12" s="48"/>
      <c r="BT12" s="48"/>
      <c r="BU12" s="48"/>
      <c r="BV12" s="48"/>
      <c r="BW12" s="48"/>
      <c r="BX12" s="48"/>
      <c r="BY12" s="48"/>
      <c r="BZ12" s="48"/>
      <c r="CA12" s="48"/>
      <c r="CB12" s="48"/>
      <c r="CC12" s="48"/>
      <c r="CD12" s="48"/>
      <c r="CE12" s="48"/>
      <c r="CF12" s="48"/>
      <c r="CG12" s="48"/>
      <c r="CH12" s="48"/>
      <c r="CI12" s="48"/>
      <c r="CJ12" s="48"/>
      <c r="CK12" s="48"/>
      <c r="CL12" s="48"/>
      <c r="CM12" s="48"/>
      <c r="CN12" s="48"/>
      <c r="CO12" s="48"/>
      <c r="CP12" s="48"/>
      <c r="CQ12" s="48"/>
      <c r="CR12" s="48"/>
      <c r="CS12" s="48"/>
      <c r="CT12" s="48"/>
      <c r="CU12" s="48"/>
      <c r="CV12" s="48"/>
      <c r="CW12" s="48"/>
      <c r="CX12" s="48"/>
      <c r="CY12" s="48"/>
      <c r="CZ12" s="48"/>
      <c r="DA12" s="48"/>
      <c r="DB12" s="48"/>
      <c r="DC12" s="48"/>
      <c r="DD12" s="48"/>
      <c r="DE12" s="48"/>
      <c r="DF12" s="48"/>
      <c r="DG12" s="48"/>
      <c r="DH12" s="48"/>
    </row>
    <row r="13" spans="1:112" s="47" customFormat="1" ht="48" hidden="1" x14ac:dyDescent="0.2">
      <c r="A13" s="126" t="s">
        <v>724</v>
      </c>
      <c r="B13" s="126" t="s">
        <v>320</v>
      </c>
      <c r="C13" s="126" t="s">
        <v>190</v>
      </c>
      <c r="D13" s="126" t="s">
        <v>664</v>
      </c>
      <c r="E13" s="48"/>
      <c r="F13" s="48"/>
      <c r="G13" s="48"/>
      <c r="H13" s="48"/>
      <c r="I13" s="48"/>
      <c r="J13" s="48"/>
      <c r="K13" s="48"/>
      <c r="L13" s="48"/>
      <c r="M13" s="48"/>
      <c r="N13" s="48"/>
      <c r="O13" s="48"/>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8"/>
      <c r="BD13" s="48"/>
      <c r="BE13" s="48"/>
      <c r="BF13" s="48"/>
      <c r="BG13" s="48"/>
      <c r="BH13" s="48"/>
      <c r="BI13" s="48"/>
      <c r="BJ13" s="48"/>
      <c r="BK13" s="48"/>
      <c r="BL13" s="48"/>
      <c r="BM13" s="48"/>
      <c r="BN13" s="48"/>
      <c r="BO13" s="48"/>
      <c r="BP13" s="48"/>
      <c r="BQ13" s="48"/>
      <c r="BR13" s="48"/>
      <c r="BS13" s="48"/>
      <c r="BT13" s="48"/>
      <c r="BU13" s="48"/>
      <c r="BV13" s="48"/>
      <c r="BW13" s="48"/>
      <c r="BX13" s="48"/>
      <c r="BY13" s="48"/>
      <c r="BZ13" s="48"/>
      <c r="CA13" s="48"/>
      <c r="CB13" s="48"/>
      <c r="CC13" s="48"/>
      <c r="CD13" s="48"/>
      <c r="CE13" s="48"/>
      <c r="CF13" s="48"/>
      <c r="CG13" s="48"/>
      <c r="CH13" s="48"/>
      <c r="CI13" s="48"/>
      <c r="CJ13" s="48"/>
      <c r="CK13" s="48"/>
      <c r="CL13" s="48"/>
      <c r="CM13" s="48"/>
      <c r="CN13" s="48"/>
      <c r="CO13" s="48"/>
      <c r="CP13" s="48"/>
      <c r="CQ13" s="48"/>
      <c r="CR13" s="48"/>
      <c r="CS13" s="48"/>
      <c r="CT13" s="48"/>
      <c r="CU13" s="48"/>
      <c r="CV13" s="48"/>
      <c r="CW13" s="48"/>
      <c r="CX13" s="48"/>
      <c r="CY13" s="48"/>
      <c r="CZ13" s="48"/>
      <c r="DA13" s="48"/>
      <c r="DB13" s="48"/>
      <c r="DC13" s="48"/>
      <c r="DD13" s="48"/>
      <c r="DE13" s="48"/>
      <c r="DF13" s="48"/>
      <c r="DG13" s="48"/>
      <c r="DH13" s="48"/>
    </row>
    <row r="14" spans="1:112" s="47" customFormat="1" ht="64" hidden="1" x14ac:dyDescent="0.2">
      <c r="A14" s="126" t="s">
        <v>724</v>
      </c>
      <c r="B14" s="126" t="s">
        <v>320</v>
      </c>
      <c r="C14" s="126" t="s">
        <v>193</v>
      </c>
      <c r="D14" s="126" t="s">
        <v>665</v>
      </c>
      <c r="E14" s="48"/>
      <c r="F14" s="48"/>
      <c r="G14" s="48"/>
      <c r="H14" s="48"/>
      <c r="I14" s="48"/>
      <c r="J14" s="48"/>
      <c r="K14" s="48"/>
      <c r="L14" s="48"/>
      <c r="M14" s="48"/>
      <c r="N14" s="48"/>
      <c r="O14" s="48"/>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8"/>
      <c r="BD14" s="48"/>
      <c r="BE14" s="48"/>
      <c r="BF14" s="48"/>
      <c r="BG14" s="48"/>
      <c r="BH14" s="48"/>
      <c r="BI14" s="48"/>
      <c r="BJ14" s="48"/>
      <c r="BK14" s="48"/>
      <c r="BL14" s="48"/>
      <c r="BM14" s="48"/>
      <c r="BN14" s="48"/>
      <c r="BO14" s="48"/>
      <c r="BP14" s="48"/>
      <c r="BQ14" s="48"/>
      <c r="BR14" s="48"/>
      <c r="BS14" s="48"/>
      <c r="BT14" s="48"/>
      <c r="BU14" s="48"/>
      <c r="BV14" s="48"/>
      <c r="BW14" s="48"/>
      <c r="BX14" s="48"/>
      <c r="BY14" s="48"/>
      <c r="BZ14" s="48"/>
      <c r="CA14" s="48"/>
      <c r="CB14" s="48"/>
      <c r="CC14" s="48"/>
      <c r="CD14" s="48"/>
      <c r="CE14" s="48"/>
      <c r="CF14" s="48"/>
      <c r="CG14" s="48"/>
      <c r="CH14" s="48"/>
      <c r="CI14" s="48"/>
      <c r="CJ14" s="48"/>
      <c r="CK14" s="48"/>
      <c r="CL14" s="48"/>
      <c r="CM14" s="48"/>
      <c r="CN14" s="48"/>
      <c r="CO14" s="48"/>
      <c r="CP14" s="48"/>
      <c r="CQ14" s="48"/>
      <c r="CR14" s="48"/>
      <c r="CS14" s="48"/>
      <c r="CT14" s="48"/>
      <c r="CU14" s="48"/>
      <c r="CV14" s="48"/>
      <c r="CW14" s="48"/>
      <c r="CX14" s="48"/>
      <c r="CY14" s="48"/>
      <c r="CZ14" s="48"/>
      <c r="DA14" s="48"/>
      <c r="DB14" s="48"/>
      <c r="DC14" s="48"/>
      <c r="DD14" s="48"/>
      <c r="DE14" s="48"/>
      <c r="DF14" s="48"/>
      <c r="DG14" s="48"/>
      <c r="DH14" s="48"/>
    </row>
    <row r="15" spans="1:112" s="47" customFormat="1" ht="48" hidden="1" x14ac:dyDescent="0.2">
      <c r="A15" s="126" t="s">
        <v>724</v>
      </c>
      <c r="B15" s="126" t="s">
        <v>320</v>
      </c>
      <c r="C15" s="126" t="s">
        <v>322</v>
      </c>
      <c r="D15" s="126" t="s">
        <v>666</v>
      </c>
      <c r="E15" s="48"/>
      <c r="F15" s="48"/>
      <c r="G15" s="48"/>
      <c r="H15" s="48"/>
      <c r="I15" s="48"/>
      <c r="J15" s="48"/>
      <c r="K15" s="48"/>
      <c r="L15" s="48"/>
      <c r="M15" s="48"/>
      <c r="N15" s="48"/>
      <c r="O15" s="48"/>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48"/>
      <c r="AX15" s="48"/>
      <c r="AY15" s="48"/>
      <c r="AZ15" s="48"/>
      <c r="BA15" s="48"/>
      <c r="BB15" s="48"/>
      <c r="BC15" s="48"/>
      <c r="BD15" s="48"/>
      <c r="BE15" s="48"/>
      <c r="BF15" s="48"/>
      <c r="BG15" s="48"/>
      <c r="BH15" s="48"/>
      <c r="BI15" s="48"/>
      <c r="BJ15" s="48"/>
      <c r="BK15" s="48"/>
      <c r="BL15" s="48"/>
      <c r="BM15" s="48"/>
      <c r="BN15" s="48"/>
      <c r="BO15" s="48"/>
      <c r="BP15" s="48"/>
      <c r="BQ15" s="48"/>
      <c r="BR15" s="48"/>
      <c r="BS15" s="48"/>
      <c r="BT15" s="48"/>
      <c r="BU15" s="48"/>
      <c r="BV15" s="48"/>
      <c r="BW15" s="48"/>
      <c r="BX15" s="48"/>
      <c r="BY15" s="48"/>
      <c r="BZ15" s="48"/>
      <c r="CA15" s="48"/>
      <c r="CB15" s="48"/>
      <c r="CC15" s="48"/>
      <c r="CD15" s="48"/>
      <c r="CE15" s="48"/>
      <c r="CF15" s="48"/>
      <c r="CG15" s="48"/>
      <c r="CH15" s="48"/>
      <c r="CI15" s="48"/>
      <c r="CJ15" s="48"/>
      <c r="CK15" s="48"/>
      <c r="CL15" s="48"/>
      <c r="CM15" s="48"/>
      <c r="CN15" s="48"/>
      <c r="CO15" s="48"/>
      <c r="CP15" s="48"/>
      <c r="CQ15" s="48"/>
      <c r="CR15" s="48"/>
      <c r="CS15" s="48"/>
      <c r="CT15" s="48"/>
      <c r="CU15" s="48"/>
      <c r="CV15" s="48"/>
      <c r="CW15" s="48"/>
      <c r="CX15" s="48"/>
      <c r="CY15" s="48"/>
      <c r="CZ15" s="48"/>
      <c r="DA15" s="48"/>
      <c r="DB15" s="48"/>
      <c r="DC15" s="48"/>
      <c r="DD15" s="48"/>
      <c r="DE15" s="48"/>
      <c r="DF15" s="48"/>
      <c r="DG15" s="48"/>
      <c r="DH15" s="48"/>
    </row>
    <row r="16" spans="1:112" s="47" customFormat="1" ht="48" hidden="1" x14ac:dyDescent="0.2">
      <c r="A16" s="126" t="s">
        <v>724</v>
      </c>
      <c r="B16" s="126" t="s">
        <v>83</v>
      </c>
      <c r="C16" s="126" t="s">
        <v>323</v>
      </c>
      <c r="D16" s="126" t="s">
        <v>934</v>
      </c>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48"/>
      <c r="AX16" s="48"/>
      <c r="AY16" s="48"/>
      <c r="AZ16" s="48"/>
      <c r="BA16" s="48"/>
      <c r="BB16" s="48"/>
      <c r="BC16" s="48"/>
      <c r="BD16" s="48"/>
      <c r="BE16" s="48"/>
      <c r="BF16" s="48"/>
      <c r="BG16" s="48"/>
      <c r="BH16" s="48"/>
      <c r="BI16" s="48"/>
      <c r="BJ16" s="48"/>
      <c r="BK16" s="48"/>
      <c r="BL16" s="48"/>
      <c r="BM16" s="48"/>
      <c r="BN16" s="48"/>
      <c r="BO16" s="48"/>
      <c r="BP16" s="48"/>
      <c r="BQ16" s="48"/>
      <c r="BR16" s="48"/>
      <c r="BS16" s="48"/>
      <c r="BT16" s="48"/>
      <c r="BU16" s="48"/>
      <c r="BV16" s="48"/>
      <c r="BW16" s="48"/>
      <c r="BX16" s="48"/>
      <c r="BY16" s="48"/>
      <c r="BZ16" s="48"/>
      <c r="CA16" s="48"/>
      <c r="CB16" s="48"/>
      <c r="CC16" s="48"/>
      <c r="CD16" s="48"/>
      <c r="CE16" s="48"/>
      <c r="CF16" s="48"/>
      <c r="CG16" s="48"/>
      <c r="CH16" s="48"/>
      <c r="CI16" s="48"/>
      <c r="CJ16" s="48"/>
      <c r="CK16" s="48"/>
      <c r="CL16" s="48"/>
      <c r="CM16" s="48"/>
      <c r="CN16" s="48"/>
      <c r="CO16" s="48"/>
      <c r="CP16" s="48"/>
      <c r="CQ16" s="48"/>
      <c r="CR16" s="48"/>
      <c r="CS16" s="48"/>
      <c r="CT16" s="48"/>
      <c r="CU16" s="48"/>
      <c r="CV16" s="48"/>
      <c r="CW16" s="48"/>
      <c r="CX16" s="48"/>
      <c r="CY16" s="48"/>
      <c r="CZ16" s="48"/>
      <c r="DA16" s="48"/>
      <c r="DB16" s="48"/>
      <c r="DC16" s="48"/>
      <c r="DD16" s="48"/>
      <c r="DE16" s="48"/>
      <c r="DF16" s="48"/>
      <c r="DG16" s="48"/>
      <c r="DH16" s="48"/>
    </row>
    <row r="17" spans="1:112" s="47" customFormat="1" ht="48" hidden="1" x14ac:dyDescent="0.2">
      <c r="A17" s="126" t="s">
        <v>724</v>
      </c>
      <c r="B17" s="126" t="s">
        <v>83</v>
      </c>
      <c r="C17" s="126" t="s">
        <v>202</v>
      </c>
      <c r="D17" s="126" t="s">
        <v>667</v>
      </c>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48"/>
      <c r="BD17" s="48"/>
      <c r="BE17" s="48"/>
      <c r="BF17" s="48"/>
      <c r="BG17" s="48"/>
      <c r="BH17" s="48"/>
      <c r="BI17" s="48"/>
      <c r="BJ17" s="48"/>
      <c r="BK17" s="48"/>
      <c r="BL17" s="48"/>
      <c r="BM17" s="48"/>
      <c r="BN17" s="48"/>
      <c r="BO17" s="48"/>
      <c r="BP17" s="48"/>
      <c r="BQ17" s="48"/>
      <c r="BR17" s="48"/>
      <c r="BS17" s="48"/>
      <c r="BT17" s="48"/>
      <c r="BU17" s="48"/>
      <c r="BV17" s="48"/>
      <c r="BW17" s="48"/>
      <c r="BX17" s="48"/>
      <c r="BY17" s="48"/>
      <c r="BZ17" s="48"/>
      <c r="CA17" s="48"/>
      <c r="CB17" s="48"/>
      <c r="CC17" s="48"/>
      <c r="CD17" s="48"/>
      <c r="CE17" s="48"/>
      <c r="CF17" s="48"/>
      <c r="CG17" s="48"/>
      <c r="CH17" s="48"/>
      <c r="CI17" s="48"/>
      <c r="CJ17" s="48"/>
      <c r="CK17" s="48"/>
      <c r="CL17" s="48"/>
      <c r="CM17" s="48"/>
      <c r="CN17" s="48"/>
      <c r="CO17" s="48"/>
      <c r="CP17" s="48"/>
      <c r="CQ17" s="48"/>
      <c r="CR17" s="48"/>
      <c r="CS17" s="48"/>
      <c r="CT17" s="48"/>
      <c r="CU17" s="48"/>
      <c r="CV17" s="48"/>
      <c r="CW17" s="48"/>
      <c r="CX17" s="48"/>
      <c r="CY17" s="48"/>
      <c r="CZ17" s="48"/>
      <c r="DA17" s="48"/>
      <c r="DB17" s="48"/>
      <c r="DC17" s="48"/>
      <c r="DD17" s="48"/>
      <c r="DE17" s="48"/>
      <c r="DF17" s="48"/>
      <c r="DG17" s="48"/>
      <c r="DH17" s="48"/>
    </row>
    <row r="18" spans="1:112" s="47" customFormat="1" ht="48" hidden="1" x14ac:dyDescent="0.2">
      <c r="A18" s="126" t="s">
        <v>724</v>
      </c>
      <c r="B18" s="126" t="s">
        <v>83</v>
      </c>
      <c r="C18" s="126" t="s">
        <v>204</v>
      </c>
      <c r="D18" s="126" t="s">
        <v>668</v>
      </c>
      <c r="E18" s="48"/>
      <c r="F18" s="48"/>
      <c r="G18" s="48"/>
      <c r="H18" s="48"/>
      <c r="I18" s="48"/>
      <c r="J18" s="48"/>
      <c r="K18" s="48"/>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row>
    <row r="19" spans="1:112" s="47" customFormat="1" ht="48" hidden="1" x14ac:dyDescent="0.2">
      <c r="A19" s="126" t="s">
        <v>724</v>
      </c>
      <c r="B19" s="126" t="s">
        <v>88</v>
      </c>
      <c r="C19" s="126" t="s">
        <v>209</v>
      </c>
      <c r="D19" s="126" t="s">
        <v>669</v>
      </c>
      <c r="E19" s="48"/>
      <c r="F19" s="48"/>
      <c r="G19" s="48"/>
      <c r="H19" s="48"/>
      <c r="I19" s="48"/>
      <c r="J19" s="48"/>
      <c r="K19" s="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48"/>
      <c r="AX19" s="48"/>
      <c r="AY19" s="48"/>
      <c r="AZ19" s="48"/>
      <c r="BA19" s="48"/>
      <c r="BB19" s="48"/>
      <c r="BC19" s="48"/>
      <c r="BD19" s="48"/>
      <c r="BE19" s="48"/>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row>
    <row r="20" spans="1:112" s="46" customFormat="1" ht="32" hidden="1" x14ac:dyDescent="0.2">
      <c r="A20" s="126" t="s">
        <v>724</v>
      </c>
      <c r="B20" s="126" t="s">
        <v>88</v>
      </c>
      <c r="C20" s="126" t="s">
        <v>212</v>
      </c>
      <c r="D20" s="126" t="s">
        <v>670</v>
      </c>
    </row>
    <row r="21" spans="1:112" s="46" customFormat="1" ht="80" hidden="1" x14ac:dyDescent="0.2">
      <c r="A21" s="126" t="s">
        <v>724</v>
      </c>
      <c r="B21" s="126" t="s">
        <v>88</v>
      </c>
      <c r="C21" s="126" t="s">
        <v>214</v>
      </c>
      <c r="D21" s="126" t="s">
        <v>671</v>
      </c>
    </row>
    <row r="22" spans="1:112" s="46" customFormat="1" ht="48" hidden="1" x14ac:dyDescent="0.2">
      <c r="A22" s="126" t="s">
        <v>724</v>
      </c>
      <c r="B22" s="126" t="s">
        <v>88</v>
      </c>
      <c r="C22" s="126" t="s">
        <v>217</v>
      </c>
      <c r="D22" s="126" t="s">
        <v>672</v>
      </c>
    </row>
    <row r="23" spans="1:112" s="46" customFormat="1" ht="48" hidden="1" x14ac:dyDescent="0.2">
      <c r="A23" s="126" t="s">
        <v>724</v>
      </c>
      <c r="B23" s="126" t="s">
        <v>88</v>
      </c>
      <c r="C23" s="126" t="s">
        <v>220</v>
      </c>
      <c r="D23" s="126" t="s">
        <v>673</v>
      </c>
    </row>
    <row r="24" spans="1:112" s="46" customFormat="1" ht="64" hidden="1" x14ac:dyDescent="0.2">
      <c r="A24" s="126" t="s">
        <v>724</v>
      </c>
      <c r="B24" s="126" t="s">
        <v>88</v>
      </c>
      <c r="C24" s="126" t="s">
        <v>223</v>
      </c>
      <c r="D24" s="126" t="s">
        <v>674</v>
      </c>
    </row>
    <row r="25" spans="1:112" s="46" customFormat="1" ht="80" hidden="1" x14ac:dyDescent="0.2">
      <c r="A25" s="126" t="s">
        <v>724</v>
      </c>
      <c r="B25" s="126" t="s">
        <v>108</v>
      </c>
      <c r="C25" s="126" t="s">
        <v>228</v>
      </c>
      <c r="D25" s="126" t="s">
        <v>675</v>
      </c>
    </row>
    <row r="26" spans="1:112" s="46" customFormat="1" ht="64" hidden="1" x14ac:dyDescent="0.2">
      <c r="A26" s="126" t="s">
        <v>724</v>
      </c>
      <c r="B26" s="126" t="s">
        <v>108</v>
      </c>
      <c r="C26" s="126" t="s">
        <v>231</v>
      </c>
      <c r="D26" s="126" t="s">
        <v>676</v>
      </c>
    </row>
    <row r="27" spans="1:112" s="46" customFormat="1" ht="64" hidden="1" x14ac:dyDescent="0.2">
      <c r="A27" s="126" t="s">
        <v>724</v>
      </c>
      <c r="B27" s="126" t="s">
        <v>108</v>
      </c>
      <c r="C27" s="126" t="s">
        <v>1076</v>
      </c>
      <c r="D27" s="126" t="s">
        <v>677</v>
      </c>
    </row>
    <row r="28" spans="1:112" s="46" customFormat="1" ht="64" hidden="1" x14ac:dyDescent="0.2">
      <c r="A28" s="126" t="s">
        <v>724</v>
      </c>
      <c r="B28" s="126" t="s">
        <v>108</v>
      </c>
      <c r="C28" s="126" t="s">
        <v>1076</v>
      </c>
      <c r="D28" s="126" t="s">
        <v>678</v>
      </c>
    </row>
    <row r="29" spans="1:112" s="46" customFormat="1" ht="48" hidden="1" x14ac:dyDescent="0.2">
      <c r="A29" s="126" t="s">
        <v>724</v>
      </c>
      <c r="B29" s="126" t="s">
        <v>120</v>
      </c>
      <c r="C29" s="126" t="s">
        <v>241</v>
      </c>
      <c r="D29" s="126" t="s">
        <v>679</v>
      </c>
    </row>
    <row r="30" spans="1:112" s="46" customFormat="1" ht="64" hidden="1" x14ac:dyDescent="0.2">
      <c r="A30" s="126" t="s">
        <v>724</v>
      </c>
      <c r="B30" s="126" t="s">
        <v>120</v>
      </c>
      <c r="C30" s="126" t="s">
        <v>244</v>
      </c>
      <c r="D30" s="126" t="s">
        <v>328</v>
      </c>
    </row>
    <row r="31" spans="1:112" s="46" customFormat="1" ht="64" x14ac:dyDescent="0.2">
      <c r="A31" s="57" t="s">
        <v>725</v>
      </c>
      <c r="B31" s="47" t="str">
        <f>_xlfn.XLOOKUP(LEFT(C31,1),'[1]Challenges-List'!E$4:E$12,'[1]Challenges-List'!D$4:D$12)</f>
        <v>1. Insufficient Stakeholder Commitment to Policy Action</v>
      </c>
      <c r="C31" s="47" t="s">
        <v>135</v>
      </c>
      <c r="D31" s="47" t="s">
        <v>329</v>
      </c>
    </row>
    <row r="32" spans="1:112" s="46" customFormat="1" ht="64" x14ac:dyDescent="0.2">
      <c r="A32" s="57" t="s">
        <v>725</v>
      </c>
      <c r="B32" s="47" t="str">
        <f>_xlfn.XLOOKUP(LEFT(C32,1),'[1]Challenges-List'!E$4:E$12,'[1]Challenges-List'!D$4:D$12)</f>
        <v>1. Insufficient Stakeholder Commitment to Policy Action</v>
      </c>
      <c r="C32" s="47" t="s">
        <v>142</v>
      </c>
      <c r="D32" s="47" t="s">
        <v>330</v>
      </c>
    </row>
    <row r="33" spans="1:4" s="46" customFormat="1" ht="64" x14ac:dyDescent="0.2">
      <c r="A33" s="57" t="s">
        <v>725</v>
      </c>
      <c r="B33" s="47" t="str">
        <f>_xlfn.XLOOKUP(LEFT(C33,1),'[1]Challenges-List'!E$4:E$12,'[1]Challenges-List'!D$4:D$12)</f>
        <v>2. Incoherent, fragmented and poorly prioritized policy</v>
      </c>
      <c r="C33" s="47" t="s">
        <v>150</v>
      </c>
      <c r="D33" s="57" t="s">
        <v>687</v>
      </c>
    </row>
    <row r="34" spans="1:4" s="46" customFormat="1" ht="64" x14ac:dyDescent="0.2">
      <c r="A34" s="57" t="s">
        <v>725</v>
      </c>
      <c r="B34" s="47" t="str">
        <f>_xlfn.XLOOKUP(LEFT(C34,1),'[1]Challenges-List'!E$4:E$12,'[1]Challenges-List'!D$4:D$12)</f>
        <v>3. Mismatch between policy goals, priorities, capability and resources</v>
      </c>
      <c r="C34" s="47" t="s">
        <v>155</v>
      </c>
      <c r="D34" s="47" t="s">
        <v>331</v>
      </c>
    </row>
    <row r="35" spans="1:4" s="46" customFormat="1" ht="64" x14ac:dyDescent="0.2">
      <c r="A35" s="57" t="s">
        <v>725</v>
      </c>
      <c r="B35" s="57" t="str">
        <f>_xlfn.XLOOKUP(LEFT(C35,1),'[1]Challenges-List'!E$4:E$12,'[1]Challenges-List'!D$4:D$12)</f>
        <v>3. Mismatch between policy goals, priorities, capability and resources</v>
      </c>
      <c r="C35" s="57" t="s">
        <v>161</v>
      </c>
      <c r="D35" s="57" t="s">
        <v>332</v>
      </c>
    </row>
    <row r="36" spans="1:4" s="46" customFormat="1" ht="80" x14ac:dyDescent="0.2">
      <c r="A36" s="57" t="s">
        <v>725</v>
      </c>
      <c r="B36" s="47" t="s">
        <v>154</v>
      </c>
      <c r="C36" s="47" t="s">
        <v>166</v>
      </c>
      <c r="D36" s="57" t="s">
        <v>680</v>
      </c>
    </row>
    <row r="37" spans="1:4" s="46" customFormat="1" ht="64" x14ac:dyDescent="0.2">
      <c r="A37" s="57" t="s">
        <v>725</v>
      </c>
      <c r="B37" s="47" t="str">
        <f>_xlfn.XLOOKUP(LEFT(C37,1),'[1]Challenges-List'!E$4:E$12,'[1]Challenges-List'!D$4:D$12)</f>
        <v>4. Unsustainable fiscal situation of governments and organizations</v>
      </c>
      <c r="C37" s="47" t="s">
        <v>171</v>
      </c>
      <c r="D37" s="47" t="s">
        <v>333</v>
      </c>
    </row>
    <row r="38" spans="1:4" s="46" customFormat="1" ht="48" x14ac:dyDescent="0.2">
      <c r="A38" s="57" t="s">
        <v>725</v>
      </c>
      <c r="B38" s="47" t="str">
        <f>_xlfn.XLOOKUP(LEFT(C38,1),'[1]Challenges-List'!E$4:E$12,'[1]Challenges-List'!D$4:D$12)</f>
        <v>4. Unsustainable fiscal situation of governments and organizations</v>
      </c>
      <c r="C38" s="47" t="s">
        <v>317</v>
      </c>
      <c r="D38" s="57" t="s">
        <v>681</v>
      </c>
    </row>
    <row r="39" spans="1:4" s="46" customFormat="1" ht="80" x14ac:dyDescent="0.2">
      <c r="A39" s="57" t="s">
        <v>725</v>
      </c>
      <c r="B39" s="47" t="str">
        <f>_xlfn.XLOOKUP(LEFT(C39,1),'[1]Challenges-List'!E$4:E$12,'[1]Challenges-List'!D$4:D$12)</f>
        <v>4. Unsustainable fiscal situation of governments and organizations</v>
      </c>
      <c r="C39" s="47" t="s">
        <v>177</v>
      </c>
      <c r="D39" s="57" t="s">
        <v>682</v>
      </c>
    </row>
    <row r="40" spans="1:4" s="46" customFormat="1" ht="48" x14ac:dyDescent="0.2">
      <c r="A40" s="57" t="s">
        <v>725</v>
      </c>
      <c r="B40" s="47" t="str">
        <f>_xlfn.XLOOKUP(LEFT(C40,1),'[1]Challenges-List'!E$4:E$12,'[1]Challenges-List'!D$4:D$12)</f>
        <v>4. Unsustainable fiscal situation of governments and organizations</v>
      </c>
      <c r="C40" s="47" t="s">
        <v>180</v>
      </c>
      <c r="D40" s="57" t="s">
        <v>683</v>
      </c>
    </row>
    <row r="41" spans="1:4" s="46" customFormat="1" ht="48" x14ac:dyDescent="0.2">
      <c r="A41" s="57" t="s">
        <v>725</v>
      </c>
      <c r="B41" s="47" t="str">
        <f>_xlfn.XLOOKUP(LEFT(C41,1),'[1]Challenges-List'!E$4:E$12,'[1]Challenges-List'!D$4:D$12)</f>
        <v xml:space="preserve">5. Inadequate and inequitable resources mobilized and deployed for policy implementation  </v>
      </c>
      <c r="C41" s="47" t="s">
        <v>187</v>
      </c>
      <c r="D41" s="47" t="s">
        <v>337</v>
      </c>
    </row>
    <row r="42" spans="1:4" s="46" customFormat="1" ht="64" x14ac:dyDescent="0.2">
      <c r="A42" s="57" t="s">
        <v>725</v>
      </c>
      <c r="B42" s="47" t="str">
        <f>_xlfn.XLOOKUP(LEFT(C42,1),'[1]Challenges-List'!E$4:E$12,'[1]Challenges-List'!D$4:D$12)</f>
        <v xml:space="preserve">5. Inadequate and inequitable resources mobilized and deployed for policy implementation  </v>
      </c>
      <c r="C42" s="47" t="s">
        <v>190</v>
      </c>
      <c r="D42" s="57" t="s">
        <v>684</v>
      </c>
    </row>
    <row r="43" spans="1:4" s="46" customFormat="1" ht="64" x14ac:dyDescent="0.2">
      <c r="A43" s="57" t="s">
        <v>725</v>
      </c>
      <c r="B43" s="47" t="str">
        <f>_xlfn.XLOOKUP(LEFT(C43,1),'[1]Challenges-List'!E$4:E$12,'[1]Challenges-List'!D$4:D$12)</f>
        <v xml:space="preserve">5. Inadequate and inequitable resources mobilized and deployed for policy implementation  </v>
      </c>
      <c r="C43" s="47" t="s">
        <v>190</v>
      </c>
      <c r="D43" s="57" t="s">
        <v>685</v>
      </c>
    </row>
    <row r="44" spans="1:4" s="46" customFormat="1" ht="32" x14ac:dyDescent="0.2">
      <c r="A44" s="57" t="s">
        <v>725</v>
      </c>
      <c r="B44" s="47" t="str">
        <f>_xlfn.XLOOKUP(LEFT(C44,1),'[1]Challenges-List'!E$4:E$12,'[1]Challenges-List'!D$4:D$12)</f>
        <v xml:space="preserve">7. Inefficient deployment and management of resources and inputs for delivery </v>
      </c>
      <c r="C44" s="47" t="s">
        <v>209</v>
      </c>
      <c r="D44" s="57" t="s">
        <v>686</v>
      </c>
    </row>
    <row r="45" spans="1:4" s="46" customFormat="1" ht="48" x14ac:dyDescent="0.2">
      <c r="A45" s="57" t="s">
        <v>725</v>
      </c>
      <c r="B45" s="47" t="str">
        <f>_xlfn.XLOOKUP(LEFT(C45,1),'[1]Challenges-List'!E$4:E$12,'[1]Challenges-List'!D$4:D$12)</f>
        <v xml:space="preserve">7. Inefficient deployment and management of resources and inputs for delivery </v>
      </c>
      <c r="C45" s="47" t="s">
        <v>209</v>
      </c>
      <c r="D45" s="47" t="s">
        <v>340</v>
      </c>
    </row>
    <row r="46" spans="1:4" s="46" customFormat="1" ht="80" x14ac:dyDescent="0.2">
      <c r="A46" s="57" t="s">
        <v>725</v>
      </c>
      <c r="B46" s="47" t="str">
        <f>_xlfn.XLOOKUP(LEFT(C46,1),'[1]Challenges-List'!E$4:E$12,'[1]Challenges-List'!D$4:D$12)</f>
        <v xml:space="preserve">7. Inefficient deployment and management of resources and inputs for delivery </v>
      </c>
      <c r="C46" s="47" t="s">
        <v>212</v>
      </c>
      <c r="D46" s="57" t="s">
        <v>688</v>
      </c>
    </row>
    <row r="47" spans="1:4" s="46" customFormat="1" ht="80" x14ac:dyDescent="0.2">
      <c r="A47" s="57" t="s">
        <v>725</v>
      </c>
      <c r="B47" s="47" t="str">
        <f>_xlfn.XLOOKUP(LEFT(C47,1),'[1]Challenges-List'!E$4:E$12,'[1]Challenges-List'!D$4:D$12)</f>
        <v>8. Management, oversight, transparency and accountability systems and institutions fail to encourage and enable performance as intended</v>
      </c>
      <c r="C47" s="47" t="s">
        <v>231</v>
      </c>
      <c r="D47" s="57" t="s">
        <v>689</v>
      </c>
    </row>
    <row r="48" spans="1:4" s="46" customFormat="1" ht="48" x14ac:dyDescent="0.2">
      <c r="A48" s="57" t="s">
        <v>725</v>
      </c>
      <c r="B48" s="47" t="str">
        <f>_xlfn.XLOOKUP(LEFT(C48,1),'[1]Challenges-List'!E$4:E$12,'[1]Challenges-List'!D$4:D$12)</f>
        <v>8. Management, oversight, transparency and accountability systems and institutions fail to encourage and enable performance as intended</v>
      </c>
      <c r="C48" s="47" t="s">
        <v>231</v>
      </c>
      <c r="D48" s="57" t="s">
        <v>690</v>
      </c>
    </row>
    <row r="49" spans="1:4" s="46" customFormat="1" ht="96" x14ac:dyDescent="0.2">
      <c r="A49" s="57" t="s">
        <v>725</v>
      </c>
      <c r="B49" s="47" t="str">
        <f>_xlfn.XLOOKUP(LEFT(C49,1),'[1]Challenges-List'!E$4:E$12,'[1]Challenges-List'!D$4:D$12)</f>
        <v>8. Management, oversight, transparency and accountability systems and institutions fail to encourage and enable performance as intended</v>
      </c>
      <c r="C49" s="47" t="s">
        <v>1076</v>
      </c>
      <c r="D49" s="57" t="s">
        <v>691</v>
      </c>
    </row>
    <row r="50" spans="1:4" s="46" customFormat="1" ht="64" x14ac:dyDescent="0.2">
      <c r="A50" s="57" t="s">
        <v>725</v>
      </c>
      <c r="B50" s="47" t="str">
        <f>_xlfn.XLOOKUP(LEFT(C50,1),'[1]Challenges-List'!E$4:E$12,'[1]Challenges-List'!D$4:D$12)</f>
        <v>9. Inadequate availability and use of fragmented sector and financial data in decision making for policy, delivery and accountability.</v>
      </c>
      <c r="C50" s="47" t="s">
        <v>241</v>
      </c>
      <c r="D50" s="57" t="s">
        <v>692</v>
      </c>
    </row>
    <row r="51" spans="1:4" s="46" customFormat="1" ht="64" x14ac:dyDescent="0.2">
      <c r="A51" s="57" t="s">
        <v>725</v>
      </c>
      <c r="B51" s="47" t="str">
        <f>_xlfn.XLOOKUP(LEFT(C51,1),'[1]Challenges-List'!E$4:E$12,'[1]Challenges-List'!D$4:D$12)</f>
        <v>9. Inadequate availability and use of fragmented sector and financial data in decision making for policy, delivery and accountability.</v>
      </c>
      <c r="C51" s="47" t="s">
        <v>244</v>
      </c>
      <c r="D51" s="57" t="s">
        <v>693</v>
      </c>
    </row>
    <row r="52" spans="1:4" s="46" customFormat="1" ht="64" hidden="1" x14ac:dyDescent="0.2">
      <c r="A52" s="57" t="s">
        <v>694</v>
      </c>
      <c r="B52" s="47" t="str">
        <f>_xlfn.XLOOKUP(LEFT(C52,1),'[1]Challenges-List'!E$4:E$12,'[1]Challenges-List'!D$4:D$12)</f>
        <v>1. Insufficient Stakeholder Commitment to Policy Action</v>
      </c>
      <c r="C52" s="47" t="s">
        <v>135</v>
      </c>
      <c r="D52" s="57" t="s">
        <v>734</v>
      </c>
    </row>
    <row r="53" spans="1:4" s="46" customFormat="1" ht="80" hidden="1" x14ac:dyDescent="0.2">
      <c r="A53" s="57" t="s">
        <v>694</v>
      </c>
      <c r="B53" s="47" t="str">
        <f>_xlfn.XLOOKUP(LEFT(C53,1),'[1]Challenges-List'!E$4:E$12,'[1]Challenges-List'!D$4:D$12)</f>
        <v>1. Insufficient Stakeholder Commitment to Policy Action</v>
      </c>
      <c r="C53" s="47" t="s">
        <v>142</v>
      </c>
      <c r="D53" s="57" t="s">
        <v>735</v>
      </c>
    </row>
    <row r="54" spans="1:4" s="46" customFormat="1" ht="48" hidden="1" x14ac:dyDescent="0.2">
      <c r="A54" s="57" t="s">
        <v>694</v>
      </c>
      <c r="B54" s="47" t="str">
        <f>_xlfn.XLOOKUP(LEFT(C54,1),'[1]Challenges-List'!E$4:E$12,'[1]Challenges-List'!D$4:D$12)</f>
        <v>1. Insufficient Stakeholder Commitment to Policy Action</v>
      </c>
      <c r="C54" s="47" t="s">
        <v>142</v>
      </c>
      <c r="D54" s="57" t="s">
        <v>736</v>
      </c>
    </row>
    <row r="55" spans="1:4" s="46" customFormat="1" ht="80" hidden="1" x14ac:dyDescent="0.2">
      <c r="A55" s="57" t="s">
        <v>694</v>
      </c>
      <c r="B55" s="47" t="str">
        <f>_xlfn.XLOOKUP(LEFT(C55,1),'[1]Challenges-List'!E$4:E$12,'[1]Challenges-List'!D$4:D$12)</f>
        <v>2. Incoherent, fragmented and poorly prioritized policy</v>
      </c>
      <c r="C55" s="47" t="s">
        <v>150</v>
      </c>
      <c r="D55" s="57" t="s">
        <v>737</v>
      </c>
    </row>
    <row r="56" spans="1:4" s="46" customFormat="1" ht="48" hidden="1" x14ac:dyDescent="0.2">
      <c r="A56" s="57" t="s">
        <v>694</v>
      </c>
      <c r="B56" s="47" t="str">
        <f>_xlfn.XLOOKUP(LEFT(C56,1),'[1]Challenges-List'!E$4:E$12,'[1]Challenges-List'!D$4:D$12)</f>
        <v>3. Mismatch between policy goals, priorities, capability and resources</v>
      </c>
      <c r="C56" s="47" t="s">
        <v>161</v>
      </c>
      <c r="D56" s="57" t="s">
        <v>738</v>
      </c>
    </row>
    <row r="57" spans="1:4" s="46" customFormat="1" ht="64" hidden="1" x14ac:dyDescent="0.2">
      <c r="A57" s="57" t="s">
        <v>694</v>
      </c>
      <c r="B57" s="47" t="str">
        <f>_xlfn.XLOOKUP(LEFT(C57,1),'[1]Challenges-List'!E$4:E$12,'[1]Challenges-List'!D$4:D$12)</f>
        <v>3. Mismatch between policy goals, priorities, capability and resources</v>
      </c>
      <c r="C57" s="47" t="s">
        <v>166</v>
      </c>
      <c r="D57" s="57" t="s">
        <v>739</v>
      </c>
    </row>
    <row r="58" spans="1:4" s="46" customFormat="1" ht="32" hidden="1" x14ac:dyDescent="0.2">
      <c r="A58" s="57" t="s">
        <v>694</v>
      </c>
      <c r="B58" s="47" t="str">
        <f>_xlfn.XLOOKUP(LEFT(C58,1),'[1]Challenges-List'!E$4:E$12,'[1]Challenges-List'!D$4:D$12)</f>
        <v>4. Unsustainable fiscal situation of governments and organizations</v>
      </c>
      <c r="C58" s="47" t="s">
        <v>317</v>
      </c>
      <c r="D58" s="57" t="s">
        <v>740</v>
      </c>
    </row>
    <row r="59" spans="1:4" s="46" customFormat="1" ht="64" hidden="1" x14ac:dyDescent="0.2">
      <c r="A59" s="57" t="s">
        <v>694</v>
      </c>
      <c r="B59" s="47" t="str">
        <f>_xlfn.XLOOKUP(LEFT(C59,1),'[1]Challenges-List'!E$4:E$12,'[1]Challenges-List'!D$4:D$12)</f>
        <v>4. Unsustainable fiscal situation of governments and organizations</v>
      </c>
      <c r="C59" s="47" t="s">
        <v>180</v>
      </c>
      <c r="D59" s="57" t="s">
        <v>741</v>
      </c>
    </row>
    <row r="60" spans="1:4" s="46" customFormat="1" ht="64" hidden="1" x14ac:dyDescent="0.2">
      <c r="A60" s="57" t="s">
        <v>694</v>
      </c>
      <c r="B60" s="47" t="str">
        <f>_xlfn.XLOOKUP(LEFT(C60,1),'[1]Challenges-List'!E$4:E$12,'[1]Challenges-List'!D$4:D$12)</f>
        <v xml:space="preserve">5. Inadequate and inequitable resources mobilized and deployed for policy implementation  </v>
      </c>
      <c r="C60" s="47" t="s">
        <v>190</v>
      </c>
      <c r="D60" s="57" t="s">
        <v>742</v>
      </c>
    </row>
    <row r="61" spans="1:4" s="46" customFormat="1" ht="48" hidden="1" x14ac:dyDescent="0.2">
      <c r="A61" s="57" t="s">
        <v>694</v>
      </c>
      <c r="B61" s="47" t="str">
        <f>_xlfn.XLOOKUP(LEFT(C61,1),'[1]Challenges-List'!E$4:E$12,'[1]Challenges-List'!D$4:D$12)</f>
        <v xml:space="preserve">5. Inadequate and inequitable resources mobilized and deployed for policy implementation  </v>
      </c>
      <c r="C61" s="47" t="s">
        <v>193</v>
      </c>
      <c r="D61" s="57" t="s">
        <v>743</v>
      </c>
    </row>
    <row r="62" spans="1:4" s="46" customFormat="1" ht="48" hidden="1" x14ac:dyDescent="0.2">
      <c r="A62" s="57" t="s">
        <v>694</v>
      </c>
      <c r="B62" s="47" t="str">
        <f>_xlfn.XLOOKUP(LEFT(C62,1),'[1]Challenges-List'!E$4:E$12,'[1]Challenges-List'!D$4:D$12)</f>
        <v>6. Unreliable, delayed and fragmented funding for delivery</v>
      </c>
      <c r="C62" s="47" t="s">
        <v>323</v>
      </c>
      <c r="D62" s="57" t="s">
        <v>744</v>
      </c>
    </row>
    <row r="63" spans="1:4" s="46" customFormat="1" ht="32" hidden="1" x14ac:dyDescent="0.2">
      <c r="A63" s="57" t="s">
        <v>694</v>
      </c>
      <c r="B63" s="47" t="str">
        <f>_xlfn.XLOOKUP(LEFT(C63,1),'[1]Challenges-List'!E$4:E$12,'[1]Challenges-List'!D$4:D$12)</f>
        <v>6. Unreliable, delayed and fragmented funding for delivery</v>
      </c>
      <c r="C63" s="47" t="s">
        <v>202</v>
      </c>
      <c r="D63" s="57" t="s">
        <v>745</v>
      </c>
    </row>
    <row r="64" spans="1:4" s="46" customFormat="1" ht="32" hidden="1" x14ac:dyDescent="0.2">
      <c r="A64" s="57" t="s">
        <v>694</v>
      </c>
      <c r="B64" s="47" t="str">
        <f>_xlfn.XLOOKUP(LEFT(C64,1),'[1]Challenges-List'!E$4:E$12,'[1]Challenges-List'!D$4:D$12)</f>
        <v>6. Unreliable, delayed and fragmented funding for delivery</v>
      </c>
      <c r="C64" s="47" t="s">
        <v>204</v>
      </c>
      <c r="D64" s="57" t="s">
        <v>746</v>
      </c>
    </row>
    <row r="65" spans="1:4" s="46" customFormat="1" ht="64" hidden="1" x14ac:dyDescent="0.2">
      <c r="A65" s="57" t="s">
        <v>694</v>
      </c>
      <c r="B65" s="47" t="str">
        <f>_xlfn.XLOOKUP(LEFT(C65,1),'[1]Challenges-List'!E$4:E$12,'[1]Challenges-List'!D$4:D$12)</f>
        <v xml:space="preserve">7. Inefficient deployment and management of resources and inputs for delivery </v>
      </c>
      <c r="C65" s="47" t="s">
        <v>209</v>
      </c>
      <c r="D65" s="57" t="s">
        <v>747</v>
      </c>
    </row>
    <row r="66" spans="1:4" s="46" customFormat="1" ht="96" hidden="1" x14ac:dyDescent="0.2">
      <c r="A66" s="57" t="s">
        <v>694</v>
      </c>
      <c r="B66" s="47" t="str">
        <f>_xlfn.XLOOKUP(LEFT(C66,1),'[1]Challenges-List'!E$4:E$12,'[1]Challenges-List'!D$4:D$12)</f>
        <v xml:space="preserve">7. Inefficient deployment and management of resources and inputs for delivery </v>
      </c>
      <c r="C66" s="47" t="s">
        <v>214</v>
      </c>
      <c r="D66" s="57" t="s">
        <v>748</v>
      </c>
    </row>
    <row r="67" spans="1:4" s="46" customFormat="1" ht="80" hidden="1" x14ac:dyDescent="0.2">
      <c r="A67" s="57" t="s">
        <v>694</v>
      </c>
      <c r="B67" s="47" t="str">
        <f>_xlfn.XLOOKUP(LEFT(C67,1),'[1]Challenges-List'!E$4:E$12,'[1]Challenges-List'!D$4:D$12)</f>
        <v xml:space="preserve">7. Inefficient deployment and management of resources and inputs for delivery </v>
      </c>
      <c r="C67" s="47" t="s">
        <v>220</v>
      </c>
      <c r="D67" s="57" t="s">
        <v>749</v>
      </c>
    </row>
    <row r="68" spans="1:4" s="46" customFormat="1" ht="64" hidden="1" x14ac:dyDescent="0.2">
      <c r="A68" s="57" t="s">
        <v>694</v>
      </c>
      <c r="B68" s="47" t="str">
        <f>_xlfn.XLOOKUP(LEFT(C68,1),'[1]Challenges-List'!E$4:E$12,'[1]Challenges-List'!D$4:D$12)</f>
        <v xml:space="preserve">7. Inefficient deployment and management of resources and inputs for delivery </v>
      </c>
      <c r="C68" s="47" t="s">
        <v>223</v>
      </c>
      <c r="D68" s="57" t="s">
        <v>750</v>
      </c>
    </row>
    <row r="69" spans="1:4" s="46" customFormat="1" ht="80" hidden="1" x14ac:dyDescent="0.2">
      <c r="A69" s="57" t="s">
        <v>694</v>
      </c>
      <c r="B69" s="47" t="str">
        <f>_xlfn.XLOOKUP(LEFT(C69,1),'[1]Challenges-List'!E$4:E$12,'[1]Challenges-List'!D$4:D$12)</f>
        <v>8. Management, oversight, transparency and accountability systems and institutions fail to encourage and enable performance as intended</v>
      </c>
      <c r="C69" s="47" t="s">
        <v>228</v>
      </c>
      <c r="D69" s="57" t="s">
        <v>751</v>
      </c>
    </row>
    <row r="70" spans="1:4" s="46" customFormat="1" ht="64" hidden="1" x14ac:dyDescent="0.2">
      <c r="A70" s="57" t="s">
        <v>694</v>
      </c>
      <c r="B70" s="47" t="str">
        <f>_xlfn.XLOOKUP(LEFT(C70,1),'[1]Challenges-List'!E$4:E$12,'[1]Challenges-List'!D$4:D$12)</f>
        <v>8. Management, oversight, transparency and accountability systems and institutions fail to encourage and enable performance as intended</v>
      </c>
      <c r="C70" s="47" t="s">
        <v>228</v>
      </c>
      <c r="D70" s="57" t="s">
        <v>752</v>
      </c>
    </row>
    <row r="71" spans="1:4" s="46" customFormat="1" ht="96" hidden="1" x14ac:dyDescent="0.2">
      <c r="A71" s="57" t="s">
        <v>694</v>
      </c>
      <c r="B71" s="47" t="str">
        <f>_xlfn.XLOOKUP(LEFT(C71,1),'[1]Challenges-List'!E$4:E$12,'[1]Challenges-List'!D$4:D$12)</f>
        <v>8. Management, oversight, transparency and accountability systems and institutions fail to encourage and enable performance as intended</v>
      </c>
      <c r="C71" s="47" t="s">
        <v>1076</v>
      </c>
      <c r="D71" s="57" t="s">
        <v>753</v>
      </c>
    </row>
    <row r="72" spans="1:4" s="46" customFormat="1" ht="48" hidden="1" x14ac:dyDescent="0.2">
      <c r="A72" s="57" t="s">
        <v>694</v>
      </c>
      <c r="B72" s="47" t="str">
        <f>_xlfn.XLOOKUP(LEFT(C72,1),'[1]Challenges-List'!E$4:E$12,'[1]Challenges-List'!D$4:D$12)</f>
        <v>9. Inadequate availability and use of fragmented sector and financial data in decision making for policy, delivery and accountability.</v>
      </c>
      <c r="C72" s="47" t="s">
        <v>241</v>
      </c>
      <c r="D72" s="57" t="s">
        <v>754</v>
      </c>
    </row>
    <row r="73" spans="1:4" s="46" customFormat="1" ht="48" hidden="1" x14ac:dyDescent="0.2">
      <c r="A73" s="57" t="s">
        <v>694</v>
      </c>
      <c r="B73" s="47" t="str">
        <f>_xlfn.XLOOKUP(LEFT(C73,1),'[1]Challenges-List'!E$4:E$12,'[1]Challenges-List'!D$4:D$12)</f>
        <v>9. Inadequate availability and use of fragmented sector and financial data in decision making for policy, delivery and accountability.</v>
      </c>
      <c r="C73" s="47" t="s">
        <v>244</v>
      </c>
      <c r="D73" s="57" t="s">
        <v>755</v>
      </c>
    </row>
    <row r="74" spans="1:4" s="46" customFormat="1" ht="80" hidden="1" x14ac:dyDescent="0.2">
      <c r="A74" s="57" t="s">
        <v>694</v>
      </c>
      <c r="B74" s="47" t="str">
        <f>_xlfn.XLOOKUP(LEFT(C74,1),'[1]Challenges-List'!E$4:E$12,'[1]Challenges-List'!D$4:D$12)</f>
        <v>9. Inadequate availability and use of fragmented sector and financial data in decision making for policy, delivery and accountability.</v>
      </c>
      <c r="C74" s="47" t="s">
        <v>244</v>
      </c>
      <c r="D74" s="57" t="s">
        <v>756</v>
      </c>
    </row>
    <row r="75" spans="1:4" ht="64" hidden="1" x14ac:dyDescent="0.2">
      <c r="A75" s="70" t="s">
        <v>786</v>
      </c>
      <c r="B75" s="70" t="str">
        <f>_xlfn.XLOOKUP(LEFT(C75,1),'[1]Challenges-List'!E$4:E$12,'[1]Challenges-List'!D$4:D$12)</f>
        <v>1. Insufficient Stakeholder Commitment to Policy Action</v>
      </c>
      <c r="C75" s="70" t="s">
        <v>135</v>
      </c>
      <c r="D75" s="70" t="s">
        <v>361</v>
      </c>
    </row>
    <row r="76" spans="1:4" ht="64" hidden="1" x14ac:dyDescent="0.2">
      <c r="A76" s="70" t="s">
        <v>786</v>
      </c>
      <c r="B76" s="70" t="str">
        <f>_xlfn.XLOOKUP(LEFT(C76,1),'[1]Challenges-List'!E$4:E$12,'[1]Challenges-List'!D$4:D$12)</f>
        <v>1. Insufficient Stakeholder Commitment to Policy Action</v>
      </c>
      <c r="C76" s="70" t="s">
        <v>142</v>
      </c>
      <c r="D76" s="70" t="s">
        <v>362</v>
      </c>
    </row>
    <row r="77" spans="1:4" ht="48" hidden="1" x14ac:dyDescent="0.2">
      <c r="A77" s="70" t="s">
        <v>786</v>
      </c>
      <c r="B77" s="70" t="str">
        <f>_xlfn.XLOOKUP(LEFT(C77,1),'[1]Challenges-List'!E$4:E$12,'[1]Challenges-List'!D$4:D$12)</f>
        <v>2. Incoherent, fragmented and poorly prioritized policy</v>
      </c>
      <c r="C77" s="70" t="s">
        <v>150</v>
      </c>
      <c r="D77" s="70" t="s">
        <v>800</v>
      </c>
    </row>
    <row r="78" spans="1:4" ht="48" hidden="1" x14ac:dyDescent="0.2">
      <c r="A78" s="70" t="s">
        <v>786</v>
      </c>
      <c r="B78" s="70" t="s">
        <v>154</v>
      </c>
      <c r="C78" s="70" t="s">
        <v>155</v>
      </c>
      <c r="D78" s="70" t="s">
        <v>801</v>
      </c>
    </row>
    <row r="79" spans="1:4" ht="48" hidden="1" x14ac:dyDescent="0.2">
      <c r="A79" s="70" t="s">
        <v>786</v>
      </c>
      <c r="B79" s="70" t="str">
        <f>_xlfn.XLOOKUP(LEFT(C79,1),'[1]Challenges-List'!E$4:E$12,'[1]Challenges-List'!D$4:D$12)</f>
        <v>3. Mismatch between policy goals, priorities, capability and resources</v>
      </c>
      <c r="C79" s="70" t="s">
        <v>161</v>
      </c>
      <c r="D79" s="70" t="s">
        <v>363</v>
      </c>
    </row>
    <row r="80" spans="1:4" ht="48" hidden="1" x14ac:dyDescent="0.2">
      <c r="A80" s="70" t="s">
        <v>786</v>
      </c>
      <c r="B80" s="70" t="str">
        <f>_xlfn.XLOOKUP(LEFT(C80,1),'[1]Challenges-List'!E$4:E$12,'[1]Challenges-List'!D$4:D$12)</f>
        <v>3. Mismatch between policy goals, priorities, capability and resources</v>
      </c>
      <c r="C80" s="70" t="s">
        <v>161</v>
      </c>
      <c r="D80" s="70" t="s">
        <v>364</v>
      </c>
    </row>
    <row r="81" spans="1:4" ht="32" hidden="1" x14ac:dyDescent="0.2">
      <c r="A81" s="70" t="s">
        <v>786</v>
      </c>
      <c r="B81" s="70" t="str">
        <f>_xlfn.XLOOKUP(LEFT(C81,1),'[1]Challenges-List'!E$4:E$12,'[1]Challenges-List'!D$4:D$12)</f>
        <v>4. Unsustainable fiscal situation of governments and organizations</v>
      </c>
      <c r="C81" s="70" t="s">
        <v>317</v>
      </c>
      <c r="D81" s="70" t="s">
        <v>365</v>
      </c>
    </row>
    <row r="82" spans="1:4" ht="32" hidden="1" x14ac:dyDescent="0.2">
      <c r="A82" s="70" t="s">
        <v>786</v>
      </c>
      <c r="B82" s="70" t="str">
        <f>_xlfn.XLOOKUP(LEFT(C82,1),'[1]Challenges-List'!E$4:E$12,'[1]Challenges-List'!D$4:D$12)</f>
        <v>4. Unsustainable fiscal situation of governments and organizations</v>
      </c>
      <c r="C82" s="70" t="s">
        <v>183</v>
      </c>
      <c r="D82" s="70" t="s">
        <v>366</v>
      </c>
    </row>
    <row r="83" spans="1:4" ht="64" hidden="1" x14ac:dyDescent="0.2">
      <c r="A83" s="70" t="s">
        <v>786</v>
      </c>
      <c r="B83" s="70" t="str">
        <f>_xlfn.XLOOKUP(LEFT(C83,1),'[1]Challenges-List'!E$4:E$12,'[1]Challenges-List'!D$4:D$12)</f>
        <v xml:space="preserve">5. Inadequate and inequitable resources mobilized and deployed for policy implementation  </v>
      </c>
      <c r="C83" s="70" t="s">
        <v>187</v>
      </c>
      <c r="D83" s="70" t="s">
        <v>367</v>
      </c>
    </row>
    <row r="84" spans="1:4" ht="32" hidden="1" x14ac:dyDescent="0.2">
      <c r="A84" s="70" t="s">
        <v>786</v>
      </c>
      <c r="B84" s="70" t="str">
        <f>_xlfn.XLOOKUP(LEFT(C84,1),'[1]Challenges-List'!E$4:E$12,'[1]Challenges-List'!D$4:D$12)</f>
        <v xml:space="preserve">5. Inadequate and inequitable resources mobilized and deployed for policy implementation  </v>
      </c>
      <c r="C84" s="70" t="s">
        <v>190</v>
      </c>
      <c r="D84" s="70" t="s">
        <v>368</v>
      </c>
    </row>
    <row r="85" spans="1:4" ht="64" hidden="1" x14ac:dyDescent="0.2">
      <c r="A85" s="70" t="s">
        <v>786</v>
      </c>
      <c r="B85" s="70" t="str">
        <f>_xlfn.XLOOKUP(LEFT(C85,1),'[1]Challenges-List'!E$4:E$12,'[1]Challenges-List'!D$4:D$12)</f>
        <v xml:space="preserve">5. Inadequate and inequitable resources mobilized and deployed for policy implementation  </v>
      </c>
      <c r="C85" s="70" t="s">
        <v>193</v>
      </c>
      <c r="D85" s="70" t="s">
        <v>369</v>
      </c>
    </row>
    <row r="86" spans="1:4" ht="48" hidden="1" x14ac:dyDescent="0.2">
      <c r="A86" s="70" t="s">
        <v>786</v>
      </c>
      <c r="B86" s="70" t="str">
        <f>_xlfn.XLOOKUP(LEFT(C86,1),'[1]Challenges-List'!E$4:E$12,'[1]Challenges-List'!D$4:D$12)</f>
        <v xml:space="preserve">5. Inadequate and inequitable resources mobilized and deployed for policy implementation  </v>
      </c>
      <c r="C86" s="70" t="s">
        <v>322</v>
      </c>
      <c r="D86" s="70" t="s">
        <v>370</v>
      </c>
    </row>
    <row r="87" spans="1:4" ht="48" hidden="1" x14ac:dyDescent="0.2">
      <c r="A87" s="70" t="s">
        <v>786</v>
      </c>
      <c r="B87" s="70" t="str">
        <f>_xlfn.XLOOKUP(LEFT(C87,1),'[1]Challenges-List'!E$4:E$12,'[1]Challenges-List'!D$4:D$12)</f>
        <v>6. Unreliable, delayed and fragmented funding for delivery</v>
      </c>
      <c r="C87" s="70" t="s">
        <v>323</v>
      </c>
      <c r="D87" s="70" t="s">
        <v>371</v>
      </c>
    </row>
    <row r="88" spans="1:4" ht="80" hidden="1" x14ac:dyDescent="0.2">
      <c r="A88" s="70" t="s">
        <v>786</v>
      </c>
      <c r="B88" s="70" t="str">
        <f>_xlfn.XLOOKUP(LEFT(C88,1),'[1]Challenges-List'!E$4:E$12,'[1]Challenges-List'!D$4:D$12)</f>
        <v>6. Unreliable, delayed and fragmented funding for delivery</v>
      </c>
      <c r="C88" s="70" t="s">
        <v>202</v>
      </c>
      <c r="D88" s="70" t="s">
        <v>372</v>
      </c>
    </row>
    <row r="89" spans="1:4" ht="48" hidden="1" x14ac:dyDescent="0.2">
      <c r="A89" s="70" t="s">
        <v>786</v>
      </c>
      <c r="B89" s="70" t="str">
        <f>_xlfn.XLOOKUP(LEFT(C89,1),'[1]Challenges-List'!E$4:E$12,'[1]Challenges-List'!D$4:D$12)</f>
        <v>6. Unreliable, delayed and fragmented funding for delivery</v>
      </c>
      <c r="C89" s="70" t="s">
        <v>204</v>
      </c>
      <c r="D89" s="70" t="s">
        <v>373</v>
      </c>
    </row>
    <row r="90" spans="1:4" ht="48" hidden="1" x14ac:dyDescent="0.2">
      <c r="A90" s="70" t="s">
        <v>786</v>
      </c>
      <c r="B90" s="70" t="str">
        <f>_xlfn.XLOOKUP(LEFT(C90,1),'[1]Challenges-List'!E$4:E$12,'[1]Challenges-List'!D$4:D$12)</f>
        <v xml:space="preserve">7. Inefficient deployment and management of resources and inputs for delivery </v>
      </c>
      <c r="C90" s="70" t="s">
        <v>209</v>
      </c>
      <c r="D90" s="70" t="s">
        <v>374</v>
      </c>
    </row>
    <row r="91" spans="1:4" ht="48" hidden="1" x14ac:dyDescent="0.2">
      <c r="A91" s="70" t="s">
        <v>786</v>
      </c>
      <c r="B91" s="70" t="str">
        <f>_xlfn.XLOOKUP(LEFT(C91,1),'[1]Challenges-List'!E$4:E$12,'[1]Challenges-List'!D$4:D$12)</f>
        <v xml:space="preserve">7. Inefficient deployment and management of resources and inputs for delivery </v>
      </c>
      <c r="C91" s="70" t="s">
        <v>212</v>
      </c>
      <c r="D91" s="70" t="s">
        <v>375</v>
      </c>
    </row>
    <row r="92" spans="1:4" ht="48" hidden="1" x14ac:dyDescent="0.2">
      <c r="A92" s="70" t="s">
        <v>786</v>
      </c>
      <c r="B92" s="70" t="str">
        <f>_xlfn.XLOOKUP(LEFT(C92,1),'[1]Challenges-List'!E$4:E$12,'[1]Challenges-List'!D$4:D$12)</f>
        <v xml:space="preserve">7. Inefficient deployment and management of resources and inputs for delivery </v>
      </c>
      <c r="C92" s="70" t="s">
        <v>214</v>
      </c>
      <c r="D92" s="70" t="s">
        <v>376</v>
      </c>
    </row>
    <row r="93" spans="1:4" ht="48" hidden="1" x14ac:dyDescent="0.2">
      <c r="A93" s="70" t="s">
        <v>786</v>
      </c>
      <c r="B93" s="70" t="str">
        <f>_xlfn.XLOOKUP(LEFT(C93,1),'[1]Challenges-List'!E$4:E$12,'[1]Challenges-List'!D$4:D$12)</f>
        <v xml:space="preserve">7. Inefficient deployment and management of resources and inputs for delivery </v>
      </c>
      <c r="C93" s="70" t="s">
        <v>217</v>
      </c>
      <c r="D93" s="70" t="s">
        <v>377</v>
      </c>
    </row>
    <row r="94" spans="1:4" ht="64" hidden="1" x14ac:dyDescent="0.2">
      <c r="A94" s="70" t="s">
        <v>786</v>
      </c>
      <c r="B94" s="70" t="str">
        <f>_xlfn.XLOOKUP(LEFT(C94,1),'[1]Challenges-List'!E$4:E$12,'[1]Challenges-List'!D$4:D$12)</f>
        <v xml:space="preserve">7. Inefficient deployment and management of resources and inputs for delivery </v>
      </c>
      <c r="C94" s="70" t="s">
        <v>220</v>
      </c>
      <c r="D94" s="70" t="s">
        <v>378</v>
      </c>
    </row>
    <row r="95" spans="1:4" ht="64" hidden="1" x14ac:dyDescent="0.2">
      <c r="A95" s="70" t="s">
        <v>786</v>
      </c>
      <c r="B95" s="70" t="str">
        <f>_xlfn.XLOOKUP(LEFT(C95,1),'[1]Challenges-List'!E$4:E$12,'[1]Challenges-List'!D$4:D$12)</f>
        <v xml:space="preserve">7. Inefficient deployment and management of resources and inputs for delivery </v>
      </c>
      <c r="C95" s="70" t="s">
        <v>223</v>
      </c>
      <c r="D95" s="70" t="s">
        <v>379</v>
      </c>
    </row>
    <row r="96" spans="1:4" ht="80" hidden="1" x14ac:dyDescent="0.2">
      <c r="A96" s="70" t="s">
        <v>786</v>
      </c>
      <c r="B96" s="70" t="str">
        <f>_xlfn.XLOOKUP(LEFT(C96,1),'[1]Challenges-List'!E$4:E$12,'[1]Challenges-List'!D$4:D$12)</f>
        <v>8. Management, oversight, transparency and accountability systems and institutions fail to encourage and enable performance as intended</v>
      </c>
      <c r="C96" s="70" t="s">
        <v>228</v>
      </c>
      <c r="D96" s="70" t="s">
        <v>380</v>
      </c>
    </row>
    <row r="97" spans="1:4" ht="48" hidden="1" x14ac:dyDescent="0.2">
      <c r="A97" s="70" t="s">
        <v>786</v>
      </c>
      <c r="B97" s="70" t="str">
        <f>_xlfn.XLOOKUP(LEFT(C97,1),'[1]Challenges-List'!E$4:E$12,'[1]Challenges-List'!D$4:D$12)</f>
        <v>8. Management, oversight, transparency and accountability systems and institutions fail to encourage and enable performance as intended</v>
      </c>
      <c r="C97" s="70" t="s">
        <v>231</v>
      </c>
      <c r="D97" s="70" t="s">
        <v>381</v>
      </c>
    </row>
    <row r="98" spans="1:4" ht="48" hidden="1" x14ac:dyDescent="0.2">
      <c r="A98" s="70" t="s">
        <v>786</v>
      </c>
      <c r="B98" s="70" t="str">
        <f>_xlfn.XLOOKUP(LEFT(C98,1),'[1]Challenges-List'!E$4:E$12,'[1]Challenges-List'!D$4:D$12)</f>
        <v>9. Inadequate availability and use of fragmented sector and financial data in decision making for policy, delivery and accountability.</v>
      </c>
      <c r="C98" s="70" t="s">
        <v>241</v>
      </c>
      <c r="D98" s="70" t="s">
        <v>382</v>
      </c>
    </row>
    <row r="99" spans="1:4" ht="64" hidden="1" x14ac:dyDescent="0.2">
      <c r="A99" s="70" t="s">
        <v>786</v>
      </c>
      <c r="B99" s="70" t="str">
        <f>_xlfn.XLOOKUP(LEFT(C99,1),'[1]Challenges-List'!E$4:E$12,'[1]Challenges-List'!D$4:D$12)</f>
        <v>9. Inadequate availability and use of fragmented sector and financial data in decision making for policy, delivery and accountability.</v>
      </c>
      <c r="C99" s="70" t="s">
        <v>244</v>
      </c>
      <c r="D99" s="70" t="s">
        <v>383</v>
      </c>
    </row>
    <row r="100" spans="1:4" s="46" customFormat="1" ht="64" hidden="1" x14ac:dyDescent="0.2">
      <c r="A100" s="57" t="s">
        <v>757</v>
      </c>
      <c r="B100" s="47" t="s">
        <v>384</v>
      </c>
      <c r="C100" s="47" t="s">
        <v>142</v>
      </c>
      <c r="D100" s="57" t="s">
        <v>768</v>
      </c>
    </row>
    <row r="101" spans="1:4" s="46" customFormat="1" ht="48" hidden="1" x14ac:dyDescent="0.2">
      <c r="A101" s="57" t="s">
        <v>757</v>
      </c>
      <c r="B101" s="47" t="s">
        <v>42</v>
      </c>
      <c r="C101" s="47" t="s">
        <v>150</v>
      </c>
      <c r="D101" s="57" t="s">
        <v>385</v>
      </c>
    </row>
    <row r="102" spans="1:4" s="46" customFormat="1" ht="32" hidden="1" x14ac:dyDescent="0.2">
      <c r="A102" s="57" t="s">
        <v>757</v>
      </c>
      <c r="B102" s="47" t="s">
        <v>42</v>
      </c>
      <c r="C102" s="47" t="s">
        <v>150</v>
      </c>
      <c r="D102" s="47" t="s">
        <v>769</v>
      </c>
    </row>
    <row r="103" spans="1:4" s="46" customFormat="1" ht="32" hidden="1" x14ac:dyDescent="0.2">
      <c r="A103" s="57" t="s">
        <v>757</v>
      </c>
      <c r="B103" s="47" t="s">
        <v>43</v>
      </c>
      <c r="C103" s="47" t="s">
        <v>386</v>
      </c>
      <c r="D103" s="57" t="s">
        <v>771</v>
      </c>
    </row>
    <row r="104" spans="1:4" s="46" customFormat="1" ht="48" hidden="1" x14ac:dyDescent="0.2">
      <c r="A104" s="57" t="s">
        <v>757</v>
      </c>
      <c r="B104" s="47" t="s">
        <v>43</v>
      </c>
      <c r="C104" s="47" t="s">
        <v>166</v>
      </c>
      <c r="D104" s="57" t="s">
        <v>770</v>
      </c>
    </row>
    <row r="105" spans="1:4" s="46" customFormat="1" ht="48" hidden="1" x14ac:dyDescent="0.2">
      <c r="A105" s="57" t="s">
        <v>757</v>
      </c>
      <c r="B105" s="47" t="s">
        <v>54</v>
      </c>
      <c r="C105" s="47" t="s">
        <v>171</v>
      </c>
      <c r="D105" s="57" t="s">
        <v>774</v>
      </c>
    </row>
    <row r="106" spans="1:4" s="46" customFormat="1" ht="48" hidden="1" x14ac:dyDescent="0.2">
      <c r="A106" s="57" t="s">
        <v>757</v>
      </c>
      <c r="B106" s="47" t="s">
        <v>54</v>
      </c>
      <c r="C106" s="47" t="s">
        <v>183</v>
      </c>
      <c r="D106" s="57" t="s">
        <v>775</v>
      </c>
    </row>
    <row r="107" spans="1:4" s="46" customFormat="1" ht="48" hidden="1" x14ac:dyDescent="0.2">
      <c r="A107" s="57" t="s">
        <v>757</v>
      </c>
      <c r="B107" s="47" t="s">
        <v>73</v>
      </c>
      <c r="C107" s="47" t="s">
        <v>187</v>
      </c>
      <c r="D107" s="57" t="s">
        <v>778</v>
      </c>
    </row>
    <row r="108" spans="1:4" s="46" customFormat="1" ht="40.5" hidden="1" customHeight="1" x14ac:dyDescent="0.2">
      <c r="A108" s="57" t="s">
        <v>757</v>
      </c>
      <c r="B108" s="47" t="s">
        <v>73</v>
      </c>
      <c r="C108" s="47" t="s">
        <v>390</v>
      </c>
      <c r="D108" s="47" t="s">
        <v>391</v>
      </c>
    </row>
    <row r="109" spans="1:4" s="46" customFormat="1" ht="40.5" hidden="1" customHeight="1" x14ac:dyDescent="0.2">
      <c r="A109" s="57" t="s">
        <v>757</v>
      </c>
      <c r="B109" s="57" t="s">
        <v>73</v>
      </c>
      <c r="C109" s="57" t="s">
        <v>390</v>
      </c>
      <c r="D109" s="57" t="s">
        <v>779</v>
      </c>
    </row>
    <row r="110" spans="1:4" s="46" customFormat="1" ht="32" hidden="1" x14ac:dyDescent="0.2">
      <c r="A110" s="57" t="s">
        <v>757</v>
      </c>
      <c r="B110" s="47" t="s">
        <v>83</v>
      </c>
      <c r="C110" s="57" t="s">
        <v>199</v>
      </c>
      <c r="D110" s="57" t="s">
        <v>776</v>
      </c>
    </row>
    <row r="111" spans="1:4" s="46" customFormat="1" ht="48" hidden="1" x14ac:dyDescent="0.2">
      <c r="A111" s="57" t="s">
        <v>757</v>
      </c>
      <c r="B111" s="47" t="s">
        <v>83</v>
      </c>
      <c r="C111" s="57" t="s">
        <v>199</v>
      </c>
      <c r="D111" s="57" t="s">
        <v>777</v>
      </c>
    </row>
    <row r="112" spans="1:4" s="46" customFormat="1" ht="32" hidden="1" x14ac:dyDescent="0.2">
      <c r="A112" s="57" t="s">
        <v>757</v>
      </c>
      <c r="B112" s="47" t="s">
        <v>393</v>
      </c>
      <c r="C112" s="47" t="s">
        <v>209</v>
      </c>
      <c r="D112" s="47" t="s">
        <v>394</v>
      </c>
    </row>
    <row r="113" spans="1:4" s="46" customFormat="1" ht="48" hidden="1" x14ac:dyDescent="0.2">
      <c r="A113" s="57" t="s">
        <v>757</v>
      </c>
      <c r="B113" s="47" t="s">
        <v>108</v>
      </c>
      <c r="C113" s="47" t="s">
        <v>395</v>
      </c>
      <c r="D113" s="47" t="s">
        <v>396</v>
      </c>
    </row>
    <row r="114" spans="1:4" s="46" customFormat="1" ht="174" hidden="1" customHeight="1" x14ac:dyDescent="0.2">
      <c r="A114" s="57" t="s">
        <v>757</v>
      </c>
      <c r="B114" s="47" t="s">
        <v>108</v>
      </c>
      <c r="C114" s="47" t="s">
        <v>231</v>
      </c>
      <c r="D114" s="47" t="s">
        <v>397</v>
      </c>
    </row>
    <row r="115" spans="1:4" s="46" customFormat="1" ht="48" hidden="1" x14ac:dyDescent="0.2">
      <c r="A115" s="57" t="s">
        <v>757</v>
      </c>
      <c r="B115" s="47" t="s">
        <v>108</v>
      </c>
      <c r="C115" s="47" t="s">
        <v>1077</v>
      </c>
      <c r="D115" s="47" t="s">
        <v>398</v>
      </c>
    </row>
    <row r="116" spans="1:4" s="46" customFormat="1" ht="104.25" hidden="1" customHeight="1" x14ac:dyDescent="0.2">
      <c r="A116" s="105" t="s">
        <v>757</v>
      </c>
      <c r="B116" s="104" t="s">
        <v>120</v>
      </c>
      <c r="C116" s="104" t="s">
        <v>244</v>
      </c>
      <c r="D116" s="105" t="s">
        <v>785</v>
      </c>
    </row>
    <row r="117" spans="1:4" ht="64" hidden="1" x14ac:dyDescent="0.2">
      <c r="A117" s="157" t="s">
        <v>1078</v>
      </c>
      <c r="B117" s="126" t="s">
        <v>32</v>
      </c>
      <c r="C117" s="126" t="s">
        <v>135</v>
      </c>
      <c r="D117" s="151" t="s">
        <v>1023</v>
      </c>
    </row>
    <row r="118" spans="1:4" ht="64" hidden="1" x14ac:dyDescent="0.2">
      <c r="A118" s="157" t="s">
        <v>1078</v>
      </c>
      <c r="B118" s="126" t="s">
        <v>32</v>
      </c>
      <c r="C118" s="126" t="s">
        <v>142</v>
      </c>
      <c r="D118" s="151" t="s">
        <v>1025</v>
      </c>
    </row>
    <row r="119" spans="1:4" ht="96" hidden="1" x14ac:dyDescent="0.2">
      <c r="A119" s="157" t="s">
        <v>1078</v>
      </c>
      <c r="B119" s="126" t="s">
        <v>149</v>
      </c>
      <c r="C119" s="126" t="s">
        <v>262</v>
      </c>
      <c r="D119" s="151" t="s">
        <v>1026</v>
      </c>
    </row>
    <row r="120" spans="1:4" ht="96" hidden="1" x14ac:dyDescent="0.2">
      <c r="A120" s="157" t="s">
        <v>1078</v>
      </c>
      <c r="B120" s="126" t="s">
        <v>154</v>
      </c>
      <c r="C120" s="126" t="s">
        <v>1055</v>
      </c>
      <c r="D120" s="151" t="s">
        <v>1027</v>
      </c>
    </row>
    <row r="121" spans="1:4" ht="48" hidden="1" x14ac:dyDescent="0.2">
      <c r="A121" s="157" t="s">
        <v>1078</v>
      </c>
      <c r="B121" s="126" t="s">
        <v>154</v>
      </c>
      <c r="C121" s="126" t="s">
        <v>161</v>
      </c>
      <c r="D121" s="151" t="s">
        <v>1028</v>
      </c>
    </row>
    <row r="122" spans="1:4" ht="96" hidden="1" x14ac:dyDescent="0.2">
      <c r="A122" s="157" t="s">
        <v>1078</v>
      </c>
      <c r="B122" s="126" t="s">
        <v>154</v>
      </c>
      <c r="C122" s="126" t="s">
        <v>161</v>
      </c>
      <c r="D122" s="152" t="s">
        <v>1029</v>
      </c>
    </row>
    <row r="123" spans="1:4" ht="128" hidden="1" x14ac:dyDescent="0.2">
      <c r="A123" s="157" t="s">
        <v>1078</v>
      </c>
      <c r="B123" s="126" t="s">
        <v>54</v>
      </c>
      <c r="C123" s="126" t="s">
        <v>171</v>
      </c>
      <c r="D123" s="151" t="s">
        <v>1030</v>
      </c>
    </row>
    <row r="124" spans="1:4" ht="64" hidden="1" x14ac:dyDescent="0.2">
      <c r="A124" s="157" t="s">
        <v>1078</v>
      </c>
      <c r="B124" s="126" t="s">
        <v>54</v>
      </c>
      <c r="C124" s="126" t="s">
        <v>317</v>
      </c>
      <c r="D124" s="152" t="s">
        <v>1031</v>
      </c>
    </row>
    <row r="125" spans="1:4" ht="96" hidden="1" x14ac:dyDescent="0.2">
      <c r="A125" s="157" t="s">
        <v>1078</v>
      </c>
      <c r="B125" s="126" t="s">
        <v>54</v>
      </c>
      <c r="C125" s="126" t="s">
        <v>1059</v>
      </c>
      <c r="D125" s="151" t="s">
        <v>1032</v>
      </c>
    </row>
    <row r="126" spans="1:4" ht="80" hidden="1" x14ac:dyDescent="0.2">
      <c r="A126" s="157" t="s">
        <v>1078</v>
      </c>
      <c r="B126" s="126" t="s">
        <v>186</v>
      </c>
      <c r="C126" s="126" t="s">
        <v>1061</v>
      </c>
      <c r="D126" s="152" t="s">
        <v>1033</v>
      </c>
    </row>
    <row r="127" spans="1:4" ht="80" hidden="1" x14ac:dyDescent="0.2">
      <c r="A127" s="157" t="s">
        <v>1078</v>
      </c>
      <c r="B127" s="126" t="s">
        <v>186</v>
      </c>
      <c r="C127" s="126" t="s">
        <v>1063</v>
      </c>
      <c r="D127" s="152" t="s">
        <v>1034</v>
      </c>
    </row>
    <row r="128" spans="1:4" ht="48" hidden="1" x14ac:dyDescent="0.2">
      <c r="A128" s="157" t="s">
        <v>1078</v>
      </c>
      <c r="B128" s="126" t="s">
        <v>186</v>
      </c>
      <c r="C128" s="126" t="s">
        <v>1035</v>
      </c>
      <c r="D128" s="151" t="s">
        <v>1036</v>
      </c>
    </row>
    <row r="129" spans="1:4" ht="64" hidden="1" x14ac:dyDescent="0.2">
      <c r="A129" s="157" t="s">
        <v>1078</v>
      </c>
      <c r="B129" s="126" t="s">
        <v>186</v>
      </c>
      <c r="C129" s="126" t="s">
        <v>322</v>
      </c>
      <c r="D129" s="152" t="s">
        <v>1037</v>
      </c>
    </row>
    <row r="130" spans="1:4" ht="64" hidden="1" x14ac:dyDescent="0.2">
      <c r="A130" s="157" t="s">
        <v>1078</v>
      </c>
      <c r="B130" s="126" t="s">
        <v>83</v>
      </c>
      <c r="C130" s="126" t="s">
        <v>199</v>
      </c>
      <c r="D130" s="152" t="s">
        <v>1038</v>
      </c>
    </row>
    <row r="131" spans="1:4" ht="64" hidden="1" x14ac:dyDescent="0.2">
      <c r="A131" s="157" t="s">
        <v>1078</v>
      </c>
      <c r="B131" s="126" t="s">
        <v>83</v>
      </c>
      <c r="C131" s="126" t="s">
        <v>202</v>
      </c>
      <c r="D131" s="151" t="s">
        <v>1040</v>
      </c>
    </row>
    <row r="132" spans="1:4" ht="80" hidden="1" x14ac:dyDescent="0.2">
      <c r="A132" s="157" t="s">
        <v>1078</v>
      </c>
      <c r="B132" s="126" t="s">
        <v>208</v>
      </c>
      <c r="C132" s="126" t="s">
        <v>214</v>
      </c>
      <c r="D132" s="154" t="s">
        <v>1041</v>
      </c>
    </row>
    <row r="133" spans="1:4" ht="48" hidden="1" x14ac:dyDescent="0.2">
      <c r="A133" s="157" t="s">
        <v>1078</v>
      </c>
      <c r="B133" s="126" t="s">
        <v>208</v>
      </c>
      <c r="C133" s="126" t="s">
        <v>217</v>
      </c>
      <c r="D133" s="152" t="s">
        <v>1042</v>
      </c>
    </row>
    <row r="134" spans="1:4" ht="64" hidden="1" x14ac:dyDescent="0.2">
      <c r="A134" s="157" t="s">
        <v>1078</v>
      </c>
      <c r="B134" s="126" t="s">
        <v>227</v>
      </c>
      <c r="C134" s="126" t="s">
        <v>228</v>
      </c>
      <c r="D134" s="152" t="s">
        <v>1043</v>
      </c>
    </row>
    <row r="135" spans="1:4" ht="176" hidden="1" x14ac:dyDescent="0.2">
      <c r="A135" s="157" t="s">
        <v>1078</v>
      </c>
      <c r="B135" s="126" t="s">
        <v>227</v>
      </c>
      <c r="C135" s="126" t="s">
        <v>1075</v>
      </c>
      <c r="D135" s="152" t="s">
        <v>1045</v>
      </c>
    </row>
    <row r="136" spans="1:4" ht="64" hidden="1" x14ac:dyDescent="0.2">
      <c r="A136" s="157" t="s">
        <v>1078</v>
      </c>
      <c r="B136" s="126" t="s">
        <v>227</v>
      </c>
      <c r="C136" s="126" t="s">
        <v>231</v>
      </c>
      <c r="D136" s="152" t="s">
        <v>1046</v>
      </c>
    </row>
    <row r="137" spans="1:4" ht="64" hidden="1" x14ac:dyDescent="0.2">
      <c r="A137" s="157" t="s">
        <v>1078</v>
      </c>
      <c r="B137" s="126" t="s">
        <v>227</v>
      </c>
      <c r="C137" s="126" t="s">
        <v>1077</v>
      </c>
      <c r="D137" s="152" t="s">
        <v>1048</v>
      </c>
    </row>
    <row r="138" spans="1:4" ht="64" hidden="1" x14ac:dyDescent="0.2">
      <c r="A138" s="157" t="s">
        <v>1078</v>
      </c>
      <c r="B138" s="126" t="s">
        <v>227</v>
      </c>
      <c r="C138" s="126" t="s">
        <v>1076</v>
      </c>
      <c r="D138" s="151" t="s">
        <v>1049</v>
      </c>
    </row>
    <row r="139" spans="1:4" ht="96" hidden="1" x14ac:dyDescent="0.2">
      <c r="A139" s="157" t="s">
        <v>1078</v>
      </c>
      <c r="B139" s="126" t="s">
        <v>227</v>
      </c>
      <c r="C139" s="126" t="s">
        <v>241</v>
      </c>
      <c r="D139" s="151" t="s">
        <v>1050</v>
      </c>
    </row>
    <row r="140" spans="1:4" ht="144" hidden="1" x14ac:dyDescent="0.2">
      <c r="A140" s="157" t="s">
        <v>1078</v>
      </c>
      <c r="B140" s="126" t="s">
        <v>227</v>
      </c>
      <c r="C140" s="126" t="s">
        <v>244</v>
      </c>
      <c r="D140" s="154" t="s">
        <v>1051</v>
      </c>
    </row>
    <row r="141" spans="1:4" x14ac:dyDescent="0.2">
      <c r="A141" s="71"/>
      <c r="B141" s="71"/>
      <c r="C141" s="71"/>
      <c r="D141" s="106"/>
    </row>
    <row r="142" spans="1:4" x14ac:dyDescent="0.2">
      <c r="A142" s="71"/>
      <c r="B142" s="71"/>
      <c r="C142" s="71"/>
      <c r="D142" s="106"/>
    </row>
    <row r="143" spans="1:4" x14ac:dyDescent="0.2">
      <c r="A143" s="71"/>
      <c r="B143" s="71"/>
      <c r="C143" s="71"/>
      <c r="D143" s="106"/>
    </row>
    <row r="144" spans="1:4" x14ac:dyDescent="0.2">
      <c r="A144" s="71"/>
      <c r="B144" s="71"/>
      <c r="C144" s="71"/>
      <c r="D144" s="106"/>
    </row>
    <row r="145" spans="1:4" x14ac:dyDescent="0.2">
      <c r="A145" s="71"/>
      <c r="B145" s="71"/>
      <c r="C145" s="71"/>
      <c r="D145" s="106"/>
    </row>
    <row r="146" spans="1:4" x14ac:dyDescent="0.2">
      <c r="A146" s="71"/>
      <c r="B146" s="71"/>
      <c r="C146" s="71"/>
      <c r="D146" s="106"/>
    </row>
    <row r="147" spans="1:4" x14ac:dyDescent="0.2">
      <c r="A147" s="71"/>
      <c r="B147" s="71"/>
      <c r="C147" s="71"/>
      <c r="D147" s="106"/>
    </row>
    <row r="148" spans="1:4" x14ac:dyDescent="0.2">
      <c r="A148" s="71"/>
      <c r="B148" s="71"/>
      <c r="C148" s="71"/>
      <c r="D148" s="106"/>
    </row>
    <row r="149" spans="1:4" x14ac:dyDescent="0.2">
      <c r="A149" s="71"/>
      <c r="B149" s="71"/>
      <c r="C149" s="71"/>
      <c r="D149" s="106"/>
    </row>
    <row r="150" spans="1:4" x14ac:dyDescent="0.2">
      <c r="A150" s="71"/>
      <c r="B150" s="71"/>
      <c r="C150" s="71"/>
      <c r="D150" s="106"/>
    </row>
    <row r="151" spans="1:4" x14ac:dyDescent="0.2">
      <c r="A151" s="71"/>
      <c r="B151" s="71"/>
      <c r="C151" s="71"/>
      <c r="D151" s="106"/>
    </row>
    <row r="152" spans="1:4" x14ac:dyDescent="0.2">
      <c r="A152" s="71"/>
      <c r="B152" s="71"/>
      <c r="C152" s="71"/>
      <c r="D152" s="106"/>
    </row>
    <row r="153" spans="1:4" x14ac:dyDescent="0.2">
      <c r="A153" s="71"/>
      <c r="B153" s="71"/>
      <c r="C153" s="71"/>
      <c r="D153" s="106"/>
    </row>
    <row r="154" spans="1:4" x14ac:dyDescent="0.2">
      <c r="A154" s="71"/>
      <c r="B154" s="71"/>
      <c r="C154" s="71"/>
      <c r="D154" s="106"/>
    </row>
    <row r="155" spans="1:4" x14ac:dyDescent="0.2">
      <c r="A155" s="71"/>
      <c r="B155" s="71"/>
      <c r="C155" s="71"/>
      <c r="D155" s="106"/>
    </row>
    <row r="156" spans="1:4" x14ac:dyDescent="0.2">
      <c r="A156" s="71"/>
      <c r="B156" s="71"/>
      <c r="C156" s="71"/>
      <c r="D156" s="106"/>
    </row>
    <row r="157" spans="1:4" x14ac:dyDescent="0.2">
      <c r="A157" s="71"/>
      <c r="B157" s="71"/>
      <c r="C157" s="71"/>
      <c r="D157" s="106"/>
    </row>
    <row r="158" spans="1:4" x14ac:dyDescent="0.2">
      <c r="A158" s="71"/>
      <c r="B158" s="71"/>
      <c r="C158" s="71"/>
      <c r="D158" s="106"/>
    </row>
    <row r="159" spans="1:4" x14ac:dyDescent="0.2">
      <c r="A159" s="71"/>
      <c r="B159" s="71"/>
      <c r="C159" s="71"/>
      <c r="D159" s="106"/>
    </row>
    <row r="160" spans="1:4" x14ac:dyDescent="0.2">
      <c r="A160" s="71"/>
      <c r="B160" s="71"/>
      <c r="C160" s="71"/>
      <c r="D160" s="106"/>
    </row>
    <row r="161" spans="1:4" x14ac:dyDescent="0.2">
      <c r="A161" s="71"/>
      <c r="B161" s="71"/>
      <c r="C161" s="71"/>
      <c r="D161" s="106"/>
    </row>
    <row r="162" spans="1:4" x14ac:dyDescent="0.2">
      <c r="A162" s="71"/>
      <c r="B162" s="71"/>
      <c r="C162" s="71"/>
      <c r="D162" s="106"/>
    </row>
    <row r="163" spans="1:4" x14ac:dyDescent="0.2">
      <c r="A163" s="71"/>
      <c r="B163" s="71"/>
      <c r="C163" s="71"/>
      <c r="D163" s="106"/>
    </row>
    <row r="164" spans="1:4" x14ac:dyDescent="0.2">
      <c r="A164" s="71"/>
      <c r="B164" s="71"/>
      <c r="C164" s="71"/>
      <c r="D164" s="106"/>
    </row>
    <row r="165" spans="1:4" x14ac:dyDescent="0.2">
      <c r="A165" s="71"/>
      <c r="B165" s="71"/>
      <c r="C165" s="71"/>
      <c r="D165" s="106"/>
    </row>
    <row r="166" spans="1:4" x14ac:dyDescent="0.2">
      <c r="A166" s="71"/>
      <c r="B166" s="71"/>
      <c r="C166" s="71"/>
      <c r="D166" s="106"/>
    </row>
    <row r="167" spans="1:4" x14ac:dyDescent="0.2">
      <c r="A167" s="71"/>
      <c r="B167" s="71"/>
      <c r="C167" s="71"/>
      <c r="D167" s="106"/>
    </row>
    <row r="168" spans="1:4" x14ac:dyDescent="0.2">
      <c r="A168" s="71"/>
      <c r="B168" s="71"/>
      <c r="C168" s="71"/>
      <c r="D168" s="106"/>
    </row>
    <row r="169" spans="1:4" x14ac:dyDescent="0.2">
      <c r="A169" s="71"/>
      <c r="B169" s="71"/>
      <c r="C169" s="71"/>
      <c r="D169" s="106"/>
    </row>
    <row r="170" spans="1:4" x14ac:dyDescent="0.2">
      <c r="A170" s="71"/>
      <c r="B170" s="71"/>
      <c r="C170" s="71"/>
      <c r="D170" s="106"/>
    </row>
    <row r="171" spans="1:4" x14ac:dyDescent="0.2">
      <c r="A171" s="71"/>
      <c r="B171" s="71"/>
      <c r="C171" s="71"/>
      <c r="D171" s="106"/>
    </row>
    <row r="172" spans="1:4" x14ac:dyDescent="0.2">
      <c r="A172" s="71"/>
      <c r="B172" s="71"/>
      <c r="C172" s="71"/>
      <c r="D172" s="106"/>
    </row>
    <row r="173" spans="1:4" x14ac:dyDescent="0.2">
      <c r="A173" s="71"/>
      <c r="B173" s="71"/>
      <c r="C173" s="71"/>
      <c r="D173" s="106"/>
    </row>
    <row r="174" spans="1:4" x14ac:dyDescent="0.2">
      <c r="A174" s="71"/>
      <c r="B174" s="71"/>
      <c r="C174" s="71"/>
      <c r="D174" s="106"/>
    </row>
    <row r="175" spans="1:4" x14ac:dyDescent="0.2">
      <c r="A175" s="71"/>
      <c r="B175" s="71"/>
      <c r="C175" s="71"/>
      <c r="D175" s="106"/>
    </row>
    <row r="176" spans="1:4" x14ac:dyDescent="0.2">
      <c r="A176" s="71"/>
      <c r="B176" s="71"/>
      <c r="C176" s="71"/>
      <c r="D176" s="106"/>
    </row>
    <row r="177" spans="1:4" x14ac:dyDescent="0.2">
      <c r="A177" s="71"/>
      <c r="B177" s="71"/>
      <c r="C177" s="71"/>
      <c r="D177" s="106"/>
    </row>
    <row r="178" spans="1:4" x14ac:dyDescent="0.2">
      <c r="A178" s="71"/>
      <c r="B178" s="71"/>
      <c r="C178" s="71"/>
      <c r="D178" s="106"/>
    </row>
    <row r="179" spans="1:4" x14ac:dyDescent="0.2">
      <c r="A179" s="71"/>
      <c r="B179" s="71"/>
      <c r="C179" s="71"/>
      <c r="D179" s="106"/>
    </row>
    <row r="180" spans="1:4" x14ac:dyDescent="0.2">
      <c r="A180" s="71"/>
      <c r="B180" s="71"/>
      <c r="C180" s="71"/>
      <c r="D180" s="106"/>
    </row>
    <row r="181" spans="1:4" x14ac:dyDescent="0.2">
      <c r="A181" s="71"/>
      <c r="B181" s="71"/>
      <c r="C181" s="71"/>
      <c r="D181" s="106"/>
    </row>
    <row r="182" spans="1:4" x14ac:dyDescent="0.2">
      <c r="A182" s="71"/>
      <c r="B182" s="71"/>
      <c r="C182" s="71"/>
      <c r="D182" s="106"/>
    </row>
    <row r="183" spans="1:4" x14ac:dyDescent="0.2">
      <c r="A183" s="71"/>
      <c r="B183" s="71"/>
      <c r="C183" s="71"/>
      <c r="D183" s="106"/>
    </row>
    <row r="184" spans="1:4" x14ac:dyDescent="0.2">
      <c r="A184" s="71"/>
      <c r="B184" s="71"/>
      <c r="C184" s="71"/>
      <c r="D184" s="106"/>
    </row>
    <row r="185" spans="1:4" x14ac:dyDescent="0.2">
      <c r="A185" s="71"/>
      <c r="B185" s="71"/>
      <c r="C185" s="71"/>
      <c r="D185" s="106"/>
    </row>
    <row r="186" spans="1:4" x14ac:dyDescent="0.2">
      <c r="A186" s="71"/>
      <c r="B186" s="71"/>
      <c r="C186" s="71"/>
      <c r="D186" s="106"/>
    </row>
    <row r="187" spans="1:4" x14ac:dyDescent="0.2">
      <c r="A187" s="71"/>
      <c r="B187" s="71"/>
      <c r="C187" s="71"/>
      <c r="D187" s="106"/>
    </row>
    <row r="188" spans="1:4" x14ac:dyDescent="0.2">
      <c r="A188" s="71"/>
      <c r="B188" s="71"/>
      <c r="C188" s="71"/>
      <c r="D188" s="106"/>
    </row>
    <row r="189" spans="1:4" x14ac:dyDescent="0.2">
      <c r="A189" s="71"/>
      <c r="B189" s="71"/>
      <c r="C189" s="71"/>
      <c r="D189" s="106"/>
    </row>
    <row r="190" spans="1:4" x14ac:dyDescent="0.2">
      <c r="A190" s="71"/>
      <c r="B190" s="71"/>
      <c r="C190" s="71"/>
      <c r="D190" s="106"/>
    </row>
    <row r="191" spans="1:4" x14ac:dyDescent="0.2">
      <c r="A191" s="71"/>
      <c r="B191" s="71"/>
      <c r="C191" s="71"/>
      <c r="D191" s="106"/>
    </row>
    <row r="192" spans="1:4" x14ac:dyDescent="0.2">
      <c r="A192" s="71"/>
      <c r="B192" s="71"/>
      <c r="C192" s="71"/>
      <c r="D192" s="106"/>
    </row>
    <row r="193" spans="1:4" x14ac:dyDescent="0.2">
      <c r="A193" s="71"/>
      <c r="B193" s="71"/>
      <c r="C193" s="71"/>
      <c r="D193" s="106"/>
    </row>
    <row r="194" spans="1:4" x14ac:dyDescent="0.2">
      <c r="A194" s="71"/>
      <c r="B194" s="71"/>
      <c r="C194" s="71"/>
      <c r="D194" s="106"/>
    </row>
    <row r="195" spans="1:4" x14ac:dyDescent="0.2">
      <c r="A195" s="71"/>
      <c r="B195" s="71"/>
      <c r="C195" s="71"/>
      <c r="D195" s="106"/>
    </row>
    <row r="196" spans="1:4" x14ac:dyDescent="0.2">
      <c r="A196" s="71"/>
      <c r="B196" s="71"/>
      <c r="C196" s="71"/>
      <c r="D196" s="106"/>
    </row>
    <row r="197" spans="1:4" x14ac:dyDescent="0.2">
      <c r="A197" s="71"/>
      <c r="B197" s="71"/>
      <c r="C197" s="71"/>
      <c r="D197" s="106"/>
    </row>
    <row r="198" spans="1:4" x14ac:dyDescent="0.2">
      <c r="A198" s="71"/>
      <c r="B198" s="71"/>
      <c r="C198" s="71"/>
      <c r="D198" s="106"/>
    </row>
    <row r="199" spans="1:4" x14ac:dyDescent="0.2">
      <c r="A199" s="71"/>
      <c r="B199" s="71"/>
      <c r="C199" s="71"/>
      <c r="D199" s="106"/>
    </row>
    <row r="200" spans="1:4" x14ac:dyDescent="0.2">
      <c r="A200" s="71"/>
      <c r="B200" s="71"/>
      <c r="C200" s="71"/>
      <c r="D200" s="106"/>
    </row>
    <row r="201" spans="1:4" x14ac:dyDescent="0.2">
      <c r="A201" s="71"/>
      <c r="B201" s="71"/>
      <c r="C201" s="71"/>
      <c r="D201" s="106"/>
    </row>
    <row r="202" spans="1:4" x14ac:dyDescent="0.2">
      <c r="A202" s="71"/>
      <c r="B202" s="71"/>
      <c r="C202" s="71"/>
      <c r="D202" s="106"/>
    </row>
    <row r="203" spans="1:4" x14ac:dyDescent="0.2">
      <c r="A203" s="71"/>
      <c r="B203" s="71"/>
      <c r="C203" s="71"/>
      <c r="D203" s="106"/>
    </row>
    <row r="204" spans="1:4" x14ac:dyDescent="0.2">
      <c r="A204" s="71"/>
      <c r="B204" s="71"/>
      <c r="C204" s="71"/>
      <c r="D204" s="106"/>
    </row>
    <row r="205" spans="1:4" x14ac:dyDescent="0.2">
      <c r="A205" s="71"/>
      <c r="B205" s="71"/>
      <c r="C205" s="71"/>
      <c r="D205" s="106"/>
    </row>
    <row r="206" spans="1:4" x14ac:dyDescent="0.2">
      <c r="A206" s="71"/>
      <c r="B206" s="71"/>
      <c r="C206" s="71"/>
      <c r="D206" s="106"/>
    </row>
    <row r="207" spans="1:4" x14ac:dyDescent="0.2">
      <c r="A207" s="71"/>
      <c r="B207" s="71"/>
      <c r="C207" s="71"/>
      <c r="D207" s="106"/>
    </row>
    <row r="208" spans="1:4" x14ac:dyDescent="0.2">
      <c r="A208" s="71"/>
      <c r="B208" s="71"/>
      <c r="C208" s="71"/>
      <c r="D208" s="106"/>
    </row>
    <row r="209" spans="1:4" x14ac:dyDescent="0.2">
      <c r="A209" s="71"/>
      <c r="B209" s="71"/>
      <c r="C209" s="71"/>
      <c r="D209" s="106"/>
    </row>
    <row r="210" spans="1:4" x14ac:dyDescent="0.2">
      <c r="A210" s="71"/>
      <c r="B210" s="71"/>
      <c r="C210" s="71"/>
      <c r="D210" s="106"/>
    </row>
    <row r="211" spans="1:4" x14ac:dyDescent="0.2">
      <c r="A211" s="71"/>
      <c r="B211" s="71"/>
      <c r="C211" s="71"/>
      <c r="D211" s="106"/>
    </row>
    <row r="212" spans="1:4" x14ac:dyDescent="0.2">
      <c r="A212" s="71"/>
      <c r="B212" s="71"/>
      <c r="C212" s="71"/>
      <c r="D212" s="106"/>
    </row>
    <row r="213" spans="1:4" x14ac:dyDescent="0.2">
      <c r="A213" s="71"/>
      <c r="B213" s="71"/>
      <c r="C213" s="71"/>
      <c r="D213" s="106"/>
    </row>
    <row r="214" spans="1:4" x14ac:dyDescent="0.2">
      <c r="A214" s="71"/>
      <c r="B214" s="71"/>
      <c r="C214" s="71"/>
      <c r="D214" s="106"/>
    </row>
    <row r="215" spans="1:4" x14ac:dyDescent="0.2">
      <c r="A215" s="71"/>
      <c r="B215" s="71"/>
      <c r="C215" s="71"/>
      <c r="D215" s="106"/>
    </row>
    <row r="216" spans="1:4" x14ac:dyDescent="0.2">
      <c r="A216" s="71"/>
      <c r="B216" s="71"/>
      <c r="C216" s="71"/>
      <c r="D216" s="106"/>
    </row>
    <row r="217" spans="1:4" x14ac:dyDescent="0.2">
      <c r="A217" s="71"/>
      <c r="B217" s="71"/>
      <c r="C217" s="71"/>
      <c r="D217" s="106"/>
    </row>
    <row r="218" spans="1:4" x14ac:dyDescent="0.2">
      <c r="A218" s="71"/>
      <c r="B218" s="71"/>
      <c r="C218" s="71"/>
      <c r="D218" s="106"/>
    </row>
    <row r="219" spans="1:4" x14ac:dyDescent="0.2">
      <c r="A219" s="71"/>
      <c r="B219" s="71"/>
      <c r="C219" s="71"/>
      <c r="D219" s="106"/>
    </row>
    <row r="220" spans="1:4" x14ac:dyDescent="0.2">
      <c r="A220" s="71"/>
      <c r="B220" s="71"/>
      <c r="C220" s="71"/>
      <c r="D220" s="106"/>
    </row>
    <row r="221" spans="1:4" x14ac:dyDescent="0.2">
      <c r="A221" s="71"/>
      <c r="B221" s="71"/>
      <c r="C221" s="71"/>
      <c r="D221" s="106"/>
    </row>
    <row r="222" spans="1:4" x14ac:dyDescent="0.2">
      <c r="A222" s="71"/>
      <c r="B222" s="71"/>
      <c r="C222" s="71"/>
      <c r="D222" s="106"/>
    </row>
    <row r="223" spans="1:4" x14ac:dyDescent="0.2">
      <c r="A223" s="71"/>
      <c r="B223" s="71"/>
      <c r="C223" s="71"/>
      <c r="D223" s="106"/>
    </row>
    <row r="224" spans="1:4" x14ac:dyDescent="0.2">
      <c r="A224" s="71"/>
      <c r="B224" s="71"/>
      <c r="C224" s="71"/>
      <c r="D224" s="106"/>
    </row>
    <row r="225" spans="1:4" x14ac:dyDescent="0.2">
      <c r="A225" s="71"/>
      <c r="B225" s="71"/>
      <c r="C225" s="71"/>
      <c r="D225" s="106"/>
    </row>
    <row r="226" spans="1:4" x14ac:dyDescent="0.2">
      <c r="A226" s="71"/>
      <c r="B226" s="71"/>
      <c r="C226" s="71"/>
      <c r="D226" s="106"/>
    </row>
    <row r="227" spans="1:4" x14ac:dyDescent="0.2">
      <c r="A227" s="71"/>
      <c r="B227" s="71"/>
      <c r="C227" s="71"/>
      <c r="D227" s="106"/>
    </row>
    <row r="228" spans="1:4" x14ac:dyDescent="0.2">
      <c r="A228" s="71"/>
      <c r="B228" s="71"/>
      <c r="C228" s="71"/>
      <c r="D228" s="106"/>
    </row>
    <row r="229" spans="1:4" x14ac:dyDescent="0.2">
      <c r="A229" s="71"/>
      <c r="B229" s="71"/>
      <c r="C229" s="71"/>
      <c r="D229" s="106"/>
    </row>
    <row r="230" spans="1:4" x14ac:dyDescent="0.2">
      <c r="A230" s="71"/>
      <c r="B230" s="71"/>
      <c r="C230" s="71"/>
      <c r="D230" s="106"/>
    </row>
    <row r="231" spans="1:4" x14ac:dyDescent="0.2">
      <c r="A231" s="71"/>
      <c r="B231" s="71"/>
      <c r="C231" s="71"/>
      <c r="D231" s="106"/>
    </row>
    <row r="232" spans="1:4" x14ac:dyDescent="0.2">
      <c r="A232" s="71"/>
      <c r="B232" s="71"/>
      <c r="C232" s="71"/>
      <c r="D232" s="106"/>
    </row>
    <row r="233" spans="1:4" x14ac:dyDescent="0.2">
      <c r="A233" s="71"/>
      <c r="B233" s="71"/>
      <c r="C233" s="71"/>
      <c r="D233" s="106"/>
    </row>
    <row r="234" spans="1:4" x14ac:dyDescent="0.2">
      <c r="A234" s="71"/>
      <c r="B234" s="71"/>
      <c r="C234" s="71"/>
      <c r="D234" s="106"/>
    </row>
    <row r="235" spans="1:4" x14ac:dyDescent="0.2">
      <c r="A235" s="71"/>
      <c r="B235" s="71"/>
      <c r="C235" s="71"/>
      <c r="D235" s="106"/>
    </row>
    <row r="236" spans="1:4" x14ac:dyDescent="0.2">
      <c r="A236" s="71"/>
      <c r="B236" s="71"/>
      <c r="C236" s="71"/>
      <c r="D236" s="106"/>
    </row>
    <row r="237" spans="1:4" x14ac:dyDescent="0.2">
      <c r="A237" s="71"/>
      <c r="B237" s="71"/>
      <c r="C237" s="71"/>
      <c r="D237" s="106"/>
    </row>
    <row r="238" spans="1:4" x14ac:dyDescent="0.2">
      <c r="A238" s="71"/>
      <c r="B238" s="71"/>
      <c r="C238" s="71"/>
      <c r="D238" s="106"/>
    </row>
    <row r="239" spans="1:4" x14ac:dyDescent="0.2">
      <c r="A239" s="71"/>
      <c r="B239" s="71"/>
      <c r="C239" s="71"/>
      <c r="D239" s="106"/>
    </row>
    <row r="240" spans="1:4" x14ac:dyDescent="0.2">
      <c r="A240" s="71"/>
      <c r="B240" s="71"/>
      <c r="C240" s="71"/>
      <c r="D240" s="106"/>
    </row>
    <row r="241" spans="1:4" x14ac:dyDescent="0.2">
      <c r="A241" s="71"/>
      <c r="B241" s="71"/>
      <c r="C241" s="71"/>
      <c r="D241" s="106"/>
    </row>
    <row r="242" spans="1:4" x14ac:dyDescent="0.2">
      <c r="A242" s="71"/>
      <c r="B242" s="71"/>
      <c r="C242" s="71"/>
      <c r="D242" s="106"/>
    </row>
    <row r="243" spans="1:4" x14ac:dyDescent="0.2">
      <c r="A243" s="71"/>
      <c r="B243" s="71"/>
      <c r="C243" s="71"/>
      <c r="D243" s="106"/>
    </row>
    <row r="244" spans="1:4" x14ac:dyDescent="0.2">
      <c r="A244" s="71"/>
      <c r="B244" s="71"/>
      <c r="C244" s="71"/>
      <c r="D244" s="106"/>
    </row>
    <row r="245" spans="1:4" x14ac:dyDescent="0.2">
      <c r="A245" s="71"/>
      <c r="B245" s="71"/>
      <c r="C245" s="71"/>
      <c r="D245" s="106"/>
    </row>
    <row r="246" spans="1:4" x14ac:dyDescent="0.2">
      <c r="A246" s="71"/>
      <c r="B246" s="71"/>
      <c r="C246" s="71"/>
      <c r="D246" s="106"/>
    </row>
    <row r="247" spans="1:4" x14ac:dyDescent="0.2">
      <c r="A247" s="71"/>
      <c r="B247" s="71"/>
      <c r="C247" s="71"/>
      <c r="D247" s="106"/>
    </row>
    <row r="248" spans="1:4" x14ac:dyDescent="0.2">
      <c r="A248" s="71"/>
      <c r="B248" s="71"/>
      <c r="C248" s="71"/>
      <c r="D248" s="106"/>
    </row>
    <row r="249" spans="1:4" x14ac:dyDescent="0.2">
      <c r="A249" s="71"/>
      <c r="B249" s="71"/>
      <c r="C249" s="71"/>
      <c r="D249" s="106"/>
    </row>
    <row r="250" spans="1:4" x14ac:dyDescent="0.2">
      <c r="A250" s="71"/>
      <c r="B250" s="71"/>
      <c r="C250" s="71"/>
      <c r="D250" s="106"/>
    </row>
    <row r="251" spans="1:4" x14ac:dyDescent="0.2">
      <c r="A251" s="71"/>
      <c r="B251" s="71"/>
      <c r="C251" s="71"/>
      <c r="D251" s="106"/>
    </row>
    <row r="252" spans="1:4" x14ac:dyDescent="0.2">
      <c r="A252" s="71"/>
      <c r="B252" s="71"/>
      <c r="C252" s="71"/>
      <c r="D252" s="106"/>
    </row>
    <row r="253" spans="1:4" x14ac:dyDescent="0.2">
      <c r="A253" s="71"/>
      <c r="B253" s="71"/>
      <c r="C253" s="71"/>
      <c r="D253" s="106"/>
    </row>
    <row r="254" spans="1:4" x14ac:dyDescent="0.2">
      <c r="A254" s="71"/>
      <c r="B254" s="71"/>
      <c r="C254" s="71"/>
      <c r="D254" s="106"/>
    </row>
    <row r="255" spans="1:4" x14ac:dyDescent="0.2">
      <c r="A255" s="71"/>
      <c r="B255" s="71"/>
      <c r="C255" s="71"/>
      <c r="D255" s="106"/>
    </row>
    <row r="256" spans="1:4" x14ac:dyDescent="0.2">
      <c r="A256" s="71"/>
      <c r="B256" s="71"/>
      <c r="C256" s="71"/>
      <c r="D256" s="106"/>
    </row>
    <row r="257" spans="1:4" x14ac:dyDescent="0.2">
      <c r="A257" s="71"/>
      <c r="B257" s="71"/>
      <c r="C257" s="71"/>
      <c r="D257" s="106"/>
    </row>
    <row r="258" spans="1:4" x14ac:dyDescent="0.2">
      <c r="A258" s="71"/>
      <c r="B258" s="71"/>
      <c r="C258" s="71"/>
      <c r="D258" s="106"/>
    </row>
    <row r="259" spans="1:4" x14ac:dyDescent="0.2">
      <c r="A259" s="71"/>
      <c r="B259" s="71"/>
      <c r="C259" s="71"/>
      <c r="D259" s="106"/>
    </row>
    <row r="260" spans="1:4" x14ac:dyDescent="0.2">
      <c r="A260" s="71"/>
      <c r="B260" s="71"/>
      <c r="C260" s="71"/>
      <c r="D260" s="106"/>
    </row>
    <row r="261" spans="1:4" x14ac:dyDescent="0.2">
      <c r="A261" s="71"/>
      <c r="B261" s="71"/>
      <c r="C261" s="71"/>
      <c r="D261" s="106"/>
    </row>
    <row r="262" spans="1:4" x14ac:dyDescent="0.2">
      <c r="A262" s="71"/>
      <c r="B262" s="71"/>
      <c r="C262" s="71"/>
      <c r="D262" s="106"/>
    </row>
    <row r="263" spans="1:4" x14ac:dyDescent="0.2">
      <c r="A263" s="71"/>
      <c r="B263" s="71"/>
      <c r="C263" s="71"/>
      <c r="D263" s="106"/>
    </row>
    <row r="264" spans="1:4" x14ac:dyDescent="0.2">
      <c r="A264" s="71"/>
      <c r="B264" s="71"/>
      <c r="C264" s="71"/>
      <c r="D264" s="106"/>
    </row>
    <row r="265" spans="1:4" x14ac:dyDescent="0.2">
      <c r="A265" s="71"/>
      <c r="B265" s="71"/>
      <c r="C265" s="71"/>
      <c r="D265" s="106"/>
    </row>
    <row r="266" spans="1:4" x14ac:dyDescent="0.2">
      <c r="A266" s="71"/>
      <c r="B266" s="71"/>
      <c r="C266" s="71"/>
      <c r="D266" s="106"/>
    </row>
    <row r="267" spans="1:4" x14ac:dyDescent="0.2">
      <c r="A267" s="71"/>
      <c r="B267" s="71"/>
      <c r="C267" s="71"/>
      <c r="D267" s="106"/>
    </row>
    <row r="268" spans="1:4" x14ac:dyDescent="0.2">
      <c r="A268" s="71"/>
      <c r="B268" s="71"/>
      <c r="C268" s="71"/>
      <c r="D268" s="106"/>
    </row>
    <row r="269" spans="1:4" x14ac:dyDescent="0.2">
      <c r="A269" s="71"/>
      <c r="B269" s="71"/>
      <c r="C269" s="71"/>
      <c r="D269" s="106"/>
    </row>
    <row r="270" spans="1:4" x14ac:dyDescent="0.2">
      <c r="A270" s="71"/>
      <c r="B270" s="71"/>
      <c r="C270" s="71"/>
      <c r="D270" s="106"/>
    </row>
    <row r="271" spans="1:4" x14ac:dyDescent="0.2">
      <c r="A271" s="71"/>
      <c r="B271" s="71"/>
      <c r="C271" s="71"/>
      <c r="D271" s="106"/>
    </row>
    <row r="272" spans="1:4" x14ac:dyDescent="0.2">
      <c r="A272" s="71"/>
      <c r="B272" s="71"/>
      <c r="C272" s="71"/>
      <c r="D272" s="106"/>
    </row>
    <row r="273" spans="1:4" x14ac:dyDescent="0.2">
      <c r="A273" s="71"/>
      <c r="B273" s="71"/>
      <c r="C273" s="71"/>
      <c r="D273" s="106"/>
    </row>
    <row r="274" spans="1:4" x14ac:dyDescent="0.2">
      <c r="A274" s="71"/>
      <c r="B274" s="71"/>
      <c r="C274" s="71"/>
      <c r="D274" s="106"/>
    </row>
    <row r="275" spans="1:4" x14ac:dyDescent="0.2">
      <c r="A275" s="71"/>
      <c r="B275" s="71"/>
      <c r="C275" s="71"/>
      <c r="D275" s="106"/>
    </row>
    <row r="276" spans="1:4" x14ac:dyDescent="0.2">
      <c r="A276" s="71"/>
      <c r="B276" s="71"/>
      <c r="C276" s="71"/>
      <c r="D276" s="106"/>
    </row>
    <row r="277" spans="1:4" x14ac:dyDescent="0.2">
      <c r="A277" s="71"/>
      <c r="B277" s="71"/>
      <c r="C277" s="71"/>
      <c r="D277" s="106"/>
    </row>
    <row r="278" spans="1:4" x14ac:dyDescent="0.2">
      <c r="A278" s="71"/>
      <c r="B278" s="71"/>
      <c r="C278" s="71"/>
      <c r="D278" s="106"/>
    </row>
    <row r="279" spans="1:4" x14ac:dyDescent="0.2">
      <c r="A279" s="71"/>
      <c r="B279" s="71"/>
      <c r="C279" s="71"/>
      <c r="D279" s="106"/>
    </row>
    <row r="280" spans="1:4" x14ac:dyDescent="0.2">
      <c r="A280" s="71"/>
      <c r="B280" s="71"/>
      <c r="C280" s="71"/>
      <c r="D280" s="106"/>
    </row>
    <row r="281" spans="1:4" x14ac:dyDescent="0.2">
      <c r="A281" s="71"/>
      <c r="B281" s="71"/>
      <c r="C281" s="71"/>
      <c r="D281" s="106"/>
    </row>
    <row r="282" spans="1:4" x14ac:dyDescent="0.2">
      <c r="A282" s="71"/>
      <c r="B282" s="71"/>
      <c r="C282" s="71"/>
      <c r="D282" s="106"/>
    </row>
    <row r="283" spans="1:4" x14ac:dyDescent="0.2">
      <c r="A283" s="71"/>
      <c r="B283" s="71"/>
      <c r="C283" s="71"/>
      <c r="D283" s="106"/>
    </row>
    <row r="284" spans="1:4" x14ac:dyDescent="0.2">
      <c r="A284" s="71"/>
      <c r="B284" s="71"/>
      <c r="C284" s="71"/>
      <c r="D284" s="106"/>
    </row>
    <row r="285" spans="1:4" x14ac:dyDescent="0.2">
      <c r="A285" s="71"/>
      <c r="B285" s="71"/>
      <c r="C285" s="71"/>
      <c r="D285" s="106"/>
    </row>
    <row r="286" spans="1:4" x14ac:dyDescent="0.2">
      <c r="A286" s="71"/>
      <c r="B286" s="71"/>
      <c r="C286" s="71"/>
      <c r="D286" s="106"/>
    </row>
    <row r="287" spans="1:4" x14ac:dyDescent="0.2">
      <c r="A287" s="71"/>
      <c r="B287" s="71"/>
      <c r="C287" s="71"/>
      <c r="D287" s="106"/>
    </row>
    <row r="288" spans="1:4" x14ac:dyDescent="0.2">
      <c r="A288" s="71"/>
      <c r="B288" s="71"/>
      <c r="C288" s="71"/>
      <c r="D288" s="106"/>
    </row>
    <row r="289" spans="1:4" x14ac:dyDescent="0.2">
      <c r="A289" s="71"/>
      <c r="B289" s="71"/>
      <c r="C289" s="71"/>
      <c r="D289" s="106"/>
    </row>
    <row r="290" spans="1:4" x14ac:dyDescent="0.2">
      <c r="A290" s="71"/>
      <c r="B290" s="71"/>
      <c r="C290" s="71"/>
      <c r="D290" s="106"/>
    </row>
    <row r="291" spans="1:4" x14ac:dyDescent="0.2">
      <c r="A291" s="71"/>
      <c r="B291" s="71"/>
      <c r="C291" s="71"/>
      <c r="D291" s="106"/>
    </row>
    <row r="292" spans="1:4" x14ac:dyDescent="0.2">
      <c r="A292" s="71"/>
      <c r="B292" s="71"/>
      <c r="C292" s="71"/>
      <c r="D292" s="106"/>
    </row>
    <row r="293" spans="1:4" x14ac:dyDescent="0.2">
      <c r="A293" s="71"/>
      <c r="B293" s="71"/>
      <c r="C293" s="71"/>
      <c r="D293" s="106"/>
    </row>
    <row r="294" spans="1:4" x14ac:dyDescent="0.2">
      <c r="A294" s="71"/>
      <c r="B294" s="71"/>
      <c r="C294" s="71"/>
      <c r="D294" s="106"/>
    </row>
    <row r="295" spans="1:4" x14ac:dyDescent="0.2">
      <c r="A295" s="71"/>
      <c r="B295" s="71"/>
      <c r="C295" s="71"/>
      <c r="D295" s="106"/>
    </row>
    <row r="296" spans="1:4" x14ac:dyDescent="0.2">
      <c r="A296" s="71"/>
      <c r="B296" s="71"/>
      <c r="C296" s="71"/>
      <c r="D296" s="106"/>
    </row>
    <row r="297" spans="1:4" x14ac:dyDescent="0.2">
      <c r="A297" s="71"/>
      <c r="B297" s="71"/>
      <c r="C297" s="71"/>
      <c r="D297" s="106"/>
    </row>
    <row r="298" spans="1:4" x14ac:dyDescent="0.2">
      <c r="A298" s="71"/>
      <c r="B298" s="71"/>
      <c r="C298" s="71"/>
      <c r="D298" s="106"/>
    </row>
    <row r="299" spans="1:4" x14ac:dyDescent="0.2">
      <c r="A299" s="71"/>
      <c r="B299" s="71"/>
      <c r="C299" s="71"/>
      <c r="D299" s="106"/>
    </row>
    <row r="300" spans="1:4" x14ac:dyDescent="0.2">
      <c r="A300" s="71"/>
      <c r="B300" s="71"/>
      <c r="C300" s="71"/>
      <c r="D300" s="106"/>
    </row>
    <row r="301" spans="1:4" x14ac:dyDescent="0.2">
      <c r="A301" s="71"/>
      <c r="B301" s="71"/>
      <c r="C301" s="71"/>
      <c r="D301" s="106"/>
    </row>
    <row r="302" spans="1:4" x14ac:dyDescent="0.2">
      <c r="A302" s="71"/>
      <c r="B302" s="71"/>
      <c r="C302" s="71"/>
      <c r="D302" s="106"/>
    </row>
    <row r="303" spans="1:4" x14ac:dyDescent="0.2">
      <c r="A303" s="71"/>
      <c r="B303" s="71"/>
      <c r="C303" s="71"/>
      <c r="D303" s="106"/>
    </row>
    <row r="304" spans="1:4" x14ac:dyDescent="0.2">
      <c r="A304" s="71"/>
      <c r="B304" s="71"/>
      <c r="C304" s="71"/>
      <c r="D304" s="106"/>
    </row>
    <row r="305" spans="1:4" x14ac:dyDescent="0.2">
      <c r="A305" s="71"/>
      <c r="B305" s="71"/>
      <c r="C305" s="71"/>
      <c r="D305" s="106"/>
    </row>
    <row r="306" spans="1:4" x14ac:dyDescent="0.2">
      <c r="A306" s="71"/>
      <c r="B306" s="71"/>
      <c r="C306" s="71"/>
      <c r="D306" s="106"/>
    </row>
    <row r="307" spans="1:4" x14ac:dyDescent="0.2">
      <c r="A307" s="71"/>
      <c r="B307" s="71"/>
      <c r="C307" s="71"/>
      <c r="D307" s="106"/>
    </row>
    <row r="308" spans="1:4" x14ac:dyDescent="0.2">
      <c r="A308" s="71"/>
      <c r="B308" s="71"/>
      <c r="C308" s="71"/>
      <c r="D308" s="106"/>
    </row>
    <row r="309" spans="1:4" x14ac:dyDescent="0.2">
      <c r="A309" s="71"/>
      <c r="B309" s="71"/>
      <c r="C309" s="71"/>
      <c r="D309" s="106"/>
    </row>
    <row r="310" spans="1:4" x14ac:dyDescent="0.2">
      <c r="A310" s="71"/>
      <c r="B310" s="71"/>
      <c r="C310" s="71"/>
      <c r="D310" s="106"/>
    </row>
    <row r="311" spans="1:4" x14ac:dyDescent="0.2">
      <c r="A311" s="71"/>
      <c r="B311" s="71"/>
      <c r="C311" s="71"/>
      <c r="D311" s="106"/>
    </row>
    <row r="312" spans="1:4" x14ac:dyDescent="0.2">
      <c r="A312" s="71"/>
      <c r="B312" s="71"/>
      <c r="C312" s="71"/>
      <c r="D312" s="106"/>
    </row>
    <row r="313" spans="1:4" x14ac:dyDescent="0.2">
      <c r="A313" s="71"/>
      <c r="B313" s="71"/>
      <c r="C313" s="71"/>
      <c r="D313" s="106"/>
    </row>
    <row r="314" spans="1:4" x14ac:dyDescent="0.2">
      <c r="A314" s="71"/>
      <c r="B314" s="71"/>
      <c r="C314" s="71"/>
      <c r="D314" s="106"/>
    </row>
    <row r="315" spans="1:4" x14ac:dyDescent="0.2">
      <c r="A315" s="71"/>
      <c r="B315" s="71"/>
      <c r="C315" s="71"/>
      <c r="D315" s="106"/>
    </row>
    <row r="316" spans="1:4" x14ac:dyDescent="0.2">
      <c r="A316" s="71"/>
      <c r="B316" s="71"/>
      <c r="C316" s="71"/>
      <c r="D316" s="106"/>
    </row>
    <row r="317" spans="1:4" x14ac:dyDescent="0.2">
      <c r="A317" s="71"/>
      <c r="B317" s="71"/>
      <c r="C317" s="71"/>
      <c r="D317" s="106"/>
    </row>
    <row r="318" spans="1:4" x14ac:dyDescent="0.2">
      <c r="A318" s="71"/>
      <c r="B318" s="71"/>
      <c r="C318" s="71"/>
      <c r="D318" s="106"/>
    </row>
    <row r="319" spans="1:4" x14ac:dyDescent="0.2">
      <c r="A319" s="71"/>
      <c r="B319" s="71"/>
      <c r="C319" s="71"/>
      <c r="D319" s="106"/>
    </row>
    <row r="320" spans="1:4" x14ac:dyDescent="0.2">
      <c r="A320" s="71"/>
      <c r="B320" s="71"/>
      <c r="C320" s="71"/>
      <c r="D320" s="106"/>
    </row>
    <row r="321" spans="1:4" x14ac:dyDescent="0.2">
      <c r="A321" s="71"/>
      <c r="B321" s="71"/>
      <c r="C321" s="71"/>
      <c r="D321" s="106"/>
    </row>
    <row r="322" spans="1:4" x14ac:dyDescent="0.2">
      <c r="A322" s="71"/>
      <c r="B322" s="71"/>
      <c r="C322" s="71"/>
      <c r="D322" s="106"/>
    </row>
    <row r="323" spans="1:4" x14ac:dyDescent="0.2">
      <c r="A323" s="71"/>
      <c r="B323" s="71"/>
      <c r="C323" s="71"/>
      <c r="D323" s="106"/>
    </row>
    <row r="324" spans="1:4" x14ac:dyDescent="0.2">
      <c r="A324" s="71"/>
      <c r="B324" s="71"/>
      <c r="C324" s="71"/>
      <c r="D324" s="106"/>
    </row>
    <row r="325" spans="1:4" x14ac:dyDescent="0.2">
      <c r="A325" s="71"/>
      <c r="B325" s="71"/>
      <c r="C325" s="71"/>
      <c r="D325" s="106"/>
    </row>
    <row r="326" spans="1:4" x14ac:dyDescent="0.2">
      <c r="A326" s="71"/>
      <c r="B326" s="71"/>
      <c r="C326" s="71"/>
      <c r="D326" s="106"/>
    </row>
    <row r="327" spans="1:4" x14ac:dyDescent="0.2">
      <c r="A327" s="71"/>
      <c r="B327" s="71"/>
      <c r="C327" s="71"/>
      <c r="D327" s="106"/>
    </row>
    <row r="328" spans="1:4" x14ac:dyDescent="0.2">
      <c r="A328" s="71"/>
      <c r="B328" s="71"/>
      <c r="C328" s="71"/>
      <c r="D328" s="106"/>
    </row>
    <row r="329" spans="1:4" x14ac:dyDescent="0.2">
      <c r="A329" s="71"/>
      <c r="B329" s="71"/>
      <c r="C329" s="71"/>
      <c r="D329" s="106"/>
    </row>
    <row r="330" spans="1:4" x14ac:dyDescent="0.2">
      <c r="A330" s="71"/>
      <c r="B330" s="71"/>
      <c r="C330" s="71"/>
      <c r="D330" s="106"/>
    </row>
    <row r="331" spans="1:4" x14ac:dyDescent="0.2">
      <c r="A331" s="71"/>
      <c r="B331" s="71"/>
      <c r="C331" s="71"/>
      <c r="D331" s="106"/>
    </row>
    <row r="332" spans="1:4" x14ac:dyDescent="0.2">
      <c r="A332" s="71"/>
      <c r="B332" s="71"/>
      <c r="C332" s="71"/>
      <c r="D332" s="106"/>
    </row>
    <row r="333" spans="1:4" x14ac:dyDescent="0.2">
      <c r="A333" s="71"/>
      <c r="B333" s="71"/>
      <c r="C333" s="71"/>
      <c r="D333" s="106"/>
    </row>
    <row r="334" spans="1:4" x14ac:dyDescent="0.2">
      <c r="A334" s="71"/>
      <c r="B334" s="71"/>
      <c r="C334" s="71"/>
      <c r="D334" s="106"/>
    </row>
    <row r="335" spans="1:4" x14ac:dyDescent="0.2">
      <c r="A335" s="71"/>
      <c r="B335" s="71"/>
      <c r="C335" s="71"/>
      <c r="D335" s="106"/>
    </row>
    <row r="336" spans="1:4" x14ac:dyDescent="0.2">
      <c r="A336" s="71"/>
      <c r="B336" s="71"/>
      <c r="C336" s="71"/>
      <c r="D336" s="106"/>
    </row>
    <row r="337" spans="1:4" x14ac:dyDescent="0.2">
      <c r="A337" s="71"/>
      <c r="B337" s="71"/>
      <c r="C337" s="71"/>
      <c r="D337" s="106"/>
    </row>
    <row r="338" spans="1:4" x14ac:dyDescent="0.2">
      <c r="A338" s="71"/>
      <c r="B338" s="71"/>
      <c r="C338" s="71"/>
      <c r="D338" s="106"/>
    </row>
    <row r="339" spans="1:4" x14ac:dyDescent="0.2">
      <c r="A339" s="71"/>
      <c r="B339" s="71"/>
      <c r="C339" s="71"/>
      <c r="D339" s="106"/>
    </row>
    <row r="340" spans="1:4" x14ac:dyDescent="0.2">
      <c r="A340" s="71"/>
      <c r="B340" s="71"/>
      <c r="C340" s="71"/>
      <c r="D340" s="106"/>
    </row>
    <row r="341" spans="1:4" x14ac:dyDescent="0.2">
      <c r="A341" s="71"/>
      <c r="B341" s="71"/>
      <c r="C341" s="71"/>
      <c r="D341" s="106"/>
    </row>
    <row r="342" spans="1:4" x14ac:dyDescent="0.2">
      <c r="A342" s="71"/>
      <c r="B342" s="71"/>
      <c r="C342" s="71"/>
      <c r="D342" s="106"/>
    </row>
    <row r="343" spans="1:4" x14ac:dyDescent="0.2">
      <c r="A343" s="71"/>
      <c r="B343" s="71"/>
      <c r="C343" s="71"/>
      <c r="D343" s="106"/>
    </row>
    <row r="344" spans="1:4" x14ac:dyDescent="0.2">
      <c r="A344" s="71"/>
      <c r="B344" s="71"/>
      <c r="C344" s="71"/>
      <c r="D344" s="106"/>
    </row>
    <row r="345" spans="1:4" x14ac:dyDescent="0.2">
      <c r="A345" s="71"/>
      <c r="B345" s="71"/>
      <c r="C345" s="71"/>
      <c r="D345" s="106"/>
    </row>
    <row r="346" spans="1:4" x14ac:dyDescent="0.2">
      <c r="A346" s="71"/>
      <c r="B346" s="71"/>
      <c r="C346" s="71"/>
      <c r="D346" s="106"/>
    </row>
    <row r="347" spans="1:4" x14ac:dyDescent="0.2">
      <c r="A347" s="71"/>
      <c r="B347" s="71"/>
      <c r="C347" s="71"/>
      <c r="D347" s="106"/>
    </row>
    <row r="348" spans="1:4" x14ac:dyDescent="0.2">
      <c r="A348" s="71"/>
      <c r="B348" s="71"/>
      <c r="C348" s="71"/>
      <c r="D348" s="106"/>
    </row>
    <row r="349" spans="1:4" x14ac:dyDescent="0.2">
      <c r="A349" s="71"/>
      <c r="B349" s="71"/>
      <c r="C349" s="71"/>
      <c r="D349" s="106"/>
    </row>
    <row r="350" spans="1:4" x14ac:dyDescent="0.2">
      <c r="A350" s="71"/>
      <c r="B350" s="71"/>
      <c r="C350" s="71"/>
      <c r="D350" s="106"/>
    </row>
    <row r="351" spans="1:4" x14ac:dyDescent="0.2">
      <c r="A351" s="71"/>
      <c r="B351" s="71"/>
      <c r="C351" s="71"/>
      <c r="D351" s="106"/>
    </row>
    <row r="352" spans="1:4" x14ac:dyDescent="0.2">
      <c r="A352" s="71"/>
      <c r="B352" s="71"/>
      <c r="C352" s="71"/>
      <c r="D352" s="106"/>
    </row>
    <row r="353" spans="1:4" x14ac:dyDescent="0.2">
      <c r="A353" s="71"/>
      <c r="B353" s="71"/>
      <c r="C353" s="71"/>
      <c r="D353" s="106"/>
    </row>
    <row r="354" spans="1:4" x14ac:dyDescent="0.2">
      <c r="A354" s="71"/>
      <c r="B354" s="71"/>
      <c r="C354" s="71"/>
      <c r="D354" s="106"/>
    </row>
    <row r="355" spans="1:4" x14ac:dyDescent="0.2">
      <c r="A355" s="71"/>
      <c r="B355" s="71"/>
      <c r="C355" s="71"/>
      <c r="D355" s="106"/>
    </row>
    <row r="356" spans="1:4" x14ac:dyDescent="0.2">
      <c r="A356" s="71"/>
      <c r="B356" s="71"/>
      <c r="C356" s="71"/>
      <c r="D356" s="106"/>
    </row>
    <row r="357" spans="1:4" x14ac:dyDescent="0.2">
      <c r="A357" s="71"/>
      <c r="B357" s="71"/>
      <c r="C357" s="71"/>
      <c r="D357" s="106"/>
    </row>
    <row r="358" spans="1:4" x14ac:dyDescent="0.2">
      <c r="A358" s="71"/>
      <c r="B358" s="71"/>
      <c r="C358" s="71"/>
      <c r="D358" s="106"/>
    </row>
    <row r="359" spans="1:4" x14ac:dyDescent="0.2">
      <c r="A359" s="71"/>
      <c r="B359" s="71"/>
      <c r="C359" s="71"/>
      <c r="D359" s="106"/>
    </row>
    <row r="360" spans="1:4" x14ac:dyDescent="0.2">
      <c r="A360" s="71"/>
      <c r="B360" s="71"/>
      <c r="C360" s="71"/>
      <c r="D360" s="106"/>
    </row>
    <row r="361" spans="1:4" x14ac:dyDescent="0.2">
      <c r="A361" s="71"/>
      <c r="B361" s="71"/>
      <c r="C361" s="71"/>
      <c r="D361" s="106"/>
    </row>
    <row r="362" spans="1:4" x14ac:dyDescent="0.2">
      <c r="A362" s="71"/>
      <c r="B362" s="71"/>
      <c r="C362" s="71"/>
      <c r="D362" s="106"/>
    </row>
    <row r="363" spans="1:4" x14ac:dyDescent="0.2">
      <c r="A363" s="71"/>
      <c r="B363" s="71"/>
      <c r="C363" s="71"/>
      <c r="D363" s="106"/>
    </row>
    <row r="364" spans="1:4" x14ac:dyDescent="0.2">
      <c r="A364" s="71"/>
      <c r="B364" s="71"/>
      <c r="C364" s="71"/>
      <c r="D364" s="106"/>
    </row>
    <row r="365" spans="1:4" x14ac:dyDescent="0.2">
      <c r="A365" s="71"/>
      <c r="B365" s="71"/>
      <c r="C365" s="71"/>
      <c r="D365" s="106"/>
    </row>
    <row r="366" spans="1:4" x14ac:dyDescent="0.2">
      <c r="A366" s="71"/>
      <c r="B366" s="71"/>
      <c r="C366" s="71"/>
      <c r="D366" s="106"/>
    </row>
    <row r="367" spans="1:4" x14ac:dyDescent="0.2">
      <c r="A367" s="71"/>
      <c r="B367" s="71"/>
      <c r="C367" s="71"/>
      <c r="D367" s="106"/>
    </row>
    <row r="368" spans="1:4" x14ac:dyDescent="0.2">
      <c r="A368" s="71"/>
      <c r="B368" s="71"/>
      <c r="C368" s="71"/>
      <c r="D368" s="106"/>
    </row>
    <row r="369" spans="1:4" x14ac:dyDescent="0.2">
      <c r="A369" s="71"/>
      <c r="B369" s="71"/>
      <c r="C369" s="71"/>
      <c r="D369" s="106"/>
    </row>
    <row r="370" spans="1:4" x14ac:dyDescent="0.2">
      <c r="A370" s="71"/>
      <c r="B370" s="71"/>
      <c r="C370" s="71"/>
      <c r="D370" s="106"/>
    </row>
    <row r="371" spans="1:4" x14ac:dyDescent="0.2">
      <c r="A371" s="71"/>
      <c r="B371" s="71"/>
      <c r="C371" s="71"/>
      <c r="D371" s="106"/>
    </row>
    <row r="372" spans="1:4" x14ac:dyDescent="0.2">
      <c r="A372" s="71"/>
      <c r="B372" s="71"/>
      <c r="C372" s="71"/>
      <c r="D372" s="106"/>
    </row>
    <row r="373" spans="1:4" x14ac:dyDescent="0.2">
      <c r="A373" s="71"/>
      <c r="B373" s="71"/>
      <c r="C373" s="71"/>
      <c r="D373" s="106"/>
    </row>
    <row r="374" spans="1:4" x14ac:dyDescent="0.2">
      <c r="A374" s="71"/>
      <c r="B374" s="71"/>
      <c r="C374" s="71"/>
      <c r="D374" s="106"/>
    </row>
    <row r="375" spans="1:4" x14ac:dyDescent="0.2">
      <c r="A375" s="71"/>
      <c r="B375" s="71"/>
      <c r="C375" s="71"/>
      <c r="D375" s="106"/>
    </row>
    <row r="376" spans="1:4" x14ac:dyDescent="0.2">
      <c r="A376" s="71"/>
      <c r="B376" s="71"/>
      <c r="C376" s="71"/>
      <c r="D376" s="106"/>
    </row>
    <row r="377" spans="1:4" x14ac:dyDescent="0.2">
      <c r="A377" s="71"/>
      <c r="B377" s="71"/>
      <c r="C377" s="71"/>
      <c r="D377" s="106"/>
    </row>
    <row r="378" spans="1:4" x14ac:dyDescent="0.2">
      <c r="A378" s="71"/>
      <c r="B378" s="71"/>
      <c r="C378" s="71"/>
      <c r="D378" s="106"/>
    </row>
    <row r="379" spans="1:4" x14ac:dyDescent="0.2">
      <c r="A379" s="71"/>
      <c r="B379" s="71"/>
      <c r="C379" s="71"/>
      <c r="D379" s="106"/>
    </row>
    <row r="380" spans="1:4" x14ac:dyDescent="0.2">
      <c r="A380" s="71"/>
      <c r="B380" s="71"/>
      <c r="C380" s="71"/>
      <c r="D380" s="106"/>
    </row>
    <row r="381" spans="1:4" x14ac:dyDescent="0.2">
      <c r="A381" s="71"/>
      <c r="B381" s="71"/>
      <c r="C381" s="71"/>
      <c r="D381" s="106"/>
    </row>
    <row r="382" spans="1:4" x14ac:dyDescent="0.2">
      <c r="A382" s="71"/>
      <c r="B382" s="71"/>
      <c r="C382" s="71"/>
      <c r="D382" s="106"/>
    </row>
    <row r="383" spans="1:4" x14ac:dyDescent="0.2">
      <c r="A383" s="71"/>
      <c r="B383" s="71"/>
      <c r="C383" s="71"/>
      <c r="D383" s="106"/>
    </row>
    <row r="384" spans="1:4" x14ac:dyDescent="0.2">
      <c r="A384" s="71"/>
      <c r="B384" s="71"/>
      <c r="C384" s="71"/>
      <c r="D384" s="106"/>
    </row>
    <row r="385" spans="1:4" x14ac:dyDescent="0.2">
      <c r="A385" s="71"/>
      <c r="B385" s="71"/>
      <c r="C385" s="71"/>
      <c r="D385" s="106"/>
    </row>
    <row r="386" spans="1:4" x14ac:dyDescent="0.2">
      <c r="A386" s="71"/>
      <c r="B386" s="71"/>
      <c r="C386" s="71"/>
      <c r="D386" s="106"/>
    </row>
    <row r="387" spans="1:4" x14ac:dyDescent="0.2">
      <c r="A387" s="71"/>
      <c r="B387" s="71"/>
      <c r="C387" s="71"/>
      <c r="D387" s="106"/>
    </row>
    <row r="388" spans="1:4" x14ac:dyDescent="0.2">
      <c r="A388" s="71"/>
      <c r="B388" s="71"/>
      <c r="C388" s="71"/>
      <c r="D388" s="106"/>
    </row>
    <row r="389" spans="1:4" x14ac:dyDescent="0.2">
      <c r="A389" s="71"/>
      <c r="B389" s="71"/>
      <c r="C389" s="71"/>
      <c r="D389" s="106"/>
    </row>
    <row r="390" spans="1:4" x14ac:dyDescent="0.2">
      <c r="A390" s="71"/>
      <c r="B390" s="71"/>
      <c r="C390" s="71"/>
      <c r="D390" s="106"/>
    </row>
    <row r="391" spans="1:4" x14ac:dyDescent="0.2">
      <c r="A391" s="71"/>
      <c r="B391" s="71"/>
      <c r="C391" s="71"/>
      <c r="D391" s="106"/>
    </row>
    <row r="392" spans="1:4" x14ac:dyDescent="0.2">
      <c r="A392" s="71"/>
      <c r="B392" s="71"/>
      <c r="C392" s="71"/>
      <c r="D392" s="106"/>
    </row>
    <row r="393" spans="1:4" x14ac:dyDescent="0.2">
      <c r="A393" s="71"/>
      <c r="B393" s="71"/>
      <c r="C393" s="71"/>
      <c r="D393" s="106"/>
    </row>
    <row r="394" spans="1:4" x14ac:dyDescent="0.2">
      <c r="A394" s="71"/>
      <c r="B394" s="71"/>
      <c r="C394" s="71"/>
      <c r="D394" s="106"/>
    </row>
    <row r="395" spans="1:4" x14ac:dyDescent="0.2">
      <c r="A395" s="71"/>
      <c r="B395" s="71"/>
      <c r="C395" s="71"/>
      <c r="D395" s="106"/>
    </row>
    <row r="396" spans="1:4" x14ac:dyDescent="0.2">
      <c r="A396" s="71"/>
      <c r="B396" s="71"/>
      <c r="C396" s="71"/>
      <c r="D396" s="106"/>
    </row>
    <row r="397" spans="1:4" x14ac:dyDescent="0.2">
      <c r="A397" s="71"/>
      <c r="B397" s="71"/>
      <c r="C397" s="71"/>
      <c r="D397" s="106"/>
    </row>
    <row r="398" spans="1:4" x14ac:dyDescent="0.2">
      <c r="A398" s="71"/>
      <c r="B398" s="71"/>
      <c r="C398" s="71"/>
      <c r="D398" s="106"/>
    </row>
    <row r="399" spans="1:4" x14ac:dyDescent="0.2">
      <c r="A399" s="71"/>
      <c r="B399" s="71"/>
      <c r="C399" s="71"/>
      <c r="D399" s="106"/>
    </row>
    <row r="400" spans="1:4" x14ac:dyDescent="0.2">
      <c r="A400" s="71"/>
      <c r="B400" s="71"/>
      <c r="C400" s="71"/>
      <c r="D400" s="106"/>
    </row>
    <row r="401" spans="1:4" x14ac:dyDescent="0.2">
      <c r="A401" s="71"/>
      <c r="B401" s="71"/>
      <c r="C401" s="71"/>
      <c r="D401" s="106"/>
    </row>
    <row r="402" spans="1:4" x14ac:dyDescent="0.2">
      <c r="A402" s="71"/>
      <c r="B402" s="71"/>
      <c r="C402" s="71"/>
      <c r="D402" s="106"/>
    </row>
    <row r="403" spans="1:4" x14ac:dyDescent="0.2">
      <c r="A403" s="71"/>
      <c r="B403" s="71"/>
      <c r="C403" s="71"/>
      <c r="D403" s="106"/>
    </row>
    <row r="404" spans="1:4" x14ac:dyDescent="0.2">
      <c r="A404" s="71"/>
      <c r="B404" s="71"/>
      <c r="C404" s="71"/>
      <c r="D404" s="106"/>
    </row>
    <row r="405" spans="1:4" x14ac:dyDescent="0.2">
      <c r="A405" s="71"/>
      <c r="B405" s="71"/>
      <c r="C405" s="71"/>
      <c r="D405" s="106"/>
    </row>
    <row r="406" spans="1:4" x14ac:dyDescent="0.2">
      <c r="A406" s="71"/>
      <c r="B406" s="71"/>
      <c r="C406" s="71"/>
      <c r="D406" s="106"/>
    </row>
    <row r="407" spans="1:4" x14ac:dyDescent="0.2">
      <c r="A407" s="71"/>
      <c r="B407" s="71"/>
      <c r="C407" s="71"/>
      <c r="D407" s="106"/>
    </row>
    <row r="408" spans="1:4" x14ac:dyDescent="0.2">
      <c r="A408" s="71"/>
      <c r="B408" s="71"/>
      <c r="C408" s="71"/>
      <c r="D408" s="106"/>
    </row>
    <row r="409" spans="1:4" x14ac:dyDescent="0.2">
      <c r="A409" s="71"/>
      <c r="B409" s="71"/>
      <c r="C409" s="71"/>
      <c r="D409" s="106"/>
    </row>
    <row r="410" spans="1:4" x14ac:dyDescent="0.2">
      <c r="A410" s="71"/>
      <c r="B410" s="71"/>
      <c r="C410" s="71"/>
      <c r="D410" s="106"/>
    </row>
    <row r="411" spans="1:4" x14ac:dyDescent="0.2">
      <c r="A411" s="71"/>
      <c r="B411" s="71"/>
      <c r="C411" s="71"/>
      <c r="D411" s="106"/>
    </row>
    <row r="412" spans="1:4" x14ac:dyDescent="0.2">
      <c r="A412" s="71"/>
      <c r="B412" s="71"/>
      <c r="C412" s="71"/>
      <c r="D412" s="106"/>
    </row>
    <row r="413" spans="1:4" x14ac:dyDescent="0.2">
      <c r="A413" s="71"/>
      <c r="B413" s="71"/>
      <c r="C413" s="71"/>
      <c r="D413" s="106"/>
    </row>
    <row r="414" spans="1:4" x14ac:dyDescent="0.2">
      <c r="A414" s="71"/>
      <c r="B414" s="71"/>
      <c r="C414" s="71"/>
      <c r="D414" s="106"/>
    </row>
    <row r="415" spans="1:4" x14ac:dyDescent="0.2">
      <c r="A415" s="71"/>
      <c r="B415" s="71"/>
      <c r="C415" s="71"/>
      <c r="D415" s="106"/>
    </row>
    <row r="416" spans="1:4" x14ac:dyDescent="0.2">
      <c r="A416" s="71"/>
      <c r="B416" s="71"/>
      <c r="C416" s="71"/>
      <c r="D416" s="106"/>
    </row>
    <row r="417" spans="1:4" x14ac:dyDescent="0.2">
      <c r="A417" s="71"/>
      <c r="B417" s="71"/>
      <c r="C417" s="71"/>
      <c r="D417" s="106"/>
    </row>
    <row r="418" spans="1:4" x14ac:dyDescent="0.2">
      <c r="A418" s="71"/>
      <c r="B418" s="71"/>
      <c r="C418" s="71"/>
      <c r="D418" s="106"/>
    </row>
    <row r="419" spans="1:4" x14ac:dyDescent="0.2">
      <c r="A419" s="71"/>
      <c r="B419" s="71"/>
      <c r="C419" s="71"/>
      <c r="D419" s="106"/>
    </row>
    <row r="420" spans="1:4" x14ac:dyDescent="0.2">
      <c r="A420" s="71"/>
      <c r="B420" s="71"/>
      <c r="C420" s="71"/>
      <c r="D420" s="106"/>
    </row>
    <row r="421" spans="1:4" x14ac:dyDescent="0.2">
      <c r="A421" s="71"/>
      <c r="B421" s="71"/>
      <c r="C421" s="71"/>
      <c r="D421" s="106"/>
    </row>
    <row r="422" spans="1:4" x14ac:dyDescent="0.2">
      <c r="A422" s="71"/>
      <c r="B422" s="71"/>
      <c r="C422" s="71"/>
      <c r="D422" s="106"/>
    </row>
    <row r="423" spans="1:4" x14ac:dyDescent="0.2">
      <c r="A423" s="71"/>
      <c r="B423" s="71"/>
      <c r="C423" s="71"/>
      <c r="D423" s="106"/>
    </row>
    <row r="424" spans="1:4" x14ac:dyDescent="0.2">
      <c r="A424" s="71"/>
      <c r="B424" s="71"/>
      <c r="C424" s="71"/>
      <c r="D424" s="106"/>
    </row>
    <row r="425" spans="1:4" x14ac:dyDescent="0.2">
      <c r="A425" s="71"/>
      <c r="B425" s="71"/>
      <c r="C425" s="71"/>
      <c r="D425" s="106"/>
    </row>
    <row r="426" spans="1:4" x14ac:dyDescent="0.2">
      <c r="A426" s="71"/>
      <c r="B426" s="71"/>
      <c r="C426" s="71"/>
      <c r="D426" s="106"/>
    </row>
    <row r="427" spans="1:4" x14ac:dyDescent="0.2">
      <c r="A427" s="71"/>
      <c r="B427" s="71"/>
      <c r="C427" s="71"/>
      <c r="D427" s="106"/>
    </row>
    <row r="428" spans="1:4" x14ac:dyDescent="0.2">
      <c r="A428" s="71"/>
      <c r="B428" s="71"/>
      <c r="C428" s="71"/>
      <c r="D428" s="106"/>
    </row>
    <row r="429" spans="1:4" x14ac:dyDescent="0.2">
      <c r="A429" s="71"/>
      <c r="B429" s="71"/>
      <c r="C429" s="71"/>
      <c r="D429" s="106"/>
    </row>
    <row r="430" spans="1:4" x14ac:dyDescent="0.2">
      <c r="A430" s="71"/>
      <c r="B430" s="71"/>
      <c r="C430" s="71"/>
      <c r="D430" s="106"/>
    </row>
    <row r="431" spans="1:4" x14ac:dyDescent="0.2">
      <c r="A431" s="71"/>
      <c r="B431" s="71"/>
      <c r="C431" s="71"/>
      <c r="D431" s="106"/>
    </row>
    <row r="432" spans="1:4" x14ac:dyDescent="0.2">
      <c r="A432" s="71"/>
      <c r="B432" s="71"/>
      <c r="C432" s="71"/>
      <c r="D432" s="106"/>
    </row>
    <row r="433" spans="1:4" x14ac:dyDescent="0.2">
      <c r="A433" s="71"/>
      <c r="B433" s="71"/>
      <c r="C433" s="71"/>
      <c r="D433" s="106"/>
    </row>
    <row r="434" spans="1:4" x14ac:dyDescent="0.2">
      <c r="A434" s="71"/>
      <c r="B434" s="71"/>
      <c r="C434" s="71"/>
      <c r="D434" s="106"/>
    </row>
    <row r="435" spans="1:4" x14ac:dyDescent="0.2">
      <c r="A435" s="71"/>
      <c r="B435" s="71"/>
      <c r="C435" s="71"/>
      <c r="D435" s="106"/>
    </row>
    <row r="436" spans="1:4" x14ac:dyDescent="0.2">
      <c r="A436" s="71"/>
      <c r="B436" s="71"/>
      <c r="C436" s="71"/>
      <c r="D436" s="106"/>
    </row>
    <row r="437" spans="1:4" x14ac:dyDescent="0.2">
      <c r="A437" s="71"/>
      <c r="B437" s="71"/>
      <c r="C437" s="71"/>
      <c r="D437" s="106"/>
    </row>
    <row r="438" spans="1:4" x14ac:dyDescent="0.2">
      <c r="A438" s="71"/>
      <c r="B438" s="71"/>
      <c r="C438" s="71"/>
      <c r="D438" s="106"/>
    </row>
    <row r="439" spans="1:4" x14ac:dyDescent="0.2">
      <c r="A439" s="71"/>
      <c r="B439" s="71"/>
      <c r="C439" s="71"/>
      <c r="D439" s="106"/>
    </row>
    <row r="440" spans="1:4" x14ac:dyDescent="0.2">
      <c r="A440" s="71"/>
      <c r="B440" s="71"/>
      <c r="C440" s="71"/>
      <c r="D440" s="106"/>
    </row>
    <row r="441" spans="1:4" x14ac:dyDescent="0.2">
      <c r="A441" s="71"/>
      <c r="B441" s="71"/>
      <c r="C441" s="71"/>
      <c r="D441" s="106"/>
    </row>
    <row r="442" spans="1:4" x14ac:dyDescent="0.2">
      <c r="A442" s="71"/>
      <c r="B442" s="71"/>
      <c r="C442" s="71"/>
      <c r="D442" s="106"/>
    </row>
    <row r="443" spans="1:4" x14ac:dyDescent="0.2">
      <c r="A443" s="71"/>
      <c r="B443" s="71"/>
      <c r="C443" s="71"/>
      <c r="D443" s="106"/>
    </row>
    <row r="444" spans="1:4" x14ac:dyDescent="0.2">
      <c r="A444" s="71"/>
      <c r="B444" s="71"/>
      <c r="C444" s="71"/>
      <c r="D444" s="106"/>
    </row>
    <row r="445" spans="1:4" x14ac:dyDescent="0.2">
      <c r="A445" s="71"/>
      <c r="B445" s="71"/>
      <c r="C445" s="71"/>
      <c r="D445" s="106"/>
    </row>
    <row r="446" spans="1:4" x14ac:dyDescent="0.2">
      <c r="A446" s="71"/>
      <c r="B446" s="71"/>
      <c r="C446" s="71"/>
      <c r="D446" s="106"/>
    </row>
    <row r="447" spans="1:4" x14ac:dyDescent="0.2">
      <c r="A447" s="71"/>
      <c r="B447" s="71"/>
      <c r="C447" s="71"/>
      <c r="D447" s="106"/>
    </row>
    <row r="448" spans="1:4" x14ac:dyDescent="0.2">
      <c r="A448" s="71"/>
      <c r="B448" s="71"/>
      <c r="C448" s="71"/>
      <c r="D448" s="106"/>
    </row>
    <row r="449" spans="1:4" x14ac:dyDescent="0.2">
      <c r="A449" s="71"/>
      <c r="B449" s="71"/>
      <c r="C449" s="71"/>
      <c r="D449" s="106"/>
    </row>
    <row r="450" spans="1:4" x14ac:dyDescent="0.2">
      <c r="A450" s="71"/>
      <c r="B450" s="71"/>
      <c r="C450" s="71"/>
      <c r="D450" s="106"/>
    </row>
    <row r="451" spans="1:4" x14ac:dyDescent="0.2">
      <c r="A451" s="71"/>
      <c r="B451" s="71"/>
      <c r="C451" s="71"/>
      <c r="D451" s="106"/>
    </row>
    <row r="452" spans="1:4" x14ac:dyDescent="0.2">
      <c r="A452" s="71"/>
      <c r="B452" s="71"/>
      <c r="C452" s="71"/>
      <c r="D452" s="106"/>
    </row>
    <row r="453" spans="1:4" x14ac:dyDescent="0.2">
      <c r="A453" s="71"/>
      <c r="B453" s="71"/>
      <c r="C453" s="71"/>
      <c r="D453" s="106"/>
    </row>
    <row r="454" spans="1:4" x14ac:dyDescent="0.2">
      <c r="A454" s="71"/>
      <c r="B454" s="71"/>
      <c r="C454" s="71"/>
      <c r="D454" s="106"/>
    </row>
    <row r="455" spans="1:4" x14ac:dyDescent="0.2">
      <c r="A455" s="71"/>
      <c r="B455" s="71"/>
      <c r="C455" s="71"/>
      <c r="D455" s="106"/>
    </row>
    <row r="456" spans="1:4" x14ac:dyDescent="0.2">
      <c r="A456" s="71"/>
      <c r="B456" s="71"/>
      <c r="C456" s="71"/>
      <c r="D456" s="106"/>
    </row>
    <row r="457" spans="1:4" x14ac:dyDescent="0.2">
      <c r="A457" s="71"/>
      <c r="B457" s="71"/>
      <c r="C457" s="71"/>
      <c r="D457" s="106"/>
    </row>
    <row r="458" spans="1:4" x14ac:dyDescent="0.2">
      <c r="A458" s="71"/>
      <c r="B458" s="71"/>
      <c r="C458" s="71"/>
      <c r="D458" s="106"/>
    </row>
    <row r="459" spans="1:4" x14ac:dyDescent="0.2">
      <c r="A459" s="71"/>
      <c r="B459" s="71"/>
      <c r="C459" s="71"/>
      <c r="D459" s="106"/>
    </row>
    <row r="460" spans="1:4" x14ac:dyDescent="0.2">
      <c r="A460" s="71"/>
      <c r="B460" s="71"/>
      <c r="C460" s="71"/>
      <c r="D460" s="106"/>
    </row>
    <row r="461" spans="1:4" x14ac:dyDescent="0.2">
      <c r="A461" s="71"/>
      <c r="B461" s="71"/>
      <c r="C461" s="71"/>
      <c r="D461" s="106"/>
    </row>
    <row r="462" spans="1:4" x14ac:dyDescent="0.2">
      <c r="A462" s="71"/>
      <c r="B462" s="71"/>
      <c r="C462" s="71"/>
      <c r="D462" s="106"/>
    </row>
    <row r="463" spans="1:4" x14ac:dyDescent="0.2">
      <c r="A463" s="71"/>
      <c r="B463" s="71"/>
      <c r="C463" s="71"/>
      <c r="D463" s="106"/>
    </row>
    <row r="464" spans="1:4" x14ac:dyDescent="0.2">
      <c r="A464" s="71"/>
      <c r="B464" s="71"/>
      <c r="C464" s="71"/>
      <c r="D464" s="106"/>
    </row>
    <row r="465" spans="1:4" x14ac:dyDescent="0.2">
      <c r="A465" s="71"/>
      <c r="B465" s="71"/>
      <c r="C465" s="71"/>
      <c r="D465" s="106"/>
    </row>
    <row r="466" spans="1:4" x14ac:dyDescent="0.2">
      <c r="A466" s="71"/>
      <c r="B466" s="71"/>
      <c r="C466" s="71"/>
      <c r="D466" s="106"/>
    </row>
    <row r="467" spans="1:4" x14ac:dyDescent="0.2">
      <c r="A467" s="71"/>
      <c r="B467" s="71"/>
      <c r="C467" s="71"/>
      <c r="D467" s="106"/>
    </row>
    <row r="468" spans="1:4" x14ac:dyDescent="0.2">
      <c r="A468" s="71"/>
      <c r="B468" s="71"/>
      <c r="C468" s="71"/>
      <c r="D468" s="106"/>
    </row>
    <row r="469" spans="1:4" x14ac:dyDescent="0.2">
      <c r="A469" s="71"/>
      <c r="B469" s="71"/>
      <c r="C469" s="71"/>
      <c r="D469" s="106"/>
    </row>
    <row r="470" spans="1:4" x14ac:dyDescent="0.2">
      <c r="A470" s="71"/>
      <c r="B470" s="71"/>
      <c r="C470" s="71"/>
      <c r="D470" s="106"/>
    </row>
    <row r="471" spans="1:4" x14ac:dyDescent="0.2">
      <c r="A471" s="71"/>
      <c r="B471" s="71"/>
      <c r="C471" s="71"/>
      <c r="D471" s="106"/>
    </row>
    <row r="472" spans="1:4" x14ac:dyDescent="0.2">
      <c r="A472" s="71"/>
      <c r="B472" s="71"/>
      <c r="C472" s="71"/>
      <c r="D472" s="106"/>
    </row>
    <row r="473" spans="1:4" x14ac:dyDescent="0.2">
      <c r="A473" s="71"/>
      <c r="B473" s="71"/>
      <c r="C473" s="71"/>
      <c r="D473" s="106"/>
    </row>
    <row r="474" spans="1:4" x14ac:dyDescent="0.2">
      <c r="A474" s="71"/>
      <c r="B474" s="71"/>
      <c r="C474" s="71"/>
      <c r="D474" s="106"/>
    </row>
    <row r="475" spans="1:4" x14ac:dyDescent="0.2">
      <c r="A475" s="71"/>
      <c r="B475" s="71"/>
      <c r="C475" s="71"/>
      <c r="D475" s="106"/>
    </row>
    <row r="476" spans="1:4" x14ac:dyDescent="0.2">
      <c r="A476" s="71"/>
      <c r="B476" s="71"/>
      <c r="C476" s="71"/>
      <c r="D476" s="106"/>
    </row>
    <row r="477" spans="1:4" x14ac:dyDescent="0.2">
      <c r="A477" s="71"/>
      <c r="B477" s="71"/>
      <c r="C477" s="71"/>
      <c r="D477" s="106"/>
    </row>
    <row r="478" spans="1:4" x14ac:dyDescent="0.2">
      <c r="A478" s="71"/>
      <c r="B478" s="71"/>
      <c r="C478" s="71"/>
      <c r="D478" s="106"/>
    </row>
    <row r="479" spans="1:4" x14ac:dyDescent="0.2">
      <c r="A479" s="71"/>
      <c r="B479" s="71"/>
      <c r="C479" s="71"/>
      <c r="D479" s="106"/>
    </row>
    <row r="480" spans="1:4" x14ac:dyDescent="0.2">
      <c r="A480" s="71"/>
      <c r="B480" s="71"/>
      <c r="C480" s="71"/>
      <c r="D480" s="106"/>
    </row>
    <row r="481" spans="1:4" x14ac:dyDescent="0.2">
      <c r="A481" s="71"/>
      <c r="B481" s="71"/>
      <c r="C481" s="71"/>
      <c r="D481" s="106"/>
    </row>
    <row r="482" spans="1:4" x14ac:dyDescent="0.2">
      <c r="A482" s="71"/>
      <c r="B482" s="71"/>
      <c r="C482" s="71"/>
      <c r="D482" s="106"/>
    </row>
    <row r="483" spans="1:4" x14ac:dyDescent="0.2">
      <c r="A483" s="71"/>
      <c r="B483" s="71"/>
      <c r="C483" s="71"/>
      <c r="D483" s="106"/>
    </row>
    <row r="484" spans="1:4" x14ac:dyDescent="0.2">
      <c r="A484" s="71"/>
      <c r="B484" s="71"/>
      <c r="C484" s="71"/>
      <c r="D484" s="106"/>
    </row>
    <row r="485" spans="1:4" x14ac:dyDescent="0.2">
      <c r="A485" s="71"/>
      <c r="B485" s="71"/>
      <c r="C485" s="71"/>
      <c r="D485" s="106"/>
    </row>
    <row r="486" spans="1:4" x14ac:dyDescent="0.2">
      <c r="A486" s="71"/>
      <c r="B486" s="71"/>
      <c r="C486" s="71"/>
      <c r="D486" s="106"/>
    </row>
    <row r="487" spans="1:4" x14ac:dyDescent="0.2">
      <c r="A487" s="71"/>
      <c r="B487" s="71"/>
      <c r="C487" s="71"/>
      <c r="D487" s="106"/>
    </row>
    <row r="488" spans="1:4" x14ac:dyDescent="0.2">
      <c r="A488" s="71"/>
      <c r="B488" s="71"/>
      <c r="C488" s="71"/>
      <c r="D488" s="106"/>
    </row>
    <row r="489" spans="1:4" x14ac:dyDescent="0.2">
      <c r="A489" s="71"/>
      <c r="B489" s="71"/>
      <c r="C489" s="71"/>
      <c r="D489" s="106"/>
    </row>
    <row r="490" spans="1:4" x14ac:dyDescent="0.2">
      <c r="A490" s="71"/>
      <c r="B490" s="71"/>
      <c r="C490" s="71"/>
      <c r="D490" s="106"/>
    </row>
    <row r="491" spans="1:4" x14ac:dyDescent="0.2">
      <c r="A491" s="71"/>
      <c r="B491" s="71"/>
      <c r="C491" s="71"/>
      <c r="D491" s="106"/>
    </row>
    <row r="492" spans="1:4" x14ac:dyDescent="0.2">
      <c r="A492" s="71"/>
      <c r="B492" s="71"/>
      <c r="C492" s="71"/>
      <c r="D492" s="106"/>
    </row>
    <row r="493" spans="1:4" x14ac:dyDescent="0.2">
      <c r="A493" s="71"/>
      <c r="B493" s="71"/>
      <c r="C493" s="71"/>
      <c r="D493" s="106"/>
    </row>
    <row r="494" spans="1:4" x14ac:dyDescent="0.2">
      <c r="A494" s="71"/>
      <c r="B494" s="71"/>
      <c r="C494" s="71"/>
      <c r="D494" s="106"/>
    </row>
    <row r="495" spans="1:4" x14ac:dyDescent="0.2">
      <c r="A495" s="71"/>
      <c r="B495" s="71"/>
      <c r="C495" s="71"/>
      <c r="D495" s="106"/>
    </row>
    <row r="496" spans="1:4" x14ac:dyDescent="0.2">
      <c r="A496" s="71"/>
      <c r="B496" s="71"/>
      <c r="C496" s="71"/>
      <c r="D496" s="106"/>
    </row>
    <row r="497" spans="1:4" x14ac:dyDescent="0.2">
      <c r="A497" s="71"/>
      <c r="B497" s="71"/>
      <c r="C497" s="71"/>
      <c r="D497" s="106"/>
    </row>
    <row r="498" spans="1:4" x14ac:dyDescent="0.2">
      <c r="A498" s="71"/>
      <c r="B498" s="71"/>
      <c r="C498" s="71"/>
      <c r="D498" s="106"/>
    </row>
    <row r="499" spans="1:4" x14ac:dyDescent="0.2">
      <c r="A499" s="71"/>
      <c r="B499" s="71"/>
      <c r="C499" s="71"/>
      <c r="D499" s="106"/>
    </row>
    <row r="500" spans="1:4" x14ac:dyDescent="0.2">
      <c r="A500" s="71"/>
      <c r="B500" s="71"/>
      <c r="C500" s="71"/>
      <c r="D500" s="106"/>
    </row>
    <row r="501" spans="1:4" x14ac:dyDescent="0.2">
      <c r="A501" s="71"/>
      <c r="B501" s="71"/>
      <c r="C501" s="71"/>
      <c r="D501" s="106"/>
    </row>
    <row r="502" spans="1:4" x14ac:dyDescent="0.2">
      <c r="A502" s="71"/>
      <c r="B502" s="71"/>
      <c r="C502" s="71"/>
      <c r="D502" s="106"/>
    </row>
    <row r="503" spans="1:4" x14ac:dyDescent="0.2">
      <c r="A503" s="71"/>
      <c r="B503" s="71"/>
      <c r="C503" s="71"/>
      <c r="D503" s="106"/>
    </row>
    <row r="504" spans="1:4" x14ac:dyDescent="0.2">
      <c r="A504" s="71"/>
      <c r="B504" s="71"/>
      <c r="C504" s="71"/>
      <c r="D504" s="106"/>
    </row>
    <row r="505" spans="1:4" x14ac:dyDescent="0.2">
      <c r="A505" s="71"/>
      <c r="B505" s="71"/>
      <c r="C505" s="71"/>
      <c r="D505" s="106"/>
    </row>
    <row r="506" spans="1:4" x14ac:dyDescent="0.2">
      <c r="A506" s="71"/>
      <c r="B506" s="71"/>
      <c r="C506" s="71"/>
      <c r="D506" s="106"/>
    </row>
    <row r="507" spans="1:4" x14ac:dyDescent="0.2">
      <c r="A507" s="71"/>
      <c r="B507" s="71"/>
      <c r="C507" s="71"/>
      <c r="D507" s="106"/>
    </row>
    <row r="508" spans="1:4" x14ac:dyDescent="0.2">
      <c r="A508" s="71"/>
      <c r="B508" s="71"/>
      <c r="C508" s="71"/>
      <c r="D508" s="106"/>
    </row>
    <row r="509" spans="1:4" x14ac:dyDescent="0.2">
      <c r="A509" s="71"/>
      <c r="B509" s="71"/>
      <c r="C509" s="71"/>
      <c r="D509" s="106"/>
    </row>
    <row r="510" spans="1:4" x14ac:dyDescent="0.2">
      <c r="A510" s="71"/>
      <c r="B510" s="71"/>
      <c r="C510" s="71"/>
      <c r="D510" s="106"/>
    </row>
    <row r="511" spans="1:4" x14ac:dyDescent="0.2">
      <c r="A511" s="71"/>
      <c r="B511" s="71"/>
      <c r="C511" s="71"/>
      <c r="D511" s="106"/>
    </row>
    <row r="512" spans="1:4" x14ac:dyDescent="0.2">
      <c r="A512" s="71"/>
      <c r="B512" s="71"/>
      <c r="C512" s="71"/>
      <c r="D512" s="106"/>
    </row>
    <row r="513" spans="1:4" x14ac:dyDescent="0.2">
      <c r="A513" s="71"/>
      <c r="B513" s="71"/>
      <c r="C513" s="71"/>
      <c r="D513" s="106"/>
    </row>
    <row r="514" spans="1:4" x14ac:dyDescent="0.2">
      <c r="A514" s="71"/>
      <c r="B514" s="71"/>
      <c r="C514" s="71"/>
      <c r="D514" s="106"/>
    </row>
    <row r="515" spans="1:4" x14ac:dyDescent="0.2">
      <c r="A515" s="71"/>
      <c r="B515" s="71"/>
      <c r="C515" s="71"/>
      <c r="D515" s="106"/>
    </row>
    <row r="516" spans="1:4" x14ac:dyDescent="0.2">
      <c r="A516" s="71"/>
      <c r="B516" s="71"/>
      <c r="C516" s="71"/>
      <c r="D516" s="106"/>
    </row>
    <row r="517" spans="1:4" x14ac:dyDescent="0.2">
      <c r="A517" s="71"/>
      <c r="B517" s="71"/>
      <c r="C517" s="71"/>
      <c r="D517" s="106"/>
    </row>
    <row r="518" spans="1:4" x14ac:dyDescent="0.2">
      <c r="A518" s="71"/>
      <c r="B518" s="71"/>
      <c r="C518" s="71"/>
      <c r="D518" s="106"/>
    </row>
    <row r="519" spans="1:4" x14ac:dyDescent="0.2">
      <c r="A519" s="71"/>
      <c r="B519" s="71"/>
      <c r="C519" s="71"/>
      <c r="D519" s="106"/>
    </row>
    <row r="520" spans="1:4" x14ac:dyDescent="0.2">
      <c r="A520" s="71"/>
      <c r="B520" s="71"/>
      <c r="C520" s="71"/>
      <c r="D520" s="106"/>
    </row>
    <row r="521" spans="1:4" x14ac:dyDescent="0.2">
      <c r="A521" s="71"/>
      <c r="B521" s="71"/>
      <c r="C521" s="71"/>
      <c r="D521" s="106"/>
    </row>
    <row r="522" spans="1:4" x14ac:dyDescent="0.2">
      <c r="A522" s="71"/>
      <c r="B522" s="71"/>
      <c r="C522" s="71"/>
      <c r="D522" s="106"/>
    </row>
    <row r="523" spans="1:4" x14ac:dyDescent="0.2">
      <c r="A523" s="71"/>
      <c r="B523" s="71"/>
      <c r="C523" s="71"/>
      <c r="D523" s="106"/>
    </row>
    <row r="524" spans="1:4" x14ac:dyDescent="0.2">
      <c r="A524" s="71"/>
      <c r="B524" s="71"/>
      <c r="C524" s="71"/>
      <c r="D524" s="106"/>
    </row>
    <row r="525" spans="1:4" x14ac:dyDescent="0.2">
      <c r="A525" s="71"/>
      <c r="B525" s="71"/>
      <c r="C525" s="71"/>
      <c r="D525" s="106"/>
    </row>
    <row r="526" spans="1:4" x14ac:dyDescent="0.2">
      <c r="A526" s="71"/>
      <c r="B526" s="71"/>
      <c r="C526" s="71"/>
      <c r="D526" s="106"/>
    </row>
    <row r="527" spans="1:4" x14ac:dyDescent="0.2">
      <c r="A527" s="71"/>
      <c r="B527" s="71"/>
      <c r="C527" s="71"/>
      <c r="D527" s="106"/>
    </row>
    <row r="528" spans="1:4" x14ac:dyDescent="0.2">
      <c r="A528" s="71"/>
      <c r="B528" s="71"/>
      <c r="C528" s="71"/>
      <c r="D528" s="106"/>
    </row>
    <row r="529" spans="1:4" x14ac:dyDescent="0.2">
      <c r="A529" s="71"/>
      <c r="B529" s="71"/>
      <c r="C529" s="71"/>
      <c r="D529" s="106"/>
    </row>
    <row r="530" spans="1:4" x14ac:dyDescent="0.2">
      <c r="A530" s="71"/>
      <c r="B530" s="71"/>
      <c r="C530" s="71"/>
      <c r="D530" s="106"/>
    </row>
    <row r="531" spans="1:4" x14ac:dyDescent="0.2">
      <c r="A531" s="71"/>
      <c r="B531" s="71"/>
      <c r="C531" s="71"/>
      <c r="D531" s="106"/>
    </row>
    <row r="532" spans="1:4" x14ac:dyDescent="0.2">
      <c r="A532" s="71"/>
      <c r="B532" s="71"/>
      <c r="C532" s="71"/>
      <c r="D532" s="106"/>
    </row>
    <row r="533" spans="1:4" x14ac:dyDescent="0.2">
      <c r="A533" s="71"/>
      <c r="B533" s="71"/>
      <c r="C533" s="71"/>
      <c r="D533" s="106"/>
    </row>
    <row r="534" spans="1:4" x14ac:dyDescent="0.2">
      <c r="A534" s="71"/>
      <c r="B534" s="71"/>
      <c r="C534" s="71"/>
      <c r="D534" s="106"/>
    </row>
    <row r="535" spans="1:4" x14ac:dyDescent="0.2">
      <c r="A535" s="71"/>
      <c r="B535" s="71"/>
      <c r="C535" s="71"/>
      <c r="D535" s="106"/>
    </row>
    <row r="536" spans="1:4" x14ac:dyDescent="0.2">
      <c r="A536" s="71"/>
      <c r="B536" s="71"/>
      <c r="C536" s="71"/>
      <c r="D536" s="106"/>
    </row>
    <row r="537" spans="1:4" x14ac:dyDescent="0.2">
      <c r="A537" s="71"/>
      <c r="B537" s="71"/>
      <c r="C537" s="71"/>
      <c r="D537" s="106"/>
    </row>
    <row r="538" spans="1:4" x14ac:dyDescent="0.2">
      <c r="A538" s="71"/>
      <c r="B538" s="71"/>
      <c r="C538" s="71"/>
      <c r="D538" s="106"/>
    </row>
    <row r="539" spans="1:4" x14ac:dyDescent="0.2">
      <c r="A539" s="71"/>
      <c r="B539" s="71"/>
      <c r="C539" s="71"/>
      <c r="D539" s="106"/>
    </row>
    <row r="540" spans="1:4" x14ac:dyDescent="0.2">
      <c r="A540" s="71"/>
      <c r="B540" s="71"/>
      <c r="C540" s="71"/>
      <c r="D540" s="106"/>
    </row>
    <row r="541" spans="1:4" x14ac:dyDescent="0.2">
      <c r="A541" s="71"/>
      <c r="B541" s="71"/>
      <c r="C541" s="71"/>
      <c r="D541" s="106"/>
    </row>
    <row r="542" spans="1:4" x14ac:dyDescent="0.2">
      <c r="A542" s="71"/>
      <c r="B542" s="71"/>
      <c r="C542" s="71"/>
      <c r="D542" s="106"/>
    </row>
    <row r="543" spans="1:4" x14ac:dyDescent="0.2">
      <c r="A543" s="71"/>
      <c r="B543" s="71"/>
      <c r="C543" s="71"/>
      <c r="D543" s="106"/>
    </row>
    <row r="544" spans="1:4" x14ac:dyDescent="0.2">
      <c r="A544" s="71"/>
      <c r="B544" s="71"/>
      <c r="C544" s="71"/>
      <c r="D544" s="106"/>
    </row>
    <row r="545" spans="1:4" x14ac:dyDescent="0.2">
      <c r="A545" s="71"/>
      <c r="B545" s="71"/>
      <c r="C545" s="71"/>
      <c r="D545" s="106"/>
    </row>
    <row r="546" spans="1:4" x14ac:dyDescent="0.2">
      <c r="A546" s="71"/>
      <c r="B546" s="71"/>
      <c r="C546" s="71"/>
      <c r="D546" s="106"/>
    </row>
    <row r="547" spans="1:4" x14ac:dyDescent="0.2">
      <c r="A547" s="71"/>
      <c r="B547" s="71"/>
      <c r="C547" s="71"/>
      <c r="D547" s="106"/>
    </row>
    <row r="548" spans="1:4" x14ac:dyDescent="0.2">
      <c r="A548" s="71"/>
      <c r="B548" s="71"/>
      <c r="C548" s="71"/>
      <c r="D548" s="106"/>
    </row>
    <row r="549" spans="1:4" x14ac:dyDescent="0.2">
      <c r="A549" s="71"/>
      <c r="B549" s="71"/>
      <c r="C549" s="71"/>
      <c r="D549" s="106"/>
    </row>
    <row r="550" spans="1:4" x14ac:dyDescent="0.2">
      <c r="A550" s="71"/>
      <c r="B550" s="71"/>
      <c r="C550" s="71"/>
      <c r="D550" s="106"/>
    </row>
    <row r="551" spans="1:4" x14ac:dyDescent="0.2">
      <c r="A551" s="71"/>
      <c r="B551" s="71"/>
      <c r="C551" s="71"/>
      <c r="D551" s="106"/>
    </row>
    <row r="552" spans="1:4" x14ac:dyDescent="0.2">
      <c r="A552" s="71"/>
      <c r="B552" s="71"/>
      <c r="C552" s="71"/>
      <c r="D552" s="106"/>
    </row>
    <row r="553" spans="1:4" x14ac:dyDescent="0.2">
      <c r="A553" s="71"/>
      <c r="B553" s="71"/>
      <c r="C553" s="71"/>
      <c r="D553" s="106"/>
    </row>
    <row r="554" spans="1:4" x14ac:dyDescent="0.2">
      <c r="A554" s="71"/>
      <c r="B554" s="71"/>
      <c r="C554" s="71"/>
      <c r="D554" s="106"/>
    </row>
    <row r="555" spans="1:4" x14ac:dyDescent="0.2">
      <c r="A555" s="71"/>
      <c r="B555" s="71"/>
      <c r="C555" s="71"/>
      <c r="D555" s="106"/>
    </row>
    <row r="556" spans="1:4" x14ac:dyDescent="0.2">
      <c r="A556" s="71"/>
      <c r="B556" s="71"/>
      <c r="C556" s="71"/>
      <c r="D556" s="106"/>
    </row>
    <row r="557" spans="1:4" x14ac:dyDescent="0.2">
      <c r="A557" s="71"/>
      <c r="B557" s="71"/>
      <c r="C557" s="71"/>
      <c r="D557" s="106"/>
    </row>
    <row r="558" spans="1:4" x14ac:dyDescent="0.2">
      <c r="A558" s="71"/>
      <c r="B558" s="71"/>
      <c r="C558" s="71"/>
      <c r="D558" s="106"/>
    </row>
    <row r="559" spans="1:4" x14ac:dyDescent="0.2">
      <c r="A559" s="71"/>
      <c r="B559" s="71"/>
      <c r="C559" s="71"/>
      <c r="D559" s="106"/>
    </row>
    <row r="560" spans="1:4" x14ac:dyDescent="0.2">
      <c r="A560" s="71"/>
      <c r="B560" s="71"/>
      <c r="C560" s="71"/>
      <c r="D560" s="106"/>
    </row>
    <row r="561" spans="1:4" x14ac:dyDescent="0.2">
      <c r="A561" s="71"/>
      <c r="B561" s="71"/>
      <c r="C561" s="71"/>
      <c r="D561" s="106"/>
    </row>
    <row r="562" spans="1:4" x14ac:dyDescent="0.2">
      <c r="A562" s="71"/>
      <c r="B562" s="71"/>
      <c r="C562" s="71"/>
      <c r="D562" s="106"/>
    </row>
    <row r="563" spans="1:4" x14ac:dyDescent="0.2">
      <c r="A563" s="71"/>
      <c r="B563" s="71"/>
      <c r="C563" s="71"/>
      <c r="D563" s="106"/>
    </row>
    <row r="564" spans="1:4" x14ac:dyDescent="0.2">
      <c r="A564" s="71"/>
      <c r="B564" s="71"/>
      <c r="C564" s="71"/>
      <c r="D564" s="106"/>
    </row>
    <row r="565" spans="1:4" x14ac:dyDescent="0.2">
      <c r="A565" s="71"/>
      <c r="B565" s="71"/>
      <c r="C565" s="71"/>
      <c r="D565" s="106"/>
    </row>
    <row r="566" spans="1:4" x14ac:dyDescent="0.2">
      <c r="A566" s="71"/>
      <c r="B566" s="71"/>
      <c r="C566" s="71"/>
      <c r="D566" s="106"/>
    </row>
    <row r="567" spans="1:4" x14ac:dyDescent="0.2">
      <c r="A567" s="71"/>
      <c r="B567" s="71"/>
      <c r="C567" s="71"/>
      <c r="D567" s="106"/>
    </row>
    <row r="568" spans="1:4" x14ac:dyDescent="0.2">
      <c r="A568" s="71"/>
      <c r="B568" s="71"/>
      <c r="C568" s="71"/>
      <c r="D568" s="106"/>
    </row>
    <row r="569" spans="1:4" x14ac:dyDescent="0.2">
      <c r="A569" s="71"/>
      <c r="B569" s="71"/>
      <c r="C569" s="71"/>
      <c r="D569" s="106"/>
    </row>
    <row r="570" spans="1:4" x14ac:dyDescent="0.2">
      <c r="A570" s="71"/>
      <c r="B570" s="71"/>
      <c r="C570" s="71"/>
      <c r="D570" s="106"/>
    </row>
    <row r="571" spans="1:4" x14ac:dyDescent="0.2">
      <c r="A571" s="71"/>
      <c r="B571" s="71"/>
      <c r="C571" s="71"/>
      <c r="D571" s="106"/>
    </row>
    <row r="572" spans="1:4" x14ac:dyDescent="0.2">
      <c r="A572" s="71"/>
      <c r="B572" s="71"/>
      <c r="C572" s="71"/>
      <c r="D572" s="106"/>
    </row>
    <row r="573" spans="1:4" x14ac:dyDescent="0.2">
      <c r="A573" s="71"/>
      <c r="B573" s="71"/>
      <c r="C573" s="71"/>
      <c r="D573" s="106"/>
    </row>
    <row r="574" spans="1:4" x14ac:dyDescent="0.2">
      <c r="A574" s="71"/>
      <c r="B574" s="71"/>
      <c r="C574" s="71"/>
      <c r="D574" s="106"/>
    </row>
    <row r="575" spans="1:4" x14ac:dyDescent="0.2">
      <c r="A575" s="71"/>
      <c r="B575" s="71"/>
      <c r="C575" s="71"/>
      <c r="D575" s="106"/>
    </row>
    <row r="576" spans="1:4" x14ac:dyDescent="0.2">
      <c r="A576" s="71"/>
      <c r="B576" s="71"/>
      <c r="C576" s="71"/>
      <c r="D576" s="106"/>
    </row>
    <row r="577" spans="1:4" x14ac:dyDescent="0.2">
      <c r="A577" s="71"/>
      <c r="B577" s="71"/>
      <c r="C577" s="71"/>
      <c r="D577" s="106"/>
    </row>
    <row r="578" spans="1:4" x14ac:dyDescent="0.2">
      <c r="A578" s="71"/>
      <c r="B578" s="71"/>
      <c r="C578" s="71"/>
      <c r="D578" s="106"/>
    </row>
    <row r="579" spans="1:4" x14ac:dyDescent="0.2">
      <c r="A579" s="71"/>
      <c r="B579" s="71"/>
      <c r="C579" s="71"/>
      <c r="D579" s="106"/>
    </row>
    <row r="580" spans="1:4" x14ac:dyDescent="0.2">
      <c r="A580" s="71"/>
      <c r="B580" s="71"/>
      <c r="C580" s="71"/>
      <c r="D580" s="106"/>
    </row>
    <row r="581" spans="1:4" x14ac:dyDescent="0.2">
      <c r="A581" s="71"/>
      <c r="B581" s="71"/>
      <c r="C581" s="71"/>
      <c r="D581" s="106"/>
    </row>
    <row r="582" spans="1:4" x14ac:dyDescent="0.2">
      <c r="A582" s="71"/>
      <c r="B582" s="71"/>
      <c r="C582" s="71"/>
      <c r="D582" s="106"/>
    </row>
    <row r="583" spans="1:4" x14ac:dyDescent="0.2">
      <c r="A583" s="71"/>
      <c r="B583" s="71"/>
      <c r="C583" s="71"/>
      <c r="D583" s="106"/>
    </row>
    <row r="584" spans="1:4" x14ac:dyDescent="0.2">
      <c r="A584" s="71"/>
      <c r="B584" s="71"/>
      <c r="C584" s="71"/>
      <c r="D584" s="106"/>
    </row>
    <row r="585" spans="1:4" x14ac:dyDescent="0.2">
      <c r="A585" s="71"/>
      <c r="B585" s="71"/>
      <c r="C585" s="71"/>
      <c r="D585" s="106"/>
    </row>
    <row r="586" spans="1:4" x14ac:dyDescent="0.2">
      <c r="A586" s="71"/>
      <c r="B586" s="71"/>
      <c r="C586" s="71"/>
      <c r="D586" s="106"/>
    </row>
    <row r="587" spans="1:4" x14ac:dyDescent="0.2">
      <c r="A587" s="71"/>
      <c r="B587" s="71"/>
      <c r="C587" s="71"/>
      <c r="D587" s="106"/>
    </row>
    <row r="588" spans="1:4" x14ac:dyDescent="0.2">
      <c r="A588" s="71"/>
      <c r="B588" s="71"/>
      <c r="C588" s="71"/>
      <c r="D588" s="106"/>
    </row>
    <row r="589" spans="1:4" x14ac:dyDescent="0.2">
      <c r="A589" s="71"/>
      <c r="B589" s="71"/>
      <c r="C589" s="71"/>
      <c r="D589" s="106"/>
    </row>
    <row r="590" spans="1:4" x14ac:dyDescent="0.2">
      <c r="A590" s="71"/>
      <c r="B590" s="71"/>
      <c r="C590" s="71"/>
      <c r="D590" s="106"/>
    </row>
    <row r="591" spans="1:4" x14ac:dyDescent="0.2">
      <c r="A591" s="71"/>
      <c r="B591" s="71"/>
      <c r="C591" s="71"/>
      <c r="D591" s="106"/>
    </row>
    <row r="592" spans="1:4" x14ac:dyDescent="0.2">
      <c r="A592" s="71"/>
      <c r="B592" s="71"/>
      <c r="C592" s="71"/>
      <c r="D592" s="106"/>
    </row>
    <row r="593" spans="1:4" x14ac:dyDescent="0.2">
      <c r="A593" s="71"/>
      <c r="B593" s="71"/>
      <c r="C593" s="71"/>
      <c r="D593" s="106"/>
    </row>
    <row r="594" spans="1:4" x14ac:dyDescent="0.2">
      <c r="A594" s="71"/>
      <c r="B594" s="71"/>
      <c r="C594" s="71"/>
      <c r="D594" s="106"/>
    </row>
    <row r="595" spans="1:4" x14ac:dyDescent="0.2">
      <c r="A595" s="71"/>
      <c r="B595" s="71"/>
      <c r="C595" s="71"/>
      <c r="D595" s="106"/>
    </row>
    <row r="596" spans="1:4" x14ac:dyDescent="0.2">
      <c r="A596" s="71"/>
      <c r="B596" s="71"/>
      <c r="C596" s="71"/>
      <c r="D596" s="106"/>
    </row>
    <row r="597" spans="1:4" x14ac:dyDescent="0.2">
      <c r="A597" s="71"/>
      <c r="B597" s="71"/>
      <c r="C597" s="71"/>
      <c r="D597" s="106"/>
    </row>
    <row r="598" spans="1:4" x14ac:dyDescent="0.2">
      <c r="A598" s="71"/>
      <c r="B598" s="71"/>
      <c r="C598" s="71"/>
      <c r="D598" s="106"/>
    </row>
    <row r="599" spans="1:4" x14ac:dyDescent="0.2">
      <c r="A599" s="71"/>
      <c r="B599" s="71"/>
      <c r="C599" s="71"/>
      <c r="D599" s="106"/>
    </row>
    <row r="600" spans="1:4" x14ac:dyDescent="0.2">
      <c r="A600" s="71"/>
      <c r="B600" s="71"/>
      <c r="C600" s="71"/>
      <c r="D600" s="106"/>
    </row>
    <row r="601" spans="1:4" x14ac:dyDescent="0.2">
      <c r="A601" s="71"/>
      <c r="B601" s="71"/>
      <c r="C601" s="71"/>
      <c r="D601" s="106"/>
    </row>
    <row r="602" spans="1:4" x14ac:dyDescent="0.2">
      <c r="A602" s="71"/>
      <c r="B602" s="71"/>
      <c r="C602" s="71"/>
      <c r="D602" s="106"/>
    </row>
    <row r="603" spans="1:4" x14ac:dyDescent="0.2">
      <c r="A603" s="71"/>
      <c r="B603" s="71"/>
      <c r="C603" s="71"/>
      <c r="D603" s="106"/>
    </row>
    <row r="604" spans="1:4" x14ac:dyDescent="0.2">
      <c r="A604" s="71"/>
      <c r="B604" s="71"/>
      <c r="C604" s="71"/>
      <c r="D604" s="106"/>
    </row>
    <row r="605" spans="1:4" x14ac:dyDescent="0.2">
      <c r="A605" s="71"/>
      <c r="B605" s="71"/>
      <c r="C605" s="71"/>
      <c r="D605" s="106"/>
    </row>
    <row r="606" spans="1:4" x14ac:dyDescent="0.2">
      <c r="A606" s="71"/>
      <c r="B606" s="71"/>
      <c r="C606" s="71"/>
      <c r="D606" s="106"/>
    </row>
    <row r="607" spans="1:4" x14ac:dyDescent="0.2">
      <c r="A607" s="71"/>
      <c r="B607" s="71"/>
      <c r="C607" s="71"/>
      <c r="D607" s="106"/>
    </row>
    <row r="608" spans="1:4" x14ac:dyDescent="0.2">
      <c r="A608" s="71"/>
      <c r="B608" s="71"/>
      <c r="C608" s="71"/>
      <c r="D608" s="106"/>
    </row>
    <row r="609" spans="1:4" x14ac:dyDescent="0.2">
      <c r="A609" s="71"/>
      <c r="B609" s="71"/>
      <c r="C609" s="71"/>
      <c r="D609" s="106"/>
    </row>
    <row r="610" spans="1:4" x14ac:dyDescent="0.2">
      <c r="A610" s="71"/>
      <c r="B610" s="71"/>
      <c r="C610" s="71"/>
      <c r="D610" s="106"/>
    </row>
    <row r="611" spans="1:4" x14ac:dyDescent="0.2">
      <c r="A611" s="71"/>
      <c r="B611" s="71"/>
      <c r="C611" s="71"/>
      <c r="D611" s="106"/>
    </row>
    <row r="612" spans="1:4" x14ac:dyDescent="0.2">
      <c r="A612" s="71"/>
      <c r="B612" s="71"/>
      <c r="C612" s="71"/>
      <c r="D612" s="106"/>
    </row>
    <row r="613" spans="1:4" x14ac:dyDescent="0.2">
      <c r="A613" s="71"/>
      <c r="B613" s="71"/>
      <c r="C613" s="71"/>
      <c r="D613" s="106"/>
    </row>
    <row r="614" spans="1:4" x14ac:dyDescent="0.2">
      <c r="A614" s="71"/>
      <c r="B614" s="71"/>
      <c r="C614" s="71"/>
      <c r="D614" s="106"/>
    </row>
    <row r="615" spans="1:4" x14ac:dyDescent="0.2">
      <c r="A615" s="71"/>
      <c r="B615" s="71"/>
      <c r="C615" s="71"/>
      <c r="D615" s="106"/>
    </row>
    <row r="616" spans="1:4" x14ac:dyDescent="0.2">
      <c r="A616" s="71"/>
      <c r="B616" s="71"/>
      <c r="C616" s="71"/>
      <c r="D616" s="106"/>
    </row>
    <row r="617" spans="1:4" x14ac:dyDescent="0.2">
      <c r="A617" s="71"/>
      <c r="B617" s="71"/>
      <c r="C617" s="71"/>
      <c r="D617" s="106"/>
    </row>
    <row r="618" spans="1:4" x14ac:dyDescent="0.2">
      <c r="A618" s="71"/>
      <c r="B618" s="71"/>
      <c r="C618" s="71"/>
      <c r="D618" s="106"/>
    </row>
    <row r="619" spans="1:4" x14ac:dyDescent="0.2">
      <c r="A619" s="71"/>
      <c r="B619" s="71"/>
      <c r="C619" s="71"/>
      <c r="D619" s="106"/>
    </row>
    <row r="620" spans="1:4" x14ac:dyDescent="0.2">
      <c r="A620" s="71"/>
      <c r="B620" s="71"/>
      <c r="C620" s="71"/>
      <c r="D620" s="106"/>
    </row>
    <row r="621" spans="1:4" x14ac:dyDescent="0.2">
      <c r="A621" s="71"/>
      <c r="B621" s="71"/>
      <c r="C621" s="71"/>
      <c r="D621" s="106"/>
    </row>
    <row r="622" spans="1:4" x14ac:dyDescent="0.2">
      <c r="A622" s="71"/>
      <c r="B622" s="71"/>
      <c r="C622" s="71"/>
      <c r="D622" s="106"/>
    </row>
    <row r="623" spans="1:4" x14ac:dyDescent="0.2">
      <c r="A623" s="71"/>
      <c r="B623" s="71"/>
      <c r="C623" s="71"/>
      <c r="D623" s="106"/>
    </row>
    <row r="624" spans="1:4" x14ac:dyDescent="0.2">
      <c r="A624" s="71"/>
      <c r="B624" s="71"/>
      <c r="C624" s="71"/>
      <c r="D624" s="106"/>
    </row>
    <row r="625" spans="1:4" x14ac:dyDescent="0.2">
      <c r="A625" s="71"/>
      <c r="B625" s="71"/>
      <c r="C625" s="71"/>
      <c r="D625" s="106"/>
    </row>
    <row r="626" spans="1:4" x14ac:dyDescent="0.2">
      <c r="A626" s="71"/>
      <c r="B626" s="71"/>
      <c r="C626" s="71"/>
      <c r="D626" s="106"/>
    </row>
    <row r="627" spans="1:4" x14ac:dyDescent="0.2">
      <c r="A627" s="71"/>
      <c r="B627" s="71"/>
      <c r="C627" s="71"/>
      <c r="D627" s="106"/>
    </row>
    <row r="628" spans="1:4" x14ac:dyDescent="0.2">
      <c r="A628" s="71"/>
      <c r="B628" s="71"/>
      <c r="C628" s="71"/>
      <c r="D628" s="106"/>
    </row>
    <row r="629" spans="1:4" x14ac:dyDescent="0.2">
      <c r="A629" s="71"/>
      <c r="B629" s="71"/>
      <c r="C629" s="71"/>
      <c r="D629" s="106"/>
    </row>
    <row r="630" spans="1:4" x14ac:dyDescent="0.2">
      <c r="A630" s="71"/>
      <c r="B630" s="71"/>
      <c r="C630" s="71"/>
      <c r="D630" s="106"/>
    </row>
    <row r="631" spans="1:4" x14ac:dyDescent="0.2">
      <c r="A631" s="71"/>
      <c r="B631" s="71"/>
      <c r="C631" s="71"/>
      <c r="D631" s="106"/>
    </row>
    <row r="632" spans="1:4" x14ac:dyDescent="0.2">
      <c r="A632" s="71"/>
      <c r="B632" s="71"/>
      <c r="C632" s="71"/>
      <c r="D632" s="106"/>
    </row>
    <row r="633" spans="1:4" x14ac:dyDescent="0.2">
      <c r="A633" s="71"/>
      <c r="B633" s="71"/>
      <c r="C633" s="71"/>
      <c r="D633" s="106"/>
    </row>
    <row r="634" spans="1:4" x14ac:dyDescent="0.2">
      <c r="A634" s="71"/>
      <c r="B634" s="71"/>
      <c r="C634" s="71"/>
      <c r="D634" s="106"/>
    </row>
    <row r="635" spans="1:4" x14ac:dyDescent="0.2">
      <c r="A635" s="71"/>
      <c r="B635" s="71"/>
      <c r="C635" s="71"/>
      <c r="D635" s="106"/>
    </row>
    <row r="636" spans="1:4" x14ac:dyDescent="0.2">
      <c r="A636" s="71"/>
      <c r="B636" s="71"/>
      <c r="C636" s="71"/>
      <c r="D636" s="106"/>
    </row>
    <row r="637" spans="1:4" x14ac:dyDescent="0.2">
      <c r="A637" s="71"/>
      <c r="B637" s="71"/>
      <c r="C637" s="71"/>
      <c r="D637" s="106"/>
    </row>
    <row r="638" spans="1:4" x14ac:dyDescent="0.2">
      <c r="A638" s="71"/>
      <c r="B638" s="71"/>
      <c r="C638" s="71"/>
      <c r="D638" s="106"/>
    </row>
    <row r="639" spans="1:4" x14ac:dyDescent="0.2">
      <c r="A639" s="71"/>
      <c r="B639" s="71"/>
      <c r="C639" s="71"/>
      <c r="D639" s="106"/>
    </row>
    <row r="640" spans="1:4" x14ac:dyDescent="0.2">
      <c r="A640" s="71"/>
      <c r="B640" s="71"/>
      <c r="C640" s="71"/>
      <c r="D640" s="106"/>
    </row>
    <row r="641" spans="1:4" x14ac:dyDescent="0.2">
      <c r="A641" s="71"/>
      <c r="B641" s="71"/>
      <c r="C641" s="71"/>
      <c r="D641" s="106"/>
    </row>
    <row r="642" spans="1:4" x14ac:dyDescent="0.2">
      <c r="A642" s="71"/>
      <c r="B642" s="71"/>
      <c r="C642" s="71"/>
      <c r="D642" s="106"/>
    </row>
    <row r="643" spans="1:4" x14ac:dyDescent="0.2">
      <c r="A643" s="71"/>
      <c r="B643" s="71"/>
      <c r="C643" s="71"/>
      <c r="D643" s="106"/>
    </row>
    <row r="644" spans="1:4" x14ac:dyDescent="0.2">
      <c r="A644" s="71"/>
      <c r="B644" s="71"/>
      <c r="C644" s="71"/>
      <c r="D644" s="106"/>
    </row>
    <row r="645" spans="1:4" x14ac:dyDescent="0.2">
      <c r="A645" s="71"/>
      <c r="B645" s="71"/>
      <c r="C645" s="71"/>
      <c r="D645" s="106"/>
    </row>
    <row r="646" spans="1:4" x14ac:dyDescent="0.2">
      <c r="A646" s="71"/>
      <c r="B646" s="71"/>
      <c r="C646" s="71"/>
      <c r="D646" s="106"/>
    </row>
    <row r="647" spans="1:4" x14ac:dyDescent="0.2">
      <c r="A647" s="71"/>
      <c r="B647" s="71"/>
      <c r="C647" s="71"/>
      <c r="D647" s="106"/>
    </row>
    <row r="648" spans="1:4" x14ac:dyDescent="0.2">
      <c r="A648" s="71"/>
      <c r="B648" s="71"/>
      <c r="C648" s="71"/>
      <c r="D648" s="106"/>
    </row>
    <row r="649" spans="1:4" x14ac:dyDescent="0.2">
      <c r="A649" s="71"/>
      <c r="B649" s="71"/>
      <c r="C649" s="71"/>
      <c r="D649" s="106"/>
    </row>
    <row r="650" spans="1:4" x14ac:dyDescent="0.2">
      <c r="A650" s="71"/>
      <c r="B650" s="71"/>
      <c r="C650" s="71"/>
      <c r="D650" s="106"/>
    </row>
    <row r="651" spans="1:4" x14ac:dyDescent="0.2">
      <c r="A651" s="71"/>
      <c r="B651" s="71"/>
      <c r="C651" s="71"/>
      <c r="D651" s="106"/>
    </row>
    <row r="652" spans="1:4" x14ac:dyDescent="0.2">
      <c r="A652" s="71"/>
      <c r="B652" s="71"/>
      <c r="C652" s="71"/>
      <c r="D652" s="106"/>
    </row>
    <row r="653" spans="1:4" x14ac:dyDescent="0.2">
      <c r="A653" s="71"/>
      <c r="B653" s="71"/>
      <c r="C653" s="71"/>
      <c r="D653" s="106"/>
    </row>
    <row r="654" spans="1:4" x14ac:dyDescent="0.2">
      <c r="A654" s="71"/>
      <c r="B654" s="71"/>
      <c r="C654" s="71"/>
      <c r="D654" s="106"/>
    </row>
    <row r="655" spans="1:4" x14ac:dyDescent="0.2">
      <c r="A655" s="71"/>
      <c r="B655" s="71"/>
      <c r="C655" s="71"/>
      <c r="D655" s="106"/>
    </row>
    <row r="656" spans="1:4" x14ac:dyDescent="0.2">
      <c r="A656" s="71"/>
      <c r="B656" s="71"/>
      <c r="C656" s="71"/>
      <c r="D656" s="106"/>
    </row>
    <row r="657" spans="1:4" x14ac:dyDescent="0.2">
      <c r="A657" s="71"/>
      <c r="B657" s="71"/>
      <c r="C657" s="71"/>
      <c r="D657" s="106"/>
    </row>
    <row r="658" spans="1:4" x14ac:dyDescent="0.2">
      <c r="A658" s="71"/>
      <c r="B658" s="71"/>
      <c r="C658" s="71"/>
      <c r="D658" s="106"/>
    </row>
    <row r="659" spans="1:4" x14ac:dyDescent="0.2">
      <c r="A659" s="71"/>
      <c r="B659" s="71"/>
      <c r="C659" s="71"/>
      <c r="D659" s="106"/>
    </row>
    <row r="660" spans="1:4" x14ac:dyDescent="0.2">
      <c r="A660" s="71"/>
      <c r="B660" s="71"/>
      <c r="C660" s="71"/>
      <c r="D660" s="106"/>
    </row>
    <row r="661" spans="1:4" x14ac:dyDescent="0.2">
      <c r="A661" s="71"/>
      <c r="B661" s="71"/>
      <c r="C661" s="71"/>
      <c r="D661" s="106"/>
    </row>
    <row r="662" spans="1:4" x14ac:dyDescent="0.2">
      <c r="A662" s="71"/>
      <c r="B662" s="71"/>
      <c r="C662" s="71"/>
      <c r="D662" s="106"/>
    </row>
    <row r="663" spans="1:4" x14ac:dyDescent="0.2">
      <c r="A663" s="71"/>
      <c r="B663" s="71"/>
      <c r="C663" s="71"/>
      <c r="D663" s="106"/>
    </row>
    <row r="664" spans="1:4" x14ac:dyDescent="0.2">
      <c r="A664" s="71"/>
      <c r="B664" s="71"/>
      <c r="C664" s="71"/>
      <c r="D664" s="106"/>
    </row>
    <row r="665" spans="1:4" x14ac:dyDescent="0.2">
      <c r="A665" s="71"/>
      <c r="B665" s="71"/>
      <c r="C665" s="71"/>
      <c r="D665" s="106"/>
    </row>
    <row r="666" spans="1:4" x14ac:dyDescent="0.2">
      <c r="A666" s="71"/>
      <c r="B666" s="71"/>
      <c r="C666" s="71"/>
      <c r="D666" s="106"/>
    </row>
    <row r="667" spans="1:4" x14ac:dyDescent="0.2">
      <c r="A667" s="71"/>
      <c r="B667" s="71"/>
      <c r="C667" s="71"/>
      <c r="D667" s="106"/>
    </row>
    <row r="668" spans="1:4" x14ac:dyDescent="0.2">
      <c r="A668" s="71"/>
      <c r="B668" s="71"/>
      <c r="C668" s="71"/>
      <c r="D668" s="106"/>
    </row>
    <row r="669" spans="1:4" x14ac:dyDescent="0.2">
      <c r="A669" s="71"/>
      <c r="B669" s="71"/>
      <c r="C669" s="71"/>
      <c r="D669" s="106"/>
    </row>
    <row r="670" spans="1:4" x14ac:dyDescent="0.2">
      <c r="A670" s="71"/>
      <c r="B670" s="71"/>
      <c r="C670" s="71"/>
      <c r="D670" s="106"/>
    </row>
    <row r="671" spans="1:4" x14ac:dyDescent="0.2">
      <c r="A671" s="71"/>
      <c r="B671" s="71"/>
      <c r="C671" s="71"/>
      <c r="D671" s="106"/>
    </row>
    <row r="672" spans="1:4" x14ac:dyDescent="0.2">
      <c r="A672" s="71"/>
      <c r="B672" s="71"/>
      <c r="C672" s="71"/>
      <c r="D672" s="106"/>
    </row>
    <row r="673" spans="1:4" x14ac:dyDescent="0.2">
      <c r="A673" s="71"/>
      <c r="B673" s="71"/>
      <c r="C673" s="71"/>
      <c r="D673" s="106"/>
    </row>
    <row r="674" spans="1:4" x14ac:dyDescent="0.2">
      <c r="A674" s="71"/>
      <c r="B674" s="71"/>
      <c r="C674" s="71"/>
      <c r="D674" s="106"/>
    </row>
    <row r="675" spans="1:4" x14ac:dyDescent="0.2">
      <c r="A675" s="71"/>
      <c r="B675" s="71"/>
      <c r="C675" s="71"/>
      <c r="D675" s="106"/>
    </row>
    <row r="676" spans="1:4" x14ac:dyDescent="0.2">
      <c r="A676" s="71"/>
      <c r="B676" s="71"/>
      <c r="C676" s="71"/>
      <c r="D676" s="106"/>
    </row>
    <row r="677" spans="1:4" x14ac:dyDescent="0.2">
      <c r="A677" s="71"/>
      <c r="B677" s="71"/>
      <c r="C677" s="71"/>
      <c r="D677" s="106"/>
    </row>
    <row r="678" spans="1:4" x14ac:dyDescent="0.2">
      <c r="A678" s="71"/>
      <c r="B678" s="71"/>
      <c r="C678" s="71"/>
      <c r="D678" s="106"/>
    </row>
    <row r="679" spans="1:4" x14ac:dyDescent="0.2">
      <c r="A679" s="71"/>
      <c r="B679" s="71"/>
      <c r="C679" s="71"/>
      <c r="D679" s="106"/>
    </row>
    <row r="680" spans="1:4" x14ac:dyDescent="0.2">
      <c r="A680" s="71"/>
      <c r="B680" s="71"/>
      <c r="C680" s="71"/>
      <c r="D680" s="106"/>
    </row>
    <row r="681" spans="1:4" x14ac:dyDescent="0.2">
      <c r="A681" s="71"/>
      <c r="B681" s="71"/>
      <c r="C681" s="71"/>
      <c r="D681" s="106"/>
    </row>
    <row r="682" spans="1:4" x14ac:dyDescent="0.2">
      <c r="A682" s="71"/>
      <c r="B682" s="71"/>
      <c r="C682" s="71"/>
      <c r="D682" s="106"/>
    </row>
    <row r="683" spans="1:4" x14ac:dyDescent="0.2">
      <c r="A683" s="71"/>
      <c r="B683" s="71"/>
      <c r="C683" s="71"/>
      <c r="D683" s="106"/>
    </row>
    <row r="684" spans="1:4" x14ac:dyDescent="0.2">
      <c r="A684" s="71"/>
      <c r="B684" s="71"/>
      <c r="C684" s="71"/>
      <c r="D684" s="106"/>
    </row>
    <row r="685" spans="1:4" x14ac:dyDescent="0.2">
      <c r="A685" s="71"/>
      <c r="B685" s="71"/>
      <c r="C685" s="71"/>
      <c r="D685" s="106"/>
    </row>
    <row r="686" spans="1:4" x14ac:dyDescent="0.2">
      <c r="A686" s="71"/>
      <c r="B686" s="71"/>
      <c r="C686" s="71"/>
      <c r="D686" s="106"/>
    </row>
    <row r="687" spans="1:4" x14ac:dyDescent="0.2">
      <c r="A687" s="71"/>
      <c r="B687" s="71"/>
      <c r="C687" s="71"/>
      <c r="D687" s="106"/>
    </row>
    <row r="688" spans="1:4" x14ac:dyDescent="0.2">
      <c r="A688" s="71"/>
      <c r="B688" s="71"/>
      <c r="C688" s="71"/>
      <c r="D688" s="106"/>
    </row>
    <row r="689" spans="1:4" x14ac:dyDescent="0.2">
      <c r="A689" s="71"/>
      <c r="B689" s="71"/>
      <c r="C689" s="71"/>
      <c r="D689" s="106"/>
    </row>
    <row r="690" spans="1:4" x14ac:dyDescent="0.2">
      <c r="A690" s="71"/>
      <c r="B690" s="71"/>
      <c r="C690" s="71"/>
      <c r="D690" s="106"/>
    </row>
    <row r="691" spans="1:4" x14ac:dyDescent="0.2">
      <c r="A691" s="71"/>
      <c r="B691" s="71"/>
      <c r="C691" s="71"/>
      <c r="D691" s="106"/>
    </row>
    <row r="692" spans="1:4" x14ac:dyDescent="0.2">
      <c r="A692" s="71"/>
      <c r="B692" s="71"/>
      <c r="C692" s="71"/>
      <c r="D692" s="106"/>
    </row>
    <row r="693" spans="1:4" x14ac:dyDescent="0.2">
      <c r="A693" s="71"/>
      <c r="B693" s="71"/>
      <c r="C693" s="71"/>
      <c r="D693" s="106"/>
    </row>
    <row r="694" spans="1:4" x14ac:dyDescent="0.2">
      <c r="A694" s="71"/>
      <c r="B694" s="71"/>
      <c r="C694" s="71"/>
      <c r="D694" s="106"/>
    </row>
    <row r="695" spans="1:4" x14ac:dyDescent="0.2">
      <c r="A695" s="71"/>
      <c r="B695" s="71"/>
      <c r="C695" s="71"/>
      <c r="D695" s="106"/>
    </row>
    <row r="696" spans="1:4" x14ac:dyDescent="0.2">
      <c r="A696" s="71"/>
      <c r="B696" s="71"/>
      <c r="C696" s="71"/>
      <c r="D696" s="106"/>
    </row>
    <row r="697" spans="1:4" x14ac:dyDescent="0.2">
      <c r="A697" s="71"/>
      <c r="B697" s="71"/>
      <c r="C697" s="71"/>
      <c r="D697" s="106"/>
    </row>
    <row r="698" spans="1:4" x14ac:dyDescent="0.2">
      <c r="A698" s="71"/>
      <c r="B698" s="71"/>
      <c r="C698" s="71"/>
      <c r="D698" s="106"/>
    </row>
    <row r="699" spans="1:4" x14ac:dyDescent="0.2">
      <c r="A699" s="71"/>
      <c r="B699" s="71"/>
      <c r="C699" s="71"/>
      <c r="D699" s="106"/>
    </row>
    <row r="700" spans="1:4" x14ac:dyDescent="0.2">
      <c r="A700" s="71"/>
      <c r="B700" s="71"/>
      <c r="C700" s="71"/>
      <c r="D700" s="106"/>
    </row>
    <row r="701" spans="1:4" x14ac:dyDescent="0.2">
      <c r="A701" s="71"/>
      <c r="B701" s="71"/>
      <c r="C701" s="71"/>
      <c r="D701" s="106"/>
    </row>
    <row r="702" spans="1:4" x14ac:dyDescent="0.2">
      <c r="A702" s="71"/>
      <c r="B702" s="71"/>
      <c r="C702" s="71"/>
      <c r="D702" s="106"/>
    </row>
    <row r="703" spans="1:4" x14ac:dyDescent="0.2">
      <c r="A703" s="71"/>
      <c r="B703" s="71"/>
      <c r="C703" s="71"/>
      <c r="D703" s="106"/>
    </row>
    <row r="704" spans="1:4" x14ac:dyDescent="0.2">
      <c r="A704" s="71"/>
      <c r="B704" s="71"/>
      <c r="C704" s="71"/>
      <c r="D704" s="106"/>
    </row>
    <row r="705" spans="1:4" x14ac:dyDescent="0.2">
      <c r="A705" s="71"/>
      <c r="B705" s="71"/>
      <c r="C705" s="71"/>
      <c r="D705" s="106"/>
    </row>
    <row r="706" spans="1:4" x14ac:dyDescent="0.2">
      <c r="A706" s="71"/>
      <c r="B706" s="71"/>
      <c r="C706" s="71"/>
      <c r="D706" s="106"/>
    </row>
    <row r="707" spans="1:4" x14ac:dyDescent="0.2">
      <c r="A707" s="71"/>
      <c r="B707" s="71"/>
      <c r="C707" s="71"/>
      <c r="D707" s="106"/>
    </row>
    <row r="708" spans="1:4" x14ac:dyDescent="0.2">
      <c r="A708" s="71"/>
      <c r="B708" s="71"/>
      <c r="C708" s="71"/>
      <c r="D708" s="106"/>
    </row>
    <row r="709" spans="1:4" x14ac:dyDescent="0.2">
      <c r="A709" s="71"/>
      <c r="B709" s="71"/>
      <c r="C709" s="71"/>
      <c r="D709" s="106"/>
    </row>
    <row r="710" spans="1:4" x14ac:dyDescent="0.2">
      <c r="A710" s="71"/>
      <c r="B710" s="71"/>
      <c r="C710" s="71"/>
      <c r="D710" s="106"/>
    </row>
    <row r="711" spans="1:4" x14ac:dyDescent="0.2">
      <c r="A711" s="71"/>
      <c r="B711" s="71"/>
      <c r="C711" s="71"/>
      <c r="D711" s="106"/>
    </row>
    <row r="712" spans="1:4" x14ac:dyDescent="0.2">
      <c r="A712" s="71"/>
      <c r="B712" s="71"/>
      <c r="C712" s="71"/>
      <c r="D712" s="106"/>
    </row>
    <row r="713" spans="1:4" x14ac:dyDescent="0.2">
      <c r="A713" s="71"/>
      <c r="B713" s="71"/>
      <c r="C713" s="71"/>
      <c r="D713" s="106"/>
    </row>
    <row r="714" spans="1:4" x14ac:dyDescent="0.2">
      <c r="A714" s="71"/>
      <c r="B714" s="71"/>
      <c r="C714" s="71"/>
      <c r="D714" s="106"/>
    </row>
    <row r="715" spans="1:4" x14ac:dyDescent="0.2">
      <c r="A715" s="71"/>
      <c r="B715" s="71"/>
      <c r="C715" s="71"/>
      <c r="D715" s="106"/>
    </row>
    <row r="716" spans="1:4" x14ac:dyDescent="0.2">
      <c r="A716" s="71"/>
      <c r="B716" s="71"/>
      <c r="C716" s="71"/>
      <c r="D716" s="106"/>
    </row>
    <row r="717" spans="1:4" x14ac:dyDescent="0.2">
      <c r="A717" s="71"/>
      <c r="B717" s="71"/>
      <c r="C717" s="71"/>
      <c r="D717" s="106"/>
    </row>
    <row r="718" spans="1:4" x14ac:dyDescent="0.2">
      <c r="A718" s="71"/>
      <c r="B718" s="71"/>
      <c r="C718" s="71"/>
      <c r="D718" s="106"/>
    </row>
    <row r="719" spans="1:4" x14ac:dyDescent="0.2">
      <c r="A719" s="71"/>
      <c r="B719" s="71"/>
      <c r="C719" s="71"/>
      <c r="D719" s="106"/>
    </row>
    <row r="720" spans="1:4" x14ac:dyDescent="0.2">
      <c r="A720" s="71"/>
      <c r="B720" s="71"/>
      <c r="C720" s="71"/>
      <c r="D720" s="106"/>
    </row>
    <row r="721" spans="1:4" x14ac:dyDescent="0.2">
      <c r="A721" s="71"/>
      <c r="B721" s="71"/>
      <c r="C721" s="71"/>
      <c r="D721" s="106"/>
    </row>
    <row r="722" spans="1:4" x14ac:dyDescent="0.2">
      <c r="A722" s="71"/>
      <c r="B722" s="71"/>
      <c r="C722" s="71"/>
      <c r="D722" s="106"/>
    </row>
    <row r="723" spans="1:4" x14ac:dyDescent="0.2">
      <c r="A723" s="71"/>
      <c r="B723" s="71"/>
      <c r="C723" s="71"/>
      <c r="D723" s="106"/>
    </row>
    <row r="724" spans="1:4" x14ac:dyDescent="0.2">
      <c r="A724" s="71"/>
      <c r="B724" s="71"/>
      <c r="C724" s="71"/>
      <c r="D724" s="106"/>
    </row>
    <row r="725" spans="1:4" x14ac:dyDescent="0.2">
      <c r="A725" s="71"/>
      <c r="B725" s="71"/>
      <c r="C725" s="71"/>
      <c r="D725" s="106"/>
    </row>
    <row r="726" spans="1:4" x14ac:dyDescent="0.2">
      <c r="A726" s="71"/>
      <c r="B726" s="71"/>
      <c r="C726" s="71"/>
      <c r="D726" s="106"/>
    </row>
    <row r="727" spans="1:4" x14ac:dyDescent="0.2">
      <c r="A727" s="71"/>
      <c r="B727" s="71"/>
      <c r="C727" s="71"/>
      <c r="D727" s="106"/>
    </row>
    <row r="728" spans="1:4" x14ac:dyDescent="0.2">
      <c r="A728" s="71"/>
      <c r="B728" s="71"/>
      <c r="C728" s="71"/>
      <c r="D728" s="106"/>
    </row>
    <row r="729" spans="1:4" x14ac:dyDescent="0.2">
      <c r="A729" s="71"/>
      <c r="B729" s="71"/>
      <c r="C729" s="71"/>
      <c r="D729" s="106"/>
    </row>
    <row r="730" spans="1:4" x14ac:dyDescent="0.2">
      <c r="A730" s="71"/>
      <c r="B730" s="71"/>
      <c r="C730" s="71"/>
      <c r="D730" s="106"/>
    </row>
    <row r="731" spans="1:4" x14ac:dyDescent="0.2">
      <c r="A731" s="71"/>
      <c r="B731" s="71"/>
      <c r="C731" s="71"/>
      <c r="D731" s="106"/>
    </row>
    <row r="732" spans="1:4" x14ac:dyDescent="0.2">
      <c r="A732" s="71"/>
      <c r="B732" s="71"/>
      <c r="C732" s="71"/>
      <c r="D732" s="106"/>
    </row>
    <row r="733" spans="1:4" x14ac:dyDescent="0.2">
      <c r="A733" s="71"/>
      <c r="B733" s="71"/>
      <c r="C733" s="71"/>
      <c r="D733" s="106"/>
    </row>
    <row r="734" spans="1:4" x14ac:dyDescent="0.2">
      <c r="A734" s="71"/>
      <c r="B734" s="71"/>
      <c r="C734" s="71"/>
      <c r="D734" s="106"/>
    </row>
    <row r="735" spans="1:4" x14ac:dyDescent="0.2">
      <c r="A735" s="71"/>
      <c r="B735" s="71"/>
      <c r="C735" s="71"/>
      <c r="D735" s="106"/>
    </row>
    <row r="736" spans="1:4" x14ac:dyDescent="0.2">
      <c r="A736" s="71"/>
      <c r="B736" s="71"/>
      <c r="C736" s="71"/>
      <c r="D736" s="106"/>
    </row>
    <row r="737" spans="1:4" x14ac:dyDescent="0.2">
      <c r="A737" s="71"/>
      <c r="B737" s="71"/>
      <c r="C737" s="71"/>
      <c r="D737" s="106"/>
    </row>
    <row r="738" spans="1:4" x14ac:dyDescent="0.2">
      <c r="A738" s="71"/>
      <c r="B738" s="71"/>
      <c r="C738" s="71"/>
      <c r="D738" s="106"/>
    </row>
    <row r="739" spans="1:4" x14ac:dyDescent="0.2">
      <c r="A739" s="71"/>
      <c r="B739" s="71"/>
      <c r="C739" s="71"/>
      <c r="D739" s="106"/>
    </row>
    <row r="740" spans="1:4" x14ac:dyDescent="0.2">
      <c r="A740" s="71"/>
      <c r="B740" s="71"/>
      <c r="C740" s="71"/>
      <c r="D740" s="106"/>
    </row>
    <row r="741" spans="1:4" x14ac:dyDescent="0.2">
      <c r="A741" s="71"/>
      <c r="B741" s="71"/>
      <c r="C741" s="71"/>
      <c r="D741" s="106"/>
    </row>
    <row r="742" spans="1:4" x14ac:dyDescent="0.2">
      <c r="A742" s="71"/>
      <c r="B742" s="71"/>
      <c r="C742" s="71"/>
      <c r="D742" s="106"/>
    </row>
    <row r="743" spans="1:4" x14ac:dyDescent="0.2">
      <c r="A743" s="71"/>
      <c r="B743" s="71"/>
      <c r="C743" s="71"/>
      <c r="D743" s="106"/>
    </row>
    <row r="744" spans="1:4" x14ac:dyDescent="0.2">
      <c r="A744" s="71"/>
      <c r="B744" s="71"/>
      <c r="C744" s="71"/>
      <c r="D744" s="106"/>
    </row>
    <row r="745" spans="1:4" x14ac:dyDescent="0.2">
      <c r="A745" s="71"/>
      <c r="B745" s="71"/>
      <c r="C745" s="71"/>
      <c r="D745" s="106"/>
    </row>
    <row r="746" spans="1:4" x14ac:dyDescent="0.2">
      <c r="A746" s="71"/>
      <c r="B746" s="71"/>
      <c r="C746" s="71"/>
      <c r="D746" s="106"/>
    </row>
    <row r="747" spans="1:4" x14ac:dyDescent="0.2">
      <c r="A747" s="71"/>
      <c r="B747" s="71"/>
      <c r="C747" s="71"/>
      <c r="D747" s="106"/>
    </row>
    <row r="748" spans="1:4" x14ac:dyDescent="0.2">
      <c r="A748" s="71"/>
      <c r="B748" s="71"/>
      <c r="C748" s="71"/>
      <c r="D748" s="106"/>
    </row>
    <row r="749" spans="1:4" x14ac:dyDescent="0.2">
      <c r="A749" s="71"/>
      <c r="B749" s="71"/>
      <c r="C749" s="71"/>
      <c r="D749" s="106"/>
    </row>
    <row r="750" spans="1:4" x14ac:dyDescent="0.2">
      <c r="A750" s="71"/>
      <c r="B750" s="71"/>
      <c r="C750" s="71"/>
      <c r="D750" s="106"/>
    </row>
    <row r="751" spans="1:4" x14ac:dyDescent="0.2">
      <c r="A751" s="71"/>
      <c r="B751" s="71"/>
      <c r="C751" s="71"/>
      <c r="D751" s="106"/>
    </row>
    <row r="752" spans="1:4" x14ac:dyDescent="0.2">
      <c r="A752" s="71"/>
      <c r="B752" s="71"/>
      <c r="C752" s="71"/>
      <c r="D752" s="106"/>
    </row>
    <row r="753" spans="1:4" x14ac:dyDescent="0.2">
      <c r="A753" s="71"/>
      <c r="B753" s="71"/>
      <c r="C753" s="71"/>
      <c r="D753" s="106"/>
    </row>
    <row r="754" spans="1:4" x14ac:dyDescent="0.2">
      <c r="A754" s="71"/>
      <c r="B754" s="71"/>
      <c r="C754" s="71"/>
      <c r="D754" s="106"/>
    </row>
    <row r="755" spans="1:4" x14ac:dyDescent="0.2">
      <c r="A755" s="71"/>
      <c r="B755" s="71"/>
      <c r="C755" s="71"/>
      <c r="D755" s="106"/>
    </row>
    <row r="756" spans="1:4" x14ac:dyDescent="0.2">
      <c r="A756" s="71"/>
      <c r="B756" s="71"/>
      <c r="C756" s="71"/>
      <c r="D756" s="106"/>
    </row>
    <row r="757" spans="1:4" x14ac:dyDescent="0.2">
      <c r="A757" s="71"/>
      <c r="B757" s="71"/>
      <c r="C757" s="71"/>
      <c r="D757" s="106"/>
    </row>
    <row r="758" spans="1:4" x14ac:dyDescent="0.2">
      <c r="A758" s="71"/>
      <c r="B758" s="71"/>
      <c r="C758" s="71"/>
      <c r="D758" s="106"/>
    </row>
    <row r="759" spans="1:4" x14ac:dyDescent="0.2">
      <c r="A759" s="71"/>
      <c r="B759" s="71"/>
      <c r="C759" s="71"/>
      <c r="D759" s="106"/>
    </row>
    <row r="760" spans="1:4" x14ac:dyDescent="0.2">
      <c r="A760" s="71"/>
      <c r="B760" s="71"/>
      <c r="C760" s="71"/>
      <c r="D760" s="106"/>
    </row>
    <row r="761" spans="1:4" x14ac:dyDescent="0.2">
      <c r="A761" s="71"/>
      <c r="B761" s="71"/>
      <c r="C761" s="71"/>
      <c r="D761" s="106"/>
    </row>
    <row r="762" spans="1:4" x14ac:dyDescent="0.2">
      <c r="A762" s="71"/>
      <c r="B762" s="71"/>
      <c r="C762" s="71"/>
      <c r="D762" s="106"/>
    </row>
    <row r="763" spans="1:4" x14ac:dyDescent="0.2">
      <c r="A763" s="71"/>
      <c r="B763" s="71"/>
      <c r="C763" s="71"/>
      <c r="D763" s="106"/>
    </row>
    <row r="764" spans="1:4" x14ac:dyDescent="0.2">
      <c r="A764" s="71"/>
      <c r="B764" s="71"/>
      <c r="C764" s="71"/>
      <c r="D764" s="106"/>
    </row>
    <row r="765" spans="1:4" x14ac:dyDescent="0.2">
      <c r="A765" s="71"/>
      <c r="B765" s="71"/>
      <c r="C765" s="71"/>
      <c r="D765" s="106"/>
    </row>
    <row r="766" spans="1:4" x14ac:dyDescent="0.2">
      <c r="A766" s="71"/>
      <c r="B766" s="71"/>
      <c r="C766" s="71"/>
      <c r="D766" s="106"/>
    </row>
    <row r="767" spans="1:4" x14ac:dyDescent="0.2">
      <c r="A767" s="71"/>
      <c r="B767" s="71"/>
      <c r="C767" s="71"/>
      <c r="D767" s="106"/>
    </row>
    <row r="768" spans="1:4" x14ac:dyDescent="0.2">
      <c r="A768" s="71"/>
      <c r="B768" s="71"/>
      <c r="C768" s="71"/>
      <c r="D768" s="106"/>
    </row>
    <row r="769" spans="1:4" x14ac:dyDescent="0.2">
      <c r="A769" s="71"/>
      <c r="B769" s="71"/>
      <c r="C769" s="71"/>
      <c r="D769" s="106"/>
    </row>
    <row r="770" spans="1:4" x14ac:dyDescent="0.2">
      <c r="A770" s="71"/>
      <c r="B770" s="71"/>
      <c r="C770" s="71"/>
      <c r="D770" s="106"/>
    </row>
    <row r="771" spans="1:4" x14ac:dyDescent="0.2">
      <c r="A771" s="71"/>
      <c r="B771" s="71"/>
      <c r="C771" s="71"/>
      <c r="D771" s="106"/>
    </row>
    <row r="772" spans="1:4" x14ac:dyDescent="0.2">
      <c r="A772" s="71"/>
      <c r="B772" s="71"/>
      <c r="C772" s="71"/>
      <c r="D772" s="106"/>
    </row>
    <row r="773" spans="1:4" x14ac:dyDescent="0.2">
      <c r="A773" s="71"/>
      <c r="B773" s="71"/>
      <c r="C773" s="71"/>
      <c r="D773" s="106"/>
    </row>
    <row r="774" spans="1:4" x14ac:dyDescent="0.2">
      <c r="A774" s="71"/>
      <c r="B774" s="71"/>
      <c r="C774" s="71"/>
      <c r="D774" s="106"/>
    </row>
    <row r="775" spans="1:4" x14ac:dyDescent="0.2">
      <c r="A775" s="71"/>
      <c r="B775" s="71"/>
      <c r="C775" s="71"/>
      <c r="D775" s="106"/>
    </row>
    <row r="776" spans="1:4" x14ac:dyDescent="0.2">
      <c r="A776" s="71"/>
      <c r="B776" s="71"/>
      <c r="C776" s="71"/>
      <c r="D776" s="106"/>
    </row>
    <row r="777" spans="1:4" x14ac:dyDescent="0.2">
      <c r="A777" s="71"/>
      <c r="B777" s="71"/>
      <c r="C777" s="71"/>
      <c r="D777" s="106"/>
    </row>
    <row r="778" spans="1:4" x14ac:dyDescent="0.2">
      <c r="A778" s="71"/>
      <c r="B778" s="71"/>
      <c r="C778" s="71"/>
      <c r="D778" s="106"/>
    </row>
    <row r="779" spans="1:4" x14ac:dyDescent="0.2">
      <c r="A779" s="71"/>
      <c r="B779" s="71"/>
      <c r="C779" s="71"/>
      <c r="D779" s="106"/>
    </row>
    <row r="780" spans="1:4" x14ac:dyDescent="0.2">
      <c r="A780" s="71"/>
      <c r="B780" s="71"/>
      <c r="C780" s="71"/>
      <c r="D780" s="106"/>
    </row>
    <row r="781" spans="1:4" x14ac:dyDescent="0.2">
      <c r="A781" s="71"/>
      <c r="B781" s="71"/>
      <c r="C781" s="71"/>
      <c r="D781" s="106"/>
    </row>
    <row r="782" spans="1:4" x14ac:dyDescent="0.2">
      <c r="A782" s="71"/>
      <c r="B782" s="71"/>
      <c r="C782" s="71"/>
      <c r="D782" s="106"/>
    </row>
    <row r="783" spans="1:4" x14ac:dyDescent="0.2">
      <c r="A783" s="71"/>
      <c r="B783" s="71"/>
      <c r="C783" s="71"/>
      <c r="D783" s="106"/>
    </row>
    <row r="784" spans="1:4" x14ac:dyDescent="0.2">
      <c r="A784" s="71"/>
      <c r="B784" s="71"/>
      <c r="C784" s="71"/>
      <c r="D784" s="106"/>
    </row>
    <row r="785" spans="1:4" x14ac:dyDescent="0.2">
      <c r="A785" s="71"/>
      <c r="B785" s="71"/>
      <c r="C785" s="71"/>
      <c r="D785" s="106"/>
    </row>
    <row r="786" spans="1:4" x14ac:dyDescent="0.2">
      <c r="A786" s="71"/>
      <c r="B786" s="71"/>
      <c r="C786" s="71"/>
      <c r="D786" s="106"/>
    </row>
    <row r="787" spans="1:4" x14ac:dyDescent="0.2">
      <c r="A787" s="71"/>
      <c r="B787" s="71"/>
      <c r="C787" s="71"/>
      <c r="D787" s="106"/>
    </row>
    <row r="788" spans="1:4" x14ac:dyDescent="0.2">
      <c r="A788" s="71"/>
      <c r="B788" s="71"/>
      <c r="C788" s="71"/>
      <c r="D788" s="106"/>
    </row>
    <row r="789" spans="1:4" x14ac:dyDescent="0.2">
      <c r="A789" s="71"/>
      <c r="B789" s="71"/>
      <c r="C789" s="71"/>
      <c r="D789" s="106"/>
    </row>
    <row r="790" spans="1:4" x14ac:dyDescent="0.2">
      <c r="A790" s="71"/>
      <c r="B790" s="71"/>
      <c r="C790" s="71"/>
      <c r="D790" s="106"/>
    </row>
    <row r="791" spans="1:4" x14ac:dyDescent="0.2">
      <c r="A791" s="71"/>
      <c r="B791" s="71"/>
      <c r="C791" s="71"/>
      <c r="D791" s="106"/>
    </row>
    <row r="792" spans="1:4" x14ac:dyDescent="0.2">
      <c r="A792" s="71"/>
      <c r="B792" s="71"/>
      <c r="C792" s="71"/>
      <c r="D792" s="106"/>
    </row>
    <row r="793" spans="1:4" x14ac:dyDescent="0.2">
      <c r="A793" s="71"/>
      <c r="B793" s="71"/>
      <c r="C793" s="71"/>
      <c r="D793" s="106"/>
    </row>
    <row r="794" spans="1:4" x14ac:dyDescent="0.2">
      <c r="A794" s="71"/>
      <c r="B794" s="71"/>
      <c r="C794" s="71"/>
      <c r="D794" s="106"/>
    </row>
    <row r="795" spans="1:4" x14ac:dyDescent="0.2">
      <c r="A795" s="71"/>
      <c r="B795" s="71"/>
      <c r="C795" s="71"/>
      <c r="D795" s="106"/>
    </row>
    <row r="796" spans="1:4" x14ac:dyDescent="0.2">
      <c r="A796" s="71"/>
      <c r="B796" s="71"/>
      <c r="C796" s="71"/>
      <c r="D796" s="106"/>
    </row>
    <row r="797" spans="1:4" x14ac:dyDescent="0.2">
      <c r="A797" s="71"/>
      <c r="B797" s="71"/>
      <c r="C797" s="71"/>
      <c r="D797" s="106"/>
    </row>
    <row r="798" spans="1:4" x14ac:dyDescent="0.2">
      <c r="A798" s="71"/>
      <c r="B798" s="71"/>
      <c r="C798" s="71"/>
      <c r="D798" s="106"/>
    </row>
    <row r="799" spans="1:4" x14ac:dyDescent="0.2">
      <c r="A799" s="71"/>
      <c r="B799" s="71"/>
      <c r="C799" s="71"/>
      <c r="D799" s="106"/>
    </row>
    <row r="800" spans="1:4" x14ac:dyDescent="0.2">
      <c r="A800" s="71"/>
      <c r="B800" s="71"/>
      <c r="C800" s="71"/>
      <c r="D800" s="106"/>
    </row>
    <row r="801" spans="1:4" x14ac:dyDescent="0.2">
      <c r="A801" s="71"/>
      <c r="B801" s="71"/>
      <c r="C801" s="71"/>
      <c r="D801" s="106"/>
    </row>
    <row r="802" spans="1:4" x14ac:dyDescent="0.2">
      <c r="A802" s="71"/>
      <c r="B802" s="71"/>
      <c r="C802" s="71"/>
      <c r="D802" s="106"/>
    </row>
    <row r="803" spans="1:4" x14ac:dyDescent="0.2">
      <c r="A803" s="71"/>
      <c r="B803" s="71"/>
      <c r="C803" s="71"/>
      <c r="D803" s="106"/>
    </row>
    <row r="804" spans="1:4" x14ac:dyDescent="0.2">
      <c r="A804" s="71"/>
      <c r="B804" s="71"/>
      <c r="C804" s="71"/>
      <c r="D804" s="106"/>
    </row>
    <row r="805" spans="1:4" x14ac:dyDescent="0.2">
      <c r="A805" s="71"/>
      <c r="B805" s="71"/>
      <c r="C805" s="71"/>
      <c r="D805" s="106"/>
    </row>
    <row r="806" spans="1:4" x14ac:dyDescent="0.2">
      <c r="A806" s="71"/>
      <c r="B806" s="71"/>
      <c r="C806" s="71"/>
      <c r="D806" s="106"/>
    </row>
    <row r="807" spans="1:4" x14ac:dyDescent="0.2">
      <c r="A807" s="71"/>
      <c r="B807" s="71"/>
      <c r="C807" s="71"/>
      <c r="D807" s="106"/>
    </row>
    <row r="808" spans="1:4" x14ac:dyDescent="0.2">
      <c r="A808" s="71"/>
      <c r="B808" s="71"/>
      <c r="C808" s="71"/>
      <c r="D808" s="106"/>
    </row>
    <row r="809" spans="1:4" x14ac:dyDescent="0.2">
      <c r="A809" s="71"/>
      <c r="B809" s="71"/>
      <c r="C809" s="71"/>
      <c r="D809" s="106"/>
    </row>
    <row r="810" spans="1:4" x14ac:dyDescent="0.2">
      <c r="A810" s="71"/>
      <c r="B810" s="71"/>
      <c r="C810" s="71"/>
      <c r="D810" s="106"/>
    </row>
    <row r="811" spans="1:4" x14ac:dyDescent="0.2">
      <c r="A811" s="71"/>
      <c r="B811" s="71"/>
      <c r="C811" s="71"/>
      <c r="D811" s="106"/>
    </row>
    <row r="812" spans="1:4" x14ac:dyDescent="0.2">
      <c r="A812" s="71"/>
      <c r="B812" s="71"/>
      <c r="C812" s="71"/>
      <c r="D812" s="106"/>
    </row>
    <row r="813" spans="1:4" x14ac:dyDescent="0.2">
      <c r="A813" s="71"/>
      <c r="B813" s="71"/>
      <c r="C813" s="71"/>
      <c r="D813" s="106"/>
    </row>
    <row r="814" spans="1:4" x14ac:dyDescent="0.2">
      <c r="A814" s="71"/>
      <c r="B814" s="71"/>
      <c r="C814" s="71"/>
      <c r="D814" s="106"/>
    </row>
    <row r="815" spans="1:4" x14ac:dyDescent="0.2">
      <c r="A815" s="71"/>
      <c r="B815" s="71"/>
      <c r="C815" s="71"/>
      <c r="D815" s="106"/>
    </row>
    <row r="816" spans="1:4" x14ac:dyDescent="0.2">
      <c r="A816" s="71"/>
      <c r="B816" s="71"/>
      <c r="C816" s="71"/>
      <c r="D816" s="106"/>
    </row>
    <row r="817" spans="1:4" x14ac:dyDescent="0.2">
      <c r="A817" s="71"/>
      <c r="B817" s="71"/>
      <c r="C817" s="71"/>
      <c r="D817" s="106"/>
    </row>
    <row r="818" spans="1:4" x14ac:dyDescent="0.2">
      <c r="A818" s="71"/>
      <c r="B818" s="71"/>
      <c r="C818" s="71"/>
      <c r="D818" s="106"/>
    </row>
    <row r="819" spans="1:4" x14ac:dyDescent="0.2">
      <c r="A819" s="71"/>
      <c r="B819" s="71"/>
      <c r="C819" s="71"/>
      <c r="D819" s="106"/>
    </row>
    <row r="820" spans="1:4" x14ac:dyDescent="0.2">
      <c r="A820" s="71"/>
      <c r="B820" s="71"/>
      <c r="C820" s="71"/>
      <c r="D820" s="106"/>
    </row>
    <row r="821" spans="1:4" x14ac:dyDescent="0.2">
      <c r="A821" s="71"/>
      <c r="B821" s="71"/>
      <c r="C821" s="71"/>
      <c r="D821" s="106"/>
    </row>
    <row r="822" spans="1:4" x14ac:dyDescent="0.2">
      <c r="A822" s="71"/>
      <c r="B822" s="71"/>
      <c r="C822" s="71"/>
      <c r="D822" s="106"/>
    </row>
    <row r="823" spans="1:4" x14ac:dyDescent="0.2">
      <c r="A823" s="71"/>
      <c r="B823" s="71"/>
      <c r="C823" s="71"/>
      <c r="D823" s="106"/>
    </row>
    <row r="824" spans="1:4" x14ac:dyDescent="0.2">
      <c r="A824" s="71"/>
      <c r="B824" s="71"/>
      <c r="C824" s="71"/>
      <c r="D824" s="106"/>
    </row>
    <row r="825" spans="1:4" x14ac:dyDescent="0.2">
      <c r="A825" s="71"/>
      <c r="B825" s="71"/>
      <c r="C825" s="71"/>
      <c r="D825" s="106"/>
    </row>
    <row r="826" spans="1:4" x14ac:dyDescent="0.2">
      <c r="A826" s="71"/>
      <c r="B826" s="71"/>
      <c r="C826" s="71"/>
      <c r="D826" s="106"/>
    </row>
    <row r="827" spans="1:4" x14ac:dyDescent="0.2">
      <c r="A827" s="71"/>
      <c r="B827" s="71"/>
      <c r="C827" s="71"/>
      <c r="D827" s="106"/>
    </row>
    <row r="828" spans="1:4" x14ac:dyDescent="0.2">
      <c r="A828" s="71"/>
      <c r="B828" s="71"/>
      <c r="C828" s="71"/>
      <c r="D828" s="106"/>
    </row>
    <row r="829" spans="1:4" x14ac:dyDescent="0.2">
      <c r="A829" s="71"/>
      <c r="B829" s="71"/>
      <c r="C829" s="71"/>
      <c r="D829" s="106"/>
    </row>
    <row r="830" spans="1:4" x14ac:dyDescent="0.2">
      <c r="A830" s="71"/>
      <c r="B830" s="71"/>
      <c r="C830" s="71"/>
      <c r="D830" s="106"/>
    </row>
    <row r="831" spans="1:4" x14ac:dyDescent="0.2">
      <c r="A831" s="71"/>
      <c r="B831" s="71"/>
      <c r="C831" s="71"/>
      <c r="D831" s="106"/>
    </row>
    <row r="832" spans="1:4" x14ac:dyDescent="0.2">
      <c r="A832" s="71"/>
      <c r="B832" s="71"/>
      <c r="C832" s="71"/>
      <c r="D832" s="106"/>
    </row>
    <row r="833" spans="1:4" x14ac:dyDescent="0.2">
      <c r="A833" s="71"/>
      <c r="B833" s="71"/>
      <c r="C833" s="71"/>
      <c r="D833" s="106"/>
    </row>
    <row r="834" spans="1:4" x14ac:dyDescent="0.2">
      <c r="A834" s="71"/>
      <c r="B834" s="71"/>
      <c r="C834" s="71"/>
      <c r="D834" s="106"/>
    </row>
    <row r="835" spans="1:4" x14ac:dyDescent="0.2">
      <c r="A835" s="71"/>
      <c r="B835" s="71"/>
      <c r="C835" s="71"/>
      <c r="D835" s="106"/>
    </row>
    <row r="836" spans="1:4" x14ac:dyDescent="0.2">
      <c r="A836" s="71"/>
      <c r="B836" s="71"/>
      <c r="C836" s="71"/>
      <c r="D836" s="106"/>
    </row>
    <row r="837" spans="1:4" x14ac:dyDescent="0.2">
      <c r="A837" s="71"/>
      <c r="B837" s="71"/>
      <c r="C837" s="71"/>
      <c r="D837" s="106"/>
    </row>
    <row r="838" spans="1:4" x14ac:dyDescent="0.2">
      <c r="A838" s="71"/>
      <c r="B838" s="71"/>
      <c r="C838" s="71"/>
      <c r="D838" s="106"/>
    </row>
    <row r="839" spans="1:4" x14ac:dyDescent="0.2">
      <c r="A839" s="71"/>
      <c r="B839" s="71"/>
      <c r="C839" s="71"/>
      <c r="D839" s="106"/>
    </row>
    <row r="840" spans="1:4" x14ac:dyDescent="0.2">
      <c r="A840" s="71"/>
      <c r="B840" s="71"/>
      <c r="C840" s="71"/>
      <c r="D840" s="106"/>
    </row>
    <row r="841" spans="1:4" x14ac:dyDescent="0.2">
      <c r="A841" s="71"/>
      <c r="B841" s="71"/>
      <c r="C841" s="71"/>
      <c r="D841" s="106"/>
    </row>
    <row r="842" spans="1:4" x14ac:dyDescent="0.2">
      <c r="A842" s="71"/>
      <c r="B842" s="71"/>
      <c r="C842" s="71"/>
      <c r="D842" s="106"/>
    </row>
    <row r="843" spans="1:4" x14ac:dyDescent="0.2">
      <c r="A843" s="71"/>
      <c r="B843" s="71"/>
      <c r="C843" s="71"/>
      <c r="D843" s="106"/>
    </row>
    <row r="844" spans="1:4" x14ac:dyDescent="0.2">
      <c r="A844" s="71"/>
      <c r="B844" s="71"/>
      <c r="C844" s="71"/>
      <c r="D844" s="106"/>
    </row>
    <row r="845" spans="1:4" x14ac:dyDescent="0.2">
      <c r="A845" s="71"/>
      <c r="B845" s="71"/>
      <c r="C845" s="71"/>
      <c r="D845" s="106"/>
    </row>
    <row r="846" spans="1:4" x14ac:dyDescent="0.2">
      <c r="A846" s="71"/>
      <c r="B846" s="71"/>
      <c r="C846" s="71"/>
      <c r="D846" s="106"/>
    </row>
    <row r="847" spans="1:4" x14ac:dyDescent="0.2">
      <c r="A847" s="71"/>
      <c r="B847" s="71"/>
      <c r="C847" s="71"/>
      <c r="D847" s="106"/>
    </row>
    <row r="848" spans="1:4" x14ac:dyDescent="0.2">
      <c r="A848" s="71"/>
      <c r="B848" s="71"/>
      <c r="C848" s="71"/>
      <c r="D848" s="106"/>
    </row>
    <row r="849" spans="1:4" x14ac:dyDescent="0.2">
      <c r="A849" s="71"/>
      <c r="B849" s="71"/>
      <c r="C849" s="71"/>
      <c r="D849" s="106"/>
    </row>
    <row r="850" spans="1:4" x14ac:dyDescent="0.2">
      <c r="A850" s="71"/>
      <c r="B850" s="71"/>
      <c r="C850" s="71"/>
      <c r="D850" s="106"/>
    </row>
    <row r="851" spans="1:4" x14ac:dyDescent="0.2">
      <c r="A851" s="71"/>
      <c r="B851" s="71"/>
      <c r="C851" s="71"/>
      <c r="D851" s="106"/>
    </row>
    <row r="852" spans="1:4" x14ac:dyDescent="0.2">
      <c r="A852" s="71"/>
      <c r="B852" s="71"/>
      <c r="C852" s="71"/>
      <c r="D852" s="106"/>
    </row>
    <row r="853" spans="1:4" x14ac:dyDescent="0.2">
      <c r="A853" s="71"/>
      <c r="B853" s="71"/>
      <c r="C853" s="71"/>
      <c r="D853" s="106"/>
    </row>
    <row r="854" spans="1:4" x14ac:dyDescent="0.2">
      <c r="A854" s="71"/>
      <c r="B854" s="71"/>
      <c r="C854" s="71"/>
      <c r="D854" s="106"/>
    </row>
    <row r="855" spans="1:4" x14ac:dyDescent="0.2">
      <c r="A855" s="71"/>
      <c r="B855" s="71"/>
      <c r="C855" s="71"/>
      <c r="D855" s="106"/>
    </row>
    <row r="856" spans="1:4" x14ac:dyDescent="0.2">
      <c r="A856" s="71"/>
      <c r="B856" s="71"/>
      <c r="C856" s="71"/>
      <c r="D856" s="106"/>
    </row>
    <row r="857" spans="1:4" x14ac:dyDescent="0.2">
      <c r="A857" s="71"/>
      <c r="B857" s="71"/>
      <c r="C857" s="71"/>
      <c r="D857" s="106"/>
    </row>
    <row r="858" spans="1:4" x14ac:dyDescent="0.2">
      <c r="A858" s="71"/>
      <c r="B858" s="71"/>
      <c r="C858" s="71"/>
      <c r="D858" s="106"/>
    </row>
    <row r="859" spans="1:4" x14ac:dyDescent="0.2">
      <c r="A859" s="71"/>
      <c r="B859" s="71"/>
      <c r="C859" s="71"/>
      <c r="D859" s="106"/>
    </row>
    <row r="860" spans="1:4" x14ac:dyDescent="0.2">
      <c r="A860" s="71"/>
      <c r="B860" s="71"/>
      <c r="C860" s="71"/>
      <c r="D860" s="106"/>
    </row>
    <row r="861" spans="1:4" x14ac:dyDescent="0.2">
      <c r="A861" s="71"/>
      <c r="B861" s="71"/>
      <c r="C861" s="71"/>
      <c r="D861" s="106"/>
    </row>
    <row r="862" spans="1:4" x14ac:dyDescent="0.2">
      <c r="A862" s="71"/>
      <c r="B862" s="71"/>
      <c r="C862" s="71"/>
      <c r="D862" s="106"/>
    </row>
    <row r="863" spans="1:4" x14ac:dyDescent="0.2">
      <c r="A863" s="71"/>
      <c r="B863" s="71"/>
      <c r="C863" s="71"/>
      <c r="D863" s="106"/>
    </row>
    <row r="864" spans="1:4" x14ac:dyDescent="0.2">
      <c r="A864" s="71"/>
      <c r="B864" s="71"/>
      <c r="C864" s="71"/>
      <c r="D864" s="106"/>
    </row>
    <row r="865" spans="1:4" x14ac:dyDescent="0.2">
      <c r="A865" s="71"/>
      <c r="B865" s="71"/>
      <c r="C865" s="71"/>
      <c r="D865" s="106"/>
    </row>
    <row r="866" spans="1:4" x14ac:dyDescent="0.2">
      <c r="A866" s="71"/>
      <c r="B866" s="71"/>
      <c r="C866" s="71"/>
      <c r="D866" s="106"/>
    </row>
    <row r="867" spans="1:4" x14ac:dyDescent="0.2">
      <c r="A867" s="71"/>
      <c r="B867" s="71"/>
      <c r="C867" s="71"/>
      <c r="D867" s="106"/>
    </row>
    <row r="868" spans="1:4" x14ac:dyDescent="0.2">
      <c r="A868" s="71"/>
      <c r="B868" s="71"/>
      <c r="C868" s="71"/>
      <c r="D868" s="106"/>
    </row>
    <row r="869" spans="1:4" x14ac:dyDescent="0.2">
      <c r="A869" s="71"/>
      <c r="B869" s="71"/>
      <c r="C869" s="71"/>
      <c r="D869" s="106"/>
    </row>
    <row r="870" spans="1:4" x14ac:dyDescent="0.2">
      <c r="A870" s="71"/>
      <c r="B870" s="71"/>
      <c r="C870" s="71"/>
      <c r="D870" s="106"/>
    </row>
    <row r="871" spans="1:4" x14ac:dyDescent="0.2">
      <c r="A871" s="71"/>
      <c r="B871" s="71"/>
      <c r="C871" s="71"/>
      <c r="D871" s="106"/>
    </row>
    <row r="872" spans="1:4" x14ac:dyDescent="0.2">
      <c r="A872" s="71"/>
      <c r="B872" s="71"/>
      <c r="C872" s="71"/>
      <c r="D872" s="106"/>
    </row>
    <row r="873" spans="1:4" x14ac:dyDescent="0.2">
      <c r="A873" s="71"/>
      <c r="B873" s="71"/>
      <c r="C873" s="71"/>
      <c r="D873" s="106"/>
    </row>
    <row r="874" spans="1:4" x14ac:dyDescent="0.2">
      <c r="A874" s="71"/>
      <c r="B874" s="71"/>
      <c r="C874" s="71"/>
      <c r="D874" s="106"/>
    </row>
    <row r="875" spans="1:4" x14ac:dyDescent="0.2">
      <c r="A875" s="71"/>
      <c r="B875" s="71"/>
      <c r="C875" s="71"/>
      <c r="D875" s="106"/>
    </row>
    <row r="876" spans="1:4" x14ac:dyDescent="0.2">
      <c r="A876" s="71"/>
      <c r="B876" s="71"/>
      <c r="C876" s="71"/>
      <c r="D876" s="106"/>
    </row>
    <row r="877" spans="1:4" x14ac:dyDescent="0.2">
      <c r="A877" s="71"/>
      <c r="B877" s="71"/>
      <c r="C877" s="71"/>
      <c r="D877" s="106"/>
    </row>
    <row r="878" spans="1:4" x14ac:dyDescent="0.2">
      <c r="A878" s="71"/>
      <c r="B878" s="71"/>
      <c r="C878" s="71"/>
      <c r="D878" s="106"/>
    </row>
    <row r="879" spans="1:4" x14ac:dyDescent="0.2">
      <c r="A879" s="71"/>
      <c r="B879" s="71"/>
      <c r="C879" s="71"/>
      <c r="D879" s="106"/>
    </row>
    <row r="880" spans="1:4" x14ac:dyDescent="0.2">
      <c r="A880" s="71"/>
      <c r="B880" s="71"/>
      <c r="C880" s="71"/>
      <c r="D880" s="106"/>
    </row>
    <row r="881" spans="1:4" x14ac:dyDescent="0.2">
      <c r="A881" s="71"/>
      <c r="B881" s="71"/>
      <c r="C881" s="71"/>
      <c r="D881" s="106"/>
    </row>
    <row r="882" spans="1:4" x14ac:dyDescent="0.2">
      <c r="A882" s="71"/>
      <c r="B882" s="71"/>
      <c r="C882" s="71"/>
      <c r="D882" s="106"/>
    </row>
    <row r="883" spans="1:4" x14ac:dyDescent="0.2">
      <c r="A883" s="71"/>
      <c r="B883" s="71"/>
      <c r="C883" s="71"/>
      <c r="D883" s="106"/>
    </row>
    <row r="884" spans="1:4" x14ac:dyDescent="0.2">
      <c r="A884" s="71"/>
      <c r="B884" s="71"/>
      <c r="C884" s="71"/>
      <c r="D884" s="106"/>
    </row>
    <row r="885" spans="1:4" x14ac:dyDescent="0.2">
      <c r="A885" s="71"/>
      <c r="B885" s="71"/>
      <c r="C885" s="71"/>
      <c r="D885" s="106"/>
    </row>
    <row r="886" spans="1:4" x14ac:dyDescent="0.2">
      <c r="A886" s="71"/>
      <c r="B886" s="71"/>
      <c r="C886" s="71"/>
      <c r="D886" s="106"/>
    </row>
    <row r="887" spans="1:4" x14ac:dyDescent="0.2">
      <c r="A887" s="71"/>
      <c r="B887" s="71"/>
      <c r="C887" s="71"/>
      <c r="D887" s="106"/>
    </row>
    <row r="888" spans="1:4" x14ac:dyDescent="0.2">
      <c r="A888" s="71"/>
      <c r="B888" s="71"/>
      <c r="C888" s="71"/>
      <c r="D888" s="106"/>
    </row>
    <row r="889" spans="1:4" x14ac:dyDescent="0.2">
      <c r="A889" s="71"/>
      <c r="B889" s="71"/>
      <c r="C889" s="71"/>
      <c r="D889" s="106"/>
    </row>
    <row r="890" spans="1:4" x14ac:dyDescent="0.2">
      <c r="A890" s="71"/>
      <c r="B890" s="71"/>
      <c r="C890" s="71"/>
      <c r="D890" s="106"/>
    </row>
    <row r="891" spans="1:4" x14ac:dyDescent="0.2">
      <c r="A891" s="71"/>
      <c r="B891" s="71"/>
      <c r="C891" s="71"/>
      <c r="D891" s="106"/>
    </row>
    <row r="892" spans="1:4" x14ac:dyDescent="0.2">
      <c r="A892" s="71"/>
      <c r="B892" s="71"/>
      <c r="C892" s="71"/>
      <c r="D892" s="106"/>
    </row>
    <row r="893" spans="1:4" x14ac:dyDescent="0.2">
      <c r="A893" s="71"/>
      <c r="B893" s="71"/>
      <c r="C893" s="71"/>
      <c r="D893" s="106"/>
    </row>
    <row r="894" spans="1:4" x14ac:dyDescent="0.2">
      <c r="A894" s="71"/>
      <c r="B894" s="71"/>
      <c r="C894" s="71"/>
      <c r="D894" s="106"/>
    </row>
    <row r="895" spans="1:4" x14ac:dyDescent="0.2">
      <c r="A895" s="71"/>
      <c r="B895" s="71"/>
      <c r="C895" s="71"/>
      <c r="D895" s="106"/>
    </row>
    <row r="896" spans="1:4" x14ac:dyDescent="0.2">
      <c r="A896" s="71"/>
      <c r="B896" s="71"/>
      <c r="C896" s="71"/>
      <c r="D896" s="106"/>
    </row>
    <row r="897" spans="1:4" x14ac:dyDescent="0.2">
      <c r="A897" s="71"/>
      <c r="B897" s="71"/>
      <c r="C897" s="71"/>
      <c r="D897" s="106"/>
    </row>
    <row r="898" spans="1:4" x14ac:dyDescent="0.2">
      <c r="A898" s="71"/>
      <c r="B898" s="71"/>
      <c r="C898" s="71"/>
      <c r="D898" s="106"/>
    </row>
    <row r="899" spans="1:4" x14ac:dyDescent="0.2">
      <c r="A899" s="71"/>
      <c r="B899" s="71"/>
      <c r="C899" s="71"/>
      <c r="D899" s="106"/>
    </row>
    <row r="900" spans="1:4" x14ac:dyDescent="0.2">
      <c r="A900" s="71"/>
      <c r="B900" s="71"/>
      <c r="C900" s="71"/>
      <c r="D900" s="106"/>
    </row>
    <row r="901" spans="1:4" x14ac:dyDescent="0.2">
      <c r="A901" s="71"/>
      <c r="B901" s="71"/>
      <c r="C901" s="71"/>
      <c r="D901" s="106"/>
    </row>
    <row r="902" spans="1:4" x14ac:dyDescent="0.2">
      <c r="A902" s="71"/>
      <c r="B902" s="71"/>
      <c r="C902" s="71"/>
      <c r="D902" s="106"/>
    </row>
    <row r="903" spans="1:4" x14ac:dyDescent="0.2">
      <c r="A903" s="71"/>
      <c r="B903" s="71"/>
      <c r="C903" s="71"/>
      <c r="D903" s="106"/>
    </row>
    <row r="904" spans="1:4" x14ac:dyDescent="0.2">
      <c r="A904" s="71"/>
      <c r="B904" s="71"/>
      <c r="C904" s="71"/>
      <c r="D904" s="106"/>
    </row>
    <row r="905" spans="1:4" x14ac:dyDescent="0.2">
      <c r="A905" s="71"/>
      <c r="B905" s="71"/>
      <c r="C905" s="71"/>
      <c r="D905" s="106"/>
    </row>
    <row r="906" spans="1:4" x14ac:dyDescent="0.2">
      <c r="A906" s="71"/>
      <c r="B906" s="71"/>
      <c r="C906" s="71"/>
      <c r="D906" s="106"/>
    </row>
    <row r="907" spans="1:4" x14ac:dyDescent="0.2">
      <c r="A907" s="71"/>
      <c r="B907" s="71"/>
      <c r="C907" s="71"/>
      <c r="D907" s="106"/>
    </row>
    <row r="908" spans="1:4" x14ac:dyDescent="0.2">
      <c r="A908" s="71"/>
      <c r="B908" s="71"/>
      <c r="C908" s="71"/>
      <c r="D908" s="106"/>
    </row>
    <row r="909" spans="1:4" x14ac:dyDescent="0.2">
      <c r="A909" s="71"/>
      <c r="B909" s="71"/>
      <c r="C909" s="71"/>
      <c r="D909" s="106"/>
    </row>
    <row r="910" spans="1:4" x14ac:dyDescent="0.2">
      <c r="A910" s="71"/>
      <c r="B910" s="71"/>
      <c r="C910" s="71"/>
      <c r="D910" s="106"/>
    </row>
    <row r="911" spans="1:4" x14ac:dyDescent="0.2">
      <c r="A911" s="71"/>
      <c r="B911" s="71"/>
      <c r="C911" s="71"/>
      <c r="D911" s="106"/>
    </row>
    <row r="912" spans="1:4" x14ac:dyDescent="0.2">
      <c r="A912" s="71"/>
      <c r="B912" s="71"/>
      <c r="C912" s="71"/>
      <c r="D912" s="106"/>
    </row>
    <row r="913" spans="1:4" x14ac:dyDescent="0.2">
      <c r="A913" s="71"/>
      <c r="B913" s="71"/>
      <c r="C913" s="71"/>
      <c r="D913" s="106"/>
    </row>
    <row r="914" spans="1:4" x14ac:dyDescent="0.2">
      <c r="A914" s="71"/>
      <c r="B914" s="71"/>
      <c r="C914" s="71"/>
      <c r="D914" s="106"/>
    </row>
    <row r="915" spans="1:4" x14ac:dyDescent="0.2">
      <c r="A915" s="71"/>
      <c r="B915" s="71"/>
      <c r="C915" s="71"/>
      <c r="D915" s="106"/>
    </row>
    <row r="916" spans="1:4" x14ac:dyDescent="0.2">
      <c r="A916" s="71"/>
      <c r="B916" s="71"/>
      <c r="C916" s="71"/>
      <c r="D916" s="106"/>
    </row>
    <row r="917" spans="1:4" x14ac:dyDescent="0.2">
      <c r="A917" s="71"/>
      <c r="B917" s="71"/>
      <c r="C917" s="71"/>
      <c r="D917" s="106"/>
    </row>
    <row r="918" spans="1:4" x14ac:dyDescent="0.2">
      <c r="A918" s="71"/>
      <c r="B918" s="71"/>
      <c r="C918" s="71"/>
      <c r="D918" s="106"/>
    </row>
    <row r="919" spans="1:4" x14ac:dyDescent="0.2">
      <c r="A919" s="71"/>
      <c r="B919" s="71"/>
      <c r="C919" s="71"/>
      <c r="D919" s="106"/>
    </row>
    <row r="920" spans="1:4" x14ac:dyDescent="0.2">
      <c r="A920" s="71"/>
      <c r="B920" s="71"/>
      <c r="C920" s="71"/>
      <c r="D920" s="106"/>
    </row>
    <row r="921" spans="1:4" x14ac:dyDescent="0.2">
      <c r="A921" s="71"/>
      <c r="B921" s="71"/>
      <c r="C921" s="71"/>
      <c r="D921" s="106"/>
    </row>
    <row r="922" spans="1:4" x14ac:dyDescent="0.2">
      <c r="A922" s="71"/>
      <c r="B922" s="71"/>
      <c r="C922" s="71"/>
      <c r="D922" s="106"/>
    </row>
    <row r="923" spans="1:4" x14ac:dyDescent="0.2">
      <c r="A923" s="71"/>
      <c r="B923" s="71"/>
      <c r="C923" s="71"/>
      <c r="D923" s="106"/>
    </row>
    <row r="924" spans="1:4" x14ac:dyDescent="0.2">
      <c r="A924" s="71"/>
      <c r="B924" s="71"/>
      <c r="C924" s="71"/>
      <c r="D924" s="106"/>
    </row>
    <row r="925" spans="1:4" x14ac:dyDescent="0.2">
      <c r="A925" s="71"/>
      <c r="B925" s="71"/>
      <c r="C925" s="71"/>
      <c r="D925" s="106"/>
    </row>
    <row r="926" spans="1:4" x14ac:dyDescent="0.2">
      <c r="A926" s="71"/>
      <c r="B926" s="71"/>
      <c r="C926" s="71"/>
      <c r="D926" s="106"/>
    </row>
    <row r="927" spans="1:4" x14ac:dyDescent="0.2">
      <c r="A927" s="71"/>
      <c r="B927" s="71"/>
      <c r="C927" s="71"/>
      <c r="D927" s="106"/>
    </row>
    <row r="928" spans="1:4" x14ac:dyDescent="0.2">
      <c r="A928" s="71"/>
      <c r="B928" s="71"/>
      <c r="C928" s="71"/>
      <c r="D928" s="106"/>
    </row>
    <row r="929" spans="1:4" x14ac:dyDescent="0.2">
      <c r="A929" s="71"/>
      <c r="B929" s="71"/>
      <c r="C929" s="71"/>
      <c r="D929" s="106"/>
    </row>
    <row r="930" spans="1:4" x14ac:dyDescent="0.2">
      <c r="A930" s="71"/>
      <c r="B930" s="71"/>
      <c r="C930" s="71"/>
      <c r="D930" s="106"/>
    </row>
    <row r="931" spans="1:4" x14ac:dyDescent="0.2">
      <c r="A931" s="71"/>
      <c r="B931" s="71"/>
      <c r="C931" s="71"/>
      <c r="D931" s="106"/>
    </row>
    <row r="932" spans="1:4" x14ac:dyDescent="0.2">
      <c r="A932" s="71"/>
      <c r="B932" s="71"/>
      <c r="C932" s="71"/>
      <c r="D932" s="106"/>
    </row>
    <row r="933" spans="1:4" x14ac:dyDescent="0.2">
      <c r="A933" s="71"/>
      <c r="B933" s="71"/>
      <c r="C933" s="71"/>
      <c r="D933" s="106"/>
    </row>
    <row r="934" spans="1:4" x14ac:dyDescent="0.2">
      <c r="A934" s="71"/>
      <c r="B934" s="71"/>
      <c r="C934" s="71"/>
      <c r="D934" s="106"/>
    </row>
    <row r="935" spans="1:4" x14ac:dyDescent="0.2">
      <c r="A935" s="71"/>
      <c r="B935" s="71"/>
      <c r="C935" s="71"/>
      <c r="D935" s="106"/>
    </row>
    <row r="936" spans="1:4" x14ac:dyDescent="0.2">
      <c r="A936" s="71"/>
      <c r="B936" s="71"/>
      <c r="C936" s="71"/>
      <c r="D936" s="106"/>
    </row>
    <row r="937" spans="1:4" x14ac:dyDescent="0.2">
      <c r="A937" s="71"/>
      <c r="B937" s="71"/>
      <c r="C937" s="71"/>
      <c r="D937" s="106"/>
    </row>
    <row r="938" spans="1:4" x14ac:dyDescent="0.2">
      <c r="A938" s="71"/>
      <c r="B938" s="71"/>
      <c r="C938" s="71"/>
      <c r="D938" s="106"/>
    </row>
    <row r="939" spans="1:4" x14ac:dyDescent="0.2">
      <c r="A939" s="71"/>
      <c r="B939" s="71"/>
      <c r="C939" s="71"/>
      <c r="D939" s="106"/>
    </row>
    <row r="940" spans="1:4" x14ac:dyDescent="0.2">
      <c r="A940" s="71"/>
      <c r="B940" s="71"/>
      <c r="C940" s="71"/>
      <c r="D940" s="106"/>
    </row>
    <row r="941" spans="1:4" x14ac:dyDescent="0.2">
      <c r="A941" s="71"/>
      <c r="B941" s="71"/>
      <c r="C941" s="71"/>
      <c r="D941" s="106"/>
    </row>
    <row r="942" spans="1:4" x14ac:dyDescent="0.2">
      <c r="A942" s="71"/>
      <c r="B942" s="71"/>
      <c r="C942" s="71"/>
      <c r="D942" s="106"/>
    </row>
    <row r="943" spans="1:4" x14ac:dyDescent="0.2">
      <c r="A943" s="71"/>
      <c r="B943" s="71"/>
      <c r="C943" s="71"/>
      <c r="D943" s="106"/>
    </row>
    <row r="944" spans="1:4" x14ac:dyDescent="0.2">
      <c r="A944" s="71"/>
      <c r="B944" s="71"/>
      <c r="C944" s="71"/>
      <c r="D944" s="106"/>
    </row>
    <row r="945" spans="1:4" x14ac:dyDescent="0.2">
      <c r="A945" s="71"/>
      <c r="B945" s="71"/>
      <c r="C945" s="71"/>
      <c r="D945" s="106"/>
    </row>
    <row r="946" spans="1:4" x14ac:dyDescent="0.2">
      <c r="A946" s="71"/>
      <c r="B946" s="71"/>
      <c r="C946" s="71"/>
      <c r="D946" s="106"/>
    </row>
    <row r="947" spans="1:4" x14ac:dyDescent="0.2">
      <c r="A947" s="71"/>
      <c r="B947" s="71"/>
      <c r="C947" s="71"/>
      <c r="D947" s="106"/>
    </row>
    <row r="948" spans="1:4" x14ac:dyDescent="0.2">
      <c r="A948" s="71"/>
      <c r="B948" s="71"/>
      <c r="C948" s="71"/>
      <c r="D948" s="106"/>
    </row>
    <row r="949" spans="1:4" x14ac:dyDescent="0.2">
      <c r="A949" s="71"/>
      <c r="B949" s="71"/>
      <c r="C949" s="71"/>
      <c r="D949" s="106"/>
    </row>
    <row r="950" spans="1:4" x14ac:dyDescent="0.2">
      <c r="A950" s="71"/>
      <c r="B950" s="71"/>
      <c r="C950" s="71"/>
      <c r="D950" s="106"/>
    </row>
    <row r="951" spans="1:4" x14ac:dyDescent="0.2">
      <c r="A951" s="71"/>
      <c r="B951" s="71"/>
      <c r="C951" s="71"/>
      <c r="D951" s="106"/>
    </row>
    <row r="952" spans="1:4" x14ac:dyDescent="0.2">
      <c r="A952" s="71"/>
      <c r="B952" s="71"/>
      <c r="C952" s="71"/>
      <c r="D952" s="106"/>
    </row>
    <row r="953" spans="1:4" x14ac:dyDescent="0.2">
      <c r="A953" s="71"/>
      <c r="B953" s="71"/>
      <c r="C953" s="71"/>
      <c r="D953" s="106"/>
    </row>
    <row r="954" spans="1:4" x14ac:dyDescent="0.2">
      <c r="A954" s="71"/>
      <c r="B954" s="71"/>
      <c r="C954" s="71"/>
      <c r="D954" s="106"/>
    </row>
    <row r="955" spans="1:4" x14ac:dyDescent="0.2">
      <c r="A955" s="71"/>
      <c r="B955" s="71"/>
      <c r="C955" s="71"/>
      <c r="D955" s="106"/>
    </row>
    <row r="956" spans="1:4" x14ac:dyDescent="0.2">
      <c r="A956" s="71"/>
      <c r="B956" s="71"/>
      <c r="C956" s="71"/>
      <c r="D956" s="106"/>
    </row>
    <row r="957" spans="1:4" x14ac:dyDescent="0.2">
      <c r="A957" s="71"/>
      <c r="B957" s="71"/>
      <c r="C957" s="71"/>
      <c r="D957" s="106"/>
    </row>
    <row r="958" spans="1:4" x14ac:dyDescent="0.2">
      <c r="A958" s="71"/>
      <c r="B958" s="71"/>
      <c r="C958" s="71"/>
      <c r="D958" s="106"/>
    </row>
    <row r="959" spans="1:4" x14ac:dyDescent="0.2">
      <c r="A959" s="71"/>
      <c r="B959" s="71"/>
      <c r="C959" s="71"/>
      <c r="D959" s="106"/>
    </row>
    <row r="960" spans="1:4" x14ac:dyDescent="0.2">
      <c r="A960" s="71"/>
      <c r="B960" s="71"/>
      <c r="C960" s="71"/>
      <c r="D960" s="106"/>
    </row>
    <row r="961" spans="1:4" x14ac:dyDescent="0.2">
      <c r="A961" s="71"/>
      <c r="B961" s="71"/>
      <c r="C961" s="71"/>
      <c r="D961" s="106"/>
    </row>
    <row r="962" spans="1:4" x14ac:dyDescent="0.2">
      <c r="A962" s="71"/>
      <c r="B962" s="71"/>
      <c r="C962" s="71"/>
      <c r="D962" s="106"/>
    </row>
    <row r="963" spans="1:4" x14ac:dyDescent="0.2">
      <c r="A963" s="71"/>
      <c r="B963" s="71"/>
      <c r="C963" s="71"/>
      <c r="D963" s="106"/>
    </row>
    <row r="964" spans="1:4" x14ac:dyDescent="0.2">
      <c r="A964" s="71"/>
      <c r="B964" s="71"/>
      <c r="C964" s="71"/>
      <c r="D964" s="106"/>
    </row>
    <row r="965" spans="1:4" x14ac:dyDescent="0.2">
      <c r="A965" s="71"/>
      <c r="B965" s="71"/>
      <c r="C965" s="71"/>
      <c r="D965" s="106"/>
    </row>
    <row r="966" spans="1:4" x14ac:dyDescent="0.2">
      <c r="A966" s="71"/>
      <c r="B966" s="71"/>
      <c r="C966" s="71"/>
      <c r="D966" s="106"/>
    </row>
    <row r="967" spans="1:4" x14ac:dyDescent="0.2">
      <c r="A967" s="71"/>
      <c r="B967" s="71"/>
      <c r="C967" s="71"/>
      <c r="D967" s="106"/>
    </row>
    <row r="968" spans="1:4" x14ac:dyDescent="0.2">
      <c r="A968" s="71"/>
      <c r="B968" s="71"/>
      <c r="C968" s="71"/>
      <c r="D968" s="106"/>
    </row>
    <row r="969" spans="1:4" x14ac:dyDescent="0.2">
      <c r="A969" s="71"/>
      <c r="B969" s="71"/>
      <c r="C969" s="71"/>
      <c r="D969" s="106"/>
    </row>
    <row r="970" spans="1:4" x14ac:dyDescent="0.2">
      <c r="A970" s="71"/>
      <c r="B970" s="71"/>
      <c r="C970" s="71"/>
      <c r="D970" s="106"/>
    </row>
    <row r="971" spans="1:4" x14ac:dyDescent="0.2">
      <c r="A971" s="71"/>
      <c r="B971" s="71"/>
      <c r="C971" s="71"/>
      <c r="D971" s="106"/>
    </row>
    <row r="972" spans="1:4" x14ac:dyDescent="0.2">
      <c r="A972" s="71"/>
      <c r="B972" s="71"/>
      <c r="C972" s="71"/>
      <c r="D972" s="106"/>
    </row>
    <row r="973" spans="1:4" x14ac:dyDescent="0.2">
      <c r="A973" s="71"/>
      <c r="B973" s="71"/>
      <c r="C973" s="71"/>
      <c r="D973" s="106"/>
    </row>
    <row r="974" spans="1:4" x14ac:dyDescent="0.2">
      <c r="A974" s="71"/>
      <c r="B974" s="71"/>
      <c r="C974" s="71"/>
      <c r="D974" s="106"/>
    </row>
    <row r="975" spans="1:4" x14ac:dyDescent="0.2">
      <c r="A975" s="71"/>
      <c r="B975" s="71"/>
      <c r="C975" s="71"/>
      <c r="D975" s="106"/>
    </row>
    <row r="976" spans="1:4" x14ac:dyDescent="0.2">
      <c r="A976" s="71"/>
      <c r="B976" s="71"/>
      <c r="C976" s="71"/>
      <c r="D976" s="106"/>
    </row>
    <row r="977" spans="1:4" x14ac:dyDescent="0.2">
      <c r="A977" s="71"/>
      <c r="B977" s="71"/>
      <c r="C977" s="71"/>
      <c r="D977" s="106"/>
    </row>
    <row r="978" spans="1:4" x14ac:dyDescent="0.2">
      <c r="A978" s="71"/>
      <c r="B978" s="71"/>
      <c r="C978" s="71"/>
      <c r="D978" s="106"/>
    </row>
    <row r="979" spans="1:4" x14ac:dyDescent="0.2">
      <c r="A979" s="71"/>
      <c r="B979" s="71"/>
      <c r="C979" s="71"/>
      <c r="D979" s="106"/>
    </row>
    <row r="980" spans="1:4" x14ac:dyDescent="0.2">
      <c r="A980" s="71"/>
      <c r="B980" s="71"/>
      <c r="C980" s="71"/>
      <c r="D980" s="106"/>
    </row>
    <row r="981" spans="1:4" x14ac:dyDescent="0.2">
      <c r="A981" s="71"/>
      <c r="B981" s="71"/>
      <c r="C981" s="71"/>
      <c r="D981" s="106"/>
    </row>
    <row r="982" spans="1:4" x14ac:dyDescent="0.2">
      <c r="A982" s="71"/>
      <c r="B982" s="71"/>
      <c r="C982" s="71"/>
      <c r="D982" s="106"/>
    </row>
    <row r="983" spans="1:4" x14ac:dyDescent="0.2">
      <c r="A983" s="71"/>
      <c r="B983" s="71"/>
      <c r="C983" s="71"/>
      <c r="D983" s="106"/>
    </row>
    <row r="984" spans="1:4" x14ac:dyDescent="0.2">
      <c r="A984" s="71"/>
      <c r="B984" s="71"/>
      <c r="C984" s="71"/>
      <c r="D984" s="106"/>
    </row>
    <row r="985" spans="1:4" x14ac:dyDescent="0.2">
      <c r="A985" s="71"/>
      <c r="B985" s="71"/>
      <c r="C985" s="71"/>
      <c r="D985" s="106"/>
    </row>
    <row r="986" spans="1:4" x14ac:dyDescent="0.2">
      <c r="A986" s="71"/>
      <c r="B986" s="71"/>
      <c r="C986" s="71"/>
      <c r="D986" s="106"/>
    </row>
    <row r="987" spans="1:4" x14ac:dyDescent="0.2">
      <c r="A987" s="71"/>
      <c r="B987" s="71"/>
      <c r="C987" s="71"/>
      <c r="D987" s="106"/>
    </row>
    <row r="988" spans="1:4" x14ac:dyDescent="0.2">
      <c r="A988" s="71"/>
      <c r="B988" s="71"/>
      <c r="C988" s="71"/>
      <c r="D988" s="106"/>
    </row>
    <row r="989" spans="1:4" x14ac:dyDescent="0.2">
      <c r="A989" s="71"/>
      <c r="B989" s="71"/>
      <c r="C989" s="71"/>
      <c r="D989" s="106"/>
    </row>
    <row r="990" spans="1:4" x14ac:dyDescent="0.2">
      <c r="A990" s="71"/>
      <c r="B990" s="71"/>
      <c r="C990" s="71"/>
      <c r="D990" s="106"/>
    </row>
    <row r="991" spans="1:4" x14ac:dyDescent="0.2">
      <c r="A991" s="71"/>
      <c r="B991" s="71"/>
      <c r="C991" s="71"/>
      <c r="D991" s="106"/>
    </row>
    <row r="992" spans="1:4" x14ac:dyDescent="0.2">
      <c r="A992" s="71"/>
      <c r="B992" s="71"/>
      <c r="C992" s="71"/>
      <c r="D992" s="106"/>
    </row>
    <row r="993" spans="1:4" x14ac:dyDescent="0.2">
      <c r="A993" s="71"/>
      <c r="B993" s="71"/>
      <c r="C993" s="71"/>
      <c r="D993" s="106"/>
    </row>
    <row r="994" spans="1:4" x14ac:dyDescent="0.2">
      <c r="A994" s="71"/>
      <c r="B994" s="71"/>
      <c r="C994" s="71"/>
      <c r="D994" s="106"/>
    </row>
    <row r="995" spans="1:4" x14ac:dyDescent="0.2">
      <c r="A995" s="71"/>
      <c r="B995" s="71"/>
      <c r="C995" s="71"/>
      <c r="D995" s="106"/>
    </row>
    <row r="996" spans="1:4" x14ac:dyDescent="0.2">
      <c r="A996" s="71"/>
      <c r="B996" s="71"/>
      <c r="C996" s="71"/>
      <c r="D996" s="106"/>
    </row>
    <row r="997" spans="1:4" x14ac:dyDescent="0.2">
      <c r="A997" s="71"/>
      <c r="B997" s="71"/>
      <c r="C997" s="71"/>
      <c r="D997" s="106"/>
    </row>
    <row r="998" spans="1:4" x14ac:dyDescent="0.2">
      <c r="A998" s="71"/>
      <c r="B998" s="71"/>
      <c r="C998" s="71"/>
      <c r="D998" s="106"/>
    </row>
    <row r="999" spans="1:4" x14ac:dyDescent="0.2">
      <c r="A999" s="71"/>
      <c r="B999" s="71"/>
      <c r="C999" s="71"/>
      <c r="D999" s="106"/>
    </row>
    <row r="1000" spans="1:4" x14ac:dyDescent="0.2">
      <c r="A1000" s="71"/>
      <c r="B1000" s="71"/>
      <c r="C1000" s="71"/>
      <c r="D1000" s="106"/>
    </row>
    <row r="1001" spans="1:4" x14ac:dyDescent="0.2">
      <c r="A1001" s="71"/>
      <c r="B1001" s="71"/>
      <c r="C1001" s="71"/>
      <c r="D1001" s="106"/>
    </row>
    <row r="1002" spans="1:4" x14ac:dyDescent="0.2">
      <c r="A1002" s="71"/>
      <c r="B1002" s="71"/>
      <c r="C1002" s="71"/>
      <c r="D1002" s="106"/>
    </row>
    <row r="1003" spans="1:4" x14ac:dyDescent="0.2">
      <c r="A1003" s="71"/>
      <c r="B1003" s="71"/>
      <c r="C1003" s="71"/>
      <c r="D1003" s="106"/>
    </row>
    <row r="1004" spans="1:4" x14ac:dyDescent="0.2">
      <c r="A1004" s="71"/>
      <c r="B1004" s="71"/>
      <c r="C1004" s="71"/>
      <c r="D1004" s="106"/>
    </row>
    <row r="1005" spans="1:4" x14ac:dyDescent="0.2">
      <c r="A1005" s="71"/>
      <c r="B1005" s="71"/>
      <c r="C1005" s="71"/>
      <c r="D1005" s="106"/>
    </row>
    <row r="1006" spans="1:4" x14ac:dyDescent="0.2">
      <c r="A1006" s="71"/>
      <c r="B1006" s="71"/>
      <c r="C1006" s="71"/>
      <c r="D1006" s="106"/>
    </row>
    <row r="1007" spans="1:4" x14ac:dyDescent="0.2">
      <c r="A1007" s="71"/>
      <c r="B1007" s="71"/>
      <c r="C1007" s="71"/>
      <c r="D1007" s="106"/>
    </row>
    <row r="1008" spans="1:4" x14ac:dyDescent="0.2">
      <c r="A1008" s="71"/>
      <c r="B1008" s="71"/>
      <c r="C1008" s="71"/>
      <c r="D1008" s="106"/>
    </row>
    <row r="1009" spans="1:4" x14ac:dyDescent="0.2">
      <c r="A1009" s="71"/>
      <c r="B1009" s="71"/>
      <c r="C1009" s="71"/>
      <c r="D1009" s="106"/>
    </row>
    <row r="1010" spans="1:4" x14ac:dyDescent="0.2">
      <c r="A1010" s="71"/>
      <c r="B1010" s="71"/>
      <c r="C1010" s="71"/>
      <c r="D1010" s="106"/>
    </row>
    <row r="1011" spans="1:4" x14ac:dyDescent="0.2">
      <c r="A1011" s="71"/>
      <c r="B1011" s="71"/>
      <c r="C1011" s="71"/>
      <c r="D1011" s="106"/>
    </row>
    <row r="1012" spans="1:4" x14ac:dyDescent="0.2">
      <c r="A1012" s="71"/>
      <c r="B1012" s="71"/>
      <c r="C1012" s="71"/>
      <c r="D1012" s="106"/>
    </row>
    <row r="1013" spans="1:4" x14ac:dyDescent="0.2">
      <c r="A1013" s="71"/>
      <c r="B1013" s="71"/>
      <c r="C1013" s="71"/>
      <c r="D1013" s="106"/>
    </row>
    <row r="1014" spans="1:4" x14ac:dyDescent="0.2">
      <c r="A1014" s="71"/>
      <c r="B1014" s="71"/>
      <c r="C1014" s="71"/>
      <c r="D1014" s="106"/>
    </row>
    <row r="1015" spans="1:4" x14ac:dyDescent="0.2">
      <c r="A1015" s="71"/>
      <c r="B1015" s="71"/>
      <c r="C1015" s="71"/>
      <c r="D1015" s="106"/>
    </row>
    <row r="1016" spans="1:4" x14ac:dyDescent="0.2">
      <c r="A1016" s="71"/>
      <c r="B1016" s="71"/>
      <c r="C1016" s="71"/>
      <c r="D1016" s="106"/>
    </row>
    <row r="1017" spans="1:4" x14ac:dyDescent="0.2">
      <c r="A1017" s="71"/>
      <c r="B1017" s="71"/>
      <c r="C1017" s="71"/>
      <c r="D1017" s="106"/>
    </row>
    <row r="1018" spans="1:4" x14ac:dyDescent="0.2">
      <c r="A1018" s="71"/>
      <c r="B1018" s="71"/>
      <c r="C1018" s="71"/>
      <c r="D1018" s="106"/>
    </row>
    <row r="1019" spans="1:4" x14ac:dyDescent="0.2">
      <c r="A1019" s="71"/>
      <c r="B1019" s="71"/>
      <c r="C1019" s="71"/>
      <c r="D1019" s="106"/>
    </row>
    <row r="1020" spans="1:4" x14ac:dyDescent="0.2">
      <c r="A1020" s="71"/>
      <c r="B1020" s="71"/>
      <c r="C1020" s="71"/>
      <c r="D1020" s="106"/>
    </row>
    <row r="1021" spans="1:4" x14ac:dyDescent="0.2">
      <c r="A1021" s="71"/>
      <c r="B1021" s="71"/>
      <c r="C1021" s="71"/>
      <c r="D1021" s="106"/>
    </row>
    <row r="1022" spans="1:4" x14ac:dyDescent="0.2">
      <c r="A1022" s="71"/>
      <c r="B1022" s="71"/>
      <c r="C1022" s="71"/>
      <c r="D1022" s="106"/>
    </row>
    <row r="1023" spans="1:4" x14ac:dyDescent="0.2">
      <c r="A1023" s="71"/>
      <c r="B1023" s="71"/>
      <c r="C1023" s="71"/>
      <c r="D1023" s="106"/>
    </row>
    <row r="1024" spans="1:4" x14ac:dyDescent="0.2">
      <c r="A1024" s="71"/>
      <c r="B1024" s="71"/>
      <c r="C1024" s="71"/>
      <c r="D1024" s="106"/>
    </row>
    <row r="1025" spans="1:4" x14ac:dyDescent="0.2">
      <c r="A1025" s="71"/>
      <c r="B1025" s="71"/>
      <c r="C1025" s="71"/>
      <c r="D1025" s="106"/>
    </row>
    <row r="1026" spans="1:4" x14ac:dyDescent="0.2">
      <c r="A1026" s="71"/>
      <c r="B1026" s="71"/>
      <c r="C1026" s="71"/>
      <c r="D1026" s="106"/>
    </row>
    <row r="1027" spans="1:4" x14ac:dyDescent="0.2">
      <c r="A1027" s="71"/>
      <c r="B1027" s="71"/>
      <c r="C1027" s="71"/>
      <c r="D1027" s="106"/>
    </row>
    <row r="1028" spans="1:4" x14ac:dyDescent="0.2">
      <c r="A1028" s="71"/>
      <c r="B1028" s="71"/>
      <c r="C1028" s="71"/>
      <c r="D1028" s="106"/>
    </row>
    <row r="1029" spans="1:4" x14ac:dyDescent="0.2">
      <c r="A1029" s="71"/>
      <c r="B1029" s="71"/>
      <c r="C1029" s="71"/>
      <c r="D1029" s="106"/>
    </row>
    <row r="1030" spans="1:4" x14ac:dyDescent="0.2">
      <c r="A1030" s="71"/>
      <c r="B1030" s="71"/>
      <c r="C1030" s="71"/>
      <c r="D1030" s="106"/>
    </row>
    <row r="1031" spans="1:4" x14ac:dyDescent="0.2">
      <c r="A1031" s="71"/>
      <c r="B1031" s="71"/>
      <c r="C1031" s="71"/>
      <c r="D1031" s="106"/>
    </row>
    <row r="1032" spans="1:4" x14ac:dyDescent="0.2">
      <c r="A1032" s="71"/>
      <c r="B1032" s="71"/>
      <c r="C1032" s="71"/>
      <c r="D1032" s="106"/>
    </row>
    <row r="1033" spans="1:4" x14ac:dyDescent="0.2">
      <c r="A1033" s="71"/>
      <c r="B1033" s="71"/>
      <c r="C1033" s="71"/>
      <c r="D1033" s="106"/>
    </row>
    <row r="1034" spans="1:4" x14ac:dyDescent="0.2">
      <c r="A1034" s="71"/>
      <c r="B1034" s="71"/>
      <c r="C1034" s="71"/>
      <c r="D1034" s="106"/>
    </row>
    <row r="1035" spans="1:4" x14ac:dyDescent="0.2">
      <c r="A1035" s="71"/>
      <c r="B1035" s="71"/>
      <c r="C1035" s="71"/>
      <c r="D1035" s="106"/>
    </row>
    <row r="1036" spans="1:4" x14ac:dyDescent="0.2">
      <c r="A1036" s="71"/>
      <c r="B1036" s="71"/>
      <c r="C1036" s="71"/>
      <c r="D1036" s="106"/>
    </row>
    <row r="1037" spans="1:4" x14ac:dyDescent="0.2">
      <c r="A1037" s="71"/>
      <c r="B1037" s="71"/>
      <c r="C1037" s="71"/>
      <c r="D1037" s="106"/>
    </row>
    <row r="1038" spans="1:4" x14ac:dyDescent="0.2">
      <c r="A1038" s="71"/>
      <c r="B1038" s="71"/>
      <c r="C1038" s="71"/>
      <c r="D1038" s="106"/>
    </row>
    <row r="1039" spans="1:4" x14ac:dyDescent="0.2">
      <c r="A1039" s="71"/>
      <c r="B1039" s="71"/>
      <c r="C1039" s="71"/>
      <c r="D1039" s="106"/>
    </row>
    <row r="1040" spans="1:4" x14ac:dyDescent="0.2">
      <c r="A1040" s="71"/>
      <c r="B1040" s="71"/>
      <c r="C1040" s="71"/>
      <c r="D1040" s="106"/>
    </row>
    <row r="1041" spans="1:4" x14ac:dyDescent="0.2">
      <c r="A1041" s="71"/>
      <c r="B1041" s="71"/>
      <c r="C1041" s="71"/>
      <c r="D1041" s="106"/>
    </row>
    <row r="1042" spans="1:4" x14ac:dyDescent="0.2">
      <c r="A1042" s="71"/>
      <c r="B1042" s="71"/>
      <c r="C1042" s="71"/>
      <c r="D1042" s="106"/>
    </row>
    <row r="1043" spans="1:4" x14ac:dyDescent="0.2">
      <c r="A1043" s="71"/>
      <c r="B1043" s="71"/>
      <c r="C1043" s="71"/>
      <c r="D1043" s="106"/>
    </row>
    <row r="1044" spans="1:4" x14ac:dyDescent="0.2">
      <c r="A1044" s="71"/>
      <c r="B1044" s="71"/>
      <c r="C1044" s="71"/>
      <c r="D1044" s="106"/>
    </row>
    <row r="1045" spans="1:4" x14ac:dyDescent="0.2">
      <c r="A1045" s="71"/>
      <c r="B1045" s="71"/>
      <c r="C1045" s="71"/>
      <c r="D1045" s="106"/>
    </row>
    <row r="1046" spans="1:4" x14ac:dyDescent="0.2">
      <c r="A1046" s="71"/>
      <c r="B1046" s="71"/>
      <c r="C1046" s="71"/>
      <c r="D1046" s="106"/>
    </row>
    <row r="1047" spans="1:4" x14ac:dyDescent="0.2">
      <c r="A1047" s="71"/>
      <c r="B1047" s="71"/>
      <c r="C1047" s="71"/>
      <c r="D1047" s="106"/>
    </row>
    <row r="1048" spans="1:4" x14ac:dyDescent="0.2">
      <c r="A1048" s="71"/>
      <c r="B1048" s="71"/>
      <c r="C1048" s="71"/>
      <c r="D1048" s="106"/>
    </row>
    <row r="1049" spans="1:4" x14ac:dyDescent="0.2">
      <c r="A1049" s="71"/>
      <c r="B1049" s="71"/>
      <c r="C1049" s="71"/>
      <c r="D1049" s="106"/>
    </row>
    <row r="1050" spans="1:4" x14ac:dyDescent="0.2">
      <c r="A1050" s="71"/>
      <c r="B1050" s="71"/>
      <c r="C1050" s="71"/>
      <c r="D1050" s="106"/>
    </row>
    <row r="1051" spans="1:4" x14ac:dyDescent="0.2">
      <c r="A1051" s="71"/>
      <c r="B1051" s="71"/>
      <c r="C1051" s="71"/>
      <c r="D1051" s="106"/>
    </row>
    <row r="1052" spans="1:4" x14ac:dyDescent="0.2">
      <c r="A1052" s="71"/>
      <c r="B1052" s="71"/>
      <c r="C1052" s="71"/>
      <c r="D1052" s="106"/>
    </row>
    <row r="1053" spans="1:4" x14ac:dyDescent="0.2">
      <c r="A1053" s="71"/>
      <c r="B1053" s="71"/>
      <c r="C1053" s="71"/>
      <c r="D1053" s="106"/>
    </row>
    <row r="1054" spans="1:4" x14ac:dyDescent="0.2">
      <c r="A1054" s="71"/>
      <c r="B1054" s="71"/>
      <c r="C1054" s="71"/>
      <c r="D1054" s="106"/>
    </row>
    <row r="1055" spans="1:4" x14ac:dyDescent="0.2">
      <c r="A1055" s="71"/>
      <c r="B1055" s="71"/>
      <c r="C1055" s="71"/>
      <c r="D1055" s="106"/>
    </row>
    <row r="1056" spans="1:4" x14ac:dyDescent="0.2">
      <c r="A1056" s="71"/>
      <c r="B1056" s="71"/>
      <c r="C1056" s="71"/>
      <c r="D1056" s="106"/>
    </row>
    <row r="1057" spans="1:4" x14ac:dyDescent="0.2">
      <c r="A1057" s="71"/>
      <c r="B1057" s="71"/>
      <c r="C1057" s="71"/>
      <c r="D1057" s="106"/>
    </row>
    <row r="1058" spans="1:4" x14ac:dyDescent="0.2">
      <c r="A1058" s="71"/>
      <c r="B1058" s="71"/>
      <c r="C1058" s="71"/>
      <c r="D1058" s="106"/>
    </row>
    <row r="1059" spans="1:4" x14ac:dyDescent="0.2">
      <c r="A1059" s="71"/>
      <c r="B1059" s="71"/>
      <c r="C1059" s="71"/>
      <c r="D1059" s="106"/>
    </row>
    <row r="1060" spans="1:4" x14ac:dyDescent="0.2">
      <c r="A1060" s="71"/>
      <c r="B1060" s="71"/>
      <c r="C1060" s="71"/>
      <c r="D1060" s="106"/>
    </row>
    <row r="1061" spans="1:4" x14ac:dyDescent="0.2">
      <c r="A1061" s="71"/>
      <c r="B1061" s="71"/>
      <c r="C1061" s="71"/>
      <c r="D1061" s="106"/>
    </row>
    <row r="1062" spans="1:4" x14ac:dyDescent="0.2">
      <c r="A1062" s="71"/>
      <c r="B1062" s="71"/>
      <c r="C1062" s="71"/>
      <c r="D1062" s="106"/>
    </row>
    <row r="1063" spans="1:4" x14ac:dyDescent="0.2">
      <c r="A1063" s="71"/>
      <c r="B1063" s="71"/>
      <c r="C1063" s="71"/>
      <c r="D1063" s="106"/>
    </row>
    <row r="1064" spans="1:4" x14ac:dyDescent="0.2">
      <c r="A1064" s="71"/>
      <c r="B1064" s="71"/>
      <c r="C1064" s="71"/>
      <c r="D1064" s="106"/>
    </row>
    <row r="1065" spans="1:4" x14ac:dyDescent="0.2">
      <c r="A1065" s="71"/>
      <c r="B1065" s="71"/>
      <c r="C1065" s="71"/>
      <c r="D1065" s="106"/>
    </row>
    <row r="1066" spans="1:4" x14ac:dyDescent="0.2">
      <c r="A1066" s="71"/>
      <c r="B1066" s="71"/>
      <c r="C1066" s="71"/>
      <c r="D1066" s="106"/>
    </row>
    <row r="1067" spans="1:4" x14ac:dyDescent="0.2">
      <c r="A1067" s="71"/>
      <c r="B1067" s="71"/>
      <c r="C1067" s="71"/>
      <c r="D1067" s="106"/>
    </row>
    <row r="1068" spans="1:4" x14ac:dyDescent="0.2">
      <c r="A1068" s="71"/>
      <c r="B1068" s="71"/>
      <c r="C1068" s="71"/>
      <c r="D1068" s="106"/>
    </row>
    <row r="1069" spans="1:4" x14ac:dyDescent="0.2">
      <c r="A1069" s="71"/>
      <c r="B1069" s="71"/>
      <c r="C1069" s="71"/>
      <c r="D1069" s="106"/>
    </row>
    <row r="1070" spans="1:4" x14ac:dyDescent="0.2">
      <c r="A1070" s="71"/>
      <c r="B1070" s="71"/>
      <c r="C1070" s="71"/>
      <c r="D1070" s="106"/>
    </row>
    <row r="1071" spans="1:4" x14ac:dyDescent="0.2">
      <c r="A1071" s="71"/>
      <c r="B1071" s="71"/>
      <c r="C1071" s="71"/>
      <c r="D1071" s="106"/>
    </row>
    <row r="1072" spans="1:4" x14ac:dyDescent="0.2">
      <c r="A1072" s="71"/>
      <c r="B1072" s="71"/>
      <c r="C1072" s="71"/>
      <c r="D1072" s="106"/>
    </row>
    <row r="1073" spans="1:4" x14ac:dyDescent="0.2">
      <c r="A1073" s="71"/>
      <c r="B1073" s="71"/>
      <c r="C1073" s="71"/>
      <c r="D1073" s="106"/>
    </row>
    <row r="1074" spans="1:4" x14ac:dyDescent="0.2">
      <c r="A1074" s="71"/>
      <c r="B1074" s="71"/>
      <c r="C1074" s="71"/>
      <c r="D1074" s="106"/>
    </row>
    <row r="1075" spans="1:4" x14ac:dyDescent="0.2">
      <c r="A1075" s="71"/>
      <c r="B1075" s="71"/>
      <c r="C1075" s="71"/>
      <c r="D1075" s="106"/>
    </row>
    <row r="1076" spans="1:4" x14ac:dyDescent="0.2">
      <c r="A1076" s="71"/>
      <c r="B1076" s="71"/>
      <c r="C1076" s="71"/>
      <c r="D1076" s="106"/>
    </row>
    <row r="1077" spans="1:4" x14ac:dyDescent="0.2">
      <c r="A1077" s="71"/>
      <c r="B1077" s="71"/>
      <c r="C1077" s="71"/>
      <c r="D1077" s="106"/>
    </row>
    <row r="1078" spans="1:4" x14ac:dyDescent="0.2">
      <c r="A1078" s="71"/>
      <c r="B1078" s="71"/>
      <c r="C1078" s="71"/>
      <c r="D1078" s="106"/>
    </row>
    <row r="1079" spans="1:4" x14ac:dyDescent="0.2">
      <c r="A1079" s="71"/>
      <c r="B1079" s="71"/>
      <c r="C1079" s="71"/>
      <c r="D1079" s="106"/>
    </row>
    <row r="1080" spans="1:4" x14ac:dyDescent="0.2">
      <c r="A1080" s="71"/>
      <c r="B1080" s="71"/>
      <c r="C1080" s="71"/>
      <c r="D1080" s="106"/>
    </row>
    <row r="1081" spans="1:4" x14ac:dyDescent="0.2">
      <c r="A1081" s="71"/>
      <c r="B1081" s="71"/>
      <c r="C1081" s="71"/>
      <c r="D1081" s="106"/>
    </row>
    <row r="1082" spans="1:4" x14ac:dyDescent="0.2">
      <c r="A1082" s="71"/>
      <c r="B1082" s="71"/>
      <c r="C1082" s="71"/>
      <c r="D1082" s="106"/>
    </row>
    <row r="1083" spans="1:4" x14ac:dyDescent="0.2">
      <c r="A1083" s="71"/>
      <c r="B1083" s="71"/>
      <c r="C1083" s="71"/>
      <c r="D1083" s="106"/>
    </row>
    <row r="1084" spans="1:4" x14ac:dyDescent="0.2">
      <c r="A1084" s="71"/>
      <c r="B1084" s="71"/>
      <c r="C1084" s="71"/>
      <c r="D1084" s="106"/>
    </row>
    <row r="1085" spans="1:4" x14ac:dyDescent="0.2">
      <c r="A1085" s="71"/>
      <c r="B1085" s="71"/>
      <c r="C1085" s="71"/>
      <c r="D1085" s="106"/>
    </row>
    <row r="1086" spans="1:4" x14ac:dyDescent="0.2">
      <c r="A1086" s="71"/>
      <c r="B1086" s="71"/>
      <c r="C1086" s="71"/>
      <c r="D1086" s="106"/>
    </row>
    <row r="1087" spans="1:4" x14ac:dyDescent="0.2">
      <c r="A1087" s="71"/>
      <c r="B1087" s="71"/>
      <c r="C1087" s="71"/>
      <c r="D1087" s="106"/>
    </row>
    <row r="1088" spans="1:4" x14ac:dyDescent="0.2">
      <c r="A1088" s="71"/>
      <c r="B1088" s="71"/>
      <c r="C1088" s="71"/>
      <c r="D1088" s="106"/>
    </row>
    <row r="1089" spans="1:4" x14ac:dyDescent="0.2">
      <c r="A1089" s="71"/>
      <c r="B1089" s="71"/>
      <c r="C1089" s="71"/>
      <c r="D1089" s="106"/>
    </row>
    <row r="1090" spans="1:4" x14ac:dyDescent="0.2">
      <c r="A1090" s="71"/>
      <c r="B1090" s="71"/>
      <c r="C1090" s="71"/>
      <c r="D1090" s="106"/>
    </row>
    <row r="1091" spans="1:4" x14ac:dyDescent="0.2">
      <c r="A1091" s="71"/>
      <c r="B1091" s="71"/>
      <c r="C1091" s="71"/>
      <c r="D1091" s="106"/>
    </row>
    <row r="1092" spans="1:4" x14ac:dyDescent="0.2">
      <c r="A1092" s="71"/>
      <c r="B1092" s="71"/>
      <c r="C1092" s="71"/>
      <c r="D1092" s="106"/>
    </row>
    <row r="1093" spans="1:4" x14ac:dyDescent="0.2">
      <c r="A1093" s="71"/>
      <c r="B1093" s="71"/>
      <c r="C1093" s="71"/>
      <c r="D1093" s="106"/>
    </row>
    <row r="1094" spans="1:4" x14ac:dyDescent="0.2">
      <c r="A1094" s="71"/>
      <c r="B1094" s="71"/>
      <c r="C1094" s="71"/>
      <c r="D1094" s="106"/>
    </row>
    <row r="1095" spans="1:4" x14ac:dyDescent="0.2">
      <c r="A1095" s="71"/>
      <c r="B1095" s="71"/>
      <c r="C1095" s="71"/>
      <c r="D1095" s="106"/>
    </row>
    <row r="1096" spans="1:4" x14ac:dyDescent="0.2">
      <c r="A1096" s="71"/>
      <c r="B1096" s="71"/>
      <c r="C1096" s="71"/>
      <c r="D1096" s="106"/>
    </row>
    <row r="1097" spans="1:4" x14ac:dyDescent="0.2">
      <c r="A1097" s="71"/>
      <c r="B1097" s="71"/>
      <c r="C1097" s="71"/>
      <c r="D1097" s="106"/>
    </row>
    <row r="1098" spans="1:4" x14ac:dyDescent="0.2">
      <c r="A1098" s="71"/>
      <c r="B1098" s="71"/>
      <c r="C1098" s="71"/>
      <c r="D1098" s="106"/>
    </row>
    <row r="1099" spans="1:4" x14ac:dyDescent="0.2">
      <c r="A1099" s="71"/>
      <c r="B1099" s="71"/>
      <c r="C1099" s="71"/>
      <c r="D1099" s="106"/>
    </row>
    <row r="1100" spans="1:4" x14ac:dyDescent="0.2">
      <c r="A1100" s="71"/>
      <c r="B1100" s="71"/>
      <c r="C1100" s="71"/>
      <c r="D1100" s="106"/>
    </row>
    <row r="1101" spans="1:4" x14ac:dyDescent="0.2">
      <c r="A1101" s="71"/>
      <c r="B1101" s="71"/>
      <c r="C1101" s="71"/>
      <c r="D1101" s="106"/>
    </row>
    <row r="1102" spans="1:4" x14ac:dyDescent="0.2">
      <c r="A1102" s="71"/>
      <c r="B1102" s="71"/>
      <c r="C1102" s="71"/>
      <c r="D1102" s="106"/>
    </row>
    <row r="1103" spans="1:4" x14ac:dyDescent="0.2">
      <c r="A1103" s="71"/>
      <c r="B1103" s="71"/>
      <c r="C1103" s="71"/>
      <c r="D1103" s="106"/>
    </row>
    <row r="1104" spans="1:4" x14ac:dyDescent="0.2">
      <c r="A1104" s="71"/>
      <c r="B1104" s="71"/>
      <c r="C1104" s="71"/>
      <c r="D1104" s="106"/>
    </row>
    <row r="1105" spans="1:4" x14ac:dyDescent="0.2">
      <c r="A1105" s="71"/>
      <c r="B1105" s="71"/>
      <c r="C1105" s="71"/>
      <c r="D1105" s="106"/>
    </row>
    <row r="1106" spans="1:4" x14ac:dyDescent="0.2">
      <c r="A1106" s="71"/>
      <c r="B1106" s="71"/>
      <c r="C1106" s="71"/>
      <c r="D1106" s="106"/>
    </row>
    <row r="1107" spans="1:4" x14ac:dyDescent="0.2">
      <c r="A1107" s="71"/>
      <c r="B1107" s="71"/>
      <c r="C1107" s="71"/>
      <c r="D1107" s="106"/>
    </row>
    <row r="1108" spans="1:4" x14ac:dyDescent="0.2">
      <c r="A1108" s="71"/>
      <c r="B1108" s="71"/>
      <c r="C1108" s="71"/>
      <c r="D1108" s="106"/>
    </row>
    <row r="1109" spans="1:4" x14ac:dyDescent="0.2">
      <c r="A1109" s="71"/>
      <c r="B1109" s="71"/>
      <c r="C1109" s="71"/>
      <c r="D1109" s="106"/>
    </row>
    <row r="1110" spans="1:4" x14ac:dyDescent="0.2">
      <c r="A1110" s="71"/>
      <c r="B1110" s="71"/>
      <c r="C1110" s="71"/>
      <c r="D1110" s="106"/>
    </row>
    <row r="1111" spans="1:4" x14ac:dyDescent="0.2">
      <c r="A1111" s="71"/>
      <c r="B1111" s="71"/>
      <c r="C1111" s="71"/>
      <c r="D1111" s="106"/>
    </row>
    <row r="1112" spans="1:4" x14ac:dyDescent="0.2">
      <c r="A1112" s="71"/>
      <c r="B1112" s="71"/>
      <c r="C1112" s="71"/>
      <c r="D1112" s="106"/>
    </row>
    <row r="1113" spans="1:4" x14ac:dyDescent="0.2">
      <c r="A1113" s="71"/>
      <c r="B1113" s="71"/>
      <c r="C1113" s="71"/>
      <c r="D1113" s="106"/>
    </row>
    <row r="1114" spans="1:4" x14ac:dyDescent="0.2">
      <c r="A1114" s="71"/>
      <c r="B1114" s="71"/>
      <c r="C1114" s="71"/>
      <c r="D1114" s="106"/>
    </row>
    <row r="1115" spans="1:4" x14ac:dyDescent="0.2">
      <c r="A1115" s="71"/>
      <c r="B1115" s="71"/>
      <c r="C1115" s="71"/>
      <c r="D1115" s="106"/>
    </row>
    <row r="1116" spans="1:4" x14ac:dyDescent="0.2">
      <c r="A1116" s="71"/>
      <c r="B1116" s="71"/>
      <c r="C1116" s="71"/>
      <c r="D1116" s="106"/>
    </row>
    <row r="1117" spans="1:4" x14ac:dyDescent="0.2">
      <c r="A1117" s="71"/>
      <c r="B1117" s="71"/>
      <c r="C1117" s="71"/>
      <c r="D1117" s="106"/>
    </row>
    <row r="1118" spans="1:4" x14ac:dyDescent="0.2">
      <c r="A1118" s="71"/>
      <c r="B1118" s="71"/>
      <c r="C1118" s="71"/>
      <c r="D1118" s="106"/>
    </row>
    <row r="1119" spans="1:4" x14ac:dyDescent="0.2">
      <c r="A1119" s="71"/>
      <c r="B1119" s="71"/>
      <c r="C1119" s="71"/>
      <c r="D1119" s="106"/>
    </row>
    <row r="1120" spans="1:4" x14ac:dyDescent="0.2">
      <c r="A1120" s="71"/>
      <c r="B1120" s="71"/>
      <c r="C1120" s="71"/>
      <c r="D1120" s="106"/>
    </row>
    <row r="1121" spans="1:4" x14ac:dyDescent="0.2">
      <c r="A1121" s="71"/>
      <c r="B1121" s="71"/>
      <c r="C1121" s="71"/>
      <c r="D1121" s="106"/>
    </row>
    <row r="1122" spans="1:4" x14ac:dyDescent="0.2">
      <c r="A1122" s="71"/>
      <c r="B1122" s="71"/>
      <c r="C1122" s="71"/>
      <c r="D1122" s="106"/>
    </row>
    <row r="1123" spans="1:4" x14ac:dyDescent="0.2">
      <c r="A1123" s="71"/>
      <c r="B1123" s="71"/>
      <c r="C1123" s="71"/>
      <c r="D1123" s="106"/>
    </row>
    <row r="1124" spans="1:4" x14ac:dyDescent="0.2">
      <c r="A1124" s="71"/>
      <c r="B1124" s="71"/>
      <c r="C1124" s="71"/>
      <c r="D1124" s="106"/>
    </row>
    <row r="1125" spans="1:4" x14ac:dyDescent="0.2">
      <c r="A1125" s="71"/>
      <c r="B1125" s="71"/>
      <c r="C1125" s="71"/>
      <c r="D1125" s="106"/>
    </row>
    <row r="1126" spans="1:4" x14ac:dyDescent="0.2">
      <c r="A1126" s="71"/>
      <c r="B1126" s="71"/>
      <c r="C1126" s="71"/>
      <c r="D1126" s="106"/>
    </row>
    <row r="1127" spans="1:4" x14ac:dyDescent="0.2">
      <c r="A1127" s="71"/>
      <c r="B1127" s="71"/>
      <c r="C1127" s="71"/>
      <c r="D1127" s="106"/>
    </row>
    <row r="1128" spans="1:4" x14ac:dyDescent="0.2">
      <c r="A1128" s="71"/>
      <c r="B1128" s="71"/>
      <c r="C1128" s="71"/>
      <c r="D1128" s="106"/>
    </row>
    <row r="1129" spans="1:4" x14ac:dyDescent="0.2">
      <c r="A1129" s="71"/>
      <c r="B1129" s="71"/>
      <c r="C1129" s="71"/>
      <c r="D1129" s="106"/>
    </row>
    <row r="1130" spans="1:4" x14ac:dyDescent="0.2">
      <c r="A1130" s="71"/>
      <c r="B1130" s="71"/>
      <c r="C1130" s="71"/>
      <c r="D1130" s="106"/>
    </row>
    <row r="1131" spans="1:4" x14ac:dyDescent="0.2">
      <c r="A1131" s="71"/>
      <c r="B1131" s="71"/>
      <c r="C1131" s="71"/>
      <c r="D1131" s="106"/>
    </row>
    <row r="1132" spans="1:4" x14ac:dyDescent="0.2">
      <c r="A1132" s="71"/>
      <c r="B1132" s="71"/>
      <c r="C1132" s="71"/>
      <c r="D1132" s="106"/>
    </row>
    <row r="1133" spans="1:4" x14ac:dyDescent="0.2">
      <c r="A1133" s="71"/>
      <c r="B1133" s="71"/>
      <c r="C1133" s="71"/>
      <c r="D1133" s="106"/>
    </row>
    <row r="1134" spans="1:4" x14ac:dyDescent="0.2">
      <c r="A1134" s="71"/>
      <c r="B1134" s="71"/>
      <c r="C1134" s="71"/>
      <c r="D1134" s="106"/>
    </row>
    <row r="1135" spans="1:4" x14ac:dyDescent="0.2">
      <c r="A1135" s="71"/>
      <c r="B1135" s="71"/>
      <c r="C1135" s="71"/>
      <c r="D1135" s="106"/>
    </row>
    <row r="1136" spans="1:4" x14ac:dyDescent="0.2">
      <c r="A1136" s="71"/>
      <c r="B1136" s="71"/>
      <c r="C1136" s="71"/>
      <c r="D1136" s="106"/>
    </row>
    <row r="1137" spans="1:4" x14ac:dyDescent="0.2">
      <c r="A1137" s="71"/>
      <c r="B1137" s="71"/>
      <c r="C1137" s="71"/>
      <c r="D1137" s="106"/>
    </row>
    <row r="1138" spans="1:4" x14ac:dyDescent="0.2">
      <c r="A1138" s="71"/>
      <c r="B1138" s="71"/>
      <c r="C1138" s="71"/>
      <c r="D1138" s="106"/>
    </row>
    <row r="1139" spans="1:4" x14ac:dyDescent="0.2">
      <c r="A1139" s="71"/>
      <c r="B1139" s="71"/>
      <c r="C1139" s="71"/>
      <c r="D1139" s="106"/>
    </row>
    <row r="1140" spans="1:4" x14ac:dyDescent="0.2">
      <c r="A1140" s="71"/>
      <c r="B1140" s="71"/>
      <c r="C1140" s="71"/>
      <c r="D1140" s="106"/>
    </row>
    <row r="1141" spans="1:4" x14ac:dyDescent="0.2">
      <c r="A1141" s="71"/>
      <c r="B1141" s="71"/>
      <c r="C1141" s="71"/>
      <c r="D1141" s="106"/>
    </row>
    <row r="1142" spans="1:4" x14ac:dyDescent="0.2">
      <c r="A1142" s="71"/>
      <c r="B1142" s="71"/>
      <c r="C1142" s="71"/>
      <c r="D1142" s="106"/>
    </row>
    <row r="1143" spans="1:4" x14ac:dyDescent="0.2">
      <c r="A1143" s="71"/>
      <c r="B1143" s="71"/>
      <c r="C1143" s="71"/>
      <c r="D1143" s="106"/>
    </row>
    <row r="1144" spans="1:4" x14ac:dyDescent="0.2">
      <c r="A1144" s="71"/>
      <c r="B1144" s="71"/>
      <c r="C1144" s="71"/>
      <c r="D1144" s="106"/>
    </row>
    <row r="1145" spans="1:4" x14ac:dyDescent="0.2">
      <c r="A1145" s="71"/>
      <c r="B1145" s="71"/>
      <c r="C1145" s="71"/>
      <c r="D1145" s="106"/>
    </row>
    <row r="1146" spans="1:4" x14ac:dyDescent="0.2">
      <c r="A1146" s="71"/>
      <c r="B1146" s="71"/>
      <c r="C1146" s="71"/>
      <c r="D1146" s="106"/>
    </row>
    <row r="1147" spans="1:4" x14ac:dyDescent="0.2">
      <c r="A1147" s="71"/>
      <c r="B1147" s="71"/>
      <c r="C1147" s="71"/>
      <c r="D1147" s="106"/>
    </row>
    <row r="1148" spans="1:4" x14ac:dyDescent="0.2">
      <c r="A1148" s="71"/>
      <c r="B1148" s="71"/>
      <c r="C1148" s="71"/>
      <c r="D1148" s="106"/>
    </row>
    <row r="1149" spans="1:4" x14ac:dyDescent="0.2">
      <c r="A1149" s="71"/>
      <c r="B1149" s="71"/>
      <c r="C1149" s="71"/>
      <c r="D1149" s="106"/>
    </row>
    <row r="1150" spans="1:4" x14ac:dyDescent="0.2">
      <c r="A1150" s="71"/>
      <c r="B1150" s="71"/>
      <c r="C1150" s="71"/>
      <c r="D1150" s="106"/>
    </row>
    <row r="1151" spans="1:4" x14ac:dyDescent="0.2">
      <c r="A1151" s="71"/>
      <c r="B1151" s="71"/>
      <c r="C1151" s="71"/>
      <c r="D1151" s="106"/>
    </row>
    <row r="1152" spans="1:4" x14ac:dyDescent="0.2">
      <c r="A1152" s="71"/>
      <c r="B1152" s="71"/>
      <c r="C1152" s="71"/>
      <c r="D1152" s="106"/>
    </row>
    <row r="1153" spans="1:4" x14ac:dyDescent="0.2">
      <c r="A1153" s="71"/>
      <c r="B1153" s="71"/>
      <c r="C1153" s="71"/>
      <c r="D1153" s="106"/>
    </row>
    <row r="1154" spans="1:4" x14ac:dyDescent="0.2">
      <c r="A1154" s="71"/>
      <c r="B1154" s="71"/>
      <c r="C1154" s="71"/>
      <c r="D1154" s="106"/>
    </row>
    <row r="1155" spans="1:4" x14ac:dyDescent="0.2">
      <c r="A1155" s="71"/>
      <c r="B1155" s="71"/>
      <c r="C1155" s="71"/>
      <c r="D1155" s="106"/>
    </row>
    <row r="1156" spans="1:4" x14ac:dyDescent="0.2">
      <c r="A1156" s="71"/>
      <c r="B1156" s="71"/>
      <c r="C1156" s="71"/>
      <c r="D1156" s="106"/>
    </row>
    <row r="1157" spans="1:4" x14ac:dyDescent="0.2">
      <c r="A1157" s="71"/>
      <c r="B1157" s="71"/>
      <c r="C1157" s="71"/>
      <c r="D1157" s="106"/>
    </row>
    <row r="1158" spans="1:4" x14ac:dyDescent="0.2">
      <c r="A1158" s="71"/>
      <c r="B1158" s="71"/>
      <c r="C1158" s="71"/>
      <c r="D1158" s="106"/>
    </row>
    <row r="1159" spans="1:4" x14ac:dyDescent="0.2">
      <c r="A1159" s="71"/>
      <c r="B1159" s="71"/>
      <c r="C1159" s="71"/>
      <c r="D1159" s="106"/>
    </row>
    <row r="1160" spans="1:4" x14ac:dyDescent="0.2">
      <c r="A1160" s="71"/>
      <c r="B1160" s="71"/>
      <c r="C1160" s="71"/>
      <c r="D1160" s="106"/>
    </row>
    <row r="1161" spans="1:4" x14ac:dyDescent="0.2">
      <c r="A1161" s="71"/>
      <c r="B1161" s="71"/>
      <c r="C1161" s="71"/>
      <c r="D1161" s="106"/>
    </row>
    <row r="1162" spans="1:4" x14ac:dyDescent="0.2">
      <c r="A1162" s="71"/>
      <c r="B1162" s="71"/>
      <c r="C1162" s="71"/>
      <c r="D1162" s="106"/>
    </row>
    <row r="1163" spans="1:4" x14ac:dyDescent="0.2">
      <c r="A1163" s="71"/>
      <c r="B1163" s="71"/>
      <c r="C1163" s="71"/>
      <c r="D1163" s="106"/>
    </row>
    <row r="1164" spans="1:4" x14ac:dyDescent="0.2">
      <c r="A1164" s="71"/>
      <c r="B1164" s="71"/>
      <c r="C1164" s="71"/>
      <c r="D1164" s="106"/>
    </row>
    <row r="1165" spans="1:4" x14ac:dyDescent="0.2">
      <c r="A1165" s="71"/>
      <c r="B1165" s="71"/>
      <c r="C1165" s="71"/>
      <c r="D1165" s="106"/>
    </row>
    <row r="1166" spans="1:4" x14ac:dyDescent="0.2">
      <c r="A1166" s="71"/>
      <c r="B1166" s="71"/>
      <c r="C1166" s="71"/>
      <c r="D1166" s="106"/>
    </row>
    <row r="1167" spans="1:4" x14ac:dyDescent="0.2">
      <c r="A1167" s="71"/>
      <c r="B1167" s="71"/>
      <c r="C1167" s="71"/>
      <c r="D1167" s="106"/>
    </row>
    <row r="1168" spans="1:4" x14ac:dyDescent="0.2">
      <c r="A1168" s="71"/>
      <c r="B1168" s="71"/>
      <c r="C1168" s="71"/>
      <c r="D1168" s="106"/>
    </row>
    <row r="1169" spans="1:4" x14ac:dyDescent="0.2">
      <c r="A1169" s="71"/>
      <c r="B1169" s="71"/>
      <c r="C1169" s="71"/>
      <c r="D1169" s="106"/>
    </row>
    <row r="1170" spans="1:4" x14ac:dyDescent="0.2">
      <c r="A1170" s="71"/>
      <c r="B1170" s="71"/>
      <c r="C1170" s="71"/>
      <c r="D1170" s="106"/>
    </row>
    <row r="1171" spans="1:4" x14ac:dyDescent="0.2">
      <c r="A1171" s="71"/>
      <c r="B1171" s="71"/>
      <c r="C1171" s="71"/>
      <c r="D1171" s="106"/>
    </row>
    <row r="1172" spans="1:4" x14ac:dyDescent="0.2">
      <c r="A1172" s="71"/>
      <c r="B1172" s="71"/>
      <c r="C1172" s="71"/>
      <c r="D1172" s="106"/>
    </row>
    <row r="1173" spans="1:4" x14ac:dyDescent="0.2">
      <c r="A1173" s="71"/>
      <c r="B1173" s="71"/>
      <c r="C1173" s="71"/>
      <c r="D1173" s="106"/>
    </row>
    <row r="1174" spans="1:4" x14ac:dyDescent="0.2">
      <c r="A1174" s="71"/>
      <c r="B1174" s="71"/>
      <c r="C1174" s="71"/>
      <c r="D1174" s="106"/>
    </row>
    <row r="1175" spans="1:4" x14ac:dyDescent="0.2">
      <c r="A1175" s="71"/>
      <c r="B1175" s="71"/>
      <c r="C1175" s="71"/>
      <c r="D1175" s="106"/>
    </row>
    <row r="1176" spans="1:4" x14ac:dyDescent="0.2">
      <c r="A1176" s="71"/>
      <c r="B1176" s="71"/>
      <c r="C1176" s="71"/>
      <c r="D1176" s="106"/>
    </row>
    <row r="1177" spans="1:4" x14ac:dyDescent="0.2">
      <c r="A1177" s="71"/>
      <c r="B1177" s="71"/>
      <c r="C1177" s="71"/>
      <c r="D1177" s="106"/>
    </row>
    <row r="1178" spans="1:4" x14ac:dyDescent="0.2">
      <c r="A1178" s="71"/>
      <c r="B1178" s="71"/>
      <c r="C1178" s="71"/>
      <c r="D1178" s="106"/>
    </row>
    <row r="1179" spans="1:4" x14ac:dyDescent="0.2">
      <c r="A1179" s="71"/>
      <c r="B1179" s="71"/>
      <c r="C1179" s="71"/>
      <c r="D1179" s="106"/>
    </row>
    <row r="1180" spans="1:4" x14ac:dyDescent="0.2">
      <c r="A1180" s="71"/>
      <c r="B1180" s="71"/>
      <c r="C1180" s="71"/>
      <c r="D1180" s="106"/>
    </row>
    <row r="1181" spans="1:4" x14ac:dyDescent="0.2">
      <c r="A1181" s="71"/>
      <c r="B1181" s="71"/>
      <c r="C1181" s="71"/>
      <c r="D1181" s="106"/>
    </row>
    <row r="1182" spans="1:4" x14ac:dyDescent="0.2">
      <c r="A1182" s="71"/>
      <c r="B1182" s="71"/>
      <c r="C1182" s="71"/>
      <c r="D1182" s="106"/>
    </row>
    <row r="1183" spans="1:4" x14ac:dyDescent="0.2">
      <c r="A1183" s="71"/>
      <c r="B1183" s="71"/>
      <c r="C1183" s="71"/>
      <c r="D1183" s="106"/>
    </row>
    <row r="1184" spans="1:4" x14ac:dyDescent="0.2">
      <c r="A1184" s="71"/>
      <c r="B1184" s="71"/>
      <c r="C1184" s="71"/>
      <c r="D1184" s="106"/>
    </row>
    <row r="1185" spans="1:4" x14ac:dyDescent="0.2">
      <c r="A1185" s="71"/>
      <c r="B1185" s="71"/>
      <c r="C1185" s="71"/>
      <c r="D1185" s="106"/>
    </row>
    <row r="1186" spans="1:4" x14ac:dyDescent="0.2">
      <c r="A1186" s="71"/>
      <c r="B1186" s="71"/>
      <c r="C1186" s="71"/>
      <c r="D1186" s="106"/>
    </row>
    <row r="1187" spans="1:4" x14ac:dyDescent="0.2">
      <c r="A1187" s="71"/>
      <c r="B1187" s="71"/>
      <c r="C1187" s="71"/>
      <c r="D1187" s="106"/>
    </row>
    <row r="1188" spans="1:4" x14ac:dyDescent="0.2">
      <c r="A1188" s="71"/>
      <c r="B1188" s="71"/>
      <c r="C1188" s="71"/>
      <c r="D1188" s="106"/>
    </row>
    <row r="1189" spans="1:4" x14ac:dyDescent="0.2">
      <c r="A1189" s="71"/>
      <c r="B1189" s="71"/>
      <c r="C1189" s="71"/>
      <c r="D1189" s="106"/>
    </row>
    <row r="1190" spans="1:4" x14ac:dyDescent="0.2">
      <c r="A1190" s="71"/>
      <c r="B1190" s="71"/>
      <c r="C1190" s="71"/>
      <c r="D1190" s="106"/>
    </row>
    <row r="1191" spans="1:4" x14ac:dyDescent="0.2">
      <c r="A1191" s="71"/>
      <c r="B1191" s="71"/>
      <c r="C1191" s="71"/>
      <c r="D1191" s="106"/>
    </row>
    <row r="1192" spans="1:4" x14ac:dyDescent="0.2">
      <c r="A1192" s="71"/>
      <c r="B1192" s="71"/>
      <c r="C1192" s="71"/>
      <c r="D1192" s="106"/>
    </row>
    <row r="1193" spans="1:4" x14ac:dyDescent="0.2">
      <c r="A1193" s="71"/>
      <c r="B1193" s="71"/>
      <c r="C1193" s="71"/>
      <c r="D1193" s="106"/>
    </row>
    <row r="1194" spans="1:4" x14ac:dyDescent="0.2">
      <c r="A1194" s="71"/>
      <c r="B1194" s="71"/>
      <c r="C1194" s="71"/>
      <c r="D1194" s="106"/>
    </row>
    <row r="1195" spans="1:4" x14ac:dyDescent="0.2">
      <c r="A1195" s="71"/>
      <c r="B1195" s="71"/>
      <c r="C1195" s="71"/>
      <c r="D1195" s="106"/>
    </row>
    <row r="1196" spans="1:4" x14ac:dyDescent="0.2">
      <c r="A1196" s="71"/>
      <c r="B1196" s="71"/>
      <c r="C1196" s="71"/>
      <c r="D1196" s="106"/>
    </row>
    <row r="1197" spans="1:4" x14ac:dyDescent="0.2">
      <c r="A1197" s="71"/>
      <c r="B1197" s="71"/>
      <c r="C1197" s="71"/>
      <c r="D1197" s="106"/>
    </row>
    <row r="1198" spans="1:4" x14ac:dyDescent="0.2">
      <c r="A1198" s="71"/>
      <c r="B1198" s="71"/>
      <c r="C1198" s="71"/>
      <c r="D1198" s="106"/>
    </row>
    <row r="1199" spans="1:4" x14ac:dyDescent="0.2">
      <c r="A1199" s="71"/>
      <c r="B1199" s="71"/>
      <c r="C1199" s="71"/>
      <c r="D1199" s="106"/>
    </row>
    <row r="1200" spans="1:4" x14ac:dyDescent="0.2">
      <c r="A1200" s="71"/>
      <c r="B1200" s="71"/>
      <c r="C1200" s="71"/>
      <c r="D1200" s="106"/>
    </row>
    <row r="1201" spans="1:4" x14ac:dyDescent="0.2">
      <c r="A1201" s="71"/>
      <c r="B1201" s="71"/>
      <c r="C1201" s="71"/>
      <c r="D1201" s="106"/>
    </row>
    <row r="1202" spans="1:4" x14ac:dyDescent="0.2">
      <c r="A1202" s="71"/>
      <c r="B1202" s="71"/>
      <c r="C1202" s="71"/>
      <c r="D1202" s="106"/>
    </row>
    <row r="1203" spans="1:4" x14ac:dyDescent="0.2">
      <c r="A1203" s="71"/>
      <c r="B1203" s="71"/>
      <c r="C1203" s="71"/>
      <c r="D1203" s="106"/>
    </row>
    <row r="1204" spans="1:4" x14ac:dyDescent="0.2">
      <c r="A1204" s="71"/>
      <c r="B1204" s="71"/>
      <c r="C1204" s="71"/>
      <c r="D1204" s="106"/>
    </row>
    <row r="1205" spans="1:4" x14ac:dyDescent="0.2">
      <c r="A1205" s="71"/>
      <c r="B1205" s="71"/>
      <c r="C1205" s="71"/>
      <c r="D1205" s="106"/>
    </row>
    <row r="1206" spans="1:4" x14ac:dyDescent="0.2">
      <c r="A1206" s="71"/>
      <c r="B1206" s="71"/>
      <c r="C1206" s="71"/>
      <c r="D1206" s="106"/>
    </row>
    <row r="1207" spans="1:4" x14ac:dyDescent="0.2">
      <c r="A1207" s="71"/>
      <c r="B1207" s="71"/>
      <c r="C1207" s="71"/>
      <c r="D1207" s="106"/>
    </row>
    <row r="1208" spans="1:4" x14ac:dyDescent="0.2">
      <c r="A1208" s="71"/>
      <c r="B1208" s="71"/>
      <c r="C1208" s="71"/>
      <c r="D1208" s="106"/>
    </row>
    <row r="1209" spans="1:4" x14ac:dyDescent="0.2">
      <c r="A1209" s="71"/>
      <c r="B1209" s="71"/>
      <c r="C1209" s="71"/>
      <c r="D1209" s="106"/>
    </row>
    <row r="1210" spans="1:4" x14ac:dyDescent="0.2">
      <c r="A1210" s="71"/>
      <c r="B1210" s="71"/>
      <c r="C1210" s="71"/>
      <c r="D1210" s="106"/>
    </row>
    <row r="1211" spans="1:4" x14ac:dyDescent="0.2">
      <c r="A1211" s="71"/>
      <c r="B1211" s="71"/>
      <c r="C1211" s="71"/>
      <c r="D1211" s="106"/>
    </row>
    <row r="1212" spans="1:4" x14ac:dyDescent="0.2">
      <c r="A1212" s="71"/>
      <c r="B1212" s="71"/>
      <c r="C1212" s="71"/>
      <c r="D1212" s="106"/>
    </row>
    <row r="1213" spans="1:4" x14ac:dyDescent="0.2">
      <c r="A1213" s="71"/>
      <c r="B1213" s="71"/>
      <c r="C1213" s="71"/>
      <c r="D1213" s="106"/>
    </row>
    <row r="1214" spans="1:4" x14ac:dyDescent="0.2">
      <c r="A1214" s="71"/>
      <c r="B1214" s="71"/>
      <c r="C1214" s="71"/>
      <c r="D1214" s="106"/>
    </row>
    <row r="1215" spans="1:4" x14ac:dyDescent="0.2">
      <c r="A1215" s="71"/>
      <c r="B1215" s="71"/>
      <c r="C1215" s="71"/>
      <c r="D1215" s="106"/>
    </row>
    <row r="1216" spans="1:4" x14ac:dyDescent="0.2">
      <c r="A1216" s="71"/>
      <c r="B1216" s="71"/>
      <c r="C1216" s="71"/>
      <c r="D1216" s="106"/>
    </row>
    <row r="1217" spans="1:4" x14ac:dyDescent="0.2">
      <c r="A1217" s="71"/>
      <c r="B1217" s="71"/>
      <c r="C1217" s="71"/>
      <c r="D1217" s="106"/>
    </row>
    <row r="1218" spans="1:4" x14ac:dyDescent="0.2">
      <c r="A1218" s="71"/>
      <c r="B1218" s="71"/>
      <c r="C1218" s="71"/>
      <c r="D1218" s="106"/>
    </row>
    <row r="1219" spans="1:4" x14ac:dyDescent="0.2">
      <c r="A1219" s="71"/>
      <c r="B1219" s="71"/>
      <c r="C1219" s="71"/>
      <c r="D1219" s="106"/>
    </row>
    <row r="1220" spans="1:4" x14ac:dyDescent="0.2">
      <c r="A1220" s="71"/>
      <c r="B1220" s="71"/>
      <c r="C1220" s="71"/>
      <c r="D1220" s="106"/>
    </row>
    <row r="1221" spans="1:4" x14ac:dyDescent="0.2">
      <c r="A1221" s="71"/>
      <c r="B1221" s="71"/>
      <c r="C1221" s="71"/>
      <c r="D1221" s="106"/>
    </row>
    <row r="1222" spans="1:4" x14ac:dyDescent="0.2">
      <c r="A1222" s="71"/>
      <c r="B1222" s="71"/>
      <c r="C1222" s="71"/>
      <c r="D1222" s="106"/>
    </row>
    <row r="1223" spans="1:4" x14ac:dyDescent="0.2">
      <c r="A1223" s="71"/>
      <c r="B1223" s="71"/>
      <c r="C1223" s="71"/>
      <c r="D1223" s="106"/>
    </row>
    <row r="1224" spans="1:4" x14ac:dyDescent="0.2">
      <c r="A1224" s="71"/>
      <c r="B1224" s="71"/>
      <c r="C1224" s="71"/>
      <c r="D1224" s="106"/>
    </row>
    <row r="1225" spans="1:4" x14ac:dyDescent="0.2">
      <c r="A1225" s="71"/>
      <c r="B1225" s="71"/>
      <c r="C1225" s="71"/>
      <c r="D1225" s="106"/>
    </row>
    <row r="1226" spans="1:4" x14ac:dyDescent="0.2">
      <c r="A1226" s="71"/>
      <c r="B1226" s="71"/>
      <c r="C1226" s="71"/>
      <c r="D1226" s="106"/>
    </row>
    <row r="1227" spans="1:4" x14ac:dyDescent="0.2">
      <c r="A1227" s="71"/>
      <c r="B1227" s="71"/>
      <c r="C1227" s="71"/>
      <c r="D1227" s="106"/>
    </row>
    <row r="1228" spans="1:4" x14ac:dyDescent="0.2">
      <c r="A1228" s="71"/>
      <c r="B1228" s="71"/>
      <c r="C1228" s="71"/>
      <c r="D1228" s="106"/>
    </row>
    <row r="1229" spans="1:4" x14ac:dyDescent="0.2">
      <c r="A1229" s="71"/>
      <c r="B1229" s="71"/>
      <c r="C1229" s="71"/>
      <c r="D1229" s="106"/>
    </row>
    <row r="1230" spans="1:4" x14ac:dyDescent="0.2">
      <c r="A1230" s="71"/>
      <c r="B1230" s="71"/>
      <c r="C1230" s="71"/>
      <c r="D1230" s="106"/>
    </row>
    <row r="1231" spans="1:4" x14ac:dyDescent="0.2">
      <c r="A1231" s="71"/>
      <c r="B1231" s="71"/>
      <c r="C1231" s="71"/>
      <c r="D1231" s="106"/>
    </row>
    <row r="1232" spans="1:4" x14ac:dyDescent="0.2">
      <c r="A1232" s="71"/>
      <c r="B1232" s="71"/>
      <c r="C1232" s="71"/>
      <c r="D1232" s="106"/>
    </row>
    <row r="1233" spans="1:4" x14ac:dyDescent="0.2">
      <c r="A1233" s="71"/>
      <c r="B1233" s="71"/>
      <c r="C1233" s="71"/>
      <c r="D1233" s="106"/>
    </row>
    <row r="1234" spans="1:4" x14ac:dyDescent="0.2">
      <c r="A1234" s="71"/>
      <c r="B1234" s="71"/>
      <c r="C1234" s="71"/>
      <c r="D1234" s="106"/>
    </row>
    <row r="1235" spans="1:4" x14ac:dyDescent="0.2">
      <c r="A1235" s="71"/>
      <c r="B1235" s="71"/>
      <c r="C1235" s="71"/>
      <c r="D1235" s="106"/>
    </row>
    <row r="1236" spans="1:4" x14ac:dyDescent="0.2">
      <c r="A1236" s="71"/>
      <c r="B1236" s="71"/>
      <c r="C1236" s="71"/>
      <c r="D1236" s="106"/>
    </row>
    <row r="1237" spans="1:4" x14ac:dyDescent="0.2">
      <c r="A1237" s="71"/>
      <c r="B1237" s="71"/>
      <c r="C1237" s="71"/>
      <c r="D1237" s="106"/>
    </row>
    <row r="1238" spans="1:4" x14ac:dyDescent="0.2">
      <c r="A1238" s="71"/>
      <c r="B1238" s="71"/>
      <c r="C1238" s="71"/>
      <c r="D1238" s="106"/>
    </row>
    <row r="1239" spans="1:4" x14ac:dyDescent="0.2">
      <c r="A1239" s="71"/>
      <c r="B1239" s="71"/>
      <c r="C1239" s="71"/>
      <c r="D1239" s="106"/>
    </row>
    <row r="1240" spans="1:4" x14ac:dyDescent="0.2">
      <c r="A1240" s="71"/>
      <c r="B1240" s="71"/>
      <c r="C1240" s="71"/>
      <c r="D1240" s="106"/>
    </row>
    <row r="1241" spans="1:4" x14ac:dyDescent="0.2">
      <c r="A1241" s="71"/>
      <c r="B1241" s="71"/>
      <c r="C1241" s="71"/>
      <c r="D1241" s="106"/>
    </row>
    <row r="1242" spans="1:4" x14ac:dyDescent="0.2">
      <c r="A1242" s="71"/>
      <c r="B1242" s="71"/>
      <c r="C1242" s="71"/>
      <c r="D1242" s="106"/>
    </row>
    <row r="1243" spans="1:4" x14ac:dyDescent="0.2">
      <c r="A1243" s="71"/>
      <c r="B1243" s="71"/>
      <c r="C1243" s="71"/>
      <c r="D1243" s="106"/>
    </row>
    <row r="1244" spans="1:4" x14ac:dyDescent="0.2">
      <c r="A1244" s="71"/>
      <c r="B1244" s="71"/>
      <c r="C1244" s="71"/>
      <c r="D1244" s="106"/>
    </row>
    <row r="1245" spans="1:4" x14ac:dyDescent="0.2">
      <c r="A1245" s="71"/>
      <c r="B1245" s="71"/>
      <c r="C1245" s="71"/>
      <c r="D1245" s="106"/>
    </row>
    <row r="1246" spans="1:4" x14ac:dyDescent="0.2">
      <c r="A1246" s="71"/>
      <c r="B1246" s="71"/>
      <c r="C1246" s="71"/>
      <c r="D1246" s="106"/>
    </row>
    <row r="1247" spans="1:4" x14ac:dyDescent="0.2">
      <c r="A1247" s="71"/>
      <c r="B1247" s="71"/>
      <c r="C1247" s="71"/>
      <c r="D1247" s="106"/>
    </row>
    <row r="1248" spans="1:4" x14ac:dyDescent="0.2">
      <c r="A1248" s="71"/>
      <c r="B1248" s="71"/>
      <c r="C1248" s="71"/>
      <c r="D1248" s="106"/>
    </row>
    <row r="1249" spans="1:4" x14ac:dyDescent="0.2">
      <c r="A1249" s="71"/>
      <c r="B1249" s="71"/>
      <c r="C1249" s="71"/>
      <c r="D1249" s="106"/>
    </row>
    <row r="1250" spans="1:4" x14ac:dyDescent="0.2">
      <c r="A1250" s="71"/>
      <c r="B1250" s="71"/>
      <c r="C1250" s="71"/>
      <c r="D1250" s="106"/>
    </row>
    <row r="1251" spans="1:4" x14ac:dyDescent="0.2">
      <c r="A1251" s="71"/>
      <c r="B1251" s="71"/>
      <c r="C1251" s="71"/>
      <c r="D1251" s="106"/>
    </row>
    <row r="1252" spans="1:4" x14ac:dyDescent="0.2">
      <c r="A1252" s="71"/>
      <c r="B1252" s="71"/>
      <c r="C1252" s="71"/>
      <c r="D1252" s="106"/>
    </row>
    <row r="1253" spans="1:4" x14ac:dyDescent="0.2">
      <c r="A1253" s="71"/>
      <c r="B1253" s="71"/>
      <c r="C1253" s="71"/>
      <c r="D1253" s="106"/>
    </row>
    <row r="1254" spans="1:4" x14ac:dyDescent="0.2">
      <c r="A1254" s="71"/>
      <c r="B1254" s="71"/>
      <c r="C1254" s="71"/>
      <c r="D1254" s="106"/>
    </row>
    <row r="1255" spans="1:4" x14ac:dyDescent="0.2">
      <c r="A1255" s="71"/>
      <c r="B1255" s="71"/>
      <c r="C1255" s="71"/>
      <c r="D1255" s="106"/>
    </row>
    <row r="1256" spans="1:4" x14ac:dyDescent="0.2">
      <c r="A1256" s="71"/>
      <c r="B1256" s="71"/>
      <c r="C1256" s="71"/>
      <c r="D1256" s="106"/>
    </row>
    <row r="1257" spans="1:4" x14ac:dyDescent="0.2">
      <c r="A1257" s="71"/>
      <c r="B1257" s="71"/>
      <c r="C1257" s="71"/>
      <c r="D1257" s="106"/>
    </row>
    <row r="1258" spans="1:4" x14ac:dyDescent="0.2">
      <c r="A1258" s="71"/>
      <c r="B1258" s="71"/>
      <c r="C1258" s="71"/>
      <c r="D1258" s="106"/>
    </row>
    <row r="1259" spans="1:4" x14ac:dyDescent="0.2">
      <c r="A1259" s="71"/>
      <c r="B1259" s="71"/>
      <c r="C1259" s="71"/>
      <c r="D1259" s="106"/>
    </row>
    <row r="1260" spans="1:4" x14ac:dyDescent="0.2">
      <c r="A1260" s="71"/>
      <c r="B1260" s="71"/>
      <c r="C1260" s="71"/>
      <c r="D1260" s="106"/>
    </row>
    <row r="1261" spans="1:4" x14ac:dyDescent="0.2">
      <c r="A1261" s="71"/>
      <c r="B1261" s="71"/>
      <c r="C1261" s="71"/>
      <c r="D1261" s="106"/>
    </row>
    <row r="1262" spans="1:4" x14ac:dyDescent="0.2">
      <c r="A1262" s="71"/>
      <c r="B1262" s="71"/>
      <c r="C1262" s="71"/>
      <c r="D1262" s="106"/>
    </row>
    <row r="1263" spans="1:4" x14ac:dyDescent="0.2">
      <c r="A1263" s="71"/>
      <c r="B1263" s="71"/>
      <c r="C1263" s="71"/>
      <c r="D1263" s="106"/>
    </row>
    <row r="1264" spans="1:4" x14ac:dyDescent="0.2">
      <c r="A1264" s="71"/>
      <c r="B1264" s="71"/>
      <c r="C1264" s="71"/>
      <c r="D1264" s="106"/>
    </row>
    <row r="1265" spans="1:4" x14ac:dyDescent="0.2">
      <c r="A1265" s="71"/>
      <c r="B1265" s="71"/>
      <c r="C1265" s="71"/>
      <c r="D1265" s="106"/>
    </row>
    <row r="1266" spans="1:4" x14ac:dyDescent="0.2">
      <c r="A1266" s="71"/>
      <c r="B1266" s="71"/>
      <c r="C1266" s="71"/>
      <c r="D1266" s="106"/>
    </row>
    <row r="1267" spans="1:4" x14ac:dyDescent="0.2">
      <c r="A1267" s="71"/>
      <c r="B1267" s="71"/>
      <c r="C1267" s="71"/>
      <c r="D1267" s="106"/>
    </row>
    <row r="1268" spans="1:4" x14ac:dyDescent="0.2">
      <c r="A1268" s="71"/>
      <c r="B1268" s="71"/>
      <c r="C1268" s="71"/>
      <c r="D1268" s="106"/>
    </row>
    <row r="1269" spans="1:4" x14ac:dyDescent="0.2">
      <c r="A1269" s="71"/>
      <c r="B1269" s="71"/>
      <c r="C1269" s="71"/>
      <c r="D1269" s="106"/>
    </row>
    <row r="1270" spans="1:4" x14ac:dyDescent="0.2">
      <c r="A1270" s="71"/>
      <c r="B1270" s="71"/>
      <c r="C1270" s="71"/>
      <c r="D1270" s="106"/>
    </row>
    <row r="1271" spans="1:4" x14ac:dyDescent="0.2">
      <c r="A1271" s="71"/>
      <c r="B1271" s="71"/>
      <c r="C1271" s="71"/>
      <c r="D1271" s="106"/>
    </row>
    <row r="1272" spans="1:4" x14ac:dyDescent="0.2">
      <c r="A1272" s="71"/>
      <c r="B1272" s="71"/>
      <c r="C1272" s="71"/>
      <c r="D1272" s="106"/>
    </row>
    <row r="1273" spans="1:4" x14ac:dyDescent="0.2">
      <c r="A1273" s="71"/>
      <c r="B1273" s="71"/>
      <c r="C1273" s="71"/>
      <c r="D1273" s="106"/>
    </row>
    <row r="1274" spans="1:4" x14ac:dyDescent="0.2">
      <c r="A1274" s="71"/>
      <c r="B1274" s="71"/>
      <c r="C1274" s="71"/>
      <c r="D1274" s="106"/>
    </row>
    <row r="1275" spans="1:4" x14ac:dyDescent="0.2">
      <c r="A1275" s="71"/>
      <c r="B1275" s="71"/>
      <c r="C1275" s="71"/>
      <c r="D1275" s="106"/>
    </row>
    <row r="1276" spans="1:4" x14ac:dyDescent="0.2">
      <c r="A1276" s="71"/>
      <c r="B1276" s="71"/>
      <c r="C1276" s="71"/>
      <c r="D1276" s="106"/>
    </row>
    <row r="1277" spans="1:4" x14ac:dyDescent="0.2">
      <c r="A1277" s="71"/>
      <c r="B1277" s="71"/>
      <c r="C1277" s="71"/>
      <c r="D1277" s="106"/>
    </row>
    <row r="1278" spans="1:4" x14ac:dyDescent="0.2">
      <c r="A1278" s="71"/>
      <c r="B1278" s="71"/>
      <c r="C1278" s="71"/>
      <c r="D1278" s="106"/>
    </row>
    <row r="1279" spans="1:4" x14ac:dyDescent="0.2">
      <c r="A1279" s="71"/>
      <c r="B1279" s="71"/>
      <c r="C1279" s="71"/>
      <c r="D1279" s="106"/>
    </row>
    <row r="1280" spans="1:4" x14ac:dyDescent="0.2">
      <c r="A1280" s="71"/>
      <c r="B1280" s="71"/>
      <c r="C1280" s="71"/>
      <c r="D1280" s="106"/>
    </row>
    <row r="1281" spans="1:4" x14ac:dyDescent="0.2">
      <c r="A1281" s="71"/>
      <c r="B1281" s="71"/>
      <c r="C1281" s="71"/>
      <c r="D1281" s="106"/>
    </row>
    <row r="1282" spans="1:4" x14ac:dyDescent="0.2">
      <c r="A1282" s="71"/>
      <c r="B1282" s="71"/>
      <c r="C1282" s="71"/>
      <c r="D1282" s="106"/>
    </row>
    <row r="1283" spans="1:4" x14ac:dyDescent="0.2">
      <c r="A1283" s="71"/>
      <c r="B1283" s="71"/>
      <c r="C1283" s="71"/>
      <c r="D1283" s="106"/>
    </row>
    <row r="1284" spans="1:4" x14ac:dyDescent="0.2">
      <c r="A1284" s="71"/>
      <c r="B1284" s="71"/>
      <c r="C1284" s="71"/>
      <c r="D1284" s="106"/>
    </row>
    <row r="1285" spans="1:4" x14ac:dyDescent="0.2">
      <c r="A1285" s="71"/>
      <c r="B1285" s="71"/>
      <c r="C1285" s="71"/>
      <c r="D1285" s="106"/>
    </row>
    <row r="1286" spans="1:4" x14ac:dyDescent="0.2">
      <c r="A1286" s="71"/>
      <c r="B1286" s="71"/>
      <c r="C1286" s="71"/>
      <c r="D1286" s="106"/>
    </row>
    <row r="1287" spans="1:4" x14ac:dyDescent="0.2">
      <c r="A1287" s="71"/>
      <c r="B1287" s="71"/>
      <c r="C1287" s="71"/>
      <c r="D1287" s="106"/>
    </row>
    <row r="1288" spans="1:4" x14ac:dyDescent="0.2">
      <c r="A1288" s="71"/>
      <c r="B1288" s="71"/>
      <c r="C1288" s="71"/>
      <c r="D1288" s="106"/>
    </row>
    <row r="1289" spans="1:4" x14ac:dyDescent="0.2">
      <c r="A1289" s="71"/>
      <c r="B1289" s="71"/>
      <c r="C1289" s="71"/>
      <c r="D1289" s="106"/>
    </row>
    <row r="1290" spans="1:4" x14ac:dyDescent="0.2">
      <c r="A1290" s="71"/>
      <c r="B1290" s="71"/>
      <c r="C1290" s="71"/>
      <c r="D1290" s="106"/>
    </row>
    <row r="1291" spans="1:4" x14ac:dyDescent="0.2">
      <c r="A1291" s="71"/>
      <c r="B1291" s="71"/>
      <c r="C1291" s="71"/>
      <c r="D1291" s="106"/>
    </row>
    <row r="1292" spans="1:4" x14ac:dyDescent="0.2">
      <c r="A1292" s="71"/>
      <c r="B1292" s="71"/>
      <c r="C1292" s="71"/>
      <c r="D1292" s="106"/>
    </row>
    <row r="1293" spans="1:4" x14ac:dyDescent="0.2">
      <c r="A1293" s="71"/>
      <c r="B1293" s="71"/>
      <c r="C1293" s="71"/>
      <c r="D1293" s="106"/>
    </row>
    <row r="1294" spans="1:4" x14ac:dyDescent="0.2">
      <c r="A1294" s="71"/>
      <c r="B1294" s="71"/>
      <c r="C1294" s="71"/>
      <c r="D1294" s="106"/>
    </row>
    <row r="1295" spans="1:4" x14ac:dyDescent="0.2">
      <c r="A1295" s="71"/>
      <c r="B1295" s="71"/>
      <c r="C1295" s="71"/>
      <c r="D1295" s="106"/>
    </row>
    <row r="1296" spans="1:4" x14ac:dyDescent="0.2">
      <c r="A1296" s="71"/>
      <c r="B1296" s="71"/>
      <c r="C1296" s="71"/>
      <c r="D1296" s="106"/>
    </row>
    <row r="1297" spans="1:4" x14ac:dyDescent="0.2">
      <c r="A1297" s="71"/>
      <c r="B1297" s="71"/>
      <c r="C1297" s="71"/>
      <c r="D1297" s="106"/>
    </row>
    <row r="1298" spans="1:4" x14ac:dyDescent="0.2">
      <c r="A1298" s="71"/>
      <c r="B1298" s="71"/>
      <c r="C1298" s="71"/>
      <c r="D1298" s="106"/>
    </row>
    <row r="1299" spans="1:4" x14ac:dyDescent="0.2">
      <c r="A1299" s="71"/>
      <c r="B1299" s="71"/>
      <c r="C1299" s="71"/>
      <c r="D1299" s="106"/>
    </row>
    <row r="1300" spans="1:4" x14ac:dyDescent="0.2">
      <c r="A1300" s="71"/>
      <c r="B1300" s="71"/>
      <c r="C1300" s="71"/>
      <c r="D1300" s="106"/>
    </row>
    <row r="1301" spans="1:4" x14ac:dyDescent="0.2">
      <c r="A1301" s="71"/>
      <c r="B1301" s="71"/>
      <c r="C1301" s="71"/>
      <c r="D1301" s="106"/>
    </row>
    <row r="1302" spans="1:4" x14ac:dyDescent="0.2">
      <c r="A1302" s="71"/>
      <c r="B1302" s="71"/>
      <c r="C1302" s="71"/>
      <c r="D1302" s="106"/>
    </row>
    <row r="1303" spans="1:4" x14ac:dyDescent="0.2">
      <c r="A1303" s="71"/>
      <c r="B1303" s="71"/>
      <c r="C1303" s="71"/>
      <c r="D1303" s="106"/>
    </row>
    <row r="1304" spans="1:4" x14ac:dyDescent="0.2">
      <c r="A1304" s="71"/>
      <c r="B1304" s="71"/>
      <c r="C1304" s="71"/>
      <c r="D1304" s="106"/>
    </row>
    <row r="1305" spans="1:4" x14ac:dyDescent="0.2">
      <c r="A1305" s="71"/>
      <c r="B1305" s="71"/>
      <c r="C1305" s="71"/>
      <c r="D1305" s="106"/>
    </row>
    <row r="1306" spans="1:4" x14ac:dyDescent="0.2">
      <c r="A1306" s="71"/>
      <c r="B1306" s="71"/>
      <c r="C1306" s="71"/>
      <c r="D1306" s="106"/>
    </row>
    <row r="1307" spans="1:4" x14ac:dyDescent="0.2">
      <c r="A1307" s="71"/>
      <c r="B1307" s="71"/>
      <c r="C1307" s="71"/>
      <c r="D1307" s="106"/>
    </row>
    <row r="1308" spans="1:4" x14ac:dyDescent="0.2">
      <c r="A1308" s="71"/>
      <c r="B1308" s="71"/>
      <c r="C1308" s="71"/>
      <c r="D1308" s="106"/>
    </row>
    <row r="1309" spans="1:4" x14ac:dyDescent="0.2">
      <c r="A1309" s="71"/>
      <c r="B1309" s="71"/>
      <c r="C1309" s="71"/>
      <c r="D1309" s="106"/>
    </row>
    <row r="1310" spans="1:4" x14ac:dyDescent="0.2">
      <c r="A1310" s="71"/>
      <c r="B1310" s="71"/>
      <c r="C1310" s="71"/>
      <c r="D1310" s="106"/>
    </row>
    <row r="1311" spans="1:4" x14ac:dyDescent="0.2">
      <c r="A1311" s="71"/>
      <c r="B1311" s="71"/>
      <c r="C1311" s="71"/>
      <c r="D1311" s="106"/>
    </row>
    <row r="1312" spans="1:4" x14ac:dyDescent="0.2">
      <c r="A1312" s="71"/>
      <c r="B1312" s="71"/>
      <c r="C1312" s="71"/>
      <c r="D1312" s="106"/>
    </row>
    <row r="1313" spans="1:4" x14ac:dyDescent="0.2">
      <c r="A1313" s="71"/>
      <c r="B1313" s="71"/>
      <c r="C1313" s="71"/>
      <c r="D1313" s="106"/>
    </row>
    <row r="1314" spans="1:4" x14ac:dyDescent="0.2">
      <c r="A1314" s="71"/>
      <c r="B1314" s="71"/>
      <c r="C1314" s="71"/>
      <c r="D1314" s="106"/>
    </row>
    <row r="1315" spans="1:4" x14ac:dyDescent="0.2">
      <c r="A1315" s="71"/>
      <c r="B1315" s="71"/>
      <c r="C1315" s="71"/>
      <c r="D1315" s="106"/>
    </row>
    <row r="1316" spans="1:4" x14ac:dyDescent="0.2">
      <c r="A1316" s="71"/>
      <c r="B1316" s="71"/>
      <c r="C1316" s="71"/>
      <c r="D1316" s="106"/>
    </row>
    <row r="1317" spans="1:4" x14ac:dyDescent="0.2">
      <c r="A1317" s="71"/>
      <c r="B1317" s="71"/>
      <c r="C1317" s="71"/>
      <c r="D1317" s="106"/>
    </row>
    <row r="1318" spans="1:4" x14ac:dyDescent="0.2">
      <c r="A1318" s="71"/>
      <c r="B1318" s="71"/>
      <c r="C1318" s="71"/>
      <c r="D1318" s="106"/>
    </row>
    <row r="1319" spans="1:4" x14ac:dyDescent="0.2">
      <c r="A1319" s="71"/>
      <c r="B1319" s="71"/>
      <c r="C1319" s="71"/>
      <c r="D1319" s="106"/>
    </row>
    <row r="1320" spans="1:4" x14ac:dyDescent="0.2">
      <c r="A1320" s="71"/>
      <c r="B1320" s="71"/>
      <c r="C1320" s="71"/>
      <c r="D1320" s="106"/>
    </row>
    <row r="1321" spans="1:4" x14ac:dyDescent="0.2">
      <c r="A1321" s="71"/>
      <c r="B1321" s="71"/>
      <c r="C1321" s="71"/>
      <c r="D1321" s="106"/>
    </row>
    <row r="1322" spans="1:4" x14ac:dyDescent="0.2">
      <c r="A1322" s="71"/>
      <c r="B1322" s="71"/>
      <c r="C1322" s="71"/>
      <c r="D1322" s="106"/>
    </row>
    <row r="1323" spans="1:4" x14ac:dyDescent="0.2">
      <c r="A1323" s="71"/>
      <c r="B1323" s="71"/>
      <c r="C1323" s="71"/>
      <c r="D1323" s="106"/>
    </row>
    <row r="1324" spans="1:4" x14ac:dyDescent="0.2">
      <c r="A1324" s="71"/>
      <c r="B1324" s="71"/>
      <c r="C1324" s="71"/>
      <c r="D1324" s="106"/>
    </row>
    <row r="1325" spans="1:4" x14ac:dyDescent="0.2">
      <c r="A1325" s="71"/>
      <c r="B1325" s="71"/>
      <c r="C1325" s="71"/>
      <c r="D1325" s="106"/>
    </row>
    <row r="1326" spans="1:4" x14ac:dyDescent="0.2">
      <c r="A1326" s="71"/>
      <c r="B1326" s="71"/>
      <c r="C1326" s="71"/>
      <c r="D1326" s="106"/>
    </row>
    <row r="1327" spans="1:4" x14ac:dyDescent="0.2">
      <c r="A1327" s="71"/>
      <c r="B1327" s="71"/>
      <c r="C1327" s="71"/>
      <c r="D1327" s="106"/>
    </row>
    <row r="1328" spans="1:4" x14ac:dyDescent="0.2">
      <c r="A1328" s="71"/>
      <c r="B1328" s="71"/>
      <c r="C1328" s="71"/>
      <c r="D1328" s="106"/>
    </row>
    <row r="1329" spans="1:4" x14ac:dyDescent="0.2">
      <c r="A1329" s="71"/>
      <c r="B1329" s="71"/>
      <c r="C1329" s="71"/>
      <c r="D1329" s="106"/>
    </row>
    <row r="1330" spans="1:4" x14ac:dyDescent="0.2">
      <c r="A1330" s="71"/>
      <c r="B1330" s="71"/>
      <c r="C1330" s="71"/>
      <c r="D1330" s="106"/>
    </row>
    <row r="1331" spans="1:4" x14ac:dyDescent="0.2">
      <c r="A1331" s="71"/>
      <c r="B1331" s="71"/>
      <c r="C1331" s="71"/>
      <c r="D1331" s="106"/>
    </row>
    <row r="1332" spans="1:4" x14ac:dyDescent="0.2">
      <c r="A1332" s="71"/>
      <c r="B1332" s="71"/>
      <c r="C1332" s="71"/>
      <c r="D1332" s="106"/>
    </row>
    <row r="1333" spans="1:4" x14ac:dyDescent="0.2">
      <c r="A1333" s="71"/>
      <c r="B1333" s="71"/>
      <c r="C1333" s="71"/>
      <c r="D1333" s="106"/>
    </row>
    <row r="1334" spans="1:4" x14ac:dyDescent="0.2">
      <c r="A1334" s="71"/>
      <c r="B1334" s="71"/>
      <c r="C1334" s="71"/>
      <c r="D1334" s="106"/>
    </row>
    <row r="1335" spans="1:4" x14ac:dyDescent="0.2">
      <c r="A1335" s="71"/>
      <c r="B1335" s="71"/>
      <c r="C1335" s="71"/>
      <c r="D1335" s="106"/>
    </row>
    <row r="1336" spans="1:4" x14ac:dyDescent="0.2">
      <c r="A1336" s="71"/>
      <c r="B1336" s="71"/>
      <c r="C1336" s="71"/>
      <c r="D1336" s="106"/>
    </row>
    <row r="1337" spans="1:4" x14ac:dyDescent="0.2">
      <c r="A1337" s="71"/>
      <c r="B1337" s="71"/>
      <c r="C1337" s="71"/>
      <c r="D1337" s="106"/>
    </row>
    <row r="1338" spans="1:4" x14ac:dyDescent="0.2">
      <c r="A1338" s="71"/>
      <c r="B1338" s="71"/>
      <c r="C1338" s="71"/>
      <c r="D1338" s="106"/>
    </row>
    <row r="1339" spans="1:4" x14ac:dyDescent="0.2">
      <c r="A1339" s="71"/>
      <c r="B1339" s="71"/>
      <c r="C1339" s="71"/>
      <c r="D1339" s="106"/>
    </row>
    <row r="1340" spans="1:4" x14ac:dyDescent="0.2">
      <c r="A1340" s="71"/>
      <c r="B1340" s="71"/>
      <c r="C1340" s="71"/>
      <c r="D1340" s="106"/>
    </row>
    <row r="1341" spans="1:4" x14ac:dyDescent="0.2">
      <c r="A1341" s="71"/>
      <c r="B1341" s="71"/>
      <c r="C1341" s="71"/>
      <c r="D1341" s="106"/>
    </row>
    <row r="1342" spans="1:4" x14ac:dyDescent="0.2">
      <c r="A1342" s="71"/>
      <c r="B1342" s="71"/>
      <c r="C1342" s="71"/>
      <c r="D1342" s="106"/>
    </row>
    <row r="1343" spans="1:4" x14ac:dyDescent="0.2">
      <c r="A1343" s="71"/>
      <c r="B1343" s="71"/>
      <c r="C1343" s="71"/>
      <c r="D1343" s="106"/>
    </row>
    <row r="1344" spans="1:4" x14ac:dyDescent="0.2">
      <c r="A1344" s="71"/>
      <c r="B1344" s="71"/>
      <c r="C1344" s="71"/>
      <c r="D1344" s="106"/>
    </row>
    <row r="1345" spans="1:4" x14ac:dyDescent="0.2">
      <c r="A1345" s="71"/>
      <c r="B1345" s="71"/>
      <c r="C1345" s="71"/>
      <c r="D1345" s="106"/>
    </row>
    <row r="1346" spans="1:4" x14ac:dyDescent="0.2">
      <c r="A1346" s="71"/>
      <c r="B1346" s="71"/>
      <c r="C1346" s="71"/>
      <c r="D1346" s="106"/>
    </row>
    <row r="1347" spans="1:4" x14ac:dyDescent="0.2">
      <c r="A1347" s="71"/>
      <c r="B1347" s="71"/>
      <c r="C1347" s="71"/>
      <c r="D1347" s="106"/>
    </row>
    <row r="1348" spans="1:4" x14ac:dyDescent="0.2">
      <c r="A1348" s="71"/>
      <c r="B1348" s="71"/>
      <c r="C1348" s="71"/>
      <c r="D1348" s="106"/>
    </row>
    <row r="1349" spans="1:4" x14ac:dyDescent="0.2">
      <c r="A1349" s="71"/>
      <c r="B1349" s="71"/>
      <c r="C1349" s="71"/>
      <c r="D1349" s="106"/>
    </row>
    <row r="1350" spans="1:4" x14ac:dyDescent="0.2">
      <c r="A1350" s="71"/>
      <c r="B1350" s="71"/>
      <c r="C1350" s="71"/>
      <c r="D1350" s="106"/>
    </row>
    <row r="1351" spans="1:4" x14ac:dyDescent="0.2">
      <c r="A1351" s="71"/>
      <c r="B1351" s="71"/>
      <c r="C1351" s="71"/>
      <c r="D1351" s="106"/>
    </row>
    <row r="1352" spans="1:4" x14ac:dyDescent="0.2">
      <c r="A1352" s="71"/>
      <c r="B1352" s="71"/>
      <c r="C1352" s="71"/>
      <c r="D1352" s="106"/>
    </row>
    <row r="1353" spans="1:4" x14ac:dyDescent="0.2">
      <c r="A1353" s="71"/>
      <c r="B1353" s="71"/>
      <c r="C1353" s="71"/>
      <c r="D1353" s="106"/>
    </row>
    <row r="1354" spans="1:4" x14ac:dyDescent="0.2">
      <c r="A1354" s="71"/>
      <c r="B1354" s="71"/>
      <c r="C1354" s="71"/>
      <c r="D1354" s="106"/>
    </row>
    <row r="1355" spans="1:4" x14ac:dyDescent="0.2">
      <c r="A1355" s="71"/>
      <c r="B1355" s="71"/>
      <c r="C1355" s="71"/>
      <c r="D1355" s="106"/>
    </row>
    <row r="1356" spans="1:4" x14ac:dyDescent="0.2">
      <c r="A1356" s="71"/>
      <c r="B1356" s="71"/>
      <c r="C1356" s="71"/>
      <c r="D1356" s="106"/>
    </row>
    <row r="1357" spans="1:4" x14ac:dyDescent="0.2">
      <c r="A1357" s="71"/>
      <c r="B1357" s="71"/>
      <c r="C1357" s="71"/>
      <c r="D1357" s="106"/>
    </row>
    <row r="1358" spans="1:4" x14ac:dyDescent="0.2">
      <c r="A1358" s="71"/>
      <c r="B1358" s="71"/>
      <c r="C1358" s="71"/>
      <c r="D1358" s="106"/>
    </row>
    <row r="1359" spans="1:4" x14ac:dyDescent="0.2">
      <c r="A1359" s="71"/>
      <c r="B1359" s="71"/>
      <c r="C1359" s="71"/>
      <c r="D1359" s="106"/>
    </row>
    <row r="1360" spans="1:4" x14ac:dyDescent="0.2">
      <c r="A1360" s="71"/>
      <c r="B1360" s="71"/>
      <c r="C1360" s="71"/>
      <c r="D1360" s="106"/>
    </row>
    <row r="1361" spans="1:4" x14ac:dyDescent="0.2">
      <c r="A1361" s="71"/>
      <c r="B1361" s="71"/>
      <c r="C1361" s="71"/>
      <c r="D1361" s="106"/>
    </row>
    <row r="1362" spans="1:4" x14ac:dyDescent="0.2">
      <c r="A1362" s="71"/>
      <c r="B1362" s="71"/>
      <c r="C1362" s="71"/>
      <c r="D1362" s="106"/>
    </row>
    <row r="1363" spans="1:4" x14ac:dyDescent="0.2">
      <c r="A1363" s="71"/>
      <c r="B1363" s="71"/>
      <c r="C1363" s="71"/>
      <c r="D1363" s="106"/>
    </row>
    <row r="1364" spans="1:4" x14ac:dyDescent="0.2">
      <c r="A1364" s="71"/>
      <c r="B1364" s="71"/>
      <c r="C1364" s="71"/>
      <c r="D1364" s="106"/>
    </row>
    <row r="1365" spans="1:4" x14ac:dyDescent="0.2">
      <c r="A1365" s="71"/>
      <c r="B1365" s="71"/>
      <c r="C1365" s="71"/>
      <c r="D1365" s="106"/>
    </row>
    <row r="1366" spans="1:4" x14ac:dyDescent="0.2">
      <c r="A1366" s="71"/>
      <c r="B1366" s="71"/>
      <c r="C1366" s="71"/>
      <c r="D1366" s="106"/>
    </row>
    <row r="1367" spans="1:4" x14ac:dyDescent="0.2">
      <c r="A1367" s="71"/>
      <c r="B1367" s="71"/>
      <c r="C1367" s="71"/>
      <c r="D1367" s="106"/>
    </row>
    <row r="1368" spans="1:4" x14ac:dyDescent="0.2">
      <c r="A1368" s="71"/>
      <c r="B1368" s="71"/>
      <c r="C1368" s="71"/>
      <c r="D1368" s="106"/>
    </row>
    <row r="1369" spans="1:4" x14ac:dyDescent="0.2">
      <c r="A1369" s="71"/>
      <c r="B1369" s="71"/>
      <c r="C1369" s="71"/>
      <c r="D1369" s="106"/>
    </row>
    <row r="1370" spans="1:4" x14ac:dyDescent="0.2">
      <c r="A1370" s="71"/>
      <c r="B1370" s="71"/>
      <c r="C1370" s="71"/>
      <c r="D1370" s="106"/>
    </row>
    <row r="1371" spans="1:4" x14ac:dyDescent="0.2">
      <c r="A1371" s="71"/>
      <c r="B1371" s="71"/>
      <c r="C1371" s="71"/>
      <c r="D1371" s="106"/>
    </row>
    <row r="1372" spans="1:4" x14ac:dyDescent="0.2">
      <c r="A1372" s="71"/>
      <c r="B1372" s="71"/>
      <c r="C1372" s="71"/>
      <c r="D1372" s="106"/>
    </row>
    <row r="1373" spans="1:4" x14ac:dyDescent="0.2">
      <c r="A1373" s="71"/>
      <c r="B1373" s="71"/>
      <c r="C1373" s="71"/>
      <c r="D1373" s="106"/>
    </row>
    <row r="1374" spans="1:4" x14ac:dyDescent="0.2">
      <c r="A1374" s="71"/>
      <c r="B1374" s="71"/>
      <c r="C1374" s="71"/>
      <c r="D1374" s="106"/>
    </row>
    <row r="1375" spans="1:4" x14ac:dyDescent="0.2">
      <c r="A1375" s="71"/>
      <c r="B1375" s="71"/>
      <c r="C1375" s="71"/>
      <c r="D1375" s="106"/>
    </row>
    <row r="1376" spans="1:4" x14ac:dyDescent="0.2">
      <c r="A1376" s="71"/>
      <c r="B1376" s="71"/>
      <c r="C1376" s="71"/>
      <c r="D1376" s="106"/>
    </row>
    <row r="1377" spans="1:4" x14ac:dyDescent="0.2">
      <c r="A1377" s="71"/>
      <c r="B1377" s="71"/>
      <c r="C1377" s="71"/>
      <c r="D1377" s="106"/>
    </row>
    <row r="1378" spans="1:4" x14ac:dyDescent="0.2">
      <c r="A1378" s="71"/>
      <c r="B1378" s="71"/>
      <c r="C1378" s="71"/>
      <c r="D1378" s="106"/>
    </row>
    <row r="1379" spans="1:4" x14ac:dyDescent="0.2">
      <c r="A1379" s="71"/>
      <c r="B1379" s="71"/>
      <c r="C1379" s="71"/>
      <c r="D1379" s="106"/>
    </row>
    <row r="1380" spans="1:4" x14ac:dyDescent="0.2">
      <c r="A1380" s="71"/>
      <c r="B1380" s="71"/>
      <c r="C1380" s="71"/>
      <c r="D1380" s="106"/>
    </row>
    <row r="1381" spans="1:4" x14ac:dyDescent="0.2">
      <c r="A1381" s="71"/>
      <c r="B1381" s="71"/>
      <c r="C1381" s="71"/>
      <c r="D1381" s="106"/>
    </row>
    <row r="1382" spans="1:4" x14ac:dyDescent="0.2">
      <c r="A1382" s="71"/>
      <c r="B1382" s="71"/>
      <c r="C1382" s="71"/>
      <c r="D1382" s="106"/>
    </row>
    <row r="1383" spans="1:4" x14ac:dyDescent="0.2">
      <c r="A1383" s="71"/>
      <c r="B1383" s="71"/>
      <c r="C1383" s="71"/>
      <c r="D1383" s="106"/>
    </row>
    <row r="1384" spans="1:4" x14ac:dyDescent="0.2">
      <c r="A1384" s="71"/>
      <c r="B1384" s="71"/>
      <c r="C1384" s="71"/>
      <c r="D1384" s="106"/>
    </row>
    <row r="1385" spans="1:4" x14ac:dyDescent="0.2">
      <c r="A1385" s="71"/>
      <c r="B1385" s="71"/>
      <c r="C1385" s="71"/>
      <c r="D1385" s="106"/>
    </row>
    <row r="1386" spans="1:4" x14ac:dyDescent="0.2">
      <c r="A1386" s="71"/>
      <c r="B1386" s="71"/>
      <c r="C1386" s="71"/>
      <c r="D1386" s="106"/>
    </row>
    <row r="1387" spans="1:4" x14ac:dyDescent="0.2">
      <c r="A1387" s="71"/>
      <c r="B1387" s="71"/>
      <c r="C1387" s="71"/>
      <c r="D1387" s="106"/>
    </row>
    <row r="1388" spans="1:4" x14ac:dyDescent="0.2">
      <c r="A1388" s="71"/>
      <c r="B1388" s="71"/>
      <c r="C1388" s="71"/>
      <c r="D1388" s="106"/>
    </row>
    <row r="1389" spans="1:4" x14ac:dyDescent="0.2">
      <c r="A1389" s="71"/>
      <c r="B1389" s="71"/>
      <c r="C1389" s="71"/>
      <c r="D1389" s="106"/>
    </row>
    <row r="1390" spans="1:4" x14ac:dyDescent="0.2">
      <c r="A1390" s="71"/>
      <c r="B1390" s="71"/>
      <c r="C1390" s="71"/>
      <c r="D1390" s="106"/>
    </row>
    <row r="1391" spans="1:4" x14ac:dyDescent="0.2">
      <c r="A1391" s="71"/>
      <c r="B1391" s="71"/>
      <c r="C1391" s="71"/>
      <c r="D1391" s="106"/>
    </row>
    <row r="1392" spans="1:4" x14ac:dyDescent="0.2">
      <c r="A1392" s="71"/>
      <c r="B1392" s="71"/>
      <c r="C1392" s="71"/>
      <c r="D1392" s="106"/>
    </row>
    <row r="1393" spans="1:4" x14ac:dyDescent="0.2">
      <c r="A1393" s="71"/>
      <c r="B1393" s="71"/>
      <c r="C1393" s="71"/>
      <c r="D1393" s="106"/>
    </row>
    <row r="1394" spans="1:4" x14ac:dyDescent="0.2">
      <c r="A1394" s="71"/>
      <c r="B1394" s="71"/>
      <c r="C1394" s="71"/>
      <c r="D1394" s="106"/>
    </row>
    <row r="1395" spans="1:4" x14ac:dyDescent="0.2">
      <c r="A1395" s="71"/>
      <c r="B1395" s="71"/>
      <c r="C1395" s="71"/>
      <c r="D1395" s="106"/>
    </row>
    <row r="1396" spans="1:4" x14ac:dyDescent="0.2">
      <c r="A1396" s="71"/>
      <c r="B1396" s="71"/>
      <c r="C1396" s="71"/>
      <c r="D1396" s="106"/>
    </row>
    <row r="1397" spans="1:4" x14ac:dyDescent="0.2">
      <c r="A1397" s="71"/>
      <c r="B1397" s="71"/>
      <c r="C1397" s="71"/>
      <c r="D1397" s="106"/>
    </row>
    <row r="1398" spans="1:4" x14ac:dyDescent="0.2">
      <c r="A1398" s="71"/>
      <c r="B1398" s="71"/>
      <c r="C1398" s="71"/>
      <c r="D1398" s="106"/>
    </row>
    <row r="1399" spans="1:4" x14ac:dyDescent="0.2">
      <c r="A1399" s="71"/>
      <c r="B1399" s="71"/>
      <c r="C1399" s="71"/>
      <c r="D1399" s="106"/>
    </row>
    <row r="1400" spans="1:4" x14ac:dyDescent="0.2">
      <c r="A1400" s="71"/>
      <c r="B1400" s="71"/>
      <c r="C1400" s="71"/>
      <c r="D1400" s="106"/>
    </row>
    <row r="1401" spans="1:4" x14ac:dyDescent="0.2">
      <c r="A1401" s="71"/>
      <c r="B1401" s="71"/>
      <c r="C1401" s="71"/>
      <c r="D1401" s="106"/>
    </row>
    <row r="1402" spans="1:4" x14ac:dyDescent="0.2">
      <c r="A1402" s="71"/>
      <c r="B1402" s="71"/>
      <c r="C1402" s="71"/>
      <c r="D1402" s="106"/>
    </row>
    <row r="1403" spans="1:4" x14ac:dyDescent="0.2">
      <c r="A1403" s="71"/>
      <c r="B1403" s="71"/>
      <c r="C1403" s="71"/>
      <c r="D1403" s="106"/>
    </row>
    <row r="1404" spans="1:4" x14ac:dyDescent="0.2">
      <c r="A1404" s="71"/>
      <c r="B1404" s="71"/>
      <c r="C1404" s="71"/>
      <c r="D1404" s="106"/>
    </row>
    <row r="1405" spans="1:4" x14ac:dyDescent="0.2">
      <c r="A1405" s="71"/>
      <c r="B1405" s="71"/>
      <c r="C1405" s="71"/>
      <c r="D1405" s="106"/>
    </row>
    <row r="1406" spans="1:4" x14ac:dyDescent="0.2">
      <c r="A1406" s="71"/>
      <c r="B1406" s="71"/>
      <c r="C1406" s="71"/>
      <c r="D1406" s="106"/>
    </row>
    <row r="1407" spans="1:4" x14ac:dyDescent="0.2">
      <c r="A1407" s="71"/>
      <c r="B1407" s="71"/>
      <c r="C1407" s="71"/>
      <c r="D1407" s="106"/>
    </row>
    <row r="1408" spans="1:4" x14ac:dyDescent="0.2">
      <c r="A1408" s="71"/>
      <c r="B1408" s="71"/>
      <c r="C1408" s="71"/>
      <c r="D1408" s="106"/>
    </row>
    <row r="1409" spans="1:4" x14ac:dyDescent="0.2">
      <c r="A1409" s="71"/>
      <c r="B1409" s="71"/>
      <c r="C1409" s="71"/>
      <c r="D1409" s="106"/>
    </row>
    <row r="1410" spans="1:4" x14ac:dyDescent="0.2">
      <c r="A1410" s="71"/>
      <c r="B1410" s="71"/>
      <c r="C1410" s="71"/>
      <c r="D1410" s="106"/>
    </row>
    <row r="1411" spans="1:4" x14ac:dyDescent="0.2">
      <c r="A1411" s="71"/>
      <c r="B1411" s="71"/>
      <c r="C1411" s="71"/>
      <c r="D1411" s="106"/>
    </row>
    <row r="1412" spans="1:4" x14ac:dyDescent="0.2">
      <c r="A1412" s="71"/>
      <c r="B1412" s="71"/>
      <c r="C1412" s="71"/>
      <c r="D1412" s="106"/>
    </row>
    <row r="1413" spans="1:4" x14ac:dyDescent="0.2">
      <c r="A1413" s="71"/>
      <c r="B1413" s="71"/>
      <c r="C1413" s="71"/>
      <c r="D1413" s="106"/>
    </row>
    <row r="1414" spans="1:4" x14ac:dyDescent="0.2">
      <c r="A1414" s="71"/>
      <c r="B1414" s="71"/>
      <c r="C1414" s="71"/>
      <c r="D1414" s="106"/>
    </row>
    <row r="1415" spans="1:4" x14ac:dyDescent="0.2">
      <c r="A1415" s="71"/>
      <c r="B1415" s="71"/>
      <c r="C1415" s="71"/>
      <c r="D1415" s="106"/>
    </row>
    <row r="1416" spans="1:4" x14ac:dyDescent="0.2">
      <c r="A1416" s="71"/>
      <c r="B1416" s="71"/>
      <c r="C1416" s="71"/>
      <c r="D1416" s="106"/>
    </row>
    <row r="1417" spans="1:4" x14ac:dyDescent="0.2">
      <c r="A1417" s="71"/>
      <c r="B1417" s="71"/>
      <c r="C1417" s="71"/>
      <c r="D1417" s="106"/>
    </row>
    <row r="1418" spans="1:4" x14ac:dyDescent="0.2">
      <c r="A1418" s="71"/>
      <c r="B1418" s="71"/>
      <c r="C1418" s="71"/>
      <c r="D1418" s="106"/>
    </row>
    <row r="1419" spans="1:4" x14ac:dyDescent="0.2">
      <c r="A1419" s="71"/>
      <c r="B1419" s="71"/>
      <c r="C1419" s="71"/>
      <c r="D1419" s="106"/>
    </row>
    <row r="1420" spans="1:4" x14ac:dyDescent="0.2">
      <c r="A1420" s="71"/>
      <c r="B1420" s="71"/>
      <c r="C1420" s="71"/>
      <c r="D1420" s="106"/>
    </row>
    <row r="1421" spans="1:4" x14ac:dyDescent="0.2">
      <c r="A1421" s="71"/>
      <c r="B1421" s="71"/>
      <c r="C1421" s="71"/>
      <c r="D1421" s="106"/>
    </row>
    <row r="1422" spans="1:4" x14ac:dyDescent="0.2">
      <c r="A1422" s="71"/>
      <c r="B1422" s="71"/>
      <c r="C1422" s="71"/>
      <c r="D1422" s="106"/>
    </row>
    <row r="1423" spans="1:4" x14ac:dyDescent="0.2">
      <c r="A1423" s="71"/>
      <c r="B1423" s="71"/>
      <c r="C1423" s="71"/>
      <c r="D1423" s="106"/>
    </row>
    <row r="1424" spans="1:4" x14ac:dyDescent="0.2">
      <c r="A1424" s="71"/>
      <c r="B1424" s="71"/>
      <c r="C1424" s="71"/>
      <c r="D1424" s="106"/>
    </row>
    <row r="1425" spans="1:4" x14ac:dyDescent="0.2">
      <c r="A1425" s="71"/>
      <c r="B1425" s="71"/>
      <c r="C1425" s="71"/>
      <c r="D1425" s="106"/>
    </row>
    <row r="1426" spans="1:4" x14ac:dyDescent="0.2">
      <c r="A1426" s="71"/>
      <c r="B1426" s="71"/>
      <c r="C1426" s="71"/>
      <c r="D1426" s="106"/>
    </row>
    <row r="1427" spans="1:4" x14ac:dyDescent="0.2">
      <c r="A1427" s="71"/>
      <c r="B1427" s="71"/>
      <c r="C1427" s="71"/>
      <c r="D1427" s="106"/>
    </row>
    <row r="1428" spans="1:4" x14ac:dyDescent="0.2">
      <c r="A1428" s="71"/>
      <c r="B1428" s="71"/>
      <c r="C1428" s="71"/>
      <c r="D1428" s="106"/>
    </row>
    <row r="1429" spans="1:4" x14ac:dyDescent="0.2">
      <c r="A1429" s="71"/>
      <c r="B1429" s="71"/>
      <c r="C1429" s="71"/>
      <c r="D1429" s="106"/>
    </row>
    <row r="1430" spans="1:4" x14ac:dyDescent="0.2">
      <c r="A1430" s="71"/>
      <c r="B1430" s="71"/>
      <c r="C1430" s="71"/>
      <c r="D1430" s="106"/>
    </row>
    <row r="1431" spans="1:4" x14ac:dyDescent="0.2">
      <c r="A1431" s="71"/>
      <c r="B1431" s="71"/>
      <c r="C1431" s="71"/>
      <c r="D1431" s="106"/>
    </row>
    <row r="1432" spans="1:4" x14ac:dyDescent="0.2">
      <c r="A1432" s="71"/>
      <c r="B1432" s="71"/>
      <c r="C1432" s="71"/>
      <c r="D1432" s="106"/>
    </row>
    <row r="1433" spans="1:4" x14ac:dyDescent="0.2">
      <c r="A1433" s="71"/>
      <c r="B1433" s="71"/>
      <c r="C1433" s="71"/>
      <c r="D1433" s="106"/>
    </row>
    <row r="1434" spans="1:4" x14ac:dyDescent="0.2">
      <c r="A1434" s="71"/>
      <c r="B1434" s="71"/>
      <c r="C1434" s="71"/>
      <c r="D1434" s="106"/>
    </row>
    <row r="1435" spans="1:4" x14ac:dyDescent="0.2">
      <c r="A1435" s="71"/>
      <c r="B1435" s="71"/>
      <c r="C1435" s="71"/>
      <c r="D1435" s="106"/>
    </row>
    <row r="1436" spans="1:4" x14ac:dyDescent="0.2">
      <c r="A1436" s="71"/>
      <c r="B1436" s="71"/>
      <c r="C1436" s="71"/>
      <c r="D1436" s="106"/>
    </row>
    <row r="1437" spans="1:4" x14ac:dyDescent="0.2">
      <c r="A1437" s="71"/>
      <c r="B1437" s="71"/>
      <c r="C1437" s="71"/>
      <c r="D1437" s="106"/>
    </row>
    <row r="1438" spans="1:4" x14ac:dyDescent="0.2">
      <c r="A1438" s="71"/>
      <c r="B1438" s="71"/>
      <c r="C1438" s="71"/>
      <c r="D1438" s="106"/>
    </row>
    <row r="1439" spans="1:4" x14ac:dyDescent="0.2">
      <c r="A1439" s="71"/>
      <c r="B1439" s="71"/>
      <c r="C1439" s="71"/>
      <c r="D1439" s="106"/>
    </row>
    <row r="1440" spans="1:4" x14ac:dyDescent="0.2">
      <c r="A1440" s="71"/>
      <c r="B1440" s="71"/>
      <c r="C1440" s="71"/>
      <c r="D1440" s="106"/>
    </row>
    <row r="1441" spans="1:4" x14ac:dyDescent="0.2">
      <c r="A1441" s="71"/>
      <c r="B1441" s="71"/>
      <c r="C1441" s="71"/>
      <c r="D1441" s="106"/>
    </row>
    <row r="1442" spans="1:4" x14ac:dyDescent="0.2">
      <c r="A1442" s="71"/>
      <c r="B1442" s="71"/>
      <c r="C1442" s="71"/>
      <c r="D1442" s="106"/>
    </row>
    <row r="1443" spans="1:4" x14ac:dyDescent="0.2">
      <c r="A1443" s="71"/>
      <c r="B1443" s="71"/>
      <c r="C1443" s="71"/>
      <c r="D1443" s="106"/>
    </row>
    <row r="1444" spans="1:4" x14ac:dyDescent="0.2">
      <c r="A1444" s="71"/>
      <c r="B1444" s="71"/>
      <c r="C1444" s="71"/>
      <c r="D1444" s="106"/>
    </row>
    <row r="1445" spans="1:4" x14ac:dyDescent="0.2">
      <c r="A1445" s="71"/>
      <c r="B1445" s="71"/>
      <c r="C1445" s="71"/>
      <c r="D1445" s="106"/>
    </row>
    <row r="1446" spans="1:4" x14ac:dyDescent="0.2">
      <c r="A1446" s="71"/>
      <c r="B1446" s="71"/>
      <c r="C1446" s="71"/>
      <c r="D1446" s="106"/>
    </row>
    <row r="1447" spans="1:4" x14ac:dyDescent="0.2">
      <c r="A1447" s="71"/>
      <c r="B1447" s="71"/>
      <c r="C1447" s="71"/>
      <c r="D1447" s="106"/>
    </row>
    <row r="1448" spans="1:4" x14ac:dyDescent="0.2">
      <c r="A1448" s="71"/>
      <c r="B1448" s="71"/>
      <c r="C1448" s="71"/>
      <c r="D1448" s="106"/>
    </row>
    <row r="1449" spans="1:4" x14ac:dyDescent="0.2">
      <c r="A1449" s="71"/>
      <c r="B1449" s="71"/>
      <c r="C1449" s="71"/>
      <c r="D1449" s="106"/>
    </row>
    <row r="1450" spans="1:4" x14ac:dyDescent="0.2">
      <c r="A1450" s="71"/>
      <c r="B1450" s="71"/>
      <c r="C1450" s="71"/>
      <c r="D1450" s="106"/>
    </row>
    <row r="1451" spans="1:4" x14ac:dyDescent="0.2">
      <c r="A1451" s="71"/>
      <c r="B1451" s="71"/>
      <c r="C1451" s="71"/>
      <c r="D1451" s="106"/>
    </row>
    <row r="1452" spans="1:4" x14ac:dyDescent="0.2">
      <c r="A1452" s="71"/>
      <c r="B1452" s="71"/>
      <c r="C1452" s="71"/>
      <c r="D1452" s="106"/>
    </row>
    <row r="1453" spans="1:4" x14ac:dyDescent="0.2">
      <c r="A1453" s="71"/>
      <c r="B1453" s="71"/>
      <c r="C1453" s="71"/>
      <c r="D1453" s="106"/>
    </row>
    <row r="1454" spans="1:4" x14ac:dyDescent="0.2">
      <c r="A1454" s="71"/>
      <c r="B1454" s="71"/>
      <c r="C1454" s="71"/>
      <c r="D1454" s="106"/>
    </row>
    <row r="1455" spans="1:4" x14ac:dyDescent="0.2">
      <c r="A1455" s="71"/>
      <c r="B1455" s="71"/>
      <c r="C1455" s="71"/>
      <c r="D1455" s="106"/>
    </row>
    <row r="1456" spans="1:4" x14ac:dyDescent="0.2">
      <c r="A1456" s="71"/>
      <c r="B1456" s="71"/>
      <c r="C1456" s="71"/>
      <c r="D1456" s="106"/>
    </row>
    <row r="1457" spans="1:4" x14ac:dyDescent="0.2">
      <c r="A1457" s="71"/>
      <c r="B1457" s="71"/>
      <c r="C1457" s="71"/>
      <c r="D1457" s="106"/>
    </row>
    <row r="1458" spans="1:4" x14ac:dyDescent="0.2">
      <c r="A1458" s="71"/>
      <c r="B1458" s="71"/>
      <c r="C1458" s="71"/>
      <c r="D1458" s="106"/>
    </row>
    <row r="1459" spans="1:4" x14ac:dyDescent="0.2">
      <c r="A1459" s="71"/>
      <c r="B1459" s="71"/>
      <c r="C1459" s="71"/>
      <c r="D1459" s="106"/>
    </row>
    <row r="1460" spans="1:4" x14ac:dyDescent="0.2">
      <c r="A1460" s="71"/>
      <c r="B1460" s="71"/>
      <c r="C1460" s="71"/>
      <c r="D1460" s="106"/>
    </row>
    <row r="1461" spans="1:4" x14ac:dyDescent="0.2">
      <c r="A1461" s="71"/>
      <c r="B1461" s="71"/>
      <c r="C1461" s="71"/>
      <c r="D1461" s="106"/>
    </row>
    <row r="1462" spans="1:4" x14ac:dyDescent="0.2">
      <c r="A1462" s="71"/>
      <c r="B1462" s="71"/>
      <c r="C1462" s="71"/>
      <c r="D1462" s="106"/>
    </row>
    <row r="1463" spans="1:4" x14ac:dyDescent="0.2">
      <c r="A1463" s="71"/>
      <c r="B1463" s="71"/>
      <c r="C1463" s="71"/>
      <c r="D1463" s="106"/>
    </row>
    <row r="1464" spans="1:4" x14ac:dyDescent="0.2">
      <c r="A1464" s="71"/>
      <c r="B1464" s="71"/>
      <c r="C1464" s="71"/>
      <c r="D1464" s="106"/>
    </row>
    <row r="1465" spans="1:4" x14ac:dyDescent="0.2">
      <c r="A1465" s="71"/>
      <c r="B1465" s="71"/>
      <c r="C1465" s="71"/>
      <c r="D1465" s="106"/>
    </row>
    <row r="1466" spans="1:4" x14ac:dyDescent="0.2">
      <c r="A1466" s="71"/>
      <c r="B1466" s="71"/>
      <c r="C1466" s="71"/>
      <c r="D1466" s="106"/>
    </row>
    <row r="1467" spans="1:4" x14ac:dyDescent="0.2">
      <c r="A1467" s="71"/>
      <c r="B1467" s="71"/>
      <c r="C1467" s="71"/>
      <c r="D1467" s="106"/>
    </row>
    <row r="1468" spans="1:4" x14ac:dyDescent="0.2">
      <c r="A1468" s="71"/>
      <c r="B1468" s="71"/>
      <c r="C1468" s="71"/>
      <c r="D1468" s="106"/>
    </row>
    <row r="1469" spans="1:4" x14ac:dyDescent="0.2">
      <c r="A1469" s="71"/>
      <c r="B1469" s="71"/>
      <c r="C1469" s="71"/>
      <c r="D1469" s="106"/>
    </row>
    <row r="1470" spans="1:4" x14ac:dyDescent="0.2">
      <c r="A1470" s="71"/>
      <c r="B1470" s="71"/>
      <c r="C1470" s="71"/>
      <c r="D1470" s="106"/>
    </row>
    <row r="1471" spans="1:4" x14ac:dyDescent="0.2">
      <c r="A1471" s="71"/>
      <c r="B1471" s="71"/>
      <c r="C1471" s="71"/>
      <c r="D1471" s="106"/>
    </row>
    <row r="1472" spans="1:4" x14ac:dyDescent="0.2">
      <c r="A1472" s="71"/>
      <c r="B1472" s="71"/>
      <c r="C1472" s="71"/>
      <c r="D1472" s="106"/>
    </row>
    <row r="1473" spans="1:4" x14ac:dyDescent="0.2">
      <c r="A1473" s="71"/>
      <c r="B1473" s="71"/>
      <c r="C1473" s="71"/>
      <c r="D1473" s="106"/>
    </row>
    <row r="1474" spans="1:4" x14ac:dyDescent="0.2">
      <c r="A1474" s="71"/>
      <c r="B1474" s="71"/>
      <c r="C1474" s="71"/>
      <c r="D1474" s="106"/>
    </row>
    <row r="1475" spans="1:4" x14ac:dyDescent="0.2">
      <c r="A1475" s="71"/>
      <c r="B1475" s="71"/>
      <c r="C1475" s="71"/>
      <c r="D1475" s="106"/>
    </row>
    <row r="1476" spans="1:4" x14ac:dyDescent="0.2">
      <c r="A1476" s="71"/>
      <c r="B1476" s="71"/>
      <c r="C1476" s="71"/>
      <c r="D1476" s="106"/>
    </row>
    <row r="1477" spans="1:4" x14ac:dyDescent="0.2">
      <c r="A1477" s="71"/>
      <c r="B1477" s="71"/>
      <c r="C1477" s="71"/>
      <c r="D1477" s="106"/>
    </row>
    <row r="1478" spans="1:4" x14ac:dyDescent="0.2">
      <c r="A1478" s="71"/>
      <c r="B1478" s="71"/>
      <c r="C1478" s="71"/>
      <c r="D1478" s="106"/>
    </row>
    <row r="1479" spans="1:4" x14ac:dyDescent="0.2">
      <c r="A1479" s="71"/>
      <c r="B1479" s="71"/>
      <c r="C1479" s="71"/>
      <c r="D1479" s="106"/>
    </row>
    <row r="1480" spans="1:4" x14ac:dyDescent="0.2">
      <c r="A1480" s="71"/>
      <c r="B1480" s="71"/>
      <c r="C1480" s="71"/>
      <c r="D1480" s="106"/>
    </row>
    <row r="1481" spans="1:4" x14ac:dyDescent="0.2">
      <c r="A1481" s="71"/>
      <c r="B1481" s="71"/>
      <c r="C1481" s="71"/>
      <c r="D1481" s="106"/>
    </row>
    <row r="1482" spans="1:4" x14ac:dyDescent="0.2">
      <c r="A1482" s="71"/>
      <c r="B1482" s="71"/>
      <c r="C1482" s="71"/>
      <c r="D1482" s="106"/>
    </row>
    <row r="1483" spans="1:4" x14ac:dyDescent="0.2">
      <c r="A1483" s="71"/>
      <c r="B1483" s="71"/>
      <c r="C1483" s="71"/>
      <c r="D1483" s="106"/>
    </row>
    <row r="1484" spans="1:4" x14ac:dyDescent="0.2">
      <c r="A1484" s="71"/>
      <c r="B1484" s="71"/>
      <c r="C1484" s="71"/>
      <c r="D1484" s="106"/>
    </row>
    <row r="1485" spans="1:4" x14ac:dyDescent="0.2">
      <c r="A1485" s="71"/>
      <c r="B1485" s="71"/>
      <c r="C1485" s="71"/>
      <c r="D1485" s="106"/>
    </row>
    <row r="1486" spans="1:4" x14ac:dyDescent="0.2">
      <c r="A1486" s="71"/>
      <c r="B1486" s="71"/>
      <c r="C1486" s="71"/>
      <c r="D1486" s="106"/>
    </row>
    <row r="1487" spans="1:4" x14ac:dyDescent="0.2">
      <c r="A1487" s="71"/>
      <c r="B1487" s="71"/>
      <c r="C1487" s="71"/>
      <c r="D1487" s="106"/>
    </row>
    <row r="1488" spans="1:4" x14ac:dyDescent="0.2">
      <c r="A1488" s="71"/>
      <c r="B1488" s="71"/>
      <c r="C1488" s="71"/>
      <c r="D1488" s="106"/>
    </row>
    <row r="1489" spans="1:4" x14ac:dyDescent="0.2">
      <c r="A1489" s="71"/>
      <c r="B1489" s="71"/>
      <c r="C1489" s="71"/>
      <c r="D1489" s="106"/>
    </row>
    <row r="1490" spans="1:4" x14ac:dyDescent="0.2">
      <c r="A1490" s="71"/>
      <c r="B1490" s="71"/>
      <c r="C1490" s="71"/>
      <c r="D1490" s="106"/>
    </row>
    <row r="1491" spans="1:4" x14ac:dyDescent="0.2">
      <c r="A1491" s="71"/>
      <c r="B1491" s="71"/>
      <c r="C1491" s="71"/>
      <c r="D1491" s="106"/>
    </row>
    <row r="1492" spans="1:4" x14ac:dyDescent="0.2">
      <c r="A1492" s="71"/>
      <c r="B1492" s="71"/>
      <c r="C1492" s="71"/>
      <c r="D1492" s="106"/>
    </row>
    <row r="1493" spans="1:4" x14ac:dyDescent="0.2">
      <c r="A1493" s="71"/>
      <c r="B1493" s="71"/>
      <c r="C1493" s="71"/>
      <c r="D1493" s="106"/>
    </row>
    <row r="1494" spans="1:4" x14ac:dyDescent="0.2">
      <c r="A1494" s="71"/>
      <c r="B1494" s="71"/>
      <c r="C1494" s="71"/>
      <c r="D1494" s="106"/>
    </row>
    <row r="1495" spans="1:4" x14ac:dyDescent="0.2">
      <c r="A1495" s="71"/>
      <c r="B1495" s="71"/>
      <c r="C1495" s="71"/>
      <c r="D1495" s="106"/>
    </row>
    <row r="1496" spans="1:4" x14ac:dyDescent="0.2">
      <c r="A1496" s="71"/>
      <c r="B1496" s="71"/>
      <c r="C1496" s="71"/>
      <c r="D1496" s="106"/>
    </row>
    <row r="1497" spans="1:4" x14ac:dyDescent="0.2">
      <c r="A1497" s="71"/>
      <c r="B1497" s="71"/>
      <c r="C1497" s="71"/>
      <c r="D1497" s="106"/>
    </row>
    <row r="1498" spans="1:4" x14ac:dyDescent="0.2">
      <c r="A1498" s="71"/>
      <c r="B1498" s="71"/>
      <c r="C1498" s="71"/>
      <c r="D1498" s="106"/>
    </row>
    <row r="1499" spans="1:4" x14ac:dyDescent="0.2">
      <c r="A1499" s="71"/>
      <c r="B1499" s="71"/>
      <c r="C1499" s="71"/>
      <c r="D1499" s="106"/>
    </row>
    <row r="1500" spans="1:4" x14ac:dyDescent="0.2">
      <c r="A1500" s="71"/>
      <c r="B1500" s="71"/>
      <c r="C1500" s="71"/>
      <c r="D1500" s="106"/>
    </row>
    <row r="1501" spans="1:4" x14ac:dyDescent="0.2">
      <c r="A1501" s="71"/>
      <c r="B1501" s="71"/>
      <c r="C1501" s="71"/>
      <c r="D1501" s="106"/>
    </row>
    <row r="1502" spans="1:4" x14ac:dyDescent="0.2">
      <c r="A1502" s="71"/>
      <c r="B1502" s="71"/>
      <c r="C1502" s="71"/>
      <c r="D1502" s="106"/>
    </row>
    <row r="1503" spans="1:4" x14ac:dyDescent="0.2">
      <c r="A1503" s="71"/>
      <c r="B1503" s="71"/>
      <c r="C1503" s="71"/>
      <c r="D1503" s="106"/>
    </row>
    <row r="1504" spans="1:4" x14ac:dyDescent="0.2">
      <c r="A1504" s="71"/>
      <c r="B1504" s="71"/>
      <c r="C1504" s="71"/>
      <c r="D1504" s="106"/>
    </row>
    <row r="1505" spans="1:4" x14ac:dyDescent="0.2">
      <c r="A1505" s="71"/>
      <c r="B1505" s="71"/>
      <c r="C1505" s="71"/>
      <c r="D1505" s="106"/>
    </row>
    <row r="1506" spans="1:4" x14ac:dyDescent="0.2">
      <c r="A1506" s="71"/>
      <c r="B1506" s="71"/>
      <c r="C1506" s="71"/>
      <c r="D1506" s="106"/>
    </row>
    <row r="1507" spans="1:4" x14ac:dyDescent="0.2">
      <c r="A1507" s="71"/>
      <c r="B1507" s="71"/>
      <c r="C1507" s="71"/>
      <c r="D1507" s="106"/>
    </row>
    <row r="1508" spans="1:4" x14ac:dyDescent="0.2">
      <c r="A1508" s="71"/>
      <c r="B1508" s="71"/>
      <c r="C1508" s="71"/>
      <c r="D1508" s="106"/>
    </row>
    <row r="1509" spans="1:4" x14ac:dyDescent="0.2">
      <c r="A1509" s="71"/>
      <c r="B1509" s="71"/>
      <c r="C1509" s="71"/>
      <c r="D1509" s="106"/>
    </row>
    <row r="1510" spans="1:4" x14ac:dyDescent="0.2">
      <c r="A1510" s="71"/>
      <c r="B1510" s="71"/>
      <c r="C1510" s="71"/>
      <c r="D1510" s="106"/>
    </row>
    <row r="1511" spans="1:4" x14ac:dyDescent="0.2">
      <c r="A1511" s="71"/>
      <c r="B1511" s="71"/>
      <c r="C1511" s="71"/>
      <c r="D1511" s="106"/>
    </row>
    <row r="1512" spans="1:4" x14ac:dyDescent="0.2">
      <c r="A1512" s="71"/>
      <c r="B1512" s="71"/>
      <c r="C1512" s="71"/>
      <c r="D1512" s="106"/>
    </row>
    <row r="1513" spans="1:4" x14ac:dyDescent="0.2">
      <c r="A1513" s="71"/>
      <c r="B1513" s="71"/>
      <c r="C1513" s="71"/>
      <c r="D1513" s="106"/>
    </row>
    <row r="1514" spans="1:4" x14ac:dyDescent="0.2">
      <c r="A1514" s="71"/>
      <c r="B1514" s="71"/>
      <c r="C1514" s="71"/>
      <c r="D1514" s="106"/>
    </row>
    <row r="1515" spans="1:4" x14ac:dyDescent="0.2">
      <c r="A1515" s="71"/>
      <c r="B1515" s="71"/>
      <c r="C1515" s="71"/>
      <c r="D1515" s="106"/>
    </row>
    <row r="1516" spans="1:4" x14ac:dyDescent="0.2">
      <c r="A1516" s="71"/>
      <c r="B1516" s="71"/>
      <c r="C1516" s="71"/>
      <c r="D1516" s="106"/>
    </row>
    <row r="1517" spans="1:4" x14ac:dyDescent="0.2">
      <c r="A1517" s="71"/>
      <c r="B1517" s="71"/>
      <c r="C1517" s="71"/>
      <c r="D1517" s="106"/>
    </row>
    <row r="1518" spans="1:4" x14ac:dyDescent="0.2">
      <c r="A1518" s="71"/>
      <c r="B1518" s="71"/>
      <c r="C1518" s="71"/>
      <c r="D1518" s="106"/>
    </row>
    <row r="1519" spans="1:4" x14ac:dyDescent="0.2">
      <c r="A1519" s="71"/>
      <c r="B1519" s="71"/>
      <c r="C1519" s="71"/>
      <c r="D1519" s="106"/>
    </row>
    <row r="1520" spans="1:4" x14ac:dyDescent="0.2">
      <c r="A1520" s="71"/>
      <c r="B1520" s="71"/>
      <c r="C1520" s="71"/>
      <c r="D1520" s="106"/>
    </row>
    <row r="1521" spans="1:4" x14ac:dyDescent="0.2">
      <c r="A1521" s="71"/>
      <c r="B1521" s="71"/>
      <c r="C1521" s="71"/>
      <c r="D1521" s="106"/>
    </row>
    <row r="1522" spans="1:4" x14ac:dyDescent="0.2">
      <c r="A1522" s="71"/>
      <c r="B1522" s="71"/>
      <c r="C1522" s="71"/>
      <c r="D1522" s="106"/>
    </row>
    <row r="1523" spans="1:4" x14ac:dyDescent="0.2">
      <c r="A1523" s="71"/>
      <c r="B1523" s="71"/>
      <c r="C1523" s="71"/>
      <c r="D1523" s="106"/>
    </row>
    <row r="1524" spans="1:4" x14ac:dyDescent="0.2">
      <c r="A1524" s="71"/>
      <c r="B1524" s="71"/>
      <c r="C1524" s="71"/>
      <c r="D1524" s="106"/>
    </row>
    <row r="1525" spans="1:4" x14ac:dyDescent="0.2">
      <c r="A1525" s="71"/>
      <c r="B1525" s="71"/>
      <c r="C1525" s="71"/>
      <c r="D1525" s="106"/>
    </row>
    <row r="1526" spans="1:4" x14ac:dyDescent="0.2">
      <c r="A1526" s="71"/>
      <c r="B1526" s="71"/>
      <c r="C1526" s="71"/>
      <c r="D1526" s="106"/>
    </row>
    <row r="1527" spans="1:4" x14ac:dyDescent="0.2">
      <c r="A1527" s="71"/>
      <c r="B1527" s="71"/>
      <c r="C1527" s="71"/>
      <c r="D1527" s="106"/>
    </row>
    <row r="1528" spans="1:4" x14ac:dyDescent="0.2">
      <c r="A1528" s="71"/>
      <c r="B1528" s="71"/>
      <c r="C1528" s="71"/>
      <c r="D1528" s="106"/>
    </row>
    <row r="1529" spans="1:4" x14ac:dyDescent="0.2">
      <c r="A1529" s="71"/>
      <c r="B1529" s="71"/>
      <c r="C1529" s="71"/>
      <c r="D1529" s="106"/>
    </row>
    <row r="1530" spans="1:4" x14ac:dyDescent="0.2">
      <c r="A1530" s="71"/>
      <c r="B1530" s="71"/>
      <c r="C1530" s="71"/>
      <c r="D1530" s="106"/>
    </row>
    <row r="1531" spans="1:4" x14ac:dyDescent="0.2">
      <c r="A1531" s="71"/>
      <c r="B1531" s="71"/>
      <c r="C1531" s="71"/>
      <c r="D1531" s="106"/>
    </row>
    <row r="1532" spans="1:4" x14ac:dyDescent="0.2">
      <c r="A1532" s="71"/>
      <c r="B1532" s="71"/>
      <c r="C1532" s="71"/>
      <c r="D1532" s="106"/>
    </row>
    <row r="1533" spans="1:4" x14ac:dyDescent="0.2">
      <c r="A1533" s="71"/>
      <c r="B1533" s="71"/>
      <c r="C1533" s="71"/>
      <c r="D1533" s="106"/>
    </row>
    <row r="1534" spans="1:4" x14ac:dyDescent="0.2">
      <c r="A1534" s="71"/>
      <c r="B1534" s="71"/>
      <c r="C1534" s="71"/>
      <c r="D1534" s="106"/>
    </row>
    <row r="1535" spans="1:4" x14ac:dyDescent="0.2">
      <c r="A1535" s="71"/>
      <c r="B1535" s="71"/>
      <c r="C1535" s="71"/>
      <c r="D1535" s="106"/>
    </row>
    <row r="1536" spans="1:4" x14ac:dyDescent="0.2">
      <c r="A1536" s="71"/>
      <c r="B1536" s="71"/>
      <c r="C1536" s="71"/>
      <c r="D1536" s="106"/>
    </row>
    <row r="1537" spans="1:4" x14ac:dyDescent="0.2">
      <c r="A1537" s="71"/>
      <c r="B1537" s="71"/>
      <c r="C1537" s="71"/>
      <c r="D1537" s="106"/>
    </row>
    <row r="1538" spans="1:4" x14ac:dyDescent="0.2">
      <c r="A1538" s="71"/>
      <c r="B1538" s="71"/>
      <c r="C1538" s="71"/>
      <c r="D1538" s="106"/>
    </row>
    <row r="1539" spans="1:4" x14ac:dyDescent="0.2">
      <c r="A1539" s="71"/>
      <c r="B1539" s="71"/>
      <c r="C1539" s="71"/>
      <c r="D1539" s="106"/>
    </row>
    <row r="1540" spans="1:4" x14ac:dyDescent="0.2">
      <c r="A1540" s="71"/>
      <c r="B1540" s="71"/>
      <c r="C1540" s="71"/>
      <c r="D1540" s="106"/>
    </row>
    <row r="1541" spans="1:4" x14ac:dyDescent="0.2">
      <c r="A1541" s="71"/>
      <c r="B1541" s="71"/>
      <c r="C1541" s="71"/>
      <c r="D1541" s="106"/>
    </row>
    <row r="1542" spans="1:4" x14ac:dyDescent="0.2">
      <c r="A1542" s="71"/>
      <c r="B1542" s="71"/>
      <c r="C1542" s="71"/>
      <c r="D1542" s="106"/>
    </row>
    <row r="1543" spans="1:4" x14ac:dyDescent="0.2">
      <c r="A1543" s="71"/>
      <c r="B1543" s="71"/>
      <c r="C1543" s="71"/>
      <c r="D1543" s="106"/>
    </row>
    <row r="1544" spans="1:4" x14ac:dyDescent="0.2">
      <c r="A1544" s="71"/>
      <c r="B1544" s="71"/>
      <c r="C1544" s="71"/>
      <c r="D1544" s="106"/>
    </row>
    <row r="1545" spans="1:4" x14ac:dyDescent="0.2">
      <c r="A1545" s="71"/>
      <c r="B1545" s="71"/>
      <c r="C1545" s="71"/>
      <c r="D1545" s="106"/>
    </row>
    <row r="1546" spans="1:4" x14ac:dyDescent="0.2">
      <c r="A1546" s="71"/>
      <c r="B1546" s="71"/>
      <c r="C1546" s="71"/>
      <c r="D1546" s="106"/>
    </row>
    <row r="1547" spans="1:4" x14ac:dyDescent="0.2">
      <c r="A1547" s="71"/>
      <c r="B1547" s="71"/>
      <c r="C1547" s="71"/>
      <c r="D1547" s="106"/>
    </row>
    <row r="1548" spans="1:4" x14ac:dyDescent="0.2">
      <c r="A1548" s="71"/>
      <c r="B1548" s="71"/>
      <c r="C1548" s="71"/>
      <c r="D1548" s="106"/>
    </row>
    <row r="1549" spans="1:4" x14ac:dyDescent="0.2">
      <c r="A1549" s="71"/>
      <c r="B1549" s="71"/>
      <c r="C1549" s="71"/>
      <c r="D1549" s="106"/>
    </row>
    <row r="1550" spans="1:4" x14ac:dyDescent="0.2">
      <c r="A1550" s="71"/>
      <c r="B1550" s="71"/>
      <c r="C1550" s="71"/>
      <c r="D1550" s="106"/>
    </row>
    <row r="1551" spans="1:4" x14ac:dyDescent="0.2">
      <c r="A1551" s="71"/>
      <c r="B1551" s="71"/>
      <c r="C1551" s="71"/>
      <c r="D1551" s="106"/>
    </row>
    <row r="1552" spans="1:4" x14ac:dyDescent="0.2">
      <c r="A1552" s="71"/>
      <c r="B1552" s="71"/>
      <c r="C1552" s="71"/>
      <c r="D1552" s="106"/>
    </row>
    <row r="1553" spans="1:4" x14ac:dyDescent="0.2">
      <c r="A1553" s="71"/>
      <c r="B1553" s="71"/>
      <c r="C1553" s="71"/>
      <c r="D1553" s="106"/>
    </row>
    <row r="1554" spans="1:4" x14ac:dyDescent="0.2">
      <c r="A1554" s="71"/>
      <c r="B1554" s="71"/>
      <c r="C1554" s="71"/>
      <c r="D1554" s="106"/>
    </row>
    <row r="1555" spans="1:4" x14ac:dyDescent="0.2">
      <c r="A1555" s="71"/>
      <c r="B1555" s="71"/>
      <c r="C1555" s="71"/>
      <c r="D1555" s="106"/>
    </row>
    <row r="1556" spans="1:4" x14ac:dyDescent="0.2">
      <c r="A1556" s="71"/>
      <c r="B1556" s="71"/>
      <c r="C1556" s="71"/>
      <c r="D1556" s="106"/>
    </row>
    <row r="1557" spans="1:4" x14ac:dyDescent="0.2">
      <c r="A1557" s="71"/>
      <c r="B1557" s="71"/>
      <c r="C1557" s="71"/>
      <c r="D1557" s="106"/>
    </row>
    <row r="1558" spans="1:4" x14ac:dyDescent="0.2">
      <c r="A1558" s="71"/>
      <c r="B1558" s="71"/>
      <c r="C1558" s="71"/>
      <c r="D1558" s="106"/>
    </row>
    <row r="1559" spans="1:4" x14ac:dyDescent="0.2">
      <c r="A1559" s="71"/>
      <c r="B1559" s="71"/>
      <c r="C1559" s="71"/>
      <c r="D1559" s="106"/>
    </row>
    <row r="1560" spans="1:4" x14ac:dyDescent="0.2">
      <c r="A1560" s="71"/>
      <c r="B1560" s="71"/>
      <c r="C1560" s="71"/>
      <c r="D1560" s="106"/>
    </row>
    <row r="1561" spans="1:4" x14ac:dyDescent="0.2">
      <c r="A1561" s="71"/>
      <c r="B1561" s="71"/>
      <c r="C1561" s="71"/>
      <c r="D1561" s="106"/>
    </row>
    <row r="1562" spans="1:4" x14ac:dyDescent="0.2">
      <c r="A1562" s="71"/>
      <c r="B1562" s="71"/>
      <c r="C1562" s="71"/>
      <c r="D1562" s="106"/>
    </row>
    <row r="1563" spans="1:4" x14ac:dyDescent="0.2">
      <c r="A1563" s="71"/>
      <c r="B1563" s="71"/>
      <c r="C1563" s="71"/>
      <c r="D1563" s="106"/>
    </row>
    <row r="1564" spans="1:4" x14ac:dyDescent="0.2">
      <c r="A1564" s="71"/>
      <c r="B1564" s="71"/>
      <c r="C1564" s="71"/>
      <c r="D1564" s="106"/>
    </row>
    <row r="1565" spans="1:4" x14ac:dyDescent="0.2">
      <c r="A1565" s="71"/>
      <c r="B1565" s="71"/>
      <c r="C1565" s="71"/>
      <c r="D1565" s="106"/>
    </row>
    <row r="1566" spans="1:4" x14ac:dyDescent="0.2">
      <c r="A1566" s="71"/>
      <c r="B1566" s="71"/>
      <c r="C1566" s="71"/>
      <c r="D1566" s="106"/>
    </row>
    <row r="1567" spans="1:4" x14ac:dyDescent="0.2">
      <c r="A1567" s="71"/>
      <c r="B1567" s="71"/>
      <c r="C1567" s="71"/>
      <c r="D1567" s="106"/>
    </row>
    <row r="1568" spans="1:4" x14ac:dyDescent="0.2">
      <c r="A1568" s="71"/>
      <c r="B1568" s="71"/>
      <c r="C1568" s="71"/>
      <c r="D1568" s="106"/>
    </row>
    <row r="1569" spans="1:4" x14ac:dyDescent="0.2">
      <c r="A1569" s="71"/>
      <c r="B1569" s="71"/>
      <c r="C1569" s="71"/>
      <c r="D1569" s="106"/>
    </row>
    <row r="1570" spans="1:4" x14ac:dyDescent="0.2">
      <c r="A1570" s="71"/>
      <c r="B1570" s="71"/>
      <c r="C1570" s="71"/>
      <c r="D1570" s="106"/>
    </row>
    <row r="1571" spans="1:4" x14ac:dyDescent="0.2">
      <c r="A1571" s="71"/>
      <c r="B1571" s="71"/>
      <c r="C1571" s="71"/>
      <c r="D1571" s="106"/>
    </row>
    <row r="1572" spans="1:4" x14ac:dyDescent="0.2">
      <c r="A1572" s="71"/>
      <c r="B1572" s="71"/>
      <c r="C1572" s="71"/>
      <c r="D1572" s="106"/>
    </row>
    <row r="1573" spans="1:4" x14ac:dyDescent="0.2">
      <c r="A1573" s="71"/>
      <c r="B1573" s="71"/>
      <c r="C1573" s="71"/>
      <c r="D1573" s="106"/>
    </row>
    <row r="1574" spans="1:4" x14ac:dyDescent="0.2">
      <c r="A1574" s="71"/>
      <c r="B1574" s="71"/>
      <c r="C1574" s="71"/>
      <c r="D1574" s="106"/>
    </row>
    <row r="1575" spans="1:4" x14ac:dyDescent="0.2">
      <c r="A1575" s="71"/>
      <c r="B1575" s="71"/>
      <c r="C1575" s="71"/>
      <c r="D1575" s="106"/>
    </row>
    <row r="1576" spans="1:4" x14ac:dyDescent="0.2">
      <c r="A1576" s="71"/>
      <c r="B1576" s="71"/>
      <c r="C1576" s="71"/>
      <c r="D1576" s="106"/>
    </row>
    <row r="1577" spans="1:4" x14ac:dyDescent="0.2">
      <c r="A1577" s="71"/>
      <c r="B1577" s="71"/>
      <c r="C1577" s="71"/>
      <c r="D1577" s="106"/>
    </row>
    <row r="1578" spans="1:4" x14ac:dyDescent="0.2">
      <c r="A1578" s="71"/>
      <c r="B1578" s="71"/>
      <c r="C1578" s="71"/>
      <c r="D1578" s="106"/>
    </row>
    <row r="1579" spans="1:4" x14ac:dyDescent="0.2">
      <c r="A1579" s="71"/>
      <c r="B1579" s="71"/>
      <c r="C1579" s="71"/>
      <c r="D1579" s="106"/>
    </row>
    <row r="1580" spans="1:4" x14ac:dyDescent="0.2">
      <c r="A1580" s="71"/>
      <c r="B1580" s="71"/>
      <c r="C1580" s="71"/>
      <c r="D1580" s="106"/>
    </row>
    <row r="1581" spans="1:4" x14ac:dyDescent="0.2">
      <c r="A1581" s="71"/>
      <c r="B1581" s="71"/>
      <c r="C1581" s="71"/>
      <c r="D1581" s="106"/>
    </row>
    <row r="1582" spans="1:4" x14ac:dyDescent="0.2">
      <c r="A1582" s="71"/>
      <c r="B1582" s="71"/>
      <c r="C1582" s="71"/>
      <c r="D1582" s="106"/>
    </row>
    <row r="1583" spans="1:4" x14ac:dyDescent="0.2">
      <c r="A1583" s="71"/>
      <c r="B1583" s="71"/>
      <c r="C1583" s="71"/>
      <c r="D1583" s="106"/>
    </row>
    <row r="1584" spans="1:4" x14ac:dyDescent="0.2">
      <c r="A1584" s="71"/>
      <c r="B1584" s="71"/>
      <c r="C1584" s="71"/>
      <c r="D1584" s="106"/>
    </row>
    <row r="1585" spans="1:4" x14ac:dyDescent="0.2">
      <c r="A1585" s="71"/>
      <c r="B1585" s="71"/>
      <c r="C1585" s="71"/>
      <c r="D1585" s="106"/>
    </row>
    <row r="1586" spans="1:4" x14ac:dyDescent="0.2">
      <c r="A1586" s="71"/>
      <c r="B1586" s="71"/>
      <c r="C1586" s="71"/>
      <c r="D1586" s="106"/>
    </row>
    <row r="1587" spans="1:4" x14ac:dyDescent="0.2">
      <c r="A1587" s="71"/>
      <c r="B1587" s="71"/>
      <c r="C1587" s="71"/>
      <c r="D1587" s="106"/>
    </row>
    <row r="1588" spans="1:4" x14ac:dyDescent="0.2">
      <c r="A1588" s="71"/>
      <c r="B1588" s="71"/>
      <c r="C1588" s="71"/>
      <c r="D1588" s="106"/>
    </row>
    <row r="1589" spans="1:4" x14ac:dyDescent="0.2">
      <c r="A1589" s="71"/>
      <c r="B1589" s="71"/>
      <c r="C1589" s="71"/>
      <c r="D1589" s="106"/>
    </row>
    <row r="1590" spans="1:4" x14ac:dyDescent="0.2">
      <c r="A1590" s="71"/>
      <c r="B1590" s="71"/>
      <c r="C1590" s="71"/>
      <c r="D1590" s="106"/>
    </row>
    <row r="1591" spans="1:4" x14ac:dyDescent="0.2">
      <c r="A1591" s="71"/>
      <c r="B1591" s="71"/>
      <c r="C1591" s="71"/>
      <c r="D1591" s="106"/>
    </row>
    <row r="1592" spans="1:4" x14ac:dyDescent="0.2">
      <c r="A1592" s="71"/>
      <c r="B1592" s="71"/>
      <c r="C1592" s="71"/>
      <c r="D1592" s="106"/>
    </row>
    <row r="1593" spans="1:4" x14ac:dyDescent="0.2">
      <c r="A1593" s="71"/>
      <c r="B1593" s="71"/>
      <c r="C1593" s="71"/>
      <c r="D1593" s="106"/>
    </row>
    <row r="1594" spans="1:4" x14ac:dyDescent="0.2">
      <c r="A1594" s="71"/>
      <c r="B1594" s="71"/>
      <c r="C1594" s="71"/>
      <c r="D1594" s="106"/>
    </row>
    <row r="1595" spans="1:4" x14ac:dyDescent="0.2">
      <c r="A1595" s="71"/>
      <c r="B1595" s="71"/>
      <c r="C1595" s="71"/>
      <c r="D1595" s="106"/>
    </row>
    <row r="1596" spans="1:4" x14ac:dyDescent="0.2">
      <c r="A1596" s="71"/>
      <c r="B1596" s="71"/>
      <c r="C1596" s="71"/>
      <c r="D1596" s="106"/>
    </row>
    <row r="1597" spans="1:4" x14ac:dyDescent="0.2">
      <c r="A1597" s="71"/>
      <c r="B1597" s="71"/>
      <c r="C1597" s="71"/>
      <c r="D1597" s="106"/>
    </row>
    <row r="1598" spans="1:4" x14ac:dyDescent="0.2">
      <c r="A1598" s="71"/>
      <c r="B1598" s="71"/>
      <c r="C1598" s="71"/>
      <c r="D1598" s="106"/>
    </row>
    <row r="1599" spans="1:4" x14ac:dyDescent="0.2">
      <c r="A1599" s="71"/>
      <c r="B1599" s="71"/>
      <c r="C1599" s="71"/>
      <c r="D1599" s="106"/>
    </row>
    <row r="1600" spans="1:4" x14ac:dyDescent="0.2">
      <c r="A1600" s="71"/>
      <c r="B1600" s="71"/>
      <c r="C1600" s="71"/>
      <c r="D1600" s="106"/>
    </row>
    <row r="1601" spans="1:4" x14ac:dyDescent="0.2">
      <c r="A1601" s="71"/>
      <c r="B1601" s="71"/>
      <c r="C1601" s="71"/>
      <c r="D1601" s="106"/>
    </row>
    <row r="1602" spans="1:4" x14ac:dyDescent="0.2">
      <c r="A1602" s="71"/>
      <c r="B1602" s="71"/>
      <c r="C1602" s="71"/>
      <c r="D1602" s="106"/>
    </row>
    <row r="1603" spans="1:4" x14ac:dyDescent="0.2">
      <c r="A1603" s="71"/>
      <c r="B1603" s="71"/>
      <c r="C1603" s="71"/>
      <c r="D1603" s="106"/>
    </row>
    <row r="1604" spans="1:4" x14ac:dyDescent="0.2">
      <c r="A1604" s="71"/>
      <c r="B1604" s="71"/>
      <c r="C1604" s="71"/>
      <c r="D1604" s="106"/>
    </row>
    <row r="1605" spans="1:4" x14ac:dyDescent="0.2">
      <c r="A1605" s="71"/>
      <c r="B1605" s="71"/>
      <c r="C1605" s="71"/>
      <c r="D1605" s="106"/>
    </row>
    <row r="1606" spans="1:4" x14ac:dyDescent="0.2">
      <c r="A1606" s="71"/>
      <c r="B1606" s="71"/>
      <c r="C1606" s="71"/>
      <c r="D1606" s="106"/>
    </row>
    <row r="1607" spans="1:4" x14ac:dyDescent="0.2">
      <c r="A1607" s="71"/>
      <c r="B1607" s="71"/>
      <c r="C1607" s="71"/>
      <c r="D1607" s="106"/>
    </row>
    <row r="1608" spans="1:4" x14ac:dyDescent="0.2">
      <c r="A1608" s="71"/>
      <c r="B1608" s="71"/>
      <c r="C1608" s="71"/>
      <c r="D1608" s="106"/>
    </row>
    <row r="1609" spans="1:4" x14ac:dyDescent="0.2">
      <c r="A1609" s="71"/>
      <c r="B1609" s="71"/>
      <c r="C1609" s="71"/>
      <c r="D1609" s="106"/>
    </row>
    <row r="1610" spans="1:4" x14ac:dyDescent="0.2">
      <c r="A1610" s="71"/>
      <c r="B1610" s="71"/>
      <c r="C1610" s="71"/>
      <c r="D1610" s="106"/>
    </row>
    <row r="1611" spans="1:4" x14ac:dyDescent="0.2">
      <c r="A1611" s="71"/>
      <c r="B1611" s="71"/>
      <c r="C1611" s="71"/>
      <c r="D1611" s="106"/>
    </row>
    <row r="1612" spans="1:4" x14ac:dyDescent="0.2">
      <c r="A1612" s="71"/>
      <c r="B1612" s="71"/>
      <c r="C1612" s="71"/>
      <c r="D1612" s="106"/>
    </row>
    <row r="1613" spans="1:4" x14ac:dyDescent="0.2">
      <c r="A1613" s="71"/>
      <c r="B1613" s="71"/>
      <c r="C1613" s="71"/>
      <c r="D1613" s="106"/>
    </row>
    <row r="1614" spans="1:4" x14ac:dyDescent="0.2">
      <c r="A1614" s="71"/>
      <c r="B1614" s="71"/>
      <c r="C1614" s="71"/>
      <c r="D1614" s="106"/>
    </row>
    <row r="1615" spans="1:4" x14ac:dyDescent="0.2">
      <c r="A1615" s="71"/>
      <c r="B1615" s="71"/>
      <c r="C1615" s="71"/>
      <c r="D1615" s="106"/>
    </row>
    <row r="1616" spans="1:4" x14ac:dyDescent="0.2">
      <c r="A1616" s="71"/>
      <c r="B1616" s="71"/>
      <c r="C1616" s="71"/>
      <c r="D1616" s="106"/>
    </row>
    <row r="1617" spans="1:4" x14ac:dyDescent="0.2">
      <c r="A1617" s="71"/>
      <c r="B1617" s="71"/>
      <c r="C1617" s="71"/>
      <c r="D1617" s="106"/>
    </row>
    <row r="1618" spans="1:4" x14ac:dyDescent="0.2">
      <c r="A1618" s="71"/>
      <c r="B1618" s="71"/>
      <c r="C1618" s="71"/>
      <c r="D1618" s="106"/>
    </row>
    <row r="1619" spans="1:4" x14ac:dyDescent="0.2">
      <c r="A1619" s="71"/>
      <c r="B1619" s="71"/>
      <c r="C1619" s="71"/>
      <c r="D1619" s="106"/>
    </row>
    <row r="1620" spans="1:4" x14ac:dyDescent="0.2">
      <c r="A1620" s="71"/>
      <c r="B1620" s="71"/>
      <c r="C1620" s="71"/>
      <c r="D1620" s="106"/>
    </row>
    <row r="1621" spans="1:4" x14ac:dyDescent="0.2">
      <c r="A1621" s="71"/>
      <c r="B1621" s="71"/>
      <c r="C1621" s="71"/>
      <c r="D1621" s="106"/>
    </row>
    <row r="1622" spans="1:4" x14ac:dyDescent="0.2">
      <c r="A1622" s="71"/>
      <c r="B1622" s="71"/>
      <c r="C1622" s="71"/>
      <c r="D1622" s="106"/>
    </row>
    <row r="1623" spans="1:4" x14ac:dyDescent="0.2">
      <c r="A1623" s="71"/>
      <c r="B1623" s="71"/>
      <c r="C1623" s="71"/>
      <c r="D1623" s="106"/>
    </row>
    <row r="1624" spans="1:4" x14ac:dyDescent="0.2">
      <c r="A1624" s="71"/>
      <c r="B1624" s="71"/>
      <c r="C1624" s="71"/>
      <c r="D1624" s="106"/>
    </row>
    <row r="1625" spans="1:4" x14ac:dyDescent="0.2">
      <c r="A1625" s="71"/>
      <c r="B1625" s="71"/>
      <c r="C1625" s="71"/>
      <c r="D1625" s="106"/>
    </row>
    <row r="1626" spans="1:4" x14ac:dyDescent="0.2">
      <c r="A1626" s="71"/>
      <c r="B1626" s="71"/>
      <c r="C1626" s="71"/>
      <c r="D1626" s="106"/>
    </row>
    <row r="1627" spans="1:4" x14ac:dyDescent="0.2">
      <c r="A1627" s="71"/>
      <c r="B1627" s="71"/>
      <c r="C1627" s="71"/>
      <c r="D1627" s="106"/>
    </row>
    <row r="1628" spans="1:4" x14ac:dyDescent="0.2">
      <c r="A1628" s="71"/>
      <c r="B1628" s="71"/>
      <c r="C1628" s="71"/>
      <c r="D1628" s="106"/>
    </row>
    <row r="1629" spans="1:4" x14ac:dyDescent="0.2">
      <c r="A1629" s="71"/>
      <c r="B1629" s="71"/>
      <c r="C1629" s="71"/>
      <c r="D1629" s="106"/>
    </row>
    <row r="1630" spans="1:4" x14ac:dyDescent="0.2">
      <c r="A1630" s="71"/>
      <c r="B1630" s="71"/>
      <c r="C1630" s="71"/>
      <c r="D1630" s="106"/>
    </row>
    <row r="1631" spans="1:4" x14ac:dyDescent="0.2">
      <c r="A1631" s="71"/>
      <c r="B1631" s="71"/>
      <c r="C1631" s="71"/>
      <c r="D1631" s="106"/>
    </row>
    <row r="1632" spans="1:4" x14ac:dyDescent="0.2">
      <c r="A1632" s="71"/>
      <c r="B1632" s="71"/>
      <c r="C1632" s="71"/>
      <c r="D1632" s="106"/>
    </row>
    <row r="1633" spans="1:4" x14ac:dyDescent="0.2">
      <c r="A1633" s="71"/>
      <c r="B1633" s="71"/>
      <c r="C1633" s="71"/>
      <c r="D1633" s="106"/>
    </row>
    <row r="1634" spans="1:4" x14ac:dyDescent="0.2">
      <c r="A1634" s="71"/>
      <c r="B1634" s="71"/>
      <c r="C1634" s="71"/>
      <c r="D1634" s="106"/>
    </row>
    <row r="1635" spans="1:4" x14ac:dyDescent="0.2">
      <c r="A1635" s="71"/>
      <c r="B1635" s="71"/>
      <c r="C1635" s="71"/>
      <c r="D1635" s="106"/>
    </row>
    <row r="1636" spans="1:4" x14ac:dyDescent="0.2">
      <c r="A1636" s="71"/>
      <c r="B1636" s="71"/>
      <c r="C1636" s="71"/>
      <c r="D1636" s="106"/>
    </row>
    <row r="1637" spans="1:4" x14ac:dyDescent="0.2">
      <c r="A1637" s="71"/>
      <c r="B1637" s="71"/>
      <c r="C1637" s="71"/>
      <c r="D1637" s="106"/>
    </row>
    <row r="1638" spans="1:4" x14ac:dyDescent="0.2">
      <c r="A1638" s="71"/>
      <c r="B1638" s="71"/>
      <c r="C1638" s="71"/>
      <c r="D1638" s="106"/>
    </row>
    <row r="1639" spans="1:4" x14ac:dyDescent="0.2">
      <c r="A1639" s="71"/>
      <c r="B1639" s="71"/>
      <c r="C1639" s="71"/>
      <c r="D1639" s="106"/>
    </row>
    <row r="1640" spans="1:4" x14ac:dyDescent="0.2">
      <c r="A1640" s="71"/>
      <c r="B1640" s="71"/>
      <c r="C1640" s="71"/>
      <c r="D1640" s="106"/>
    </row>
    <row r="1641" spans="1:4" x14ac:dyDescent="0.2">
      <c r="A1641" s="71"/>
      <c r="B1641" s="71"/>
      <c r="C1641" s="71"/>
      <c r="D1641" s="106"/>
    </row>
    <row r="1642" spans="1:4" x14ac:dyDescent="0.2">
      <c r="A1642" s="71"/>
      <c r="B1642" s="71"/>
      <c r="C1642" s="71"/>
      <c r="D1642" s="106"/>
    </row>
    <row r="1643" spans="1:4" x14ac:dyDescent="0.2">
      <c r="A1643" s="71"/>
      <c r="B1643" s="71"/>
      <c r="C1643" s="71"/>
      <c r="D1643" s="106"/>
    </row>
    <row r="1644" spans="1:4" x14ac:dyDescent="0.2">
      <c r="A1644" s="71"/>
      <c r="B1644" s="71"/>
      <c r="C1644" s="71"/>
      <c r="D1644" s="106"/>
    </row>
    <row r="1645" spans="1:4" x14ac:dyDescent="0.2">
      <c r="A1645" s="71"/>
      <c r="B1645" s="71"/>
      <c r="C1645" s="71"/>
      <c r="D1645" s="106"/>
    </row>
    <row r="1646" spans="1:4" x14ac:dyDescent="0.2">
      <c r="A1646" s="71"/>
      <c r="B1646" s="71"/>
      <c r="C1646" s="71"/>
      <c r="D1646" s="106"/>
    </row>
  </sheetData>
  <autoFilter ref="A1:DH140" xr:uid="{05FBAB07-857E-4D80-A29E-D4A6627CEC27}">
    <filterColumn colId="0">
      <filters>
        <filter val="Improving Economic Resilience"/>
      </filters>
    </filterColumn>
  </autoFilter>
  <dataValidations count="2">
    <dataValidation type="list" allowBlank="1" showInputMessage="1" showErrorMessage="1" sqref="B2:B30 B100:B140" xr:uid="{7EA86C69-0DAF-4C6E-BCE1-75039461A356}">
      <formula1>PFChallenges</formula1>
    </dataValidation>
    <dataValidation type="list" allowBlank="1" showInputMessage="1" showErrorMessage="1" sqref="C2:C140" xr:uid="{32259DEC-8340-4E8F-8727-32CAF70A3919}">
      <formula1>Bottlenecks</formula1>
    </dataValidation>
  </dataValidations>
  <pageMargins left="0.7" right="0.7" top="0.75" bottom="0.75" header="0.3" footer="0.3"/>
  <pageSetup orientation="portrait" r:id="rId1"/>
  <headerFooter>
    <oddFooter>&amp;R_x000D_&amp;1#&amp;"Calibri"&amp;10&amp;K000000 Official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A2FB1-880B-4982-9C11-0A9B258B46D4}">
  <sheetPr>
    <tabColor theme="7" tint="0.79998168889431442"/>
  </sheetPr>
  <dimension ref="A1:CX1335"/>
  <sheetViews>
    <sheetView zoomScale="150" zoomScaleNormal="80" workbookViewId="0">
      <pane ySplit="1" topLeftCell="A26" activePane="bottomLeft" state="frozen"/>
      <selection activeCell="B3" sqref="B3"/>
      <selection pane="bottomLeft" activeCell="B21" sqref="B20:B21"/>
    </sheetView>
  </sheetViews>
  <sheetFormatPr baseColWidth="10" defaultColWidth="9" defaultRowHeight="15" x14ac:dyDescent="0.2"/>
  <cols>
    <col min="1" max="1" width="21" style="66" customWidth="1"/>
    <col min="2" max="2" width="19.5" style="66" customWidth="1"/>
    <col min="3" max="3" width="48.6640625" style="58" customWidth="1"/>
    <col min="4" max="4" width="93.6640625" style="58" customWidth="1"/>
    <col min="5" max="5" width="12.6640625" style="58" customWidth="1"/>
    <col min="6" max="6" width="10.33203125" style="58" customWidth="1"/>
    <col min="7" max="7" width="89.83203125" style="58" customWidth="1"/>
    <col min="8" max="8" width="19" style="58" customWidth="1"/>
    <col min="9" max="16384" width="9" style="66"/>
  </cols>
  <sheetData>
    <row r="1" spans="1:102" s="95" customFormat="1" ht="16" x14ac:dyDescent="0.2">
      <c r="A1" s="60" t="s">
        <v>14</v>
      </c>
      <c r="B1" s="61" t="s">
        <v>20</v>
      </c>
      <c r="C1" s="62" t="s">
        <v>273</v>
      </c>
      <c r="D1" s="62" t="s">
        <v>400</v>
      </c>
      <c r="E1" s="62" t="s">
        <v>401</v>
      </c>
      <c r="F1" s="62" t="s">
        <v>402</v>
      </c>
      <c r="G1" s="62" t="s">
        <v>403</v>
      </c>
      <c r="H1" s="117" t="s">
        <v>264</v>
      </c>
      <c r="I1" s="101"/>
      <c r="J1" s="101"/>
      <c r="K1" s="101"/>
      <c r="L1" s="101"/>
      <c r="M1" s="101"/>
      <c r="N1" s="101"/>
      <c r="O1" s="101"/>
      <c r="P1" s="101"/>
      <c r="Q1" s="101"/>
      <c r="R1" s="101"/>
      <c r="S1" s="101"/>
      <c r="T1" s="101"/>
      <c r="U1" s="101"/>
      <c r="V1" s="101"/>
      <c r="W1" s="101"/>
      <c r="X1" s="101"/>
      <c r="Y1" s="101"/>
      <c r="Z1" s="101"/>
      <c r="AA1" s="101"/>
      <c r="AB1" s="101"/>
      <c r="AC1" s="101"/>
      <c r="AD1" s="101"/>
      <c r="AE1" s="101"/>
      <c r="AF1" s="101"/>
      <c r="AG1" s="101"/>
      <c r="AH1" s="101"/>
      <c r="AI1" s="101"/>
      <c r="AJ1" s="101"/>
      <c r="AK1" s="101"/>
      <c r="AL1" s="101"/>
      <c r="AM1" s="101"/>
      <c r="AN1" s="101"/>
      <c r="AO1" s="101"/>
      <c r="AP1" s="101"/>
      <c r="AQ1" s="101"/>
      <c r="AR1" s="101"/>
      <c r="AS1" s="101"/>
      <c r="AT1" s="101"/>
      <c r="AU1" s="101"/>
      <c r="AV1" s="101"/>
      <c r="AW1" s="101"/>
      <c r="AX1" s="101"/>
      <c r="AY1" s="101"/>
      <c r="AZ1" s="101"/>
      <c r="BA1" s="101"/>
      <c r="BB1" s="101"/>
      <c r="BC1" s="101"/>
      <c r="BD1" s="101"/>
      <c r="BE1" s="101"/>
      <c r="BF1" s="101"/>
      <c r="BG1" s="101"/>
      <c r="BH1" s="101"/>
      <c r="BI1" s="101"/>
      <c r="BJ1" s="101"/>
      <c r="BK1" s="101"/>
      <c r="BL1" s="101"/>
      <c r="BM1" s="101"/>
      <c r="BN1" s="101"/>
      <c r="BO1" s="101"/>
      <c r="BP1" s="101"/>
      <c r="BQ1" s="101"/>
      <c r="BR1" s="101"/>
      <c r="BS1" s="101"/>
      <c r="BT1" s="101"/>
      <c r="BU1" s="101"/>
      <c r="BV1" s="101"/>
      <c r="BW1" s="101"/>
      <c r="BX1" s="101"/>
      <c r="BY1" s="101"/>
      <c r="BZ1" s="101"/>
      <c r="CA1" s="101"/>
      <c r="CB1" s="101"/>
      <c r="CC1" s="101"/>
      <c r="CD1" s="101"/>
      <c r="CE1" s="101"/>
      <c r="CF1" s="101"/>
      <c r="CG1" s="101"/>
      <c r="CH1" s="101"/>
      <c r="CI1" s="101"/>
      <c r="CJ1" s="101"/>
      <c r="CK1" s="101"/>
      <c r="CL1" s="101"/>
      <c r="CM1" s="101"/>
      <c r="CN1" s="101"/>
      <c r="CO1" s="101"/>
      <c r="CP1" s="101"/>
      <c r="CQ1" s="101"/>
      <c r="CR1" s="101"/>
      <c r="CS1" s="101"/>
      <c r="CT1" s="101"/>
      <c r="CU1" s="101"/>
      <c r="CV1" s="101"/>
      <c r="CW1" s="101"/>
      <c r="CX1" s="101"/>
    </row>
    <row r="2" spans="1:102" s="64" customFormat="1" ht="64" hidden="1" x14ac:dyDescent="0.2">
      <c r="A2" s="118" t="str">
        <f>'Roles - Outcome'!A2</f>
        <v>Eliminating Gender-Based Violence</v>
      </c>
      <c r="B2" s="58" t="str">
        <f>'Roles - Outcome'!C2</f>
        <v>A. Commitment to Feasible Policy</v>
      </c>
      <c r="C2" s="58" t="s">
        <v>274</v>
      </c>
      <c r="D2" s="58" t="s">
        <v>404</v>
      </c>
      <c r="E2" s="58" t="s">
        <v>405</v>
      </c>
      <c r="F2" s="58">
        <v>2019</v>
      </c>
      <c r="G2" s="78" t="s">
        <v>406</v>
      </c>
      <c r="H2" s="99" t="s">
        <v>266</v>
      </c>
    </row>
    <row r="3" spans="1:102" s="64" customFormat="1" ht="64" hidden="1" x14ac:dyDescent="0.2">
      <c r="A3" s="118" t="str">
        <f>'Roles - Outcome'!A3</f>
        <v>Eliminating Gender-Based Violence</v>
      </c>
      <c r="B3" s="58" t="str">
        <f>'Roles - Outcome'!C3</f>
        <v>A. Commitment to Feasible Policy</v>
      </c>
      <c r="C3" s="58" t="s">
        <v>275</v>
      </c>
      <c r="D3" s="58" t="s">
        <v>407</v>
      </c>
      <c r="E3" s="58" t="s">
        <v>408</v>
      </c>
      <c r="F3" s="58">
        <v>2018</v>
      </c>
      <c r="G3" s="78" t="s">
        <v>409</v>
      </c>
      <c r="H3" s="99" t="s">
        <v>266</v>
      </c>
    </row>
    <row r="4" spans="1:102" s="64" customFormat="1" ht="144" hidden="1" x14ac:dyDescent="0.2">
      <c r="A4" s="118" t="str">
        <f>'Roles - Outcome'!A4</f>
        <v>Eliminating Gender-Based Violence</v>
      </c>
      <c r="B4" s="58" t="s">
        <v>11</v>
      </c>
      <c r="C4" s="58" t="s">
        <v>276</v>
      </c>
      <c r="D4" s="58" t="s">
        <v>410</v>
      </c>
      <c r="E4" s="58" t="s">
        <v>411</v>
      </c>
      <c r="F4" s="58" t="s">
        <v>896</v>
      </c>
      <c r="G4" s="78" t="s">
        <v>412</v>
      </c>
      <c r="H4" s="99" t="s">
        <v>266</v>
      </c>
    </row>
    <row r="5" spans="1:102" s="64" customFormat="1" ht="64" hidden="1" x14ac:dyDescent="0.2">
      <c r="A5" s="118" t="str">
        <f>'Roles - Outcome'!A5</f>
        <v>Eliminating Gender-Based Violence</v>
      </c>
      <c r="B5" s="58" t="s">
        <v>11</v>
      </c>
      <c r="C5" s="58" t="s">
        <v>276</v>
      </c>
      <c r="D5" s="58" t="s">
        <v>413</v>
      </c>
      <c r="E5" s="58" t="s">
        <v>405</v>
      </c>
      <c r="F5" s="58">
        <v>2019</v>
      </c>
      <c r="G5" s="78" t="s">
        <v>414</v>
      </c>
      <c r="H5" s="99" t="s">
        <v>266</v>
      </c>
    </row>
    <row r="6" spans="1:102" s="64" customFormat="1" ht="64" hidden="1" x14ac:dyDescent="0.2">
      <c r="A6" s="118" t="str">
        <f>'Roles - Outcome'!A6</f>
        <v>Eliminating Gender-Based Violence</v>
      </c>
      <c r="B6" s="58" t="s">
        <v>11</v>
      </c>
      <c r="C6" s="58" t="s">
        <v>277</v>
      </c>
      <c r="D6" s="58" t="s">
        <v>415</v>
      </c>
      <c r="E6" s="58" t="s">
        <v>416</v>
      </c>
      <c r="F6" s="58">
        <v>2023</v>
      </c>
      <c r="G6" s="122" t="s">
        <v>417</v>
      </c>
      <c r="H6" s="99" t="s">
        <v>266</v>
      </c>
    </row>
    <row r="7" spans="1:102" s="64" customFormat="1" ht="64" hidden="1" x14ac:dyDescent="0.2">
      <c r="A7" s="118" t="str">
        <f>'Roles - Outcome'!A7</f>
        <v>Eliminating Gender-Based Violence</v>
      </c>
      <c r="B7" s="58" t="s">
        <v>11</v>
      </c>
      <c r="C7" s="58" t="s">
        <v>277</v>
      </c>
      <c r="D7" s="58" t="s">
        <v>418</v>
      </c>
      <c r="E7" s="58" t="s">
        <v>411</v>
      </c>
      <c r="F7" s="58" t="s">
        <v>419</v>
      </c>
      <c r="G7" s="122" t="s">
        <v>420</v>
      </c>
      <c r="H7" s="99" t="s">
        <v>266</v>
      </c>
    </row>
    <row r="8" spans="1:102" s="64" customFormat="1" ht="48" hidden="1" x14ac:dyDescent="0.2">
      <c r="A8" s="118" t="str">
        <f>'Roles - Outcome'!A8</f>
        <v>Eliminating Gender-Based Violence</v>
      </c>
      <c r="B8" s="58" t="s">
        <v>11</v>
      </c>
      <c r="C8" s="58" t="s">
        <v>277</v>
      </c>
      <c r="D8" s="65" t="s">
        <v>802</v>
      </c>
      <c r="E8" s="58" t="s">
        <v>421</v>
      </c>
      <c r="F8" s="58">
        <v>2021</v>
      </c>
      <c r="G8" s="78" t="s">
        <v>897</v>
      </c>
      <c r="H8" s="99" t="s">
        <v>266</v>
      </c>
    </row>
    <row r="9" spans="1:102" s="64" customFormat="1" ht="105" hidden="1" customHeight="1" x14ac:dyDescent="0.2">
      <c r="A9" s="118" t="str">
        <f>'Roles - Outcome'!A9</f>
        <v>Eliminating Gender-Based Violence</v>
      </c>
      <c r="B9" s="58" t="str">
        <f>'Roles - Outcome'!C7</f>
        <v>C. Effective Resource Mobilisation and Distribution</v>
      </c>
      <c r="C9" s="58" t="s">
        <v>278</v>
      </c>
      <c r="D9" s="58" t="s">
        <v>422</v>
      </c>
      <c r="E9" s="58" t="s">
        <v>405</v>
      </c>
      <c r="F9" s="58" t="s">
        <v>423</v>
      </c>
      <c r="G9" s="122" t="s">
        <v>414</v>
      </c>
      <c r="H9" s="99" t="s">
        <v>266</v>
      </c>
    </row>
    <row r="10" spans="1:102" s="64" customFormat="1" ht="112" hidden="1" x14ac:dyDescent="0.2">
      <c r="A10" s="118" t="str">
        <f>'Roles - Outcome'!A10</f>
        <v>Eliminating Gender-Based Violence</v>
      </c>
      <c r="B10" s="58" t="str">
        <f>'Roles - Outcome'!C6</f>
        <v>C. Effective Resource Mobilisation and Distribution</v>
      </c>
      <c r="C10" s="58" t="s">
        <v>278</v>
      </c>
      <c r="D10" s="65" t="s">
        <v>424</v>
      </c>
      <c r="E10" s="58" t="s">
        <v>421</v>
      </c>
      <c r="F10" s="58" t="s">
        <v>425</v>
      </c>
      <c r="G10" s="78" t="s">
        <v>898</v>
      </c>
      <c r="H10" s="99" t="s">
        <v>266</v>
      </c>
    </row>
    <row r="11" spans="1:102" s="64" customFormat="1" ht="112" hidden="1" x14ac:dyDescent="0.2">
      <c r="A11" s="118" t="s">
        <v>694</v>
      </c>
      <c r="B11" s="58" t="str">
        <f>'Roles - Outcome'!C7</f>
        <v>C. Effective Resource Mobilisation and Distribution</v>
      </c>
      <c r="C11" s="58" t="s">
        <v>279</v>
      </c>
      <c r="D11" s="58" t="s">
        <v>426</v>
      </c>
      <c r="E11" s="58" t="s">
        <v>427</v>
      </c>
      <c r="F11" s="58">
        <v>2023</v>
      </c>
      <c r="G11" s="78" t="s">
        <v>428</v>
      </c>
      <c r="H11" s="99" t="s">
        <v>266</v>
      </c>
    </row>
    <row r="12" spans="1:102" s="64" customFormat="1" ht="64" hidden="1" x14ac:dyDescent="0.2">
      <c r="A12" s="118" t="s">
        <v>694</v>
      </c>
      <c r="B12" s="58" t="s">
        <v>12</v>
      </c>
      <c r="C12" s="58" t="s">
        <v>279</v>
      </c>
      <c r="D12" s="58" t="s">
        <v>429</v>
      </c>
      <c r="E12" s="58" t="s">
        <v>430</v>
      </c>
      <c r="F12" s="58">
        <v>2021</v>
      </c>
      <c r="G12" s="122" t="s">
        <v>431</v>
      </c>
      <c r="H12" s="99" t="s">
        <v>266</v>
      </c>
    </row>
    <row r="13" spans="1:102" s="64" customFormat="1" ht="64" hidden="1" x14ac:dyDescent="0.2">
      <c r="A13" s="118" t="s">
        <v>694</v>
      </c>
      <c r="B13" s="58" t="str">
        <f>'Roles - Outcome'!C8</f>
        <v>C. Effective Resource Mobilisation and Distribution</v>
      </c>
      <c r="C13" s="58" t="s">
        <v>280</v>
      </c>
      <c r="D13" s="58" t="s">
        <v>432</v>
      </c>
      <c r="E13" s="58" t="s">
        <v>421</v>
      </c>
      <c r="F13" s="58">
        <v>2023</v>
      </c>
      <c r="G13" s="78" t="s">
        <v>433</v>
      </c>
      <c r="H13" s="99" t="s">
        <v>266</v>
      </c>
    </row>
    <row r="14" spans="1:102" s="64" customFormat="1" ht="64" hidden="1" x14ac:dyDescent="0.2">
      <c r="A14" s="118" t="s">
        <v>694</v>
      </c>
      <c r="B14" s="58" t="s">
        <v>13</v>
      </c>
      <c r="C14" s="58" t="s">
        <v>281</v>
      </c>
      <c r="D14" s="58" t="s">
        <v>434</v>
      </c>
      <c r="E14" s="58" t="s">
        <v>405</v>
      </c>
      <c r="F14" s="58">
        <v>2019</v>
      </c>
      <c r="G14" s="122" t="s">
        <v>414</v>
      </c>
      <c r="H14" s="99" t="s">
        <v>266</v>
      </c>
    </row>
    <row r="15" spans="1:102" s="64" customFormat="1" ht="128" hidden="1" x14ac:dyDescent="0.2">
      <c r="A15" s="118" t="s">
        <v>694</v>
      </c>
      <c r="B15" s="58" t="str">
        <f>'Roles - Outcome'!C9</f>
        <v>D. Performance &amp; Accountability in Delivery</v>
      </c>
      <c r="C15" s="58" t="s">
        <v>281</v>
      </c>
      <c r="D15" s="58" t="s">
        <v>435</v>
      </c>
      <c r="E15" s="58" t="s">
        <v>436</v>
      </c>
      <c r="F15" s="58">
        <v>2021</v>
      </c>
      <c r="G15" s="78" t="s">
        <v>437</v>
      </c>
      <c r="H15" s="99" t="s">
        <v>266</v>
      </c>
    </row>
    <row r="16" spans="1:102" s="64" customFormat="1" ht="48" hidden="1" x14ac:dyDescent="0.2">
      <c r="A16" s="118" t="s">
        <v>694</v>
      </c>
      <c r="B16" s="58" t="s">
        <v>13</v>
      </c>
      <c r="C16" s="58" t="s">
        <v>281</v>
      </c>
      <c r="D16" s="58" t="s">
        <v>438</v>
      </c>
      <c r="E16" s="58" t="s">
        <v>436</v>
      </c>
      <c r="F16" s="58">
        <v>2011</v>
      </c>
      <c r="G16" s="122" t="s">
        <v>439</v>
      </c>
      <c r="H16" s="99" t="s">
        <v>266</v>
      </c>
    </row>
    <row r="17" spans="1:102" s="64" customFormat="1" ht="80" hidden="1" x14ac:dyDescent="0.2">
      <c r="A17" s="118" t="s">
        <v>694</v>
      </c>
      <c r="B17" s="58" t="str">
        <f>'Roles - Outcome'!C10</f>
        <v>D. Performance &amp; Accountability in Delivery</v>
      </c>
      <c r="C17" s="58" t="s">
        <v>282</v>
      </c>
      <c r="D17" s="58" t="s">
        <v>440</v>
      </c>
      <c r="E17" s="58" t="s">
        <v>441</v>
      </c>
      <c r="F17" s="58">
        <v>2020</v>
      </c>
      <c r="G17" s="78" t="s">
        <v>442</v>
      </c>
      <c r="H17" s="99" t="s">
        <v>266</v>
      </c>
    </row>
    <row r="18" spans="1:102" s="58" customFormat="1" ht="224" hidden="1" x14ac:dyDescent="0.2">
      <c r="A18" s="118" t="s">
        <v>283</v>
      </c>
      <c r="B18" s="58" t="str">
        <f>'Roles - Outcome'!C11</f>
        <v>A. Commitment to Feasible Policy</v>
      </c>
      <c r="C18" s="59" t="s">
        <v>284</v>
      </c>
      <c r="D18" s="59" t="s">
        <v>443</v>
      </c>
      <c r="E18" s="59" t="s">
        <v>444</v>
      </c>
      <c r="F18" s="59" t="s">
        <v>873</v>
      </c>
      <c r="G18" s="84" t="s">
        <v>445</v>
      </c>
      <c r="H18" s="99" t="s">
        <v>266</v>
      </c>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102"/>
      <c r="BH18" s="102"/>
      <c r="BI18" s="102"/>
      <c r="BJ18" s="102"/>
      <c r="BK18" s="102"/>
      <c r="BL18" s="102"/>
      <c r="BM18" s="102"/>
      <c r="BN18" s="102"/>
      <c r="BO18" s="102"/>
      <c r="BP18" s="102"/>
      <c r="BQ18" s="102"/>
      <c r="BR18" s="102"/>
      <c r="BS18" s="102"/>
      <c r="BT18" s="102"/>
      <c r="BU18" s="102"/>
      <c r="BV18" s="102"/>
      <c r="BW18" s="102"/>
      <c r="BX18" s="102"/>
      <c r="BY18" s="102"/>
      <c r="BZ18" s="102"/>
      <c r="CA18" s="102"/>
      <c r="CB18" s="102"/>
      <c r="CC18" s="102"/>
      <c r="CD18" s="102"/>
      <c r="CE18" s="102"/>
      <c r="CF18" s="102"/>
      <c r="CG18" s="102"/>
      <c r="CH18" s="102"/>
      <c r="CI18" s="102"/>
      <c r="CJ18" s="102"/>
      <c r="CK18" s="102"/>
      <c r="CL18" s="102"/>
      <c r="CM18" s="102"/>
      <c r="CN18" s="102"/>
      <c r="CO18" s="102"/>
      <c r="CP18" s="102"/>
      <c r="CQ18" s="102"/>
      <c r="CR18" s="102"/>
      <c r="CS18" s="102"/>
      <c r="CT18" s="102"/>
      <c r="CU18" s="102"/>
      <c r="CV18" s="102"/>
      <c r="CW18" s="102"/>
      <c r="CX18" s="102"/>
    </row>
    <row r="19" spans="1:102" s="58" customFormat="1" ht="192" hidden="1" x14ac:dyDescent="0.2">
      <c r="A19" s="118" t="s">
        <v>283</v>
      </c>
      <c r="B19" s="58" t="str">
        <f>'Roles - Outcome'!C12</f>
        <v>A. Commitment to Feasible Policy</v>
      </c>
      <c r="C19" s="59" t="s">
        <v>285</v>
      </c>
      <c r="D19" s="59" t="s">
        <v>446</v>
      </c>
      <c r="E19" s="59" t="s">
        <v>447</v>
      </c>
      <c r="F19" s="59">
        <v>2010</v>
      </c>
      <c r="G19" s="84" t="s">
        <v>448</v>
      </c>
      <c r="H19" s="99" t="s">
        <v>266</v>
      </c>
      <c r="I19" s="102"/>
      <c r="J19" s="102"/>
      <c r="K19" s="102"/>
      <c r="L19" s="102"/>
      <c r="M19" s="102"/>
      <c r="N19" s="102"/>
      <c r="O19" s="102"/>
      <c r="P19" s="102"/>
      <c r="Q19" s="102"/>
      <c r="R19" s="102"/>
      <c r="S19" s="102"/>
      <c r="T19" s="102"/>
      <c r="U19" s="102"/>
      <c r="V19" s="102"/>
      <c r="W19" s="102"/>
      <c r="X19" s="102"/>
      <c r="Y19" s="102"/>
      <c r="Z19" s="102"/>
      <c r="AA19" s="102"/>
      <c r="AB19" s="102"/>
      <c r="AC19" s="102"/>
      <c r="AD19" s="102"/>
      <c r="AE19" s="102"/>
      <c r="AF19" s="102"/>
      <c r="AG19" s="102"/>
      <c r="AH19" s="102"/>
      <c r="AI19" s="102"/>
      <c r="AJ19" s="102"/>
      <c r="AK19" s="102"/>
      <c r="AL19" s="102"/>
      <c r="AM19" s="102"/>
      <c r="AN19" s="102"/>
      <c r="AO19" s="102"/>
      <c r="AP19" s="102"/>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02"/>
      <c r="BW19" s="102"/>
      <c r="BX19" s="102"/>
      <c r="BY19" s="102"/>
      <c r="BZ19" s="102"/>
      <c r="CA19" s="102"/>
      <c r="CB19" s="102"/>
      <c r="CC19" s="102"/>
      <c r="CD19" s="102"/>
      <c r="CE19" s="102"/>
      <c r="CF19" s="102"/>
      <c r="CG19" s="102"/>
      <c r="CH19" s="102"/>
      <c r="CI19" s="102"/>
      <c r="CJ19" s="102"/>
      <c r="CK19" s="102"/>
      <c r="CL19" s="102"/>
      <c r="CM19" s="102"/>
      <c r="CN19" s="102"/>
      <c r="CO19" s="102"/>
      <c r="CP19" s="102"/>
      <c r="CQ19" s="102"/>
      <c r="CR19" s="102"/>
      <c r="CS19" s="102"/>
      <c r="CT19" s="102"/>
      <c r="CU19" s="102"/>
      <c r="CV19" s="102"/>
      <c r="CW19" s="102"/>
      <c r="CX19" s="102"/>
    </row>
    <row r="20" spans="1:102" s="58" customFormat="1" ht="176" hidden="1" x14ac:dyDescent="0.2">
      <c r="A20" s="118" t="s">
        <v>283</v>
      </c>
      <c r="B20" s="58" t="str">
        <f>'Roles - Outcome'!C13</f>
        <v>B. Fiscal Sustainability</v>
      </c>
      <c r="C20" s="59" t="s">
        <v>286</v>
      </c>
      <c r="D20" s="68" t="s">
        <v>449</v>
      </c>
      <c r="E20" s="59" t="s">
        <v>450</v>
      </c>
      <c r="F20" s="59" t="s">
        <v>909</v>
      </c>
      <c r="G20" s="123" t="s">
        <v>451</v>
      </c>
      <c r="H20" s="99" t="s">
        <v>266</v>
      </c>
      <c r="I20" s="102"/>
      <c r="J20" s="102"/>
      <c r="K20" s="102"/>
      <c r="L20" s="102"/>
      <c r="M20" s="102"/>
      <c r="N20" s="102"/>
      <c r="O20" s="102"/>
      <c r="P20" s="102"/>
      <c r="Q20" s="102"/>
      <c r="R20" s="102"/>
      <c r="S20" s="102"/>
      <c r="T20" s="102"/>
      <c r="U20" s="102"/>
      <c r="V20" s="102"/>
      <c r="W20" s="102"/>
      <c r="X20" s="102"/>
      <c r="Y20" s="102"/>
      <c r="Z20" s="102"/>
      <c r="AA20" s="102"/>
      <c r="AB20" s="102"/>
      <c r="AC20" s="102"/>
      <c r="AD20" s="102"/>
      <c r="AE20" s="102"/>
      <c r="AF20" s="102"/>
      <c r="AG20" s="102"/>
      <c r="AH20" s="102"/>
      <c r="AI20" s="102"/>
      <c r="AJ20" s="102"/>
      <c r="AK20" s="102"/>
      <c r="AL20" s="102"/>
      <c r="AM20" s="102"/>
      <c r="AN20" s="102"/>
      <c r="AO20" s="102"/>
      <c r="AP20" s="102"/>
      <c r="AQ20" s="102"/>
      <c r="AR20" s="102"/>
      <c r="AS20" s="102"/>
      <c r="AT20" s="102"/>
      <c r="AU20" s="102"/>
      <c r="AV20" s="102"/>
      <c r="AW20" s="102"/>
      <c r="AX20" s="102"/>
      <c r="AY20" s="102"/>
      <c r="AZ20" s="102"/>
      <c r="BA20" s="102"/>
      <c r="BB20" s="102"/>
      <c r="BC20" s="102"/>
      <c r="BD20" s="102"/>
      <c r="BE20" s="102"/>
      <c r="BF20" s="102"/>
      <c r="BG20" s="102"/>
      <c r="BH20" s="102"/>
      <c r="BI20" s="102"/>
      <c r="BJ20" s="102"/>
      <c r="BK20" s="102"/>
      <c r="BL20" s="102"/>
      <c r="BM20" s="102"/>
      <c r="BN20" s="102"/>
      <c r="BO20" s="102"/>
      <c r="BP20" s="102"/>
      <c r="BQ20" s="102"/>
      <c r="BR20" s="102"/>
      <c r="BS20" s="102"/>
      <c r="BT20" s="102"/>
      <c r="BU20" s="102"/>
      <c r="BV20" s="102"/>
      <c r="BW20" s="102"/>
      <c r="BX20" s="102"/>
      <c r="BY20" s="102"/>
      <c r="BZ20" s="102"/>
      <c r="CA20" s="102"/>
      <c r="CB20" s="102"/>
      <c r="CC20" s="102"/>
      <c r="CD20" s="102"/>
      <c r="CE20" s="102"/>
      <c r="CF20" s="102"/>
      <c r="CG20" s="102"/>
      <c r="CH20" s="102"/>
      <c r="CI20" s="102"/>
      <c r="CJ20" s="102"/>
      <c r="CK20" s="102"/>
      <c r="CL20" s="102"/>
      <c r="CM20" s="102"/>
      <c r="CN20" s="102"/>
      <c r="CO20" s="102"/>
      <c r="CP20" s="102"/>
      <c r="CQ20" s="102"/>
      <c r="CR20" s="102"/>
      <c r="CS20" s="102"/>
      <c r="CT20" s="102"/>
      <c r="CU20" s="102"/>
      <c r="CV20" s="102"/>
      <c r="CW20" s="102"/>
      <c r="CX20" s="102"/>
    </row>
    <row r="21" spans="1:102" s="58" customFormat="1" ht="192" hidden="1" x14ac:dyDescent="0.2">
      <c r="A21" s="118" t="s">
        <v>283</v>
      </c>
      <c r="B21" s="58" t="str">
        <f>'Roles - Outcome'!C14</f>
        <v>B. Fiscal Sustainability</v>
      </c>
      <c r="C21" s="59" t="s">
        <v>287</v>
      </c>
      <c r="D21" s="59" t="s">
        <v>452</v>
      </c>
      <c r="E21" s="59" t="s">
        <v>447</v>
      </c>
      <c r="F21" s="59" t="s">
        <v>453</v>
      </c>
      <c r="G21" s="124" t="s">
        <v>454</v>
      </c>
      <c r="H21" s="99" t="s">
        <v>266</v>
      </c>
      <c r="I21" s="102"/>
      <c r="J21" s="102"/>
      <c r="K21" s="102"/>
      <c r="L21" s="102"/>
      <c r="M21" s="102"/>
      <c r="N21" s="102"/>
      <c r="O21" s="102"/>
      <c r="P21" s="102"/>
      <c r="Q21" s="102"/>
      <c r="R21" s="102"/>
      <c r="S21" s="102"/>
      <c r="T21" s="102"/>
      <c r="U21" s="102"/>
      <c r="V21" s="102"/>
      <c r="W21" s="102"/>
      <c r="X21" s="102"/>
      <c r="Y21" s="102"/>
      <c r="Z21" s="102"/>
      <c r="AA21" s="102"/>
      <c r="AB21" s="102"/>
      <c r="AC21" s="102"/>
      <c r="AD21" s="102"/>
      <c r="AE21" s="102"/>
      <c r="AF21" s="102"/>
      <c r="AG21" s="102"/>
      <c r="AH21" s="102"/>
      <c r="AI21" s="102"/>
      <c r="AJ21" s="102"/>
      <c r="AK21" s="102"/>
      <c r="AL21" s="102"/>
      <c r="AM21" s="102"/>
      <c r="AN21" s="102"/>
      <c r="AO21" s="102"/>
      <c r="AP21" s="102"/>
      <c r="AQ21" s="102"/>
      <c r="AR21" s="102"/>
      <c r="AS21" s="102"/>
      <c r="AT21" s="102"/>
      <c r="AU21" s="102"/>
      <c r="AV21" s="102"/>
      <c r="AW21" s="102"/>
      <c r="AX21" s="102"/>
      <c r="AY21" s="102"/>
      <c r="AZ21" s="102"/>
      <c r="BA21" s="102"/>
      <c r="BB21" s="102"/>
      <c r="BC21" s="102"/>
      <c r="BD21" s="102"/>
      <c r="BE21" s="102"/>
      <c r="BF21" s="102"/>
      <c r="BG21" s="102"/>
      <c r="BH21" s="102"/>
      <c r="BI21" s="102"/>
      <c r="BJ21" s="102"/>
      <c r="BK21" s="102"/>
      <c r="BL21" s="102"/>
      <c r="BM21" s="102"/>
      <c r="BN21" s="102"/>
      <c r="BO21" s="102"/>
      <c r="BP21" s="102"/>
      <c r="BQ21" s="102"/>
      <c r="BR21" s="102"/>
      <c r="BS21" s="102"/>
      <c r="BT21" s="102"/>
      <c r="BU21" s="102"/>
      <c r="BV21" s="102"/>
      <c r="BW21" s="102"/>
      <c r="BX21" s="102"/>
      <c r="BY21" s="102"/>
      <c r="BZ21" s="102"/>
      <c r="CA21" s="102"/>
      <c r="CB21" s="102"/>
      <c r="CC21" s="102"/>
      <c r="CD21" s="102"/>
      <c r="CE21" s="102"/>
      <c r="CF21" s="102"/>
      <c r="CG21" s="102"/>
      <c r="CH21" s="102"/>
      <c r="CI21" s="102"/>
      <c r="CJ21" s="102"/>
      <c r="CK21" s="102"/>
      <c r="CL21" s="102"/>
      <c r="CM21" s="102"/>
      <c r="CN21" s="102"/>
      <c r="CO21" s="102"/>
      <c r="CP21" s="102"/>
      <c r="CQ21" s="102"/>
      <c r="CR21" s="102"/>
      <c r="CS21" s="102"/>
      <c r="CT21" s="102"/>
      <c r="CU21" s="102"/>
      <c r="CV21" s="102"/>
      <c r="CW21" s="102"/>
      <c r="CX21" s="102"/>
    </row>
    <row r="22" spans="1:102" s="58" customFormat="1" ht="240" hidden="1" x14ac:dyDescent="0.2">
      <c r="A22" s="118" t="s">
        <v>283</v>
      </c>
      <c r="B22" s="58" t="str">
        <f>'Roles - Outcome'!C15</f>
        <v>C. Effective Resource Mobilisation and Distribution</v>
      </c>
      <c r="C22" s="59" t="s">
        <v>288</v>
      </c>
      <c r="D22" s="59" t="s">
        <v>455</v>
      </c>
      <c r="E22" s="59" t="s">
        <v>456</v>
      </c>
      <c r="F22" s="59" t="s">
        <v>457</v>
      </c>
      <c r="G22" s="123" t="s">
        <v>458</v>
      </c>
      <c r="H22" s="99" t="s">
        <v>266</v>
      </c>
      <c r="I22" s="102"/>
      <c r="J22" s="102"/>
      <c r="K22" s="102"/>
      <c r="L22" s="102"/>
      <c r="M22" s="102"/>
      <c r="N22" s="102"/>
      <c r="O22" s="102"/>
      <c r="P22" s="102"/>
      <c r="Q22" s="102"/>
      <c r="R22" s="102"/>
      <c r="S22" s="102"/>
      <c r="T22" s="102"/>
      <c r="U22" s="102"/>
      <c r="V22" s="102"/>
      <c r="W22" s="102"/>
      <c r="X22" s="102"/>
      <c r="Y22" s="102"/>
      <c r="Z22" s="102"/>
      <c r="AA22" s="102"/>
      <c r="AB22" s="102"/>
      <c r="AC22" s="102"/>
      <c r="AD22" s="102"/>
      <c r="AE22" s="102"/>
      <c r="AF22" s="102"/>
      <c r="AG22" s="102"/>
      <c r="AH22" s="102"/>
      <c r="AI22" s="102"/>
      <c r="AJ22" s="102"/>
      <c r="AK22" s="102"/>
      <c r="AL22" s="102"/>
      <c r="AM22" s="102"/>
      <c r="AN22" s="102"/>
      <c r="AO22" s="102"/>
      <c r="AP22" s="102"/>
      <c r="AQ22" s="102"/>
      <c r="AR22" s="102"/>
      <c r="AS22" s="102"/>
      <c r="AT22" s="102"/>
      <c r="AU22" s="102"/>
      <c r="AV22" s="102"/>
      <c r="AW22" s="102"/>
      <c r="AX22" s="102"/>
      <c r="AY22" s="102"/>
      <c r="AZ22" s="102"/>
      <c r="BA22" s="102"/>
      <c r="BB22" s="102"/>
      <c r="BC22" s="102"/>
      <c r="BD22" s="102"/>
      <c r="BE22" s="102"/>
      <c r="BF22" s="102"/>
      <c r="BG22" s="102"/>
      <c r="BH22" s="102"/>
      <c r="BI22" s="102"/>
      <c r="BJ22" s="102"/>
      <c r="BK22" s="102"/>
      <c r="BL22" s="102"/>
      <c r="BM22" s="102"/>
      <c r="BN22" s="102"/>
      <c r="BO22" s="102"/>
      <c r="BP22" s="102"/>
      <c r="BQ22" s="102"/>
      <c r="BR22" s="102"/>
      <c r="BS22" s="102"/>
      <c r="BT22" s="102"/>
      <c r="BU22" s="102"/>
      <c r="BV22" s="102"/>
      <c r="BW22" s="102"/>
      <c r="BX22" s="102"/>
      <c r="BY22" s="102"/>
      <c r="BZ22" s="102"/>
      <c r="CA22" s="102"/>
      <c r="CB22" s="102"/>
      <c r="CC22" s="102"/>
      <c r="CD22" s="102"/>
      <c r="CE22" s="102"/>
      <c r="CF22" s="102"/>
      <c r="CG22" s="102"/>
      <c r="CH22" s="102"/>
      <c r="CI22" s="102"/>
      <c r="CJ22" s="102"/>
      <c r="CK22" s="102"/>
      <c r="CL22" s="102"/>
      <c r="CM22" s="102"/>
      <c r="CN22" s="102"/>
      <c r="CO22" s="102"/>
      <c r="CP22" s="102"/>
      <c r="CQ22" s="102"/>
      <c r="CR22" s="102"/>
      <c r="CS22" s="102"/>
      <c r="CT22" s="102"/>
      <c r="CU22" s="102"/>
      <c r="CV22" s="102"/>
      <c r="CW22" s="102"/>
      <c r="CX22" s="102"/>
    </row>
    <row r="23" spans="1:102" s="58" customFormat="1" ht="272" hidden="1" x14ac:dyDescent="0.2">
      <c r="A23" s="118" t="s">
        <v>283</v>
      </c>
      <c r="B23" s="58" t="str">
        <f>'Roles - Outcome'!C16</f>
        <v>C. Effective Resource Mobilisation and Distribution</v>
      </c>
      <c r="C23" s="59" t="s">
        <v>289</v>
      </c>
      <c r="D23" s="59" t="s">
        <v>459</v>
      </c>
      <c r="E23" s="59" t="s">
        <v>436</v>
      </c>
      <c r="F23" s="59">
        <v>2023</v>
      </c>
      <c r="G23" s="84" t="s">
        <v>460</v>
      </c>
      <c r="H23" s="99" t="s">
        <v>266</v>
      </c>
      <c r="I23" s="102"/>
      <c r="J23" s="102"/>
      <c r="K23" s="102"/>
      <c r="L23" s="102"/>
      <c r="M23" s="102"/>
      <c r="N23" s="102"/>
      <c r="O23" s="102"/>
      <c r="P23" s="102"/>
      <c r="Q23" s="102"/>
      <c r="R23" s="102"/>
      <c r="S23" s="102"/>
      <c r="T23" s="102"/>
      <c r="U23" s="102"/>
      <c r="V23" s="102"/>
      <c r="W23" s="102"/>
      <c r="X23" s="102"/>
      <c r="Y23" s="102"/>
      <c r="Z23" s="102"/>
      <c r="AA23" s="102"/>
      <c r="AB23" s="102"/>
      <c r="AC23" s="102"/>
      <c r="AD23" s="102"/>
      <c r="AE23" s="102"/>
      <c r="AF23" s="102"/>
      <c r="AG23" s="102"/>
      <c r="AH23" s="102"/>
      <c r="AI23" s="102"/>
      <c r="AJ23" s="102"/>
      <c r="AK23" s="102"/>
      <c r="AL23" s="102"/>
      <c r="AM23" s="102"/>
      <c r="AN23" s="102"/>
      <c r="AO23" s="102"/>
      <c r="AP23" s="102"/>
      <c r="AQ23" s="102"/>
      <c r="AR23" s="102"/>
      <c r="AS23" s="102"/>
      <c r="AT23" s="102"/>
      <c r="AU23" s="102"/>
      <c r="AV23" s="102"/>
      <c r="AW23" s="102"/>
      <c r="AX23" s="102"/>
      <c r="AY23" s="102"/>
      <c r="AZ23" s="102"/>
      <c r="BA23" s="102"/>
      <c r="BB23" s="102"/>
      <c r="BC23" s="102"/>
      <c r="BD23" s="102"/>
      <c r="BE23" s="102"/>
      <c r="BF23" s="102"/>
      <c r="BG23" s="102"/>
      <c r="BH23" s="102"/>
      <c r="BI23" s="102"/>
      <c r="BJ23" s="102"/>
      <c r="BK23" s="102"/>
      <c r="BL23" s="102"/>
      <c r="BM23" s="102"/>
      <c r="BN23" s="102"/>
      <c r="BO23" s="102"/>
      <c r="BP23" s="102"/>
      <c r="BQ23" s="102"/>
      <c r="BR23" s="102"/>
      <c r="BS23" s="102"/>
      <c r="BT23" s="102"/>
      <c r="BU23" s="102"/>
      <c r="BV23" s="102"/>
      <c r="BW23" s="102"/>
      <c r="BX23" s="102"/>
      <c r="BY23" s="102"/>
      <c r="BZ23" s="102"/>
      <c r="CA23" s="102"/>
      <c r="CB23" s="102"/>
      <c r="CC23" s="102"/>
      <c r="CD23" s="102"/>
      <c r="CE23" s="102"/>
      <c r="CF23" s="102"/>
      <c r="CG23" s="102"/>
      <c r="CH23" s="102"/>
      <c r="CI23" s="102"/>
      <c r="CJ23" s="102"/>
      <c r="CK23" s="102"/>
      <c r="CL23" s="102"/>
      <c r="CM23" s="102"/>
      <c r="CN23" s="102"/>
      <c r="CO23" s="102"/>
      <c r="CP23" s="102"/>
      <c r="CQ23" s="102"/>
      <c r="CR23" s="102"/>
      <c r="CS23" s="102"/>
      <c r="CT23" s="102"/>
      <c r="CU23" s="102"/>
      <c r="CV23" s="102"/>
      <c r="CW23" s="102"/>
      <c r="CX23" s="102"/>
    </row>
    <row r="24" spans="1:102" s="58" customFormat="1" ht="160" hidden="1" x14ac:dyDescent="0.2">
      <c r="A24" s="118" t="s">
        <v>283</v>
      </c>
      <c r="B24" s="58" t="str">
        <f>'Roles - Outcome'!C17</f>
        <v>C. Effective Resource Mobilisation and Distribution</v>
      </c>
      <c r="C24" s="59" t="s">
        <v>290</v>
      </c>
      <c r="D24" s="68" t="s">
        <v>461</v>
      </c>
      <c r="E24" s="59" t="s">
        <v>462</v>
      </c>
      <c r="F24" s="59">
        <v>2025</v>
      </c>
      <c r="G24" s="84" t="s">
        <v>463</v>
      </c>
      <c r="H24" s="99" t="s">
        <v>266</v>
      </c>
      <c r="I24" s="102"/>
      <c r="J24" s="102"/>
      <c r="K24" s="102"/>
      <c r="L24" s="102"/>
      <c r="M24" s="102"/>
      <c r="N24" s="102"/>
      <c r="O24" s="102"/>
      <c r="P24" s="102"/>
      <c r="Q24" s="102"/>
      <c r="R24" s="102"/>
      <c r="S24" s="102"/>
      <c r="T24" s="102"/>
      <c r="U24" s="102"/>
      <c r="V24" s="102"/>
      <c r="W24" s="102"/>
      <c r="X24" s="102"/>
      <c r="Y24" s="102"/>
      <c r="Z24" s="102"/>
      <c r="AA24" s="102"/>
      <c r="AB24" s="102"/>
      <c r="AC24" s="102"/>
      <c r="AD24" s="102"/>
      <c r="AE24" s="102"/>
      <c r="AF24" s="102"/>
      <c r="AG24" s="102"/>
      <c r="AH24" s="102"/>
      <c r="AI24" s="102"/>
      <c r="AJ24" s="102"/>
      <c r="AK24" s="102"/>
      <c r="AL24" s="102"/>
      <c r="AM24" s="102"/>
      <c r="AN24" s="102"/>
      <c r="AO24" s="102"/>
      <c r="AP24" s="102"/>
      <c r="AQ24" s="102"/>
      <c r="AR24" s="102"/>
      <c r="AS24" s="102"/>
      <c r="AT24" s="102"/>
      <c r="AU24" s="102"/>
      <c r="AV24" s="102"/>
      <c r="AW24" s="102"/>
      <c r="AX24" s="102"/>
      <c r="AY24" s="102"/>
      <c r="AZ24" s="102"/>
      <c r="BA24" s="102"/>
      <c r="BB24" s="102"/>
      <c r="BC24" s="102"/>
      <c r="BD24" s="102"/>
      <c r="BE24" s="102"/>
      <c r="BF24" s="102"/>
      <c r="BG24" s="102"/>
      <c r="BH24" s="102"/>
      <c r="BI24" s="102"/>
      <c r="BJ24" s="102"/>
      <c r="BK24" s="102"/>
      <c r="BL24" s="102"/>
      <c r="BM24" s="102"/>
      <c r="BN24" s="102"/>
      <c r="BO24" s="102"/>
      <c r="BP24" s="102"/>
      <c r="BQ24" s="102"/>
      <c r="BR24" s="102"/>
      <c r="BS24" s="102"/>
      <c r="BT24" s="102"/>
      <c r="BU24" s="102"/>
      <c r="BV24" s="102"/>
      <c r="BW24" s="102"/>
      <c r="BX24" s="102"/>
      <c r="BY24" s="102"/>
      <c r="BZ24" s="102"/>
      <c r="CA24" s="102"/>
      <c r="CB24" s="102"/>
      <c r="CC24" s="102"/>
      <c r="CD24" s="102"/>
      <c r="CE24" s="102"/>
      <c r="CF24" s="102"/>
      <c r="CG24" s="102"/>
      <c r="CH24" s="102"/>
      <c r="CI24" s="102"/>
      <c r="CJ24" s="102"/>
      <c r="CK24" s="102"/>
      <c r="CL24" s="102"/>
      <c r="CM24" s="102"/>
      <c r="CN24" s="102"/>
      <c r="CO24" s="102"/>
      <c r="CP24" s="102"/>
      <c r="CQ24" s="102"/>
      <c r="CR24" s="102"/>
      <c r="CS24" s="102"/>
      <c r="CT24" s="102"/>
      <c r="CU24" s="102"/>
      <c r="CV24" s="102"/>
      <c r="CW24" s="102"/>
      <c r="CX24" s="102"/>
    </row>
    <row r="25" spans="1:102" s="58" customFormat="1" ht="240" hidden="1" x14ac:dyDescent="0.2">
      <c r="A25" s="118" t="s">
        <v>283</v>
      </c>
      <c r="B25" s="58" t="str">
        <f>'Roles - Outcome'!C19</f>
        <v>D. Performance &amp; Accountability in Delivery</v>
      </c>
      <c r="C25" s="59" t="s">
        <v>291</v>
      </c>
      <c r="D25" s="68" t="s">
        <v>464</v>
      </c>
      <c r="E25" s="59" t="s">
        <v>456</v>
      </c>
      <c r="F25" s="59">
        <v>2019</v>
      </c>
      <c r="G25" s="84" t="s">
        <v>465</v>
      </c>
      <c r="H25" s="99" t="s">
        <v>266</v>
      </c>
      <c r="I25" s="102"/>
      <c r="J25" s="102"/>
      <c r="K25" s="102"/>
      <c r="L25" s="102"/>
      <c r="M25" s="102"/>
      <c r="N25" s="102"/>
      <c r="O25" s="102"/>
      <c r="P25" s="102"/>
      <c r="Q25" s="102"/>
      <c r="R25" s="102"/>
      <c r="S25" s="102"/>
      <c r="T25" s="102"/>
      <c r="U25" s="102"/>
      <c r="V25" s="102"/>
      <c r="W25" s="102"/>
      <c r="X25" s="102"/>
      <c r="Y25" s="102"/>
      <c r="Z25" s="102"/>
      <c r="AA25" s="102"/>
      <c r="AB25" s="102"/>
      <c r="AC25" s="102"/>
      <c r="AD25" s="102"/>
      <c r="AE25" s="102"/>
      <c r="AF25" s="102"/>
      <c r="AG25" s="102"/>
      <c r="AH25" s="102"/>
      <c r="AI25" s="102"/>
      <c r="AJ25" s="102"/>
      <c r="AK25" s="102"/>
      <c r="AL25" s="102"/>
      <c r="AM25" s="102"/>
      <c r="AN25" s="102"/>
      <c r="AO25" s="102"/>
      <c r="AP25" s="102"/>
      <c r="AQ25" s="102"/>
      <c r="AR25" s="102"/>
      <c r="AS25" s="102"/>
      <c r="AT25" s="102"/>
      <c r="AU25" s="102"/>
      <c r="AV25" s="102"/>
      <c r="AW25" s="102"/>
      <c r="AX25" s="102"/>
      <c r="AY25" s="102"/>
      <c r="AZ25" s="102"/>
      <c r="BA25" s="102"/>
      <c r="BB25" s="102"/>
      <c r="BC25" s="102"/>
      <c r="BD25" s="102"/>
      <c r="BE25" s="102"/>
      <c r="BF25" s="102"/>
      <c r="BG25" s="102"/>
      <c r="BH25" s="102"/>
      <c r="BI25" s="102"/>
      <c r="BJ25" s="102"/>
      <c r="BK25" s="102"/>
      <c r="BL25" s="102"/>
      <c r="BM25" s="102"/>
      <c r="BN25" s="102"/>
      <c r="BO25" s="102"/>
      <c r="BP25" s="102"/>
      <c r="BQ25" s="102"/>
      <c r="BR25" s="102"/>
      <c r="BS25" s="102"/>
      <c r="BT25" s="102"/>
      <c r="BU25" s="102"/>
      <c r="BV25" s="102"/>
      <c r="BW25" s="102"/>
      <c r="BX25" s="102"/>
      <c r="BY25" s="102"/>
      <c r="BZ25" s="102"/>
      <c r="CA25" s="102"/>
      <c r="CB25" s="102"/>
      <c r="CC25" s="102"/>
      <c r="CD25" s="102"/>
      <c r="CE25" s="102"/>
      <c r="CF25" s="102"/>
      <c r="CG25" s="102"/>
      <c r="CH25" s="102"/>
      <c r="CI25" s="102"/>
      <c r="CJ25" s="102"/>
      <c r="CK25" s="102"/>
      <c r="CL25" s="102"/>
      <c r="CM25" s="102"/>
      <c r="CN25" s="102"/>
      <c r="CO25" s="102"/>
      <c r="CP25" s="102"/>
      <c r="CQ25" s="102"/>
      <c r="CR25" s="102"/>
      <c r="CS25" s="102"/>
      <c r="CT25" s="102"/>
      <c r="CU25" s="102"/>
      <c r="CV25" s="102"/>
      <c r="CW25" s="102"/>
      <c r="CX25" s="102"/>
    </row>
    <row r="26" spans="1:102" s="58" customFormat="1" ht="128" x14ac:dyDescent="0.2">
      <c r="A26" s="118" t="str">
        <f>Table1[[#This Row],[Outcome]]</f>
        <v>Improving Economic Resilience</v>
      </c>
      <c r="B26" s="58" t="str">
        <f>'Roles - Outcome'!C20</f>
        <v>A. Commitment to Feasible Policy</v>
      </c>
      <c r="C26" s="58" t="s">
        <v>466</v>
      </c>
      <c r="D26" s="65" t="s">
        <v>467</v>
      </c>
      <c r="E26" s="65" t="s">
        <v>462</v>
      </c>
      <c r="F26" s="65">
        <v>2001</v>
      </c>
      <c r="G26" s="78" t="s">
        <v>468</v>
      </c>
      <c r="H26" s="99" t="s">
        <v>266</v>
      </c>
      <c r="I26" s="102"/>
      <c r="J26" s="102"/>
      <c r="K26" s="102"/>
      <c r="L26" s="102"/>
      <c r="M26" s="102"/>
      <c r="N26" s="102"/>
      <c r="O26" s="102"/>
      <c r="P26" s="102"/>
      <c r="Q26" s="102"/>
      <c r="R26" s="102"/>
      <c r="S26" s="102"/>
      <c r="T26" s="102"/>
      <c r="U26" s="102"/>
      <c r="V26" s="102"/>
      <c r="W26" s="102"/>
      <c r="X26" s="102"/>
      <c r="Y26" s="102"/>
      <c r="Z26" s="102"/>
      <c r="AA26" s="102"/>
      <c r="AB26" s="102"/>
      <c r="AC26" s="102"/>
      <c r="AD26" s="102"/>
      <c r="AE26" s="102"/>
      <c r="AF26" s="102"/>
      <c r="AG26" s="102"/>
      <c r="AH26" s="102"/>
      <c r="AI26" s="102"/>
      <c r="AJ26" s="102"/>
      <c r="AK26" s="102"/>
      <c r="AL26" s="102"/>
      <c r="AM26" s="102"/>
      <c r="AN26" s="102"/>
      <c r="AO26" s="102"/>
      <c r="AP26" s="102"/>
      <c r="AQ26" s="102"/>
      <c r="AR26" s="102"/>
      <c r="AS26" s="102"/>
      <c r="AT26" s="102"/>
      <c r="AU26" s="102"/>
      <c r="AV26" s="102"/>
      <c r="AW26" s="102"/>
      <c r="AX26" s="102"/>
      <c r="AY26" s="102"/>
      <c r="AZ26" s="102"/>
      <c r="BA26" s="102"/>
      <c r="BB26" s="102"/>
      <c r="BC26" s="102"/>
      <c r="BD26" s="102"/>
      <c r="BE26" s="102"/>
      <c r="BF26" s="102"/>
      <c r="BG26" s="102"/>
      <c r="BH26" s="102"/>
      <c r="BI26" s="102"/>
      <c r="BJ26" s="102"/>
      <c r="BK26" s="102"/>
      <c r="BL26" s="102"/>
      <c r="BM26" s="102"/>
      <c r="BN26" s="102"/>
      <c r="BO26" s="102"/>
      <c r="BP26" s="102"/>
      <c r="BQ26" s="102"/>
      <c r="BR26" s="102"/>
      <c r="BS26" s="102"/>
      <c r="BT26" s="102"/>
      <c r="BU26" s="102"/>
      <c r="BV26" s="102"/>
      <c r="BW26" s="102"/>
      <c r="BX26" s="102"/>
      <c r="BY26" s="102"/>
      <c r="BZ26" s="102"/>
      <c r="CA26" s="102"/>
      <c r="CB26" s="102"/>
      <c r="CC26" s="102"/>
      <c r="CD26" s="102"/>
      <c r="CE26" s="102"/>
      <c r="CF26" s="102"/>
      <c r="CG26" s="102"/>
      <c r="CH26" s="102"/>
      <c r="CI26" s="102"/>
      <c r="CJ26" s="102"/>
      <c r="CK26" s="102"/>
      <c r="CL26" s="102"/>
      <c r="CM26" s="102"/>
      <c r="CN26" s="102"/>
      <c r="CO26" s="102"/>
      <c r="CP26" s="102"/>
      <c r="CQ26" s="102"/>
      <c r="CR26" s="102"/>
      <c r="CS26" s="102"/>
      <c r="CT26" s="102"/>
      <c r="CU26" s="102"/>
      <c r="CV26" s="102"/>
      <c r="CW26" s="102"/>
      <c r="CX26" s="102"/>
    </row>
    <row r="27" spans="1:102" s="58" customFormat="1" ht="144" x14ac:dyDescent="0.2">
      <c r="A27" s="118" t="s">
        <v>725</v>
      </c>
      <c r="B27" s="58" t="str">
        <f>'Roles - Outcome'!C21</f>
        <v>A. Commitment to Feasible Policy</v>
      </c>
      <c r="C27" s="58" t="s">
        <v>292</v>
      </c>
      <c r="D27" s="65" t="s">
        <v>469</v>
      </c>
      <c r="E27" s="65" t="s">
        <v>436</v>
      </c>
      <c r="F27" s="65" t="s">
        <v>470</v>
      </c>
      <c r="G27" s="78" t="s">
        <v>471</v>
      </c>
      <c r="H27" s="99" t="s">
        <v>266</v>
      </c>
      <c r="I27" s="102"/>
      <c r="J27" s="102"/>
      <c r="K27" s="102"/>
      <c r="L27" s="102"/>
      <c r="M27" s="102"/>
      <c r="N27" s="102"/>
      <c r="O27" s="102"/>
      <c r="P27" s="102"/>
      <c r="Q27" s="102"/>
      <c r="R27" s="102"/>
      <c r="S27" s="102"/>
      <c r="T27" s="102"/>
      <c r="U27" s="102"/>
      <c r="V27" s="102"/>
      <c r="W27" s="102"/>
      <c r="X27" s="102"/>
      <c r="Y27" s="102"/>
      <c r="Z27" s="102"/>
      <c r="AA27" s="102"/>
      <c r="AB27" s="102"/>
      <c r="AC27" s="102"/>
      <c r="AD27" s="102"/>
      <c r="AE27" s="102"/>
      <c r="AF27" s="102"/>
      <c r="AG27" s="102"/>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02"/>
      <c r="BX27" s="102"/>
      <c r="BY27" s="102"/>
      <c r="BZ27" s="102"/>
      <c r="CA27" s="102"/>
      <c r="CB27" s="102"/>
      <c r="CC27" s="102"/>
      <c r="CD27" s="102"/>
      <c r="CE27" s="102"/>
      <c r="CF27" s="102"/>
      <c r="CG27" s="102"/>
      <c r="CH27" s="102"/>
      <c r="CI27" s="102"/>
      <c r="CJ27" s="102"/>
      <c r="CK27" s="102"/>
      <c r="CL27" s="102"/>
      <c r="CM27" s="102"/>
      <c r="CN27" s="102"/>
      <c r="CO27" s="102"/>
      <c r="CP27" s="102"/>
      <c r="CQ27" s="102"/>
      <c r="CR27" s="102"/>
      <c r="CS27" s="102"/>
      <c r="CT27" s="102"/>
      <c r="CU27" s="102"/>
      <c r="CV27" s="102"/>
      <c r="CW27" s="102"/>
      <c r="CX27" s="102"/>
    </row>
    <row r="28" spans="1:102" s="58" customFormat="1" ht="208" x14ac:dyDescent="0.2">
      <c r="A28" s="118" t="s">
        <v>725</v>
      </c>
      <c r="B28" s="58" t="str">
        <f>'Roles - Outcome'!C23</f>
        <v>A. Commitment to Feasible Policy</v>
      </c>
      <c r="C28" s="58" t="s">
        <v>293</v>
      </c>
      <c r="D28" s="65" t="s">
        <v>473</v>
      </c>
      <c r="E28" s="65" t="s">
        <v>932</v>
      </c>
      <c r="F28" s="65" t="s">
        <v>474</v>
      </c>
      <c r="G28" s="78" t="s">
        <v>475</v>
      </c>
      <c r="H28" s="99" t="s">
        <v>266</v>
      </c>
      <c r="I28" s="102"/>
      <c r="J28" s="102"/>
      <c r="K28" s="102"/>
      <c r="L28" s="102"/>
      <c r="M28" s="102"/>
      <c r="N28" s="102"/>
      <c r="O28" s="102"/>
      <c r="P28" s="102"/>
      <c r="Q28" s="102"/>
      <c r="R28" s="102"/>
      <c r="S28" s="102"/>
      <c r="T28" s="102"/>
      <c r="U28" s="102"/>
      <c r="V28" s="102"/>
      <c r="W28" s="102"/>
      <c r="X28" s="102"/>
      <c r="Y28" s="102"/>
      <c r="Z28" s="102"/>
      <c r="AA28" s="102"/>
      <c r="AB28" s="102"/>
      <c r="AC28" s="102"/>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102"/>
      <c r="BH28" s="102"/>
      <c r="BI28" s="102"/>
      <c r="BJ28" s="102"/>
      <c r="BK28" s="102"/>
      <c r="BL28" s="102"/>
      <c r="BM28" s="102"/>
      <c r="BN28" s="102"/>
      <c r="BO28" s="102"/>
      <c r="BP28" s="102"/>
      <c r="BQ28" s="102"/>
      <c r="BR28" s="102"/>
      <c r="BS28" s="102"/>
      <c r="BT28" s="102"/>
      <c r="BU28" s="102"/>
      <c r="BV28" s="102"/>
      <c r="BW28" s="102"/>
      <c r="BX28" s="102"/>
      <c r="BY28" s="102"/>
      <c r="BZ28" s="102"/>
      <c r="CA28" s="102"/>
      <c r="CB28" s="102"/>
      <c r="CC28" s="102"/>
      <c r="CD28" s="102"/>
      <c r="CE28" s="102"/>
      <c r="CF28" s="102"/>
      <c r="CG28" s="102"/>
      <c r="CH28" s="102"/>
      <c r="CI28" s="102"/>
      <c r="CJ28" s="102"/>
      <c r="CK28" s="102"/>
      <c r="CL28" s="102"/>
      <c r="CM28" s="102"/>
      <c r="CN28" s="102"/>
      <c r="CO28" s="102"/>
      <c r="CP28" s="102"/>
      <c r="CQ28" s="102"/>
      <c r="CR28" s="102"/>
      <c r="CS28" s="102"/>
      <c r="CT28" s="102"/>
      <c r="CU28" s="102"/>
      <c r="CV28" s="102"/>
      <c r="CW28" s="102"/>
      <c r="CX28" s="102"/>
    </row>
    <row r="29" spans="1:102" s="58" customFormat="1" ht="224" hidden="1" x14ac:dyDescent="0.2">
      <c r="A29" s="118" t="s">
        <v>725</v>
      </c>
      <c r="B29" s="58" t="str">
        <f>'Roles - Outcome'!C24</f>
        <v>B. Fiscal Sustainability</v>
      </c>
      <c r="C29" s="58" t="s">
        <v>476</v>
      </c>
      <c r="D29" s="65" t="s">
        <v>477</v>
      </c>
      <c r="E29" s="65" t="s">
        <v>932</v>
      </c>
      <c r="F29" s="65" t="s">
        <v>478</v>
      </c>
      <c r="G29" s="78" t="s">
        <v>479</v>
      </c>
      <c r="H29" s="99" t="s">
        <v>266</v>
      </c>
      <c r="I29" s="102"/>
      <c r="J29" s="102"/>
      <c r="K29" s="102"/>
      <c r="L29" s="102"/>
      <c r="M29" s="102"/>
      <c r="N29" s="102"/>
      <c r="O29" s="102"/>
      <c r="P29" s="102"/>
      <c r="Q29" s="102"/>
      <c r="R29" s="102"/>
      <c r="S29" s="102"/>
      <c r="T29" s="102"/>
      <c r="U29" s="102"/>
      <c r="V29" s="102"/>
      <c r="W29" s="102"/>
      <c r="X29" s="102"/>
      <c r="Y29" s="102"/>
      <c r="Z29" s="102"/>
      <c r="AA29" s="102"/>
      <c r="AB29" s="102"/>
      <c r="AC29" s="102"/>
      <c r="AD29" s="102"/>
      <c r="AE29" s="102"/>
      <c r="AF29" s="102"/>
      <c r="AG29" s="102"/>
      <c r="AH29" s="102"/>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02"/>
      <c r="BX29" s="102"/>
      <c r="BY29" s="102"/>
      <c r="BZ29" s="102"/>
      <c r="CA29" s="102"/>
      <c r="CB29" s="102"/>
      <c r="CC29" s="102"/>
      <c r="CD29" s="102"/>
      <c r="CE29" s="102"/>
      <c r="CF29" s="102"/>
      <c r="CG29" s="102"/>
      <c r="CH29" s="102"/>
      <c r="CI29" s="102"/>
      <c r="CJ29" s="102"/>
      <c r="CK29" s="102"/>
      <c r="CL29" s="102"/>
      <c r="CM29" s="102"/>
      <c r="CN29" s="102"/>
      <c r="CO29" s="102"/>
      <c r="CP29" s="102"/>
      <c r="CQ29" s="102"/>
      <c r="CR29" s="102"/>
      <c r="CS29" s="102"/>
      <c r="CT29" s="102"/>
      <c r="CU29" s="102"/>
      <c r="CV29" s="102"/>
      <c r="CW29" s="102"/>
      <c r="CX29" s="102"/>
    </row>
    <row r="30" spans="1:102" s="58" customFormat="1" ht="112" hidden="1" x14ac:dyDescent="0.2">
      <c r="A30" s="118" t="s">
        <v>725</v>
      </c>
      <c r="B30" s="58" t="str">
        <f>'Roles - Outcome'!C25</f>
        <v>B. Fiscal Sustainability</v>
      </c>
      <c r="C30" s="58" t="s">
        <v>294</v>
      </c>
      <c r="D30" s="65" t="s">
        <v>480</v>
      </c>
      <c r="E30" s="65" t="s">
        <v>436</v>
      </c>
      <c r="F30" s="65" t="s">
        <v>883</v>
      </c>
      <c r="G30" s="78" t="s">
        <v>481</v>
      </c>
      <c r="H30" s="99" t="s">
        <v>266</v>
      </c>
      <c r="I30" s="102"/>
      <c r="J30" s="102"/>
      <c r="K30" s="102"/>
      <c r="L30" s="102"/>
      <c r="M30" s="102"/>
      <c r="N30" s="102"/>
      <c r="O30" s="102"/>
      <c r="P30" s="102"/>
      <c r="Q30" s="102"/>
      <c r="R30" s="102"/>
      <c r="S30" s="102"/>
      <c r="T30" s="102"/>
      <c r="U30" s="102"/>
      <c r="V30" s="102"/>
      <c r="W30" s="102"/>
      <c r="X30" s="102"/>
      <c r="Y30" s="102"/>
      <c r="Z30" s="102"/>
      <c r="AA30" s="102"/>
      <c r="AB30" s="102"/>
      <c r="AC30" s="102"/>
      <c r="AD30" s="102"/>
      <c r="AE30" s="102"/>
      <c r="AF30" s="102"/>
      <c r="AG30" s="102"/>
      <c r="AH30" s="102"/>
      <c r="AI30" s="102"/>
      <c r="AJ30" s="102"/>
      <c r="AK30" s="102"/>
      <c r="AL30" s="102"/>
      <c r="AM30" s="102"/>
      <c r="AN30" s="102"/>
      <c r="AO30" s="102"/>
      <c r="AP30" s="102"/>
      <c r="AQ30" s="102"/>
      <c r="AR30" s="102"/>
      <c r="AS30" s="102"/>
      <c r="AT30" s="102"/>
      <c r="AU30" s="102"/>
      <c r="AV30" s="102"/>
      <c r="AW30" s="102"/>
      <c r="AX30" s="102"/>
      <c r="AY30" s="102"/>
      <c r="AZ30" s="102"/>
      <c r="BA30" s="102"/>
      <c r="BB30" s="102"/>
      <c r="BC30" s="102"/>
      <c r="BD30" s="102"/>
      <c r="BE30" s="102"/>
      <c r="BF30" s="102"/>
      <c r="BG30" s="102"/>
      <c r="BH30" s="102"/>
      <c r="BI30" s="102"/>
      <c r="BJ30" s="102"/>
      <c r="BK30" s="102"/>
      <c r="BL30" s="102"/>
      <c r="BM30" s="102"/>
      <c r="BN30" s="102"/>
      <c r="BO30" s="102"/>
      <c r="BP30" s="102"/>
      <c r="BQ30" s="102"/>
      <c r="BR30" s="102"/>
      <c r="BS30" s="102"/>
      <c r="BT30" s="102"/>
      <c r="BU30" s="102"/>
      <c r="BV30" s="102"/>
      <c r="BW30" s="102"/>
      <c r="BX30" s="102"/>
      <c r="BY30" s="102"/>
      <c r="BZ30" s="102"/>
      <c r="CA30" s="102"/>
      <c r="CB30" s="102"/>
      <c r="CC30" s="102"/>
      <c r="CD30" s="102"/>
      <c r="CE30" s="102"/>
      <c r="CF30" s="102"/>
      <c r="CG30" s="102"/>
      <c r="CH30" s="102"/>
      <c r="CI30" s="102"/>
      <c r="CJ30" s="102"/>
      <c r="CK30" s="102"/>
      <c r="CL30" s="102"/>
      <c r="CM30" s="102"/>
      <c r="CN30" s="102"/>
      <c r="CO30" s="102"/>
      <c r="CP30" s="102"/>
      <c r="CQ30" s="102"/>
      <c r="CR30" s="102"/>
      <c r="CS30" s="102"/>
      <c r="CT30" s="102"/>
      <c r="CU30" s="102"/>
      <c r="CV30" s="102"/>
      <c r="CW30" s="102"/>
      <c r="CX30" s="102"/>
    </row>
    <row r="31" spans="1:102" s="58" customFormat="1" ht="256" hidden="1" x14ac:dyDescent="0.2">
      <c r="A31" s="118" t="s">
        <v>725</v>
      </c>
      <c r="B31" s="58" t="str">
        <f>'Roles - Outcome'!C26</f>
        <v>B. Fiscal Sustainability</v>
      </c>
      <c r="C31" s="58" t="s">
        <v>295</v>
      </c>
      <c r="D31" s="65" t="s">
        <v>482</v>
      </c>
      <c r="E31" s="65" t="s">
        <v>932</v>
      </c>
      <c r="F31" s="65" t="s">
        <v>483</v>
      </c>
      <c r="G31" s="78" t="s">
        <v>484</v>
      </c>
      <c r="H31" s="99" t="s">
        <v>266</v>
      </c>
      <c r="I31" s="102"/>
      <c r="J31" s="102"/>
      <c r="K31" s="102"/>
      <c r="L31" s="102"/>
      <c r="M31" s="102"/>
      <c r="N31" s="102"/>
      <c r="O31" s="102"/>
      <c r="P31" s="102"/>
      <c r="Q31" s="102"/>
      <c r="R31" s="102"/>
      <c r="S31" s="102"/>
      <c r="T31" s="102"/>
      <c r="U31" s="102"/>
      <c r="V31" s="102"/>
      <c r="W31" s="102"/>
      <c r="X31" s="102"/>
      <c r="Y31" s="102"/>
      <c r="Z31" s="102"/>
      <c r="AA31" s="102"/>
      <c r="AB31" s="102"/>
      <c r="AC31" s="102"/>
      <c r="AD31" s="102"/>
      <c r="AE31" s="102"/>
      <c r="AF31" s="102"/>
      <c r="AG31" s="102"/>
      <c r="AH31" s="102"/>
      <c r="AI31" s="102"/>
      <c r="AJ31" s="102"/>
      <c r="AK31" s="102"/>
      <c r="AL31" s="102"/>
      <c r="AM31" s="102"/>
      <c r="AN31" s="102"/>
      <c r="AO31" s="102"/>
      <c r="AP31" s="102"/>
      <c r="AQ31" s="102"/>
      <c r="AR31" s="102"/>
      <c r="AS31" s="102"/>
      <c r="AT31" s="102"/>
      <c r="AU31" s="102"/>
      <c r="AV31" s="102"/>
      <c r="AW31" s="102"/>
      <c r="AX31" s="102"/>
      <c r="AY31" s="102"/>
      <c r="AZ31" s="102"/>
      <c r="BA31" s="102"/>
      <c r="BB31" s="102"/>
      <c r="BC31" s="102"/>
      <c r="BD31" s="102"/>
      <c r="BE31" s="102"/>
      <c r="BF31" s="102"/>
      <c r="BG31" s="102"/>
      <c r="BH31" s="102"/>
      <c r="BI31" s="102"/>
      <c r="BJ31" s="102"/>
      <c r="BK31" s="102"/>
      <c r="BL31" s="102"/>
      <c r="BM31" s="102"/>
      <c r="BN31" s="102"/>
      <c r="BO31" s="102"/>
      <c r="BP31" s="102"/>
      <c r="BQ31" s="102"/>
      <c r="BR31" s="102"/>
      <c r="BS31" s="102"/>
      <c r="BT31" s="102"/>
      <c r="BU31" s="102"/>
      <c r="BV31" s="102"/>
      <c r="BW31" s="102"/>
      <c r="BX31" s="102"/>
      <c r="BY31" s="102"/>
      <c r="BZ31" s="102"/>
      <c r="CA31" s="102"/>
      <c r="CB31" s="102"/>
      <c r="CC31" s="102"/>
      <c r="CD31" s="102"/>
      <c r="CE31" s="102"/>
      <c r="CF31" s="102"/>
      <c r="CG31" s="102"/>
      <c r="CH31" s="102"/>
      <c r="CI31" s="102"/>
      <c r="CJ31" s="102"/>
      <c r="CK31" s="102"/>
      <c r="CL31" s="102"/>
      <c r="CM31" s="102"/>
      <c r="CN31" s="102"/>
      <c r="CO31" s="102"/>
      <c r="CP31" s="102"/>
      <c r="CQ31" s="102"/>
      <c r="CR31" s="102"/>
      <c r="CS31" s="102"/>
      <c r="CT31" s="102"/>
      <c r="CU31" s="102"/>
      <c r="CV31" s="102"/>
      <c r="CW31" s="102"/>
      <c r="CX31" s="102"/>
    </row>
    <row r="32" spans="1:102" s="58" customFormat="1" ht="96" hidden="1" x14ac:dyDescent="0.2">
      <c r="A32" s="118" t="s">
        <v>725</v>
      </c>
      <c r="B32" s="58" t="str">
        <f>'Roles - Outcome'!C27</f>
        <v>B. Fiscal Sustainability</v>
      </c>
      <c r="C32" s="58" t="s">
        <v>485</v>
      </c>
      <c r="D32" s="65" t="s">
        <v>486</v>
      </c>
      <c r="E32" s="65" t="s">
        <v>462</v>
      </c>
      <c r="F32" s="65">
        <v>2016</v>
      </c>
      <c r="G32" s="78" t="s">
        <v>884</v>
      </c>
      <c r="H32" s="99" t="s">
        <v>266</v>
      </c>
      <c r="I32" s="102"/>
      <c r="J32" s="102"/>
      <c r="K32" s="102"/>
      <c r="L32" s="102"/>
      <c r="M32" s="102"/>
      <c r="N32" s="102"/>
      <c r="O32" s="102"/>
      <c r="P32" s="102"/>
      <c r="Q32" s="102"/>
      <c r="R32" s="102"/>
      <c r="S32" s="102"/>
      <c r="T32" s="102"/>
      <c r="U32" s="102"/>
      <c r="V32" s="102"/>
      <c r="W32" s="102"/>
      <c r="X32" s="102"/>
      <c r="Y32" s="102"/>
      <c r="Z32" s="102"/>
      <c r="AA32" s="102"/>
      <c r="AB32" s="102"/>
      <c r="AC32" s="102"/>
      <c r="AD32" s="102"/>
      <c r="AE32" s="102"/>
      <c r="AF32" s="102"/>
      <c r="AG32" s="102"/>
      <c r="AH32" s="102"/>
      <c r="AI32" s="102"/>
      <c r="AJ32" s="102"/>
      <c r="AK32" s="102"/>
      <c r="AL32" s="102"/>
      <c r="AM32" s="102"/>
      <c r="AN32" s="102"/>
      <c r="AO32" s="102"/>
      <c r="AP32" s="102"/>
      <c r="AQ32" s="102"/>
      <c r="AR32" s="102"/>
      <c r="AS32" s="102"/>
      <c r="AT32" s="102"/>
      <c r="AU32" s="102"/>
      <c r="AV32" s="102"/>
      <c r="AW32" s="102"/>
      <c r="AX32" s="102"/>
      <c r="AY32" s="102"/>
      <c r="AZ32" s="102"/>
      <c r="BA32" s="102"/>
      <c r="BB32" s="102"/>
      <c r="BC32" s="102"/>
      <c r="BD32" s="102"/>
      <c r="BE32" s="102"/>
      <c r="BF32" s="102"/>
      <c r="BG32" s="102"/>
      <c r="BH32" s="102"/>
      <c r="BI32" s="102"/>
      <c r="BJ32" s="102"/>
      <c r="BK32" s="102"/>
      <c r="BL32" s="102"/>
      <c r="BM32" s="102"/>
      <c r="BN32" s="102"/>
      <c r="BO32" s="102"/>
      <c r="BP32" s="102"/>
      <c r="BQ32" s="102"/>
      <c r="BR32" s="102"/>
      <c r="BS32" s="102"/>
      <c r="BT32" s="102"/>
      <c r="BU32" s="102"/>
      <c r="BV32" s="102"/>
      <c r="BW32" s="102"/>
      <c r="BX32" s="102"/>
      <c r="BY32" s="102"/>
      <c r="BZ32" s="102"/>
      <c r="CA32" s="102"/>
      <c r="CB32" s="102"/>
      <c r="CC32" s="102"/>
      <c r="CD32" s="102"/>
      <c r="CE32" s="102"/>
      <c r="CF32" s="102"/>
      <c r="CG32" s="102"/>
      <c r="CH32" s="102"/>
      <c r="CI32" s="102"/>
      <c r="CJ32" s="102"/>
      <c r="CK32" s="102"/>
      <c r="CL32" s="102"/>
      <c r="CM32" s="102"/>
      <c r="CN32" s="102"/>
      <c r="CO32" s="102"/>
      <c r="CP32" s="102"/>
      <c r="CQ32" s="102"/>
      <c r="CR32" s="102"/>
      <c r="CS32" s="102"/>
      <c r="CT32" s="102"/>
      <c r="CU32" s="102"/>
      <c r="CV32" s="102"/>
      <c r="CW32" s="102"/>
      <c r="CX32" s="102"/>
    </row>
    <row r="33" spans="1:102" s="58" customFormat="1" ht="96" hidden="1" x14ac:dyDescent="0.2">
      <c r="A33" s="118" t="s">
        <v>725</v>
      </c>
      <c r="B33" s="58" t="str">
        <f>'Roles - Outcome'!C28</f>
        <v>C. Effective Resource Mobilisation and Distribution</v>
      </c>
      <c r="C33" s="58" t="s">
        <v>296</v>
      </c>
      <c r="D33" s="65" t="s">
        <v>487</v>
      </c>
      <c r="E33" s="65" t="s">
        <v>462</v>
      </c>
      <c r="F33" s="65">
        <v>2016</v>
      </c>
      <c r="G33" s="78" t="s">
        <v>885</v>
      </c>
      <c r="H33" s="99" t="s">
        <v>266</v>
      </c>
      <c r="I33" s="102"/>
      <c r="J33" s="102"/>
      <c r="K33" s="102"/>
      <c r="L33" s="102"/>
      <c r="M33" s="102"/>
      <c r="N33" s="102"/>
      <c r="O33" s="102"/>
      <c r="P33" s="102"/>
      <c r="Q33" s="102"/>
      <c r="R33" s="102"/>
      <c r="S33" s="102"/>
      <c r="T33" s="102"/>
      <c r="U33" s="102"/>
      <c r="V33" s="102"/>
      <c r="W33" s="102"/>
      <c r="X33" s="102"/>
      <c r="Y33" s="102"/>
      <c r="Z33" s="102"/>
      <c r="AA33" s="102"/>
      <c r="AB33" s="102"/>
      <c r="AC33" s="102"/>
      <c r="AD33" s="102"/>
      <c r="AE33" s="102"/>
      <c r="AF33" s="102"/>
      <c r="AG33" s="102"/>
      <c r="AH33" s="102"/>
      <c r="AI33" s="102"/>
      <c r="AJ33" s="102"/>
      <c r="AK33" s="102"/>
      <c r="AL33" s="102"/>
      <c r="AM33" s="102"/>
      <c r="AN33" s="102"/>
      <c r="AO33" s="102"/>
      <c r="AP33" s="102"/>
      <c r="AQ33" s="102"/>
      <c r="AR33" s="102"/>
      <c r="AS33" s="102"/>
      <c r="AT33" s="102"/>
      <c r="AU33" s="102"/>
      <c r="AV33" s="102"/>
      <c r="AW33" s="102"/>
      <c r="AX33" s="102"/>
      <c r="AY33" s="102"/>
      <c r="AZ33" s="102"/>
      <c r="BA33" s="102"/>
      <c r="BB33" s="102"/>
      <c r="BC33" s="102"/>
      <c r="BD33" s="102"/>
      <c r="BE33" s="102"/>
      <c r="BF33" s="102"/>
      <c r="BG33" s="102"/>
      <c r="BH33" s="102"/>
      <c r="BI33" s="102"/>
      <c r="BJ33" s="102"/>
      <c r="BK33" s="102"/>
      <c r="BL33" s="102"/>
      <c r="BM33" s="102"/>
      <c r="BN33" s="102"/>
      <c r="BO33" s="102"/>
      <c r="BP33" s="102"/>
      <c r="BQ33" s="102"/>
      <c r="BR33" s="102"/>
      <c r="BS33" s="102"/>
      <c r="BT33" s="102"/>
      <c r="BU33" s="102"/>
      <c r="BV33" s="102"/>
      <c r="BW33" s="102"/>
      <c r="BX33" s="102"/>
      <c r="BY33" s="102"/>
      <c r="BZ33" s="102"/>
      <c r="CA33" s="102"/>
      <c r="CB33" s="102"/>
      <c r="CC33" s="102"/>
      <c r="CD33" s="102"/>
      <c r="CE33" s="102"/>
      <c r="CF33" s="102"/>
      <c r="CG33" s="102"/>
      <c r="CH33" s="102"/>
      <c r="CI33" s="102"/>
      <c r="CJ33" s="102"/>
      <c r="CK33" s="102"/>
      <c r="CL33" s="102"/>
      <c r="CM33" s="102"/>
      <c r="CN33" s="102"/>
      <c r="CO33" s="102"/>
      <c r="CP33" s="102"/>
      <c r="CQ33" s="102"/>
      <c r="CR33" s="102"/>
      <c r="CS33" s="102"/>
      <c r="CT33" s="102"/>
      <c r="CU33" s="102"/>
      <c r="CV33" s="102"/>
      <c r="CW33" s="102"/>
      <c r="CX33" s="102"/>
    </row>
    <row r="34" spans="1:102" s="58" customFormat="1" ht="192" hidden="1" x14ac:dyDescent="0.2">
      <c r="A34" s="118" t="s">
        <v>725</v>
      </c>
      <c r="B34" s="58" t="str">
        <f>'Roles - Outcome'!C29</f>
        <v>C. Effective Resource Mobilisation and Distribution</v>
      </c>
      <c r="C34" s="58" t="s">
        <v>297</v>
      </c>
      <c r="D34" s="65" t="s">
        <v>488</v>
      </c>
      <c r="E34" s="65" t="s">
        <v>436</v>
      </c>
      <c r="F34" s="65" t="s">
        <v>886</v>
      </c>
      <c r="G34" s="78" t="s">
        <v>887</v>
      </c>
      <c r="H34" s="99" t="s">
        <v>266</v>
      </c>
      <c r="I34" s="102"/>
      <c r="J34" s="102"/>
      <c r="K34" s="102"/>
      <c r="L34" s="102"/>
      <c r="M34" s="102"/>
      <c r="N34" s="102"/>
      <c r="O34" s="102"/>
      <c r="P34" s="102"/>
      <c r="Q34" s="102"/>
      <c r="R34" s="102"/>
      <c r="S34" s="102"/>
      <c r="T34" s="102"/>
      <c r="U34" s="102"/>
      <c r="V34" s="102"/>
      <c r="W34" s="102"/>
      <c r="X34" s="102"/>
      <c r="Y34" s="102"/>
      <c r="Z34" s="102"/>
      <c r="AA34" s="102"/>
      <c r="AB34" s="102"/>
      <c r="AC34" s="102"/>
      <c r="AD34" s="102"/>
      <c r="AE34" s="102"/>
      <c r="AF34" s="102"/>
      <c r="AG34" s="102"/>
      <c r="AH34" s="102"/>
      <c r="AI34" s="102"/>
      <c r="AJ34" s="102"/>
      <c r="AK34" s="102"/>
      <c r="AL34" s="102"/>
      <c r="AM34" s="102"/>
      <c r="AN34" s="102"/>
      <c r="AO34" s="102"/>
      <c r="AP34" s="102"/>
      <c r="AQ34" s="102"/>
      <c r="AR34" s="102"/>
      <c r="AS34" s="102"/>
      <c r="AT34" s="102"/>
      <c r="AU34" s="102"/>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02"/>
      <c r="BX34" s="102"/>
      <c r="BY34" s="102"/>
      <c r="BZ34" s="102"/>
      <c r="CA34" s="102"/>
      <c r="CB34" s="102"/>
      <c r="CC34" s="102"/>
      <c r="CD34" s="102"/>
      <c r="CE34" s="102"/>
      <c r="CF34" s="102"/>
      <c r="CG34" s="102"/>
      <c r="CH34" s="102"/>
      <c r="CI34" s="102"/>
      <c r="CJ34" s="102"/>
      <c r="CK34" s="102"/>
      <c r="CL34" s="102"/>
      <c r="CM34" s="102"/>
      <c r="CN34" s="102"/>
      <c r="CO34" s="102"/>
      <c r="CP34" s="102"/>
      <c r="CQ34" s="102"/>
      <c r="CR34" s="102"/>
      <c r="CS34" s="102"/>
      <c r="CT34" s="102"/>
      <c r="CU34" s="102"/>
      <c r="CV34" s="102"/>
      <c r="CW34" s="102"/>
      <c r="CX34" s="102"/>
    </row>
    <row r="35" spans="1:102" s="58" customFormat="1" ht="256" hidden="1" x14ac:dyDescent="0.2">
      <c r="A35" s="118" t="s">
        <v>725</v>
      </c>
      <c r="B35" s="58" t="str">
        <f>'Roles - Outcome'!C30</f>
        <v>D. Performance &amp; Accountability in Delivery</v>
      </c>
      <c r="C35" s="58" t="s">
        <v>489</v>
      </c>
      <c r="D35" s="65" t="s">
        <v>490</v>
      </c>
      <c r="E35" s="65" t="s">
        <v>462</v>
      </c>
      <c r="F35" s="65">
        <v>2009</v>
      </c>
      <c r="G35" s="78" t="s">
        <v>491</v>
      </c>
      <c r="H35" s="99" t="s">
        <v>266</v>
      </c>
      <c r="I35" s="102"/>
      <c r="J35" s="102"/>
      <c r="K35" s="102"/>
      <c r="L35" s="102"/>
      <c r="M35" s="102"/>
      <c r="N35" s="102"/>
      <c r="O35" s="102"/>
      <c r="P35" s="102"/>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02"/>
      <c r="BX35" s="102"/>
      <c r="BY35" s="102"/>
      <c r="BZ35" s="102"/>
      <c r="CA35" s="102"/>
      <c r="CB35" s="102"/>
      <c r="CC35" s="102"/>
      <c r="CD35" s="102"/>
      <c r="CE35" s="102"/>
      <c r="CF35" s="102"/>
      <c r="CG35" s="102"/>
      <c r="CH35" s="102"/>
      <c r="CI35" s="102"/>
      <c r="CJ35" s="102"/>
      <c r="CK35" s="102"/>
      <c r="CL35" s="102"/>
      <c r="CM35" s="102"/>
      <c r="CN35" s="102"/>
      <c r="CO35" s="102"/>
      <c r="CP35" s="102"/>
      <c r="CQ35" s="102"/>
      <c r="CR35" s="102"/>
      <c r="CS35" s="102"/>
      <c r="CT35" s="102"/>
      <c r="CU35" s="102"/>
      <c r="CV35" s="102"/>
      <c r="CW35" s="102"/>
      <c r="CX35" s="102"/>
    </row>
    <row r="36" spans="1:102" s="92" customFormat="1" ht="128" hidden="1" x14ac:dyDescent="0.2">
      <c r="A36" s="118" t="s">
        <v>725</v>
      </c>
      <c r="B36" s="58" t="str">
        <f>'Roles - Outcome'!C31</f>
        <v>D. Performance &amp; Accountability in Delivery</v>
      </c>
      <c r="C36" s="58" t="s">
        <v>298</v>
      </c>
      <c r="D36" s="65" t="s">
        <v>492</v>
      </c>
      <c r="E36" s="65" t="s">
        <v>462</v>
      </c>
      <c r="F36" s="65" t="s">
        <v>493</v>
      </c>
      <c r="G36" s="78" t="s">
        <v>494</v>
      </c>
      <c r="H36" s="99" t="s">
        <v>266</v>
      </c>
      <c r="I36" s="102"/>
      <c r="J36" s="102"/>
      <c r="K36" s="102"/>
      <c r="L36" s="102"/>
      <c r="M36" s="102"/>
      <c r="N36" s="102"/>
      <c r="O36" s="102"/>
      <c r="P36" s="102"/>
      <c r="Q36" s="102"/>
      <c r="R36" s="102"/>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102"/>
      <c r="BH36" s="102"/>
      <c r="BI36" s="102"/>
      <c r="BJ36" s="102"/>
      <c r="BK36" s="102"/>
      <c r="BL36" s="102"/>
      <c r="BM36" s="102"/>
      <c r="BN36" s="102"/>
      <c r="BO36" s="102"/>
      <c r="BP36" s="102"/>
      <c r="BQ36" s="102"/>
      <c r="BR36" s="102"/>
      <c r="BS36" s="102"/>
      <c r="BT36" s="102"/>
      <c r="BU36" s="102"/>
      <c r="BV36" s="102"/>
      <c r="BW36" s="102"/>
      <c r="BX36" s="102"/>
      <c r="BY36" s="102"/>
      <c r="BZ36" s="102"/>
      <c r="CA36" s="102"/>
      <c r="CB36" s="102"/>
      <c r="CC36" s="102"/>
      <c r="CD36" s="102"/>
      <c r="CE36" s="102"/>
      <c r="CF36" s="102"/>
      <c r="CG36" s="102"/>
      <c r="CH36" s="102"/>
      <c r="CI36" s="102"/>
      <c r="CJ36" s="102"/>
      <c r="CK36" s="102"/>
      <c r="CL36" s="102"/>
      <c r="CM36" s="102"/>
      <c r="CN36" s="102"/>
      <c r="CO36" s="102"/>
      <c r="CP36" s="102"/>
      <c r="CQ36" s="102"/>
      <c r="CR36" s="102"/>
      <c r="CS36" s="102"/>
      <c r="CT36" s="102"/>
      <c r="CU36" s="102"/>
      <c r="CV36" s="102"/>
      <c r="CW36" s="102"/>
      <c r="CX36" s="102"/>
    </row>
    <row r="37" spans="1:102" s="58" customFormat="1" ht="48" hidden="1" x14ac:dyDescent="0.2">
      <c r="A37" s="118" t="s">
        <v>786</v>
      </c>
      <c r="B37" s="58" t="s">
        <v>10</v>
      </c>
      <c r="C37" s="70" t="s">
        <v>797</v>
      </c>
      <c r="D37" s="69" t="s">
        <v>806</v>
      </c>
      <c r="E37" s="65" t="s">
        <v>495</v>
      </c>
      <c r="F37" s="65" t="s">
        <v>807</v>
      </c>
      <c r="G37" s="84" t="s">
        <v>818</v>
      </c>
      <c r="H37" s="99" t="s">
        <v>266</v>
      </c>
      <c r="I37" s="102"/>
      <c r="J37" s="102"/>
      <c r="K37" s="102"/>
      <c r="L37" s="102"/>
      <c r="M37" s="102"/>
      <c r="N37" s="102"/>
      <c r="O37" s="102"/>
      <c r="P37" s="102"/>
      <c r="Q37" s="102"/>
      <c r="R37" s="102"/>
      <c r="S37" s="102"/>
      <c r="T37" s="102"/>
      <c r="U37" s="102"/>
      <c r="V37" s="102"/>
      <c r="W37" s="102"/>
      <c r="X37" s="102"/>
      <c r="Y37" s="102"/>
      <c r="Z37" s="102"/>
      <c r="AA37" s="102"/>
      <c r="AB37" s="102"/>
      <c r="AC37" s="102"/>
      <c r="AD37" s="102"/>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02"/>
      <c r="BX37" s="102"/>
      <c r="BY37" s="102"/>
      <c r="BZ37" s="102"/>
      <c r="CA37" s="102"/>
      <c r="CB37" s="102"/>
      <c r="CC37" s="102"/>
      <c r="CD37" s="102"/>
      <c r="CE37" s="102"/>
      <c r="CF37" s="102"/>
      <c r="CG37" s="102"/>
      <c r="CH37" s="102"/>
      <c r="CI37" s="102"/>
      <c r="CJ37" s="102"/>
      <c r="CK37" s="102"/>
      <c r="CL37" s="102"/>
      <c r="CM37" s="102"/>
      <c r="CN37" s="102"/>
      <c r="CO37" s="102"/>
      <c r="CP37" s="102"/>
      <c r="CQ37" s="102"/>
      <c r="CR37" s="102"/>
      <c r="CS37" s="102"/>
      <c r="CT37" s="102"/>
      <c r="CU37" s="102"/>
      <c r="CV37" s="102"/>
      <c r="CW37" s="102"/>
      <c r="CX37" s="102"/>
    </row>
    <row r="38" spans="1:102" s="58" customFormat="1" ht="93.75" hidden="1" customHeight="1" x14ac:dyDescent="0.2">
      <c r="A38" s="118" t="s">
        <v>786</v>
      </c>
      <c r="B38" s="58" t="s">
        <v>10</v>
      </c>
      <c r="C38" s="70" t="s">
        <v>797</v>
      </c>
      <c r="D38" s="69" t="s">
        <v>808</v>
      </c>
      <c r="E38" s="65" t="s">
        <v>444</v>
      </c>
      <c r="F38" s="65">
        <v>2014</v>
      </c>
      <c r="G38" s="84" t="s">
        <v>819</v>
      </c>
      <c r="H38" s="99" t="s">
        <v>266</v>
      </c>
      <c r="I38" s="102"/>
      <c r="J38" s="102"/>
      <c r="K38" s="102"/>
      <c r="L38" s="102"/>
      <c r="M38" s="102"/>
      <c r="N38" s="102"/>
      <c r="O38" s="102"/>
      <c r="P38" s="102"/>
      <c r="Q38" s="102"/>
      <c r="R38" s="102"/>
      <c r="S38" s="102"/>
      <c r="T38" s="102"/>
      <c r="U38" s="102"/>
      <c r="V38" s="102"/>
      <c r="W38" s="102"/>
      <c r="X38" s="102"/>
      <c r="Y38" s="102"/>
      <c r="Z38" s="102"/>
      <c r="AA38" s="102"/>
      <c r="AB38" s="102"/>
      <c r="AC38" s="102"/>
      <c r="AD38" s="102"/>
      <c r="AE38" s="102"/>
      <c r="AF38" s="102"/>
      <c r="AG38" s="102"/>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102"/>
      <c r="BH38" s="102"/>
      <c r="BI38" s="102"/>
      <c r="BJ38" s="102"/>
      <c r="BK38" s="102"/>
      <c r="BL38" s="102"/>
      <c r="BM38" s="102"/>
      <c r="BN38" s="102"/>
      <c r="BO38" s="102"/>
      <c r="BP38" s="102"/>
      <c r="BQ38" s="102"/>
      <c r="BR38" s="102"/>
      <c r="BS38" s="102"/>
      <c r="BT38" s="102"/>
      <c r="BU38" s="102"/>
      <c r="BV38" s="102"/>
      <c r="BW38" s="102"/>
      <c r="BX38" s="102"/>
      <c r="BY38" s="102"/>
      <c r="BZ38" s="102"/>
      <c r="CA38" s="102"/>
      <c r="CB38" s="102"/>
      <c r="CC38" s="102"/>
      <c r="CD38" s="102"/>
      <c r="CE38" s="102"/>
      <c r="CF38" s="102"/>
      <c r="CG38" s="102"/>
      <c r="CH38" s="102"/>
      <c r="CI38" s="102"/>
      <c r="CJ38" s="102"/>
      <c r="CK38" s="102"/>
      <c r="CL38" s="102"/>
      <c r="CM38" s="102"/>
      <c r="CN38" s="102"/>
      <c r="CO38" s="102"/>
      <c r="CP38" s="102"/>
      <c r="CQ38" s="102"/>
      <c r="CR38" s="102"/>
      <c r="CS38" s="102"/>
      <c r="CT38" s="102"/>
      <c r="CU38" s="102"/>
      <c r="CV38" s="102"/>
      <c r="CW38" s="102"/>
      <c r="CX38" s="102"/>
    </row>
    <row r="39" spans="1:102" s="58" customFormat="1" ht="48" hidden="1" x14ac:dyDescent="0.2">
      <c r="A39" s="118" t="s">
        <v>786</v>
      </c>
      <c r="B39" s="58" t="s">
        <v>10</v>
      </c>
      <c r="C39" s="70" t="s">
        <v>797</v>
      </c>
      <c r="D39" s="69" t="s">
        <v>496</v>
      </c>
      <c r="E39" s="65" t="s">
        <v>497</v>
      </c>
      <c r="F39" s="65" t="s">
        <v>809</v>
      </c>
      <c r="G39" s="84" t="s">
        <v>820</v>
      </c>
      <c r="H39" s="99" t="s">
        <v>266</v>
      </c>
      <c r="I39" s="102"/>
      <c r="J39" s="102"/>
      <c r="K39" s="102"/>
      <c r="L39" s="102"/>
      <c r="M39" s="102"/>
      <c r="N39" s="102"/>
      <c r="O39" s="102"/>
      <c r="P39" s="102"/>
      <c r="Q39" s="102"/>
      <c r="R39" s="102"/>
      <c r="S39" s="102"/>
      <c r="T39" s="102"/>
      <c r="U39" s="102"/>
      <c r="V39" s="102"/>
      <c r="W39" s="102"/>
      <c r="X39" s="102"/>
      <c r="Y39" s="102"/>
      <c r="Z39" s="102"/>
      <c r="AA39" s="102"/>
      <c r="AB39" s="102"/>
      <c r="AC39" s="102"/>
      <c r="AD39" s="102"/>
      <c r="AE39" s="102"/>
      <c r="AF39" s="102"/>
      <c r="AG39" s="102"/>
      <c r="AH39" s="102"/>
      <c r="AI39" s="102"/>
      <c r="AJ39" s="102"/>
      <c r="AK39" s="102"/>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02"/>
      <c r="BX39" s="102"/>
      <c r="BY39" s="102"/>
      <c r="BZ39" s="102"/>
      <c r="CA39" s="102"/>
      <c r="CB39" s="102"/>
      <c r="CC39" s="102"/>
      <c r="CD39" s="102"/>
      <c r="CE39" s="102"/>
      <c r="CF39" s="102"/>
      <c r="CG39" s="102"/>
      <c r="CH39" s="102"/>
      <c r="CI39" s="102"/>
      <c r="CJ39" s="102"/>
      <c r="CK39" s="102"/>
      <c r="CL39" s="102"/>
      <c r="CM39" s="102"/>
      <c r="CN39" s="102"/>
      <c r="CO39" s="102"/>
      <c r="CP39" s="102"/>
      <c r="CQ39" s="102"/>
      <c r="CR39" s="102"/>
      <c r="CS39" s="102"/>
      <c r="CT39" s="102"/>
      <c r="CU39" s="102"/>
      <c r="CV39" s="102"/>
      <c r="CW39" s="102"/>
      <c r="CX39" s="102"/>
    </row>
    <row r="40" spans="1:102" ht="48" hidden="1" x14ac:dyDescent="0.2">
      <c r="A40" s="118" t="s">
        <v>786</v>
      </c>
      <c r="B40" s="58" t="str">
        <f>'Roles - Outcome'!C32</f>
        <v>A. Commitment to Feasible Policy</v>
      </c>
      <c r="C40" s="70" t="s">
        <v>797</v>
      </c>
      <c r="D40" s="69" t="s">
        <v>929</v>
      </c>
      <c r="E40" s="67" t="s">
        <v>498</v>
      </c>
      <c r="F40" s="67" t="s">
        <v>499</v>
      </c>
      <c r="G40" s="84" t="s">
        <v>821</v>
      </c>
      <c r="H40" s="99" t="s">
        <v>266</v>
      </c>
      <c r="I40" s="64"/>
      <c r="J40" s="64"/>
      <c r="K40" s="64"/>
      <c r="L40" s="64"/>
      <c r="M40" s="64"/>
      <c r="N40" s="64"/>
      <c r="O40" s="64"/>
      <c r="P40" s="64"/>
      <c r="Q40" s="64"/>
      <c r="R40" s="64"/>
      <c r="S40" s="64"/>
      <c r="T40" s="64"/>
      <c r="U40" s="64"/>
      <c r="V40" s="64"/>
      <c r="W40" s="64"/>
      <c r="X40" s="64"/>
      <c r="Y40" s="64"/>
      <c r="Z40" s="64"/>
      <c r="AA40" s="64"/>
      <c r="AB40" s="64"/>
      <c r="AC40" s="64"/>
      <c r="AD40" s="64"/>
      <c r="AE40" s="64"/>
      <c r="AF40" s="64"/>
      <c r="AG40" s="64"/>
      <c r="AH40" s="64"/>
      <c r="AI40" s="64"/>
      <c r="AJ40" s="64"/>
      <c r="AK40" s="64"/>
      <c r="AL40" s="64"/>
      <c r="AM40" s="64"/>
      <c r="AN40" s="64"/>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c r="BU40" s="64"/>
      <c r="BV40" s="64"/>
      <c r="BW40" s="64"/>
      <c r="BX40" s="64"/>
      <c r="BY40" s="64"/>
      <c r="BZ40" s="64"/>
      <c r="CA40" s="64"/>
      <c r="CB40" s="64"/>
      <c r="CC40" s="64"/>
      <c r="CD40" s="64"/>
      <c r="CE40" s="64"/>
      <c r="CF40" s="64"/>
      <c r="CG40" s="64"/>
      <c r="CH40" s="64"/>
      <c r="CI40" s="64"/>
      <c r="CJ40" s="64"/>
      <c r="CK40" s="64"/>
      <c r="CL40" s="64"/>
      <c r="CM40" s="64"/>
      <c r="CN40" s="64"/>
      <c r="CO40" s="64"/>
      <c r="CP40" s="64"/>
      <c r="CQ40" s="64"/>
      <c r="CR40" s="64"/>
      <c r="CS40" s="64"/>
      <c r="CT40" s="64"/>
      <c r="CU40" s="64"/>
      <c r="CV40" s="64"/>
      <c r="CW40" s="64"/>
      <c r="CX40" s="64"/>
    </row>
    <row r="41" spans="1:102" ht="48" hidden="1" x14ac:dyDescent="0.2">
      <c r="A41" s="118" t="s">
        <v>786</v>
      </c>
      <c r="B41" s="58" t="s">
        <v>10</v>
      </c>
      <c r="C41" s="70" t="s">
        <v>797</v>
      </c>
      <c r="D41" s="69" t="s">
        <v>928</v>
      </c>
      <c r="E41" s="67" t="s">
        <v>495</v>
      </c>
      <c r="F41" s="67" t="s">
        <v>499</v>
      </c>
      <c r="G41" s="84" t="s">
        <v>821</v>
      </c>
      <c r="H41" s="99" t="s">
        <v>266</v>
      </c>
      <c r="I41" s="64"/>
      <c r="J41" s="64"/>
      <c r="K41" s="64"/>
      <c r="L41" s="64"/>
      <c r="M41" s="64"/>
      <c r="N41" s="64"/>
      <c r="O41" s="64"/>
      <c r="P41" s="64"/>
      <c r="Q41" s="64"/>
      <c r="R41" s="64"/>
      <c r="S41" s="64"/>
      <c r="T41" s="64"/>
      <c r="U41" s="64"/>
      <c r="V41" s="64"/>
      <c r="W41" s="64"/>
      <c r="X41" s="64"/>
      <c r="Y41" s="64"/>
      <c r="Z41" s="64"/>
      <c r="AA41" s="64"/>
      <c r="AB41" s="64"/>
      <c r="AC41" s="64"/>
      <c r="AD41" s="64"/>
      <c r="AE41" s="64"/>
      <c r="AF41" s="64"/>
      <c r="AG41" s="64"/>
      <c r="AH41" s="64"/>
      <c r="AI41" s="64"/>
      <c r="AJ41" s="64"/>
      <c r="AK41" s="64"/>
      <c r="AL41" s="64"/>
      <c r="AM41" s="64"/>
      <c r="AN41" s="64"/>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c r="BU41" s="64"/>
      <c r="BV41" s="64"/>
      <c r="BW41" s="64"/>
      <c r="BX41" s="64"/>
      <c r="BY41" s="64"/>
      <c r="BZ41" s="64"/>
      <c r="CA41" s="64"/>
      <c r="CB41" s="64"/>
      <c r="CC41" s="64"/>
      <c r="CD41" s="64"/>
      <c r="CE41" s="64"/>
      <c r="CF41" s="64"/>
      <c r="CG41" s="64"/>
      <c r="CH41" s="64"/>
      <c r="CI41" s="64"/>
      <c r="CJ41" s="64"/>
      <c r="CK41" s="64"/>
      <c r="CL41" s="64"/>
      <c r="CM41" s="64"/>
      <c r="CN41" s="64"/>
      <c r="CO41" s="64"/>
      <c r="CP41" s="64"/>
      <c r="CQ41" s="64"/>
      <c r="CR41" s="64"/>
      <c r="CS41" s="64"/>
      <c r="CT41" s="64"/>
      <c r="CU41" s="64"/>
      <c r="CV41" s="64"/>
      <c r="CW41" s="64"/>
      <c r="CX41" s="64"/>
    </row>
    <row r="42" spans="1:102" ht="48" hidden="1" x14ac:dyDescent="0.2">
      <c r="A42" s="118" t="s">
        <v>786</v>
      </c>
      <c r="B42" s="58" t="s">
        <v>10</v>
      </c>
      <c r="C42" s="70" t="s">
        <v>797</v>
      </c>
      <c r="D42" s="69" t="s">
        <v>927</v>
      </c>
      <c r="E42" s="67" t="s">
        <v>902</v>
      </c>
      <c r="F42" s="67" t="s">
        <v>500</v>
      </c>
      <c r="G42" s="84" t="s">
        <v>821</v>
      </c>
      <c r="H42" s="99" t="s">
        <v>266</v>
      </c>
      <c r="I42" s="64"/>
      <c r="J42" s="64"/>
      <c r="K42" s="64"/>
      <c r="L42" s="64"/>
      <c r="M42" s="64"/>
      <c r="N42" s="64"/>
      <c r="O42" s="64"/>
      <c r="P42" s="64"/>
      <c r="Q42" s="64"/>
      <c r="R42" s="64"/>
      <c r="S42" s="64"/>
      <c r="T42" s="64"/>
      <c r="U42" s="64"/>
      <c r="V42" s="64"/>
      <c r="W42" s="64"/>
      <c r="X42" s="64"/>
      <c r="Y42" s="64"/>
      <c r="Z42" s="64"/>
      <c r="AA42" s="64"/>
      <c r="AB42" s="64"/>
      <c r="AC42" s="64"/>
      <c r="AD42" s="64"/>
      <c r="AE42" s="64"/>
      <c r="AF42" s="64"/>
      <c r="AG42" s="64"/>
      <c r="AH42" s="64"/>
      <c r="AI42" s="64"/>
      <c r="AJ42" s="64"/>
      <c r="AK42" s="64"/>
      <c r="AL42" s="64"/>
      <c r="AM42" s="64"/>
      <c r="AN42" s="64"/>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c r="BU42" s="64"/>
      <c r="BV42" s="64"/>
      <c r="BW42" s="64"/>
      <c r="BX42" s="64"/>
      <c r="BY42" s="64"/>
      <c r="BZ42" s="64"/>
      <c r="CA42" s="64"/>
      <c r="CB42" s="64"/>
      <c r="CC42" s="64"/>
      <c r="CD42" s="64"/>
      <c r="CE42" s="64"/>
      <c r="CF42" s="64"/>
      <c r="CG42" s="64"/>
      <c r="CH42" s="64"/>
      <c r="CI42" s="64"/>
      <c r="CJ42" s="64"/>
      <c r="CK42" s="64"/>
      <c r="CL42" s="64"/>
      <c r="CM42" s="64"/>
      <c r="CN42" s="64"/>
      <c r="CO42" s="64"/>
      <c r="CP42" s="64"/>
      <c r="CQ42" s="64"/>
      <c r="CR42" s="64"/>
      <c r="CS42" s="64"/>
      <c r="CT42" s="64"/>
      <c r="CU42" s="64"/>
      <c r="CV42" s="64"/>
      <c r="CW42" s="64"/>
      <c r="CX42" s="64"/>
    </row>
    <row r="43" spans="1:102" ht="80" hidden="1" x14ac:dyDescent="0.2">
      <c r="A43" s="118" t="s">
        <v>786</v>
      </c>
      <c r="B43" s="58" t="str">
        <f>'Roles - Outcome'!C33</f>
        <v>A. Commitment to Feasible Policy</v>
      </c>
      <c r="C43" s="70" t="s">
        <v>299</v>
      </c>
      <c r="D43" s="67" t="s">
        <v>930</v>
      </c>
      <c r="E43" s="67" t="s">
        <v>501</v>
      </c>
      <c r="F43" s="67">
        <v>2003</v>
      </c>
      <c r="G43" s="78" t="s">
        <v>822</v>
      </c>
      <c r="H43" s="99" t="s">
        <v>266</v>
      </c>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64"/>
      <c r="AH43" s="64"/>
      <c r="AI43" s="64"/>
      <c r="AJ43" s="64"/>
      <c r="AK43" s="64"/>
      <c r="AL43" s="64"/>
      <c r="AM43" s="64"/>
      <c r="AN43" s="64"/>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c r="BU43" s="64"/>
      <c r="BV43" s="64"/>
      <c r="BW43" s="64"/>
      <c r="BX43" s="64"/>
      <c r="BY43" s="64"/>
      <c r="BZ43" s="64"/>
      <c r="CA43" s="64"/>
      <c r="CB43" s="64"/>
      <c r="CC43" s="64"/>
      <c r="CD43" s="64"/>
      <c r="CE43" s="64"/>
      <c r="CF43" s="64"/>
      <c r="CG43" s="64"/>
      <c r="CH43" s="64"/>
      <c r="CI43" s="64"/>
      <c r="CJ43" s="64"/>
      <c r="CK43" s="64"/>
      <c r="CL43" s="64"/>
      <c r="CM43" s="64"/>
      <c r="CN43" s="64"/>
      <c r="CO43" s="64"/>
      <c r="CP43" s="64"/>
      <c r="CQ43" s="64"/>
      <c r="CR43" s="64"/>
      <c r="CS43" s="64"/>
      <c r="CT43" s="64"/>
      <c r="CU43" s="64"/>
      <c r="CV43" s="64"/>
      <c r="CW43" s="64"/>
      <c r="CX43" s="64"/>
    </row>
    <row r="44" spans="1:102" ht="64" hidden="1" x14ac:dyDescent="0.2">
      <c r="A44" s="118" t="s">
        <v>786</v>
      </c>
      <c r="B44" s="58" t="s">
        <v>10</v>
      </c>
      <c r="C44" s="70" t="s">
        <v>299</v>
      </c>
      <c r="D44" s="58" t="s">
        <v>931</v>
      </c>
      <c r="E44" s="58" t="s">
        <v>495</v>
      </c>
      <c r="F44" s="58">
        <v>2002</v>
      </c>
      <c r="G44" s="78" t="s">
        <v>823</v>
      </c>
      <c r="H44" s="99" t="s">
        <v>266</v>
      </c>
      <c r="I44" s="64"/>
      <c r="J44" s="64"/>
      <c r="K44" s="64"/>
      <c r="L44" s="64"/>
      <c r="M44" s="64"/>
      <c r="N44" s="64"/>
      <c r="O44" s="64"/>
      <c r="P44" s="64"/>
      <c r="Q44" s="64"/>
      <c r="R44" s="64"/>
      <c r="S44" s="64"/>
      <c r="T44" s="64"/>
      <c r="U44" s="64"/>
      <c r="V44" s="64"/>
      <c r="W44" s="64"/>
      <c r="X44" s="64"/>
      <c r="Y44" s="64"/>
      <c r="Z44" s="64"/>
      <c r="AA44" s="64"/>
      <c r="AB44" s="64"/>
      <c r="AC44" s="64"/>
      <c r="AD44" s="64"/>
      <c r="AE44" s="64"/>
      <c r="AF44" s="64"/>
      <c r="AG44" s="64"/>
      <c r="AH44" s="64"/>
      <c r="AI44" s="64"/>
      <c r="AJ44" s="64"/>
      <c r="AK44" s="64"/>
      <c r="AL44" s="64"/>
      <c r="AM44" s="64"/>
      <c r="AN44" s="64"/>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c r="BU44" s="64"/>
      <c r="BV44" s="64"/>
      <c r="BW44" s="64"/>
      <c r="BX44" s="64"/>
      <c r="BY44" s="64"/>
      <c r="BZ44" s="64"/>
      <c r="CA44" s="64"/>
      <c r="CB44" s="64"/>
      <c r="CC44" s="64"/>
      <c r="CD44" s="64"/>
      <c r="CE44" s="64"/>
      <c r="CF44" s="64"/>
      <c r="CG44" s="64"/>
      <c r="CH44" s="64"/>
      <c r="CI44" s="64"/>
      <c r="CJ44" s="64"/>
      <c r="CK44" s="64"/>
      <c r="CL44" s="64"/>
      <c r="CM44" s="64"/>
      <c r="CN44" s="64"/>
      <c r="CO44" s="64"/>
      <c r="CP44" s="64"/>
      <c r="CQ44" s="64"/>
      <c r="CR44" s="64"/>
      <c r="CS44" s="64"/>
      <c r="CT44" s="64"/>
      <c r="CU44" s="64"/>
      <c r="CV44" s="64"/>
      <c r="CW44" s="64"/>
      <c r="CX44" s="64"/>
    </row>
    <row r="45" spans="1:102" ht="64" hidden="1" x14ac:dyDescent="0.2">
      <c r="A45" s="118" t="s">
        <v>786</v>
      </c>
      <c r="B45" s="58" t="s">
        <v>10</v>
      </c>
      <c r="C45" s="70" t="s">
        <v>299</v>
      </c>
      <c r="D45" s="58" t="s">
        <v>502</v>
      </c>
      <c r="E45" s="58" t="s">
        <v>503</v>
      </c>
      <c r="F45" s="58" t="s">
        <v>810</v>
      </c>
      <c r="G45" s="78" t="s">
        <v>824</v>
      </c>
      <c r="H45" s="99" t="s">
        <v>266</v>
      </c>
      <c r="I45" s="64"/>
      <c r="J45" s="64"/>
      <c r="K45" s="64"/>
      <c r="L45" s="64"/>
      <c r="M45" s="64"/>
      <c r="N45" s="64"/>
      <c r="O45" s="64"/>
      <c r="P45" s="64"/>
      <c r="Q45" s="64"/>
      <c r="R45" s="64"/>
      <c r="S45" s="64"/>
      <c r="T45" s="64"/>
      <c r="U45" s="64"/>
      <c r="V45" s="64"/>
      <c r="W45" s="64"/>
      <c r="X45" s="64"/>
      <c r="Y45" s="64"/>
      <c r="Z45" s="64"/>
      <c r="AA45" s="64"/>
      <c r="AB45" s="64"/>
      <c r="AC45" s="64"/>
      <c r="AD45" s="64"/>
      <c r="AE45" s="64"/>
      <c r="AF45" s="64"/>
      <c r="AG45" s="64"/>
      <c r="AH45" s="64"/>
      <c r="AI45" s="64"/>
      <c r="AJ45" s="64"/>
      <c r="AK45" s="64"/>
      <c r="AL45" s="64"/>
      <c r="AM45" s="64"/>
      <c r="AN45" s="64"/>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c r="BU45" s="64"/>
      <c r="BV45" s="64"/>
      <c r="BW45" s="64"/>
      <c r="BX45" s="64"/>
      <c r="BY45" s="64"/>
      <c r="BZ45" s="64"/>
      <c r="CA45" s="64"/>
      <c r="CB45" s="64"/>
      <c r="CC45" s="64"/>
      <c r="CD45" s="64"/>
      <c r="CE45" s="64"/>
      <c r="CF45" s="64"/>
      <c r="CG45" s="64"/>
      <c r="CH45" s="64"/>
      <c r="CI45" s="64"/>
      <c r="CJ45" s="64"/>
      <c r="CK45" s="64"/>
      <c r="CL45" s="64"/>
      <c r="CM45" s="64"/>
      <c r="CN45" s="64"/>
      <c r="CO45" s="64"/>
      <c r="CP45" s="64"/>
      <c r="CQ45" s="64"/>
      <c r="CR45" s="64"/>
      <c r="CS45" s="64"/>
      <c r="CT45" s="64"/>
      <c r="CU45" s="64"/>
      <c r="CV45" s="64"/>
      <c r="CW45" s="64"/>
      <c r="CX45" s="64"/>
    </row>
    <row r="46" spans="1:102" ht="176" hidden="1" x14ac:dyDescent="0.2">
      <c r="A46" s="118" t="s">
        <v>786</v>
      </c>
      <c r="B46" s="58" t="s">
        <v>12</v>
      </c>
      <c r="C46" s="70" t="s">
        <v>300</v>
      </c>
      <c r="D46" s="69" t="s">
        <v>504</v>
      </c>
      <c r="E46" s="67" t="s">
        <v>505</v>
      </c>
      <c r="F46" s="67" t="s">
        <v>506</v>
      </c>
      <c r="G46" s="78" t="s">
        <v>825</v>
      </c>
      <c r="H46" s="99" t="s">
        <v>266</v>
      </c>
      <c r="I46" s="64"/>
      <c r="J46" s="64"/>
      <c r="K46" s="64"/>
      <c r="L46" s="64"/>
      <c r="M46" s="64"/>
      <c r="N46" s="64"/>
      <c r="O46" s="64"/>
      <c r="P46" s="64"/>
      <c r="Q46" s="64"/>
      <c r="R46" s="64"/>
      <c r="S46" s="64"/>
      <c r="T46" s="64"/>
      <c r="U46" s="64"/>
      <c r="V46" s="64"/>
      <c r="W46" s="64"/>
      <c r="X46" s="64"/>
      <c r="Y46" s="64"/>
      <c r="Z46" s="64"/>
      <c r="AA46" s="64"/>
      <c r="AB46" s="64"/>
      <c r="AC46" s="64"/>
      <c r="AD46" s="64"/>
      <c r="AE46" s="64"/>
      <c r="AF46" s="64"/>
      <c r="AG46" s="64"/>
      <c r="AH46" s="64"/>
      <c r="AI46" s="64"/>
      <c r="AJ46" s="64"/>
      <c r="AK46" s="64"/>
      <c r="AL46" s="64"/>
      <c r="AM46" s="64"/>
      <c r="AN46" s="64"/>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c r="BU46" s="64"/>
      <c r="BV46" s="64"/>
      <c r="BW46" s="64"/>
      <c r="BX46" s="64"/>
      <c r="BY46" s="64"/>
      <c r="BZ46" s="64"/>
      <c r="CA46" s="64"/>
      <c r="CB46" s="64"/>
      <c r="CC46" s="64"/>
      <c r="CD46" s="64"/>
      <c r="CE46" s="64"/>
      <c r="CF46" s="64"/>
      <c r="CG46" s="64"/>
      <c r="CH46" s="64"/>
      <c r="CI46" s="64"/>
      <c r="CJ46" s="64"/>
      <c r="CK46" s="64"/>
      <c r="CL46" s="64"/>
      <c r="CM46" s="64"/>
      <c r="CN46" s="64"/>
      <c r="CO46" s="64"/>
      <c r="CP46" s="64"/>
      <c r="CQ46" s="64"/>
      <c r="CR46" s="64"/>
      <c r="CS46" s="64"/>
      <c r="CT46" s="64"/>
      <c r="CU46" s="64"/>
      <c r="CV46" s="64"/>
      <c r="CW46" s="64"/>
      <c r="CX46" s="64"/>
    </row>
    <row r="47" spans="1:102" ht="64" hidden="1" x14ac:dyDescent="0.2">
      <c r="A47" s="118" t="s">
        <v>786</v>
      </c>
      <c r="B47" s="58" t="s">
        <v>12</v>
      </c>
      <c r="C47" s="70" t="s">
        <v>300</v>
      </c>
      <c r="D47" s="67" t="s">
        <v>507</v>
      </c>
      <c r="E47" s="67" t="s">
        <v>508</v>
      </c>
      <c r="F47" s="67" t="s">
        <v>509</v>
      </c>
      <c r="G47" s="78" t="s">
        <v>826</v>
      </c>
      <c r="H47" s="99" t="s">
        <v>266</v>
      </c>
      <c r="I47" s="64"/>
      <c r="J47" s="64"/>
      <c r="K47" s="64"/>
      <c r="L47" s="64"/>
      <c r="M47" s="64"/>
      <c r="N47" s="64"/>
      <c r="O47" s="64"/>
      <c r="P47" s="64"/>
      <c r="Q47" s="64"/>
      <c r="R47" s="64"/>
      <c r="S47" s="64"/>
      <c r="T47" s="64"/>
      <c r="U47" s="64"/>
      <c r="V47" s="64"/>
      <c r="W47" s="64"/>
      <c r="X47" s="64"/>
      <c r="Y47" s="64"/>
      <c r="Z47" s="64"/>
      <c r="AA47" s="64"/>
      <c r="AB47" s="64"/>
      <c r="AC47" s="64"/>
      <c r="AD47" s="64"/>
      <c r="AE47" s="64"/>
      <c r="AF47" s="64"/>
      <c r="AG47" s="64"/>
      <c r="AH47" s="64"/>
      <c r="AI47" s="64"/>
      <c r="AJ47" s="64"/>
      <c r="AK47" s="64"/>
      <c r="AL47" s="64"/>
      <c r="AM47" s="64"/>
      <c r="AN47" s="64"/>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c r="BU47" s="64"/>
      <c r="BV47" s="64"/>
      <c r="BW47" s="64"/>
      <c r="BX47" s="64"/>
      <c r="BY47" s="64"/>
      <c r="BZ47" s="64"/>
      <c r="CA47" s="64"/>
      <c r="CB47" s="64"/>
      <c r="CC47" s="64"/>
      <c r="CD47" s="64"/>
      <c r="CE47" s="64"/>
      <c r="CF47" s="64"/>
      <c r="CG47" s="64"/>
      <c r="CH47" s="64"/>
      <c r="CI47" s="64"/>
      <c r="CJ47" s="64"/>
      <c r="CK47" s="64"/>
      <c r="CL47" s="64"/>
      <c r="CM47" s="64"/>
      <c r="CN47" s="64"/>
      <c r="CO47" s="64"/>
      <c r="CP47" s="64"/>
      <c r="CQ47" s="64"/>
      <c r="CR47" s="64"/>
      <c r="CS47" s="64"/>
      <c r="CT47" s="64"/>
      <c r="CU47" s="64"/>
      <c r="CV47" s="64"/>
      <c r="CW47" s="64"/>
      <c r="CX47" s="64"/>
    </row>
    <row r="48" spans="1:102" ht="64" hidden="1" x14ac:dyDescent="0.2">
      <c r="A48" s="118" t="s">
        <v>786</v>
      </c>
      <c r="B48" s="58" t="s">
        <v>12</v>
      </c>
      <c r="C48" s="58" t="s">
        <v>300</v>
      </c>
      <c r="D48" s="67" t="s">
        <v>811</v>
      </c>
      <c r="E48" s="67" t="s">
        <v>495</v>
      </c>
      <c r="F48" s="67">
        <v>2001</v>
      </c>
      <c r="G48" s="78" t="s">
        <v>826</v>
      </c>
      <c r="H48" s="99" t="s">
        <v>266</v>
      </c>
      <c r="I48" s="64"/>
      <c r="J48" s="64"/>
      <c r="K48" s="64"/>
      <c r="L48" s="64"/>
      <c r="M48" s="64"/>
      <c r="N48" s="64"/>
      <c r="O48" s="64"/>
      <c r="P48" s="64"/>
      <c r="Q48" s="64"/>
      <c r="R48" s="64"/>
      <c r="S48" s="64"/>
      <c r="T48" s="64"/>
      <c r="U48" s="64"/>
      <c r="V48" s="64"/>
      <c r="W48" s="64"/>
      <c r="X48" s="64"/>
      <c r="Y48" s="64"/>
      <c r="Z48" s="64"/>
      <c r="AA48" s="64"/>
      <c r="AB48" s="64"/>
      <c r="AC48" s="64"/>
      <c r="AD48" s="64"/>
      <c r="AE48" s="64"/>
      <c r="AF48" s="64"/>
      <c r="AG48" s="64"/>
      <c r="AH48" s="64"/>
      <c r="AI48" s="64"/>
      <c r="AJ48" s="64"/>
      <c r="AK48" s="64"/>
      <c r="AL48" s="64"/>
      <c r="AM48" s="64"/>
      <c r="AN48" s="64"/>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c r="BU48" s="64"/>
      <c r="BV48" s="64"/>
      <c r="BW48" s="64"/>
      <c r="BX48" s="64"/>
      <c r="BY48" s="64"/>
      <c r="BZ48" s="64"/>
      <c r="CA48" s="64"/>
      <c r="CB48" s="64"/>
      <c r="CC48" s="64"/>
      <c r="CD48" s="64"/>
      <c r="CE48" s="64"/>
      <c r="CF48" s="64"/>
      <c r="CG48" s="64"/>
      <c r="CH48" s="64"/>
      <c r="CI48" s="64"/>
      <c r="CJ48" s="64"/>
      <c r="CK48" s="64"/>
      <c r="CL48" s="64"/>
      <c r="CM48" s="64"/>
      <c r="CN48" s="64"/>
      <c r="CO48" s="64"/>
      <c r="CP48" s="64"/>
      <c r="CQ48" s="64"/>
      <c r="CR48" s="64"/>
      <c r="CS48" s="64"/>
      <c r="CT48" s="64"/>
      <c r="CU48" s="64"/>
      <c r="CV48" s="64"/>
      <c r="CW48" s="64"/>
      <c r="CX48" s="64"/>
    </row>
    <row r="49" spans="1:102" ht="81" hidden="1" customHeight="1" x14ac:dyDescent="0.2">
      <c r="A49" s="118" t="s">
        <v>786</v>
      </c>
      <c r="B49" s="58" t="str">
        <f>'Roles - Outcome'!C37</f>
        <v>C. Effective Resource Mobilisation and Distribution</v>
      </c>
      <c r="C49" s="70" t="s">
        <v>301</v>
      </c>
      <c r="D49" s="58" t="s">
        <v>510</v>
      </c>
      <c r="E49" s="58" t="s">
        <v>511</v>
      </c>
      <c r="F49" s="58">
        <v>2002</v>
      </c>
      <c r="G49" s="78" t="s">
        <v>827</v>
      </c>
      <c r="H49" s="99" t="s">
        <v>266</v>
      </c>
      <c r="I49" s="64"/>
      <c r="J49" s="64"/>
      <c r="K49" s="64"/>
      <c r="L49" s="64"/>
      <c r="M49" s="64"/>
      <c r="N49" s="64"/>
      <c r="O49" s="64"/>
      <c r="P49" s="64"/>
      <c r="Q49" s="64"/>
      <c r="R49" s="64"/>
      <c r="S49" s="64"/>
      <c r="T49" s="64"/>
      <c r="U49" s="64"/>
      <c r="V49" s="64"/>
      <c r="W49" s="64"/>
      <c r="X49" s="64"/>
      <c r="Y49" s="64"/>
      <c r="Z49" s="64"/>
      <c r="AA49" s="64"/>
      <c r="AB49" s="64"/>
      <c r="AC49" s="64"/>
      <c r="AD49" s="64"/>
      <c r="AE49" s="64"/>
      <c r="AF49" s="64"/>
      <c r="AG49" s="64"/>
      <c r="AH49" s="64"/>
      <c r="AI49" s="64"/>
      <c r="AJ49" s="64"/>
      <c r="AK49" s="64"/>
      <c r="AL49" s="64"/>
      <c r="AM49" s="64"/>
      <c r="AN49" s="64"/>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c r="BU49" s="64"/>
      <c r="BV49" s="64"/>
      <c r="BW49" s="64"/>
      <c r="BX49" s="64"/>
      <c r="BY49" s="64"/>
      <c r="BZ49" s="64"/>
      <c r="CA49" s="64"/>
      <c r="CB49" s="64"/>
      <c r="CC49" s="64"/>
      <c r="CD49" s="64"/>
      <c r="CE49" s="64"/>
      <c r="CF49" s="64"/>
      <c r="CG49" s="64"/>
      <c r="CH49" s="64"/>
      <c r="CI49" s="64"/>
      <c r="CJ49" s="64"/>
      <c r="CK49" s="64"/>
      <c r="CL49" s="64"/>
      <c r="CM49" s="64"/>
      <c r="CN49" s="64"/>
      <c r="CO49" s="64"/>
      <c r="CP49" s="64"/>
      <c r="CQ49" s="64"/>
      <c r="CR49" s="64"/>
      <c r="CS49" s="64"/>
      <c r="CT49" s="64"/>
      <c r="CU49" s="64"/>
      <c r="CV49" s="64"/>
      <c r="CW49" s="64"/>
      <c r="CX49" s="64"/>
    </row>
    <row r="50" spans="1:102" ht="80" hidden="1" x14ac:dyDescent="0.2">
      <c r="A50" s="118" t="s">
        <v>786</v>
      </c>
      <c r="B50" s="58" t="str">
        <f>'Roles - Outcome'!C38</f>
        <v>D. Performance &amp; Accountability in Delivery</v>
      </c>
      <c r="C50" s="70" t="s">
        <v>301</v>
      </c>
      <c r="D50" s="58" t="s">
        <v>813</v>
      </c>
      <c r="E50" s="58" t="s">
        <v>545</v>
      </c>
      <c r="F50" s="58">
        <v>2022</v>
      </c>
      <c r="G50" s="78" t="s">
        <v>828</v>
      </c>
      <c r="H50" s="99"/>
      <c r="I50" s="64"/>
      <c r="J50" s="64"/>
      <c r="K50" s="64"/>
      <c r="L50" s="64"/>
      <c r="M50" s="64"/>
      <c r="N50" s="64"/>
      <c r="O50" s="64"/>
      <c r="P50" s="64"/>
      <c r="Q50" s="64"/>
      <c r="R50" s="64"/>
      <c r="S50" s="64"/>
      <c r="T50" s="64"/>
      <c r="U50" s="64"/>
      <c r="V50" s="64"/>
      <c r="W50" s="64"/>
      <c r="X50" s="64"/>
      <c r="Y50" s="64"/>
      <c r="Z50" s="64"/>
      <c r="AA50" s="64"/>
      <c r="AB50" s="64"/>
      <c r="AC50" s="64"/>
      <c r="AD50" s="64"/>
      <c r="AE50" s="64"/>
      <c r="AF50" s="64"/>
      <c r="AG50" s="64"/>
      <c r="AH50" s="64"/>
      <c r="AI50" s="64"/>
      <c r="AJ50" s="64"/>
      <c r="AK50" s="64"/>
      <c r="AL50" s="64"/>
      <c r="AM50" s="64"/>
      <c r="AN50" s="64"/>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c r="BU50" s="64"/>
      <c r="BV50" s="64"/>
      <c r="BW50" s="64"/>
      <c r="BX50" s="64"/>
      <c r="BY50" s="64"/>
      <c r="BZ50" s="64"/>
      <c r="CA50" s="64"/>
      <c r="CB50" s="64"/>
      <c r="CC50" s="64"/>
      <c r="CD50" s="64"/>
      <c r="CE50" s="64"/>
      <c r="CF50" s="64"/>
      <c r="CG50" s="64"/>
      <c r="CH50" s="64"/>
      <c r="CI50" s="64"/>
      <c r="CJ50" s="64"/>
      <c r="CK50" s="64"/>
      <c r="CL50" s="64"/>
      <c r="CM50" s="64"/>
      <c r="CN50" s="64"/>
      <c r="CO50" s="64"/>
      <c r="CP50" s="64"/>
      <c r="CQ50" s="64"/>
      <c r="CR50" s="64"/>
      <c r="CS50" s="64"/>
      <c r="CT50" s="64"/>
      <c r="CU50" s="64"/>
      <c r="CV50" s="64"/>
      <c r="CW50" s="64"/>
      <c r="CX50" s="64"/>
    </row>
    <row r="51" spans="1:102" ht="48" hidden="1" x14ac:dyDescent="0.2">
      <c r="A51" s="118" t="s">
        <v>786</v>
      </c>
      <c r="B51" s="58" t="str">
        <f>'Roles - Outcome'!C39</f>
        <v>D. Performance &amp; Accountability in Delivery</v>
      </c>
      <c r="C51" s="78" t="s">
        <v>303</v>
      </c>
      <c r="D51" s="67" t="s">
        <v>513</v>
      </c>
      <c r="E51" s="67" t="s">
        <v>514</v>
      </c>
      <c r="F51" s="96" t="s">
        <v>812</v>
      </c>
      <c r="G51" s="78" t="s">
        <v>829</v>
      </c>
      <c r="H51" s="99" t="s">
        <v>266</v>
      </c>
      <c r="I51" s="64"/>
      <c r="J51" s="64"/>
      <c r="K51" s="64"/>
      <c r="L51" s="64"/>
      <c r="M51" s="64"/>
      <c r="N51" s="64"/>
      <c r="O51" s="64"/>
      <c r="P51" s="64"/>
      <c r="Q51" s="64"/>
      <c r="R51" s="64"/>
      <c r="S51" s="64"/>
      <c r="T51" s="64"/>
      <c r="U51" s="64"/>
      <c r="V51" s="64"/>
      <c r="W51" s="64"/>
      <c r="X51" s="64"/>
      <c r="Y51" s="64"/>
      <c r="Z51" s="64"/>
      <c r="AA51" s="64"/>
      <c r="AB51" s="64"/>
      <c r="AC51" s="64"/>
      <c r="AD51" s="64"/>
      <c r="AE51" s="64"/>
      <c r="AF51" s="64"/>
      <c r="AG51" s="64"/>
      <c r="AH51" s="64"/>
      <c r="AI51" s="64"/>
      <c r="AJ51" s="64"/>
      <c r="AK51" s="64"/>
      <c r="AL51" s="64"/>
      <c r="AM51" s="64"/>
      <c r="AN51" s="64"/>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c r="BU51" s="64"/>
      <c r="BV51" s="64"/>
      <c r="BW51" s="64"/>
      <c r="BX51" s="64"/>
      <c r="BY51" s="64"/>
      <c r="BZ51" s="64"/>
      <c r="CA51" s="64"/>
      <c r="CB51" s="64"/>
      <c r="CC51" s="64"/>
      <c r="CD51" s="64"/>
      <c r="CE51" s="64"/>
      <c r="CF51" s="64"/>
      <c r="CG51" s="64"/>
      <c r="CH51" s="64"/>
      <c r="CI51" s="64"/>
      <c r="CJ51" s="64"/>
      <c r="CK51" s="64"/>
      <c r="CL51" s="64"/>
      <c r="CM51" s="64"/>
      <c r="CN51" s="64"/>
      <c r="CO51" s="64"/>
      <c r="CP51" s="64"/>
      <c r="CQ51" s="64"/>
      <c r="CR51" s="64"/>
      <c r="CS51" s="64"/>
      <c r="CT51" s="64"/>
      <c r="CU51" s="64"/>
      <c r="CV51" s="64"/>
      <c r="CW51" s="64"/>
      <c r="CX51" s="64"/>
    </row>
    <row r="52" spans="1:102" s="64" customFormat="1" ht="144" hidden="1" x14ac:dyDescent="0.2">
      <c r="A52" s="118" t="s">
        <v>724</v>
      </c>
      <c r="B52" s="58" t="s">
        <v>10</v>
      </c>
      <c r="C52" s="58" t="s">
        <v>304</v>
      </c>
      <c r="D52" s="67" t="s">
        <v>515</v>
      </c>
      <c r="E52" s="67" t="s">
        <v>516</v>
      </c>
      <c r="F52" s="67" t="s">
        <v>517</v>
      </c>
      <c r="G52" s="122" t="s">
        <v>518</v>
      </c>
      <c r="H52" s="99" t="s">
        <v>266</v>
      </c>
    </row>
    <row r="53" spans="1:102" s="64" customFormat="1" ht="112" hidden="1" x14ac:dyDescent="0.2">
      <c r="A53" s="119" t="s">
        <v>724</v>
      </c>
      <c r="B53" s="59" t="str">
        <f>'Roles - Outcome'!C40</f>
        <v>A. Commitment to Feasible Policy</v>
      </c>
      <c r="C53" s="59" t="s">
        <v>304</v>
      </c>
      <c r="D53" s="68" t="s">
        <v>519</v>
      </c>
      <c r="E53" s="59" t="s">
        <v>520</v>
      </c>
      <c r="F53" s="59">
        <v>1935</v>
      </c>
      <c r="G53" s="84" t="s">
        <v>933</v>
      </c>
      <c r="H53" s="99" t="s">
        <v>266</v>
      </c>
    </row>
    <row r="54" spans="1:102" s="64" customFormat="1" ht="176" hidden="1" x14ac:dyDescent="0.2">
      <c r="A54" s="119" t="s">
        <v>724</v>
      </c>
      <c r="B54" s="59" t="e">
        <f>'Roles - Outcome'!#REF!</f>
        <v>#REF!</v>
      </c>
      <c r="C54" s="59" t="s">
        <v>305</v>
      </c>
      <c r="D54" s="68" t="s">
        <v>521</v>
      </c>
      <c r="E54" s="59" t="s">
        <v>522</v>
      </c>
      <c r="F54" s="59">
        <v>2016</v>
      </c>
      <c r="G54" s="84" t="s">
        <v>523</v>
      </c>
      <c r="H54" s="99" t="s">
        <v>266</v>
      </c>
    </row>
    <row r="55" spans="1:102" s="64" customFormat="1" ht="128" hidden="1" x14ac:dyDescent="0.2">
      <c r="A55" s="119" t="s">
        <v>724</v>
      </c>
      <c r="B55" s="59" t="str">
        <f>'Roles - Outcome'!C42</f>
        <v>B. Fiscal Sustainability</v>
      </c>
      <c r="C55" s="59" t="s">
        <v>306</v>
      </c>
      <c r="D55" s="59" t="s">
        <v>524</v>
      </c>
      <c r="E55" s="59" t="s">
        <v>498</v>
      </c>
      <c r="F55" s="59" t="s">
        <v>525</v>
      </c>
      <c r="G55" s="122" t="s">
        <v>526</v>
      </c>
      <c r="H55" s="99" t="s">
        <v>266</v>
      </c>
    </row>
    <row r="56" spans="1:102" s="64" customFormat="1" ht="176" hidden="1" x14ac:dyDescent="0.2">
      <c r="A56" s="118" t="s">
        <v>724</v>
      </c>
      <c r="B56" s="58" t="s">
        <v>11</v>
      </c>
      <c r="C56" s="58" t="s">
        <v>527</v>
      </c>
      <c r="D56" s="59" t="s">
        <v>528</v>
      </c>
      <c r="E56" s="59" t="s">
        <v>529</v>
      </c>
      <c r="F56" s="59" t="s">
        <v>530</v>
      </c>
      <c r="G56" s="122" t="s">
        <v>531</v>
      </c>
      <c r="H56" s="99" t="s">
        <v>266</v>
      </c>
    </row>
    <row r="57" spans="1:102" s="64" customFormat="1" ht="144" hidden="1" x14ac:dyDescent="0.2">
      <c r="A57" s="118" t="s">
        <v>724</v>
      </c>
      <c r="B57" s="58" t="s">
        <v>11</v>
      </c>
      <c r="C57" s="58" t="s">
        <v>527</v>
      </c>
      <c r="D57" s="59" t="s">
        <v>532</v>
      </c>
      <c r="E57" s="59" t="s">
        <v>533</v>
      </c>
      <c r="F57" s="59" t="s">
        <v>880</v>
      </c>
      <c r="G57" s="122" t="s">
        <v>534</v>
      </c>
      <c r="H57" s="99" t="s">
        <v>266</v>
      </c>
    </row>
    <row r="58" spans="1:102" s="64" customFormat="1" ht="144" hidden="1" x14ac:dyDescent="0.2">
      <c r="A58" s="119" t="s">
        <v>724</v>
      </c>
      <c r="B58" s="59" t="str">
        <f>'Roles - Outcome'!C44</f>
        <v>C. Effective Resource Mobilisation and Distribution</v>
      </c>
      <c r="C58" s="59" t="s">
        <v>535</v>
      </c>
      <c r="D58" s="59" t="s">
        <v>536</v>
      </c>
      <c r="E58" s="59" t="s">
        <v>537</v>
      </c>
      <c r="F58" s="59" t="s">
        <v>538</v>
      </c>
      <c r="G58" s="84" t="s">
        <v>539</v>
      </c>
      <c r="H58" s="99" t="s">
        <v>266</v>
      </c>
    </row>
    <row r="59" spans="1:102" s="64" customFormat="1" ht="224" hidden="1" x14ac:dyDescent="0.2">
      <c r="A59" s="119" t="s">
        <v>724</v>
      </c>
      <c r="B59" s="59" t="str">
        <f>'Roles - Outcome'!C45</f>
        <v>C. Effective Resource Mobilisation and Distribution</v>
      </c>
      <c r="C59" s="59" t="s">
        <v>307</v>
      </c>
      <c r="D59" s="68" t="s">
        <v>540</v>
      </c>
      <c r="E59" s="59" t="s">
        <v>541</v>
      </c>
      <c r="F59" s="59" t="s">
        <v>542</v>
      </c>
      <c r="G59" s="125" t="s">
        <v>543</v>
      </c>
      <c r="H59" s="99" t="s">
        <v>266</v>
      </c>
    </row>
    <row r="60" spans="1:102" s="64" customFormat="1" ht="208" hidden="1" x14ac:dyDescent="0.2">
      <c r="A60" s="119" t="s">
        <v>724</v>
      </c>
      <c r="B60" s="59" t="str">
        <f>'Roles - Outcome'!C46</f>
        <v>C. Effective Resource Mobilisation and Distribution</v>
      </c>
      <c r="C60" s="59" t="s">
        <v>308</v>
      </c>
      <c r="D60" s="59" t="s">
        <v>544</v>
      </c>
      <c r="E60" s="59" t="s">
        <v>545</v>
      </c>
      <c r="F60" s="59">
        <v>2022</v>
      </c>
      <c r="G60" s="125" t="s">
        <v>546</v>
      </c>
      <c r="H60" s="99" t="s">
        <v>266</v>
      </c>
    </row>
    <row r="61" spans="1:102" s="64" customFormat="1" ht="256" hidden="1" x14ac:dyDescent="0.2">
      <c r="A61" s="119" t="s">
        <v>724</v>
      </c>
      <c r="B61" s="59" t="str">
        <f>'Roles - Outcome'!C47</f>
        <v>D. Performance &amp; Accountability in Delivery</v>
      </c>
      <c r="C61" s="59" t="s">
        <v>309</v>
      </c>
      <c r="D61" s="68" t="s">
        <v>547</v>
      </c>
      <c r="E61" s="59" t="s">
        <v>548</v>
      </c>
      <c r="F61" s="59">
        <v>2020</v>
      </c>
      <c r="G61" s="125" t="s">
        <v>549</v>
      </c>
      <c r="H61" s="99" t="s">
        <v>266</v>
      </c>
    </row>
    <row r="62" spans="1:102" s="64" customFormat="1" ht="96" hidden="1" x14ac:dyDescent="0.2">
      <c r="A62" s="119" t="s">
        <v>724</v>
      </c>
      <c r="B62" s="58" t="s">
        <v>13</v>
      </c>
      <c r="C62" s="58" t="s">
        <v>550</v>
      </c>
      <c r="D62" s="68" t="s">
        <v>551</v>
      </c>
      <c r="E62" s="59" t="s">
        <v>552</v>
      </c>
      <c r="F62" s="59">
        <v>2024</v>
      </c>
      <c r="G62" s="122" t="s">
        <v>553</v>
      </c>
      <c r="H62" s="99" t="s">
        <v>266</v>
      </c>
    </row>
    <row r="63" spans="1:102" s="64" customFormat="1" ht="132.75" hidden="1" customHeight="1" x14ac:dyDescent="0.2">
      <c r="A63" s="120" t="s">
        <v>724</v>
      </c>
      <c r="B63" s="93" t="str">
        <f>'Roles - Outcome'!C48</f>
        <v>D. Performance &amp; Accountability in Delivery</v>
      </c>
      <c r="C63" s="93" t="s">
        <v>550</v>
      </c>
      <c r="D63" s="68" t="s">
        <v>881</v>
      </c>
      <c r="E63" s="59" t="s">
        <v>512</v>
      </c>
      <c r="F63" s="59">
        <v>2014</v>
      </c>
      <c r="G63" s="84" t="s">
        <v>882</v>
      </c>
      <c r="H63" s="100" t="s">
        <v>266</v>
      </c>
    </row>
    <row r="64" spans="1:102" x14ac:dyDescent="0.2">
      <c r="A64" s="64"/>
      <c r="B64" s="64"/>
      <c r="C64" s="102"/>
      <c r="D64" s="102"/>
      <c r="E64" s="102"/>
      <c r="F64" s="102"/>
      <c r="G64" s="102"/>
      <c r="H64" s="102"/>
      <c r="I64" s="64"/>
      <c r="J64" s="64"/>
      <c r="K64" s="64"/>
      <c r="L64" s="64"/>
      <c r="M64" s="64"/>
      <c r="N64" s="64"/>
      <c r="O64" s="64"/>
      <c r="P64" s="64"/>
      <c r="Q64" s="64"/>
      <c r="R64" s="64"/>
      <c r="S64" s="64"/>
      <c r="T64" s="64"/>
      <c r="U64" s="64"/>
      <c r="V64" s="64"/>
      <c r="W64" s="64"/>
      <c r="X64" s="64"/>
      <c r="Y64" s="64"/>
      <c r="Z64" s="64"/>
      <c r="AA64" s="64"/>
      <c r="AB64" s="64"/>
      <c r="AC64" s="64"/>
      <c r="AD64" s="64"/>
      <c r="AE64" s="64"/>
      <c r="AF64" s="64"/>
      <c r="AG64" s="64"/>
      <c r="AH64" s="64"/>
      <c r="AI64" s="64"/>
      <c r="AJ64" s="64"/>
      <c r="AK64" s="64"/>
      <c r="AL64" s="64"/>
      <c r="AM64" s="64"/>
      <c r="AN64" s="64"/>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c r="BU64" s="64"/>
      <c r="BV64" s="64"/>
      <c r="BW64" s="64"/>
      <c r="BX64" s="64"/>
      <c r="BY64" s="64"/>
      <c r="BZ64" s="64"/>
      <c r="CA64" s="64"/>
      <c r="CB64" s="64"/>
      <c r="CC64" s="64"/>
      <c r="CD64" s="64"/>
      <c r="CE64" s="64"/>
      <c r="CF64" s="64"/>
      <c r="CG64" s="64"/>
      <c r="CH64" s="64"/>
      <c r="CI64" s="64"/>
      <c r="CJ64" s="64"/>
      <c r="CK64" s="64"/>
      <c r="CL64" s="64"/>
      <c r="CM64" s="64"/>
      <c r="CN64" s="64"/>
      <c r="CO64" s="64"/>
      <c r="CP64" s="64"/>
      <c r="CQ64" s="64"/>
      <c r="CR64" s="64"/>
      <c r="CS64" s="64"/>
      <c r="CT64" s="64"/>
      <c r="CU64" s="64"/>
      <c r="CV64" s="64"/>
      <c r="CW64" s="64"/>
      <c r="CX64" s="64"/>
    </row>
    <row r="65" spans="1:102" x14ac:dyDescent="0.2">
      <c r="A65" s="64"/>
      <c r="B65" s="64"/>
      <c r="C65" s="102"/>
      <c r="D65" s="102"/>
      <c r="E65" s="102"/>
      <c r="F65" s="102"/>
      <c r="G65" s="102"/>
      <c r="H65" s="102"/>
      <c r="I65" s="64"/>
      <c r="J65" s="64"/>
      <c r="K65" s="64"/>
      <c r="L65" s="64"/>
      <c r="M65" s="64"/>
      <c r="N65" s="64"/>
      <c r="O65" s="64"/>
      <c r="P65" s="64"/>
      <c r="Q65" s="64"/>
      <c r="R65" s="64"/>
      <c r="S65" s="64"/>
      <c r="T65" s="64"/>
      <c r="U65" s="64"/>
      <c r="V65" s="64"/>
      <c r="W65" s="64"/>
      <c r="X65" s="64"/>
      <c r="Y65" s="64"/>
      <c r="Z65" s="64"/>
      <c r="AA65" s="64"/>
      <c r="AB65" s="64"/>
      <c r="AC65" s="64"/>
      <c r="AD65" s="64"/>
      <c r="AE65" s="64"/>
      <c r="AF65" s="64"/>
      <c r="AG65" s="64"/>
      <c r="AH65" s="64"/>
      <c r="AI65" s="64"/>
      <c r="AJ65" s="64"/>
      <c r="AK65" s="64"/>
      <c r="AL65" s="64"/>
      <c r="AM65" s="64"/>
      <c r="AN65" s="64"/>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c r="BU65" s="64"/>
      <c r="BV65" s="64"/>
      <c r="BW65" s="64"/>
      <c r="BX65" s="64"/>
      <c r="BY65" s="64"/>
      <c r="BZ65" s="64"/>
      <c r="CA65" s="64"/>
      <c r="CB65" s="64"/>
      <c r="CC65" s="64"/>
      <c r="CD65" s="64"/>
      <c r="CE65" s="64"/>
      <c r="CF65" s="64"/>
      <c r="CG65" s="64"/>
      <c r="CH65" s="64"/>
      <c r="CI65" s="64"/>
      <c r="CJ65" s="64"/>
      <c r="CK65" s="64"/>
      <c r="CL65" s="64"/>
      <c r="CM65" s="64"/>
      <c r="CN65" s="64"/>
      <c r="CO65" s="64"/>
      <c r="CP65" s="64"/>
      <c r="CQ65" s="64"/>
      <c r="CR65" s="64"/>
      <c r="CS65" s="64"/>
      <c r="CT65" s="64"/>
      <c r="CU65" s="64"/>
      <c r="CV65" s="64"/>
      <c r="CW65" s="64"/>
      <c r="CX65" s="64"/>
    </row>
    <row r="66" spans="1:102" x14ac:dyDescent="0.2">
      <c r="A66" s="64"/>
      <c r="B66" s="64"/>
      <c r="C66" s="102"/>
      <c r="D66" s="102"/>
      <c r="E66" s="102"/>
      <c r="F66" s="102"/>
      <c r="G66" s="102"/>
      <c r="H66" s="102"/>
      <c r="I66" s="64"/>
      <c r="J66" s="64"/>
      <c r="K66" s="64"/>
      <c r="L66" s="64"/>
      <c r="M66" s="64"/>
      <c r="N66" s="64"/>
      <c r="O66" s="64"/>
      <c r="P66" s="64"/>
      <c r="Q66" s="64"/>
      <c r="R66" s="64"/>
      <c r="S66" s="64"/>
      <c r="T66" s="64"/>
      <c r="U66" s="64"/>
      <c r="V66" s="64"/>
      <c r="W66" s="64"/>
      <c r="X66" s="64"/>
      <c r="Y66" s="64"/>
      <c r="Z66" s="64"/>
      <c r="AA66" s="64"/>
      <c r="AB66" s="64"/>
      <c r="AC66" s="64"/>
      <c r="AD66" s="64"/>
      <c r="AE66" s="64"/>
      <c r="AF66" s="64"/>
      <c r="AG66" s="64"/>
      <c r="AH66" s="64"/>
      <c r="AI66" s="64"/>
      <c r="AJ66" s="64"/>
      <c r="AK66" s="64"/>
      <c r="AL66" s="64"/>
      <c r="AM66" s="64"/>
      <c r="AN66" s="64"/>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c r="BU66" s="64"/>
      <c r="BV66" s="64"/>
      <c r="BW66" s="64"/>
      <c r="BX66" s="64"/>
      <c r="BY66" s="64"/>
      <c r="BZ66" s="64"/>
      <c r="CA66" s="64"/>
      <c r="CB66" s="64"/>
      <c r="CC66" s="64"/>
      <c r="CD66" s="64"/>
      <c r="CE66" s="64"/>
      <c r="CF66" s="64"/>
      <c r="CG66" s="64"/>
      <c r="CH66" s="64"/>
      <c r="CI66" s="64"/>
      <c r="CJ66" s="64"/>
      <c r="CK66" s="64"/>
      <c r="CL66" s="64"/>
      <c r="CM66" s="64"/>
      <c r="CN66" s="64"/>
      <c r="CO66" s="64"/>
      <c r="CP66" s="64"/>
      <c r="CQ66" s="64"/>
      <c r="CR66" s="64"/>
      <c r="CS66" s="64"/>
      <c r="CT66" s="64"/>
      <c r="CU66" s="64"/>
      <c r="CV66" s="64"/>
      <c r="CW66" s="64"/>
      <c r="CX66" s="64"/>
    </row>
    <row r="67" spans="1:102" x14ac:dyDescent="0.2">
      <c r="A67" s="64"/>
      <c r="B67" s="64"/>
      <c r="C67" s="102"/>
      <c r="D67" s="102"/>
      <c r="E67" s="102"/>
      <c r="F67" s="102"/>
      <c r="G67" s="102"/>
      <c r="H67" s="102"/>
      <c r="I67" s="64"/>
      <c r="J67" s="64"/>
      <c r="K67" s="64"/>
      <c r="L67" s="64"/>
      <c r="M67" s="64"/>
      <c r="N67" s="64"/>
      <c r="O67" s="64"/>
      <c r="P67" s="64"/>
      <c r="Q67" s="64"/>
      <c r="R67" s="64"/>
      <c r="S67" s="64"/>
      <c r="T67" s="64"/>
      <c r="U67" s="64"/>
      <c r="V67" s="64"/>
      <c r="W67" s="64"/>
      <c r="X67" s="64"/>
      <c r="Y67" s="64"/>
      <c r="Z67" s="64"/>
      <c r="AA67" s="64"/>
      <c r="AB67" s="64"/>
      <c r="AC67" s="64"/>
      <c r="AD67" s="64"/>
      <c r="AE67" s="64"/>
      <c r="AF67" s="64"/>
      <c r="AG67" s="64"/>
      <c r="AH67" s="64"/>
      <c r="AI67" s="64"/>
      <c r="AJ67" s="64"/>
      <c r="AK67" s="64"/>
      <c r="AL67" s="64"/>
      <c r="AM67" s="64"/>
      <c r="AN67" s="64"/>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c r="BU67" s="64"/>
      <c r="BV67" s="64"/>
      <c r="BW67" s="64"/>
      <c r="BX67" s="64"/>
      <c r="BY67" s="64"/>
      <c r="BZ67" s="64"/>
      <c r="CA67" s="64"/>
      <c r="CB67" s="64"/>
      <c r="CC67" s="64"/>
      <c r="CD67" s="64"/>
      <c r="CE67" s="64"/>
      <c r="CF67" s="64"/>
      <c r="CG67" s="64"/>
      <c r="CH67" s="64"/>
      <c r="CI67" s="64"/>
      <c r="CJ67" s="64"/>
      <c r="CK67" s="64"/>
      <c r="CL67" s="64"/>
      <c r="CM67" s="64"/>
      <c r="CN67" s="64"/>
      <c r="CO67" s="64"/>
      <c r="CP67" s="64"/>
      <c r="CQ67" s="64"/>
      <c r="CR67" s="64"/>
      <c r="CS67" s="64"/>
      <c r="CT67" s="64"/>
      <c r="CU67" s="64"/>
      <c r="CV67" s="64"/>
      <c r="CW67" s="64"/>
      <c r="CX67" s="64"/>
    </row>
    <row r="68" spans="1:102" x14ac:dyDescent="0.2">
      <c r="A68" s="64"/>
      <c r="B68" s="64"/>
      <c r="C68" s="102"/>
      <c r="D68" s="102"/>
      <c r="E68" s="102"/>
      <c r="F68" s="102"/>
      <c r="G68" s="102"/>
      <c r="H68" s="102"/>
      <c r="I68" s="64"/>
      <c r="J68" s="64"/>
      <c r="K68" s="64"/>
      <c r="L68" s="64"/>
      <c r="M68" s="64"/>
      <c r="N68" s="64"/>
      <c r="O68" s="64"/>
      <c r="P68" s="64"/>
      <c r="Q68" s="64"/>
      <c r="R68" s="64"/>
      <c r="S68" s="64"/>
      <c r="T68" s="64"/>
      <c r="U68" s="64"/>
      <c r="V68" s="64"/>
      <c r="W68" s="64"/>
      <c r="X68" s="64"/>
      <c r="Y68" s="64"/>
      <c r="Z68" s="64"/>
      <c r="AA68" s="64"/>
      <c r="AB68" s="64"/>
      <c r="AC68" s="64"/>
      <c r="AD68" s="64"/>
      <c r="AE68" s="64"/>
      <c r="AF68" s="64"/>
      <c r="AG68" s="64"/>
      <c r="AH68" s="64"/>
      <c r="AI68" s="64"/>
      <c r="AJ68" s="64"/>
      <c r="AK68" s="64"/>
      <c r="AL68" s="64"/>
      <c r="AM68" s="64"/>
      <c r="AN68" s="64"/>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c r="BU68" s="64"/>
      <c r="BV68" s="64"/>
      <c r="BW68" s="64"/>
      <c r="BX68" s="64"/>
      <c r="BY68" s="64"/>
      <c r="BZ68" s="64"/>
      <c r="CA68" s="64"/>
      <c r="CB68" s="64"/>
      <c r="CC68" s="64"/>
      <c r="CD68" s="64"/>
      <c r="CE68" s="64"/>
      <c r="CF68" s="64"/>
      <c r="CG68" s="64"/>
      <c r="CH68" s="64"/>
      <c r="CI68" s="64"/>
      <c r="CJ68" s="64"/>
      <c r="CK68" s="64"/>
      <c r="CL68" s="64"/>
      <c r="CM68" s="64"/>
      <c r="CN68" s="64"/>
      <c r="CO68" s="64"/>
      <c r="CP68" s="64"/>
      <c r="CQ68" s="64"/>
      <c r="CR68" s="64"/>
      <c r="CS68" s="64"/>
      <c r="CT68" s="64"/>
      <c r="CU68" s="64"/>
      <c r="CV68" s="64"/>
      <c r="CW68" s="64"/>
      <c r="CX68" s="64"/>
    </row>
    <row r="69" spans="1:102" x14ac:dyDescent="0.2">
      <c r="A69" s="64"/>
      <c r="B69" s="64"/>
      <c r="C69" s="102"/>
      <c r="D69" s="102"/>
      <c r="E69" s="102"/>
      <c r="F69" s="102"/>
      <c r="G69" s="102"/>
      <c r="H69" s="102"/>
      <c r="I69" s="64"/>
      <c r="J69" s="64"/>
      <c r="K69" s="64"/>
      <c r="L69" s="64"/>
      <c r="M69" s="64"/>
      <c r="N69" s="64"/>
      <c r="O69" s="64"/>
      <c r="P69" s="64"/>
      <c r="Q69" s="64"/>
      <c r="R69" s="64"/>
      <c r="S69" s="64"/>
      <c r="T69" s="64"/>
      <c r="U69" s="64"/>
      <c r="V69" s="64"/>
      <c r="W69" s="64"/>
      <c r="X69" s="64"/>
      <c r="Y69" s="64"/>
      <c r="Z69" s="64"/>
      <c r="AA69" s="64"/>
      <c r="AB69" s="64"/>
      <c r="AC69" s="64"/>
      <c r="AD69" s="64"/>
      <c r="AE69" s="64"/>
      <c r="AF69" s="64"/>
      <c r="AG69" s="64"/>
      <c r="AH69" s="64"/>
      <c r="AI69" s="64"/>
      <c r="AJ69" s="64"/>
      <c r="AK69" s="64"/>
      <c r="AL69" s="64"/>
      <c r="AM69" s="64"/>
      <c r="AN69" s="64"/>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c r="BU69" s="64"/>
      <c r="BV69" s="64"/>
      <c r="BW69" s="64"/>
      <c r="BX69" s="64"/>
      <c r="BY69" s="64"/>
      <c r="BZ69" s="64"/>
      <c r="CA69" s="64"/>
      <c r="CB69" s="64"/>
      <c r="CC69" s="64"/>
      <c r="CD69" s="64"/>
      <c r="CE69" s="64"/>
      <c r="CF69" s="64"/>
      <c r="CG69" s="64"/>
      <c r="CH69" s="64"/>
      <c r="CI69" s="64"/>
      <c r="CJ69" s="64"/>
      <c r="CK69" s="64"/>
      <c r="CL69" s="64"/>
      <c r="CM69" s="64"/>
      <c r="CN69" s="64"/>
      <c r="CO69" s="64"/>
      <c r="CP69" s="64"/>
      <c r="CQ69" s="64"/>
      <c r="CR69" s="64"/>
      <c r="CS69" s="64"/>
      <c r="CT69" s="64"/>
      <c r="CU69" s="64"/>
      <c r="CV69" s="64"/>
      <c r="CW69" s="64"/>
      <c r="CX69" s="64"/>
    </row>
    <row r="70" spans="1:102" x14ac:dyDescent="0.2">
      <c r="A70" s="64"/>
      <c r="B70" s="64"/>
      <c r="C70" s="102"/>
      <c r="D70" s="102"/>
      <c r="E70" s="102"/>
      <c r="F70" s="102"/>
      <c r="G70" s="102"/>
      <c r="H70" s="102"/>
      <c r="I70" s="64"/>
      <c r="J70" s="64"/>
      <c r="K70" s="64"/>
      <c r="L70" s="64"/>
      <c r="M70" s="64"/>
      <c r="N70" s="64"/>
      <c r="O70" s="64"/>
      <c r="P70" s="64"/>
      <c r="Q70" s="64"/>
      <c r="R70" s="64"/>
      <c r="S70" s="64"/>
      <c r="T70" s="64"/>
      <c r="U70" s="64"/>
      <c r="V70" s="64"/>
      <c r="W70" s="64"/>
      <c r="X70" s="64"/>
      <c r="Y70" s="64"/>
      <c r="Z70" s="64"/>
      <c r="AA70" s="64"/>
      <c r="AB70" s="64"/>
      <c r="AC70" s="64"/>
      <c r="AD70" s="64"/>
      <c r="AE70" s="64"/>
      <c r="AF70" s="64"/>
      <c r="AG70" s="64"/>
      <c r="AH70" s="64"/>
      <c r="AI70" s="64"/>
      <c r="AJ70" s="64"/>
      <c r="AK70" s="64"/>
      <c r="AL70" s="64"/>
      <c r="AM70" s="64"/>
      <c r="AN70" s="64"/>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c r="BU70" s="64"/>
      <c r="BV70" s="64"/>
      <c r="BW70" s="64"/>
      <c r="BX70" s="64"/>
      <c r="BY70" s="64"/>
      <c r="BZ70" s="64"/>
      <c r="CA70" s="64"/>
      <c r="CB70" s="64"/>
      <c r="CC70" s="64"/>
      <c r="CD70" s="64"/>
      <c r="CE70" s="64"/>
      <c r="CF70" s="64"/>
      <c r="CG70" s="64"/>
      <c r="CH70" s="64"/>
      <c r="CI70" s="64"/>
      <c r="CJ70" s="64"/>
      <c r="CK70" s="64"/>
      <c r="CL70" s="64"/>
      <c r="CM70" s="64"/>
      <c r="CN70" s="64"/>
      <c r="CO70" s="64"/>
      <c r="CP70" s="64"/>
      <c r="CQ70" s="64"/>
      <c r="CR70" s="64"/>
      <c r="CS70" s="64"/>
      <c r="CT70" s="64"/>
      <c r="CU70" s="64"/>
      <c r="CV70" s="64"/>
      <c r="CW70" s="64"/>
      <c r="CX70" s="64"/>
    </row>
    <row r="71" spans="1:102" x14ac:dyDescent="0.2">
      <c r="A71" s="64"/>
      <c r="B71" s="64"/>
      <c r="C71" s="102"/>
      <c r="D71" s="102"/>
      <c r="E71" s="102"/>
      <c r="F71" s="102"/>
      <c r="G71" s="102"/>
      <c r="H71" s="102"/>
      <c r="I71" s="64"/>
      <c r="J71" s="64"/>
      <c r="K71" s="64"/>
      <c r="L71" s="64"/>
      <c r="M71" s="64"/>
      <c r="N71" s="64"/>
      <c r="O71" s="64"/>
      <c r="P71" s="64"/>
      <c r="Q71" s="64"/>
      <c r="R71" s="64"/>
      <c r="S71" s="64"/>
      <c r="T71" s="64"/>
      <c r="U71" s="64"/>
      <c r="V71" s="64"/>
      <c r="W71" s="64"/>
      <c r="X71" s="64"/>
      <c r="Y71" s="64"/>
      <c r="Z71" s="64"/>
      <c r="AA71" s="64"/>
      <c r="AB71" s="64"/>
      <c r="AC71" s="64"/>
      <c r="AD71" s="64"/>
      <c r="AE71" s="64"/>
      <c r="AF71" s="64"/>
      <c r="AG71" s="64"/>
      <c r="AH71" s="64"/>
      <c r="AI71" s="64"/>
      <c r="AJ71" s="64"/>
      <c r="AK71" s="64"/>
      <c r="AL71" s="64"/>
      <c r="AM71" s="64"/>
      <c r="AN71" s="64"/>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c r="BU71" s="64"/>
      <c r="BV71" s="64"/>
      <c r="BW71" s="64"/>
      <c r="BX71" s="64"/>
      <c r="BY71" s="64"/>
      <c r="BZ71" s="64"/>
      <c r="CA71" s="64"/>
      <c r="CB71" s="64"/>
      <c r="CC71" s="64"/>
      <c r="CD71" s="64"/>
      <c r="CE71" s="64"/>
      <c r="CF71" s="64"/>
      <c r="CG71" s="64"/>
      <c r="CH71" s="64"/>
      <c r="CI71" s="64"/>
      <c r="CJ71" s="64"/>
      <c r="CK71" s="64"/>
      <c r="CL71" s="64"/>
      <c r="CM71" s="64"/>
      <c r="CN71" s="64"/>
      <c r="CO71" s="64"/>
      <c r="CP71" s="64"/>
      <c r="CQ71" s="64"/>
      <c r="CR71" s="64"/>
      <c r="CS71" s="64"/>
      <c r="CT71" s="64"/>
      <c r="CU71" s="64"/>
      <c r="CV71" s="64"/>
      <c r="CW71" s="64"/>
      <c r="CX71" s="64"/>
    </row>
    <row r="72" spans="1:102" x14ac:dyDescent="0.2">
      <c r="A72" s="64"/>
      <c r="B72" s="64"/>
      <c r="C72" s="102"/>
      <c r="D72" s="102"/>
      <c r="E72" s="102"/>
      <c r="F72" s="102"/>
      <c r="G72" s="102"/>
      <c r="H72" s="102"/>
      <c r="I72" s="64"/>
      <c r="J72" s="64"/>
      <c r="K72" s="64"/>
      <c r="L72" s="64"/>
      <c r="M72" s="64"/>
      <c r="N72" s="64"/>
      <c r="O72" s="64"/>
      <c r="P72" s="64"/>
      <c r="Q72" s="64"/>
      <c r="R72" s="64"/>
      <c r="S72" s="64"/>
      <c r="T72" s="64"/>
      <c r="U72" s="64"/>
      <c r="V72" s="64"/>
      <c r="W72" s="64"/>
      <c r="X72" s="64"/>
      <c r="Y72" s="64"/>
      <c r="Z72" s="64"/>
      <c r="AA72" s="64"/>
      <c r="AB72" s="64"/>
      <c r="AC72" s="64"/>
      <c r="AD72" s="64"/>
      <c r="AE72" s="64"/>
      <c r="AF72" s="64"/>
      <c r="AG72" s="64"/>
      <c r="AH72" s="64"/>
      <c r="AI72" s="64"/>
      <c r="AJ72" s="64"/>
      <c r="AK72" s="64"/>
      <c r="AL72" s="64"/>
      <c r="AM72" s="64"/>
      <c r="AN72" s="64"/>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c r="BU72" s="64"/>
      <c r="BV72" s="64"/>
      <c r="BW72" s="64"/>
      <c r="BX72" s="64"/>
      <c r="BY72" s="64"/>
      <c r="BZ72" s="64"/>
      <c r="CA72" s="64"/>
      <c r="CB72" s="64"/>
      <c r="CC72" s="64"/>
      <c r="CD72" s="64"/>
      <c r="CE72" s="64"/>
      <c r="CF72" s="64"/>
      <c r="CG72" s="64"/>
      <c r="CH72" s="64"/>
      <c r="CI72" s="64"/>
      <c r="CJ72" s="64"/>
      <c r="CK72" s="64"/>
      <c r="CL72" s="64"/>
      <c r="CM72" s="64"/>
      <c r="CN72" s="64"/>
      <c r="CO72" s="64"/>
      <c r="CP72" s="64"/>
      <c r="CQ72" s="64"/>
      <c r="CR72" s="64"/>
      <c r="CS72" s="64"/>
      <c r="CT72" s="64"/>
      <c r="CU72" s="64"/>
      <c r="CV72" s="64"/>
      <c r="CW72" s="64"/>
      <c r="CX72" s="64"/>
    </row>
    <row r="73" spans="1:102" x14ac:dyDescent="0.2">
      <c r="A73" s="64"/>
      <c r="B73" s="64"/>
      <c r="C73" s="102"/>
      <c r="D73" s="102"/>
      <c r="E73" s="102"/>
      <c r="F73" s="102"/>
      <c r="G73" s="102"/>
      <c r="H73" s="102"/>
      <c r="I73" s="64"/>
      <c r="J73" s="64"/>
      <c r="K73" s="64"/>
      <c r="L73" s="64"/>
      <c r="M73" s="64"/>
      <c r="N73" s="64"/>
      <c r="O73" s="64"/>
      <c r="P73" s="64"/>
      <c r="Q73" s="64"/>
      <c r="R73" s="64"/>
      <c r="S73" s="64"/>
      <c r="T73" s="64"/>
      <c r="U73" s="64"/>
      <c r="V73" s="64"/>
      <c r="W73" s="64"/>
      <c r="X73" s="64"/>
      <c r="Y73" s="64"/>
      <c r="Z73" s="64"/>
      <c r="AA73" s="64"/>
      <c r="AB73" s="64"/>
      <c r="AC73" s="64"/>
      <c r="AD73" s="64"/>
      <c r="AE73" s="64"/>
      <c r="AF73" s="64"/>
      <c r="AG73" s="64"/>
      <c r="AH73" s="64"/>
      <c r="AI73" s="64"/>
      <c r="AJ73" s="64"/>
      <c r="AK73" s="64"/>
      <c r="AL73" s="64"/>
      <c r="AM73" s="64"/>
      <c r="AN73" s="64"/>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c r="BU73" s="64"/>
      <c r="BV73" s="64"/>
      <c r="BW73" s="64"/>
      <c r="BX73" s="64"/>
      <c r="BY73" s="64"/>
      <c r="BZ73" s="64"/>
      <c r="CA73" s="64"/>
      <c r="CB73" s="64"/>
      <c r="CC73" s="64"/>
      <c r="CD73" s="64"/>
      <c r="CE73" s="64"/>
      <c r="CF73" s="64"/>
      <c r="CG73" s="64"/>
      <c r="CH73" s="64"/>
      <c r="CI73" s="64"/>
      <c r="CJ73" s="64"/>
      <c r="CK73" s="64"/>
      <c r="CL73" s="64"/>
      <c r="CM73" s="64"/>
      <c r="CN73" s="64"/>
      <c r="CO73" s="64"/>
      <c r="CP73" s="64"/>
      <c r="CQ73" s="64"/>
      <c r="CR73" s="64"/>
      <c r="CS73" s="64"/>
      <c r="CT73" s="64"/>
      <c r="CU73" s="64"/>
      <c r="CV73" s="64"/>
      <c r="CW73" s="64"/>
      <c r="CX73" s="64"/>
    </row>
    <row r="74" spans="1:102" x14ac:dyDescent="0.2">
      <c r="A74" s="64"/>
      <c r="B74" s="64"/>
      <c r="C74" s="102"/>
      <c r="D74" s="102"/>
      <c r="E74" s="102"/>
      <c r="F74" s="102"/>
      <c r="G74" s="102"/>
      <c r="H74" s="102"/>
      <c r="I74" s="64"/>
      <c r="J74" s="64"/>
      <c r="K74" s="64"/>
      <c r="L74" s="64"/>
      <c r="M74" s="64"/>
      <c r="N74" s="64"/>
      <c r="O74" s="64"/>
      <c r="P74" s="64"/>
      <c r="Q74" s="64"/>
      <c r="R74" s="64"/>
      <c r="S74" s="64"/>
      <c r="T74" s="64"/>
      <c r="U74" s="64"/>
      <c r="V74" s="64"/>
      <c r="W74" s="64"/>
      <c r="X74" s="64"/>
      <c r="Y74" s="64"/>
      <c r="Z74" s="64"/>
      <c r="AA74" s="64"/>
      <c r="AB74" s="64"/>
      <c r="AC74" s="64"/>
      <c r="AD74" s="64"/>
      <c r="AE74" s="64"/>
      <c r="AF74" s="64"/>
      <c r="AG74" s="64"/>
      <c r="AH74" s="64"/>
      <c r="AI74" s="64"/>
      <c r="AJ74" s="64"/>
      <c r="AK74" s="64"/>
      <c r="AL74" s="64"/>
      <c r="AM74" s="64"/>
      <c r="AN74" s="64"/>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c r="BU74" s="64"/>
      <c r="BV74" s="64"/>
      <c r="BW74" s="64"/>
      <c r="BX74" s="64"/>
      <c r="BY74" s="64"/>
      <c r="BZ74" s="64"/>
      <c r="CA74" s="64"/>
      <c r="CB74" s="64"/>
      <c r="CC74" s="64"/>
      <c r="CD74" s="64"/>
      <c r="CE74" s="64"/>
      <c r="CF74" s="64"/>
      <c r="CG74" s="64"/>
      <c r="CH74" s="64"/>
      <c r="CI74" s="64"/>
      <c r="CJ74" s="64"/>
      <c r="CK74" s="64"/>
      <c r="CL74" s="64"/>
      <c r="CM74" s="64"/>
      <c r="CN74" s="64"/>
      <c r="CO74" s="64"/>
      <c r="CP74" s="64"/>
      <c r="CQ74" s="64"/>
      <c r="CR74" s="64"/>
      <c r="CS74" s="64"/>
      <c r="CT74" s="64"/>
      <c r="CU74" s="64"/>
      <c r="CV74" s="64"/>
      <c r="CW74" s="64"/>
      <c r="CX74" s="64"/>
    </row>
    <row r="75" spans="1:102" x14ac:dyDescent="0.2">
      <c r="A75" s="64"/>
      <c r="B75" s="64"/>
      <c r="C75" s="102"/>
      <c r="D75" s="102"/>
      <c r="E75" s="102"/>
      <c r="F75" s="102"/>
      <c r="G75" s="102"/>
      <c r="H75" s="102"/>
      <c r="I75" s="64"/>
      <c r="J75" s="64"/>
      <c r="K75" s="64"/>
      <c r="L75" s="64"/>
      <c r="M75" s="64"/>
      <c r="N75" s="64"/>
      <c r="O75" s="64"/>
      <c r="P75" s="64"/>
      <c r="Q75" s="64"/>
      <c r="R75" s="64"/>
      <c r="S75" s="64"/>
      <c r="T75" s="64"/>
      <c r="U75" s="64"/>
      <c r="V75" s="64"/>
      <c r="W75" s="64"/>
      <c r="X75" s="64"/>
      <c r="Y75" s="64"/>
      <c r="Z75" s="64"/>
      <c r="AA75" s="64"/>
      <c r="AB75" s="64"/>
      <c r="AC75" s="64"/>
      <c r="AD75" s="64"/>
      <c r="AE75" s="64"/>
      <c r="AF75" s="64"/>
      <c r="AG75" s="64"/>
      <c r="AH75" s="64"/>
      <c r="AI75" s="64"/>
      <c r="AJ75" s="64"/>
      <c r="AK75" s="64"/>
      <c r="AL75" s="64"/>
      <c r="AM75" s="64"/>
      <c r="AN75" s="64"/>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c r="BU75" s="64"/>
      <c r="BV75" s="64"/>
      <c r="BW75" s="64"/>
      <c r="BX75" s="64"/>
      <c r="BY75" s="64"/>
      <c r="BZ75" s="64"/>
      <c r="CA75" s="64"/>
      <c r="CB75" s="64"/>
      <c r="CC75" s="64"/>
      <c r="CD75" s="64"/>
      <c r="CE75" s="64"/>
      <c r="CF75" s="64"/>
      <c r="CG75" s="64"/>
      <c r="CH75" s="64"/>
      <c r="CI75" s="64"/>
      <c r="CJ75" s="64"/>
      <c r="CK75" s="64"/>
      <c r="CL75" s="64"/>
      <c r="CM75" s="64"/>
      <c r="CN75" s="64"/>
      <c r="CO75" s="64"/>
      <c r="CP75" s="64"/>
      <c r="CQ75" s="64"/>
      <c r="CR75" s="64"/>
      <c r="CS75" s="64"/>
      <c r="CT75" s="64"/>
      <c r="CU75" s="64"/>
      <c r="CV75" s="64"/>
      <c r="CW75" s="64"/>
      <c r="CX75" s="64"/>
    </row>
    <row r="76" spans="1:102" x14ac:dyDescent="0.2">
      <c r="A76" s="64"/>
      <c r="B76" s="64"/>
      <c r="C76" s="102"/>
      <c r="D76" s="102"/>
      <c r="E76" s="102"/>
      <c r="F76" s="102"/>
      <c r="G76" s="102"/>
      <c r="H76" s="102"/>
      <c r="I76" s="64"/>
      <c r="J76" s="64"/>
      <c r="K76" s="64"/>
      <c r="L76" s="64"/>
      <c r="M76" s="64"/>
      <c r="N76" s="64"/>
      <c r="O76" s="64"/>
      <c r="P76" s="64"/>
      <c r="Q76" s="64"/>
      <c r="R76" s="64"/>
      <c r="S76" s="64"/>
      <c r="T76" s="64"/>
      <c r="U76" s="64"/>
      <c r="V76" s="64"/>
      <c r="W76" s="64"/>
      <c r="X76" s="64"/>
      <c r="Y76" s="64"/>
      <c r="Z76" s="64"/>
      <c r="AA76" s="64"/>
      <c r="AB76" s="64"/>
      <c r="AC76" s="64"/>
      <c r="AD76" s="64"/>
      <c r="AE76" s="64"/>
      <c r="AF76" s="64"/>
      <c r="AG76" s="64"/>
      <c r="AH76" s="64"/>
      <c r="AI76" s="64"/>
      <c r="AJ76" s="64"/>
      <c r="AK76" s="64"/>
      <c r="AL76" s="64"/>
      <c r="AM76" s="64"/>
      <c r="AN76" s="64"/>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c r="BU76" s="64"/>
      <c r="BV76" s="64"/>
      <c r="BW76" s="64"/>
      <c r="BX76" s="64"/>
      <c r="BY76" s="64"/>
      <c r="BZ76" s="64"/>
      <c r="CA76" s="64"/>
      <c r="CB76" s="64"/>
      <c r="CC76" s="64"/>
      <c r="CD76" s="64"/>
      <c r="CE76" s="64"/>
      <c r="CF76" s="64"/>
      <c r="CG76" s="64"/>
      <c r="CH76" s="64"/>
      <c r="CI76" s="64"/>
      <c r="CJ76" s="64"/>
      <c r="CK76" s="64"/>
      <c r="CL76" s="64"/>
      <c r="CM76" s="64"/>
      <c r="CN76" s="64"/>
      <c r="CO76" s="64"/>
      <c r="CP76" s="64"/>
      <c r="CQ76" s="64"/>
      <c r="CR76" s="64"/>
      <c r="CS76" s="64"/>
      <c r="CT76" s="64"/>
      <c r="CU76" s="64"/>
      <c r="CV76" s="64"/>
      <c r="CW76" s="64"/>
      <c r="CX76" s="64"/>
    </row>
    <row r="77" spans="1:102" x14ac:dyDescent="0.2">
      <c r="A77" s="64"/>
      <c r="B77" s="64"/>
      <c r="C77" s="102"/>
      <c r="D77" s="102"/>
      <c r="E77" s="102"/>
      <c r="F77" s="102"/>
      <c r="G77" s="102"/>
      <c r="H77" s="102"/>
      <c r="I77" s="64"/>
      <c r="J77" s="64"/>
      <c r="K77" s="64"/>
      <c r="L77" s="64"/>
      <c r="M77" s="64"/>
      <c r="N77" s="64"/>
      <c r="O77" s="64"/>
      <c r="P77" s="64"/>
      <c r="Q77" s="64"/>
      <c r="R77" s="64"/>
      <c r="S77" s="64"/>
      <c r="T77" s="64"/>
      <c r="U77" s="64"/>
      <c r="V77" s="64"/>
      <c r="W77" s="64"/>
      <c r="X77" s="64"/>
      <c r="Y77" s="64"/>
      <c r="Z77" s="64"/>
      <c r="AA77" s="64"/>
      <c r="AB77" s="64"/>
      <c r="AC77" s="64"/>
      <c r="AD77" s="64"/>
      <c r="AE77" s="64"/>
      <c r="AF77" s="64"/>
      <c r="AG77" s="64"/>
      <c r="AH77" s="64"/>
      <c r="AI77" s="64"/>
      <c r="AJ77" s="64"/>
      <c r="AK77" s="64"/>
      <c r="AL77" s="64"/>
      <c r="AM77" s="64"/>
      <c r="AN77" s="64"/>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c r="BU77" s="64"/>
      <c r="BV77" s="64"/>
      <c r="BW77" s="64"/>
      <c r="BX77" s="64"/>
      <c r="BY77" s="64"/>
      <c r="BZ77" s="64"/>
      <c r="CA77" s="64"/>
      <c r="CB77" s="64"/>
      <c r="CC77" s="64"/>
      <c r="CD77" s="64"/>
      <c r="CE77" s="64"/>
      <c r="CF77" s="64"/>
      <c r="CG77" s="64"/>
      <c r="CH77" s="64"/>
      <c r="CI77" s="64"/>
      <c r="CJ77" s="64"/>
      <c r="CK77" s="64"/>
      <c r="CL77" s="64"/>
      <c r="CM77" s="64"/>
      <c r="CN77" s="64"/>
      <c r="CO77" s="64"/>
      <c r="CP77" s="64"/>
      <c r="CQ77" s="64"/>
      <c r="CR77" s="64"/>
      <c r="CS77" s="64"/>
      <c r="CT77" s="64"/>
      <c r="CU77" s="64"/>
      <c r="CV77" s="64"/>
      <c r="CW77" s="64"/>
      <c r="CX77" s="64"/>
    </row>
    <row r="78" spans="1:102" x14ac:dyDescent="0.2">
      <c r="A78" s="64"/>
      <c r="B78" s="64"/>
      <c r="C78" s="102"/>
      <c r="D78" s="102"/>
      <c r="E78" s="102"/>
      <c r="F78" s="102"/>
      <c r="G78" s="102"/>
      <c r="H78" s="102"/>
      <c r="I78" s="64"/>
      <c r="J78" s="64"/>
      <c r="K78" s="64"/>
      <c r="L78" s="64"/>
      <c r="M78" s="64"/>
      <c r="N78" s="64"/>
      <c r="O78" s="64"/>
      <c r="P78" s="64"/>
      <c r="Q78" s="64"/>
      <c r="R78" s="64"/>
      <c r="S78" s="64"/>
      <c r="T78" s="64"/>
      <c r="U78" s="64"/>
      <c r="V78" s="64"/>
      <c r="W78" s="64"/>
      <c r="X78" s="64"/>
      <c r="Y78" s="64"/>
      <c r="Z78" s="64"/>
      <c r="AA78" s="64"/>
      <c r="AB78" s="64"/>
      <c r="AC78" s="64"/>
      <c r="AD78" s="64"/>
      <c r="AE78" s="64"/>
      <c r="AF78" s="64"/>
      <c r="AG78" s="64"/>
      <c r="AH78" s="64"/>
      <c r="AI78" s="64"/>
      <c r="AJ78" s="64"/>
      <c r="AK78" s="64"/>
      <c r="AL78" s="64"/>
      <c r="AM78" s="64"/>
      <c r="AN78" s="64"/>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c r="BU78" s="64"/>
      <c r="BV78" s="64"/>
      <c r="BW78" s="64"/>
      <c r="BX78" s="64"/>
      <c r="BY78" s="64"/>
      <c r="BZ78" s="64"/>
      <c r="CA78" s="64"/>
      <c r="CB78" s="64"/>
      <c r="CC78" s="64"/>
      <c r="CD78" s="64"/>
      <c r="CE78" s="64"/>
      <c r="CF78" s="64"/>
      <c r="CG78" s="64"/>
      <c r="CH78" s="64"/>
      <c r="CI78" s="64"/>
      <c r="CJ78" s="64"/>
      <c r="CK78" s="64"/>
      <c r="CL78" s="64"/>
      <c r="CM78" s="64"/>
      <c r="CN78" s="64"/>
      <c r="CO78" s="64"/>
      <c r="CP78" s="64"/>
      <c r="CQ78" s="64"/>
      <c r="CR78" s="64"/>
      <c r="CS78" s="64"/>
      <c r="CT78" s="64"/>
      <c r="CU78" s="64"/>
      <c r="CV78" s="64"/>
      <c r="CW78" s="64"/>
      <c r="CX78" s="64"/>
    </row>
    <row r="79" spans="1:102" x14ac:dyDescent="0.2">
      <c r="A79" s="64"/>
      <c r="B79" s="64"/>
      <c r="C79" s="102"/>
      <c r="D79" s="102"/>
      <c r="E79" s="102"/>
      <c r="F79" s="102"/>
      <c r="G79" s="102"/>
      <c r="H79" s="102"/>
      <c r="I79" s="64"/>
      <c r="J79" s="64"/>
      <c r="K79" s="64"/>
      <c r="L79" s="64"/>
      <c r="M79" s="64"/>
      <c r="N79" s="64"/>
      <c r="O79" s="64"/>
      <c r="P79" s="64"/>
      <c r="Q79" s="64"/>
      <c r="R79" s="64"/>
      <c r="S79" s="64"/>
      <c r="T79" s="64"/>
      <c r="U79" s="64"/>
      <c r="V79" s="64"/>
      <c r="W79" s="64"/>
      <c r="X79" s="64"/>
      <c r="Y79" s="64"/>
      <c r="Z79" s="64"/>
      <c r="AA79" s="64"/>
      <c r="AB79" s="64"/>
      <c r="AC79" s="64"/>
      <c r="AD79" s="64"/>
      <c r="AE79" s="64"/>
      <c r="AF79" s="64"/>
      <c r="AG79" s="64"/>
      <c r="AH79" s="64"/>
      <c r="AI79" s="64"/>
      <c r="AJ79" s="64"/>
      <c r="AK79" s="64"/>
      <c r="AL79" s="64"/>
      <c r="AM79" s="64"/>
      <c r="AN79" s="64"/>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c r="BU79" s="64"/>
      <c r="BV79" s="64"/>
      <c r="BW79" s="64"/>
      <c r="BX79" s="64"/>
      <c r="BY79" s="64"/>
      <c r="BZ79" s="64"/>
      <c r="CA79" s="64"/>
      <c r="CB79" s="64"/>
      <c r="CC79" s="64"/>
      <c r="CD79" s="64"/>
      <c r="CE79" s="64"/>
      <c r="CF79" s="64"/>
      <c r="CG79" s="64"/>
      <c r="CH79" s="64"/>
      <c r="CI79" s="64"/>
      <c r="CJ79" s="64"/>
      <c r="CK79" s="64"/>
      <c r="CL79" s="64"/>
      <c r="CM79" s="64"/>
      <c r="CN79" s="64"/>
      <c r="CO79" s="64"/>
      <c r="CP79" s="64"/>
      <c r="CQ79" s="64"/>
      <c r="CR79" s="64"/>
      <c r="CS79" s="64"/>
      <c r="CT79" s="64"/>
      <c r="CU79" s="64"/>
      <c r="CV79" s="64"/>
      <c r="CW79" s="64"/>
      <c r="CX79" s="64"/>
    </row>
    <row r="80" spans="1:102" x14ac:dyDescent="0.2">
      <c r="A80" s="64"/>
      <c r="B80" s="64"/>
      <c r="C80" s="102"/>
      <c r="D80" s="102"/>
      <c r="E80" s="102"/>
      <c r="F80" s="102"/>
      <c r="G80" s="102"/>
      <c r="H80" s="102"/>
      <c r="I80" s="64"/>
      <c r="J80" s="64"/>
      <c r="K80" s="64"/>
      <c r="L80" s="64"/>
      <c r="M80" s="64"/>
      <c r="N80" s="64"/>
      <c r="O80" s="64"/>
      <c r="P80" s="64"/>
      <c r="Q80" s="64"/>
      <c r="R80" s="64"/>
      <c r="S80" s="64"/>
      <c r="T80" s="64"/>
      <c r="U80" s="64"/>
      <c r="V80" s="64"/>
      <c r="W80" s="64"/>
      <c r="X80" s="64"/>
      <c r="Y80" s="64"/>
      <c r="Z80" s="64"/>
      <c r="AA80" s="64"/>
      <c r="AB80" s="64"/>
      <c r="AC80" s="64"/>
      <c r="AD80" s="64"/>
      <c r="AE80" s="64"/>
      <c r="AF80" s="64"/>
      <c r="AG80" s="64"/>
      <c r="AH80" s="64"/>
      <c r="AI80" s="64"/>
      <c r="AJ80" s="64"/>
      <c r="AK80" s="64"/>
      <c r="AL80" s="64"/>
      <c r="AM80" s="64"/>
      <c r="AN80" s="64"/>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c r="BU80" s="64"/>
      <c r="BV80" s="64"/>
      <c r="BW80" s="64"/>
      <c r="BX80" s="64"/>
      <c r="BY80" s="64"/>
      <c r="BZ80" s="64"/>
      <c r="CA80" s="64"/>
      <c r="CB80" s="64"/>
      <c r="CC80" s="64"/>
      <c r="CD80" s="64"/>
      <c r="CE80" s="64"/>
      <c r="CF80" s="64"/>
      <c r="CG80" s="64"/>
      <c r="CH80" s="64"/>
      <c r="CI80" s="64"/>
      <c r="CJ80" s="64"/>
      <c r="CK80" s="64"/>
      <c r="CL80" s="64"/>
      <c r="CM80" s="64"/>
      <c r="CN80" s="64"/>
      <c r="CO80" s="64"/>
      <c r="CP80" s="64"/>
      <c r="CQ80" s="64"/>
      <c r="CR80" s="64"/>
      <c r="CS80" s="64"/>
      <c r="CT80" s="64"/>
      <c r="CU80" s="64"/>
      <c r="CV80" s="64"/>
      <c r="CW80" s="64"/>
      <c r="CX80" s="64"/>
    </row>
    <row r="81" spans="1:102" x14ac:dyDescent="0.2">
      <c r="A81" s="64"/>
      <c r="B81" s="64"/>
      <c r="C81" s="102"/>
      <c r="D81" s="102"/>
      <c r="E81" s="102"/>
      <c r="F81" s="102"/>
      <c r="G81" s="102"/>
      <c r="H81" s="102"/>
      <c r="I81" s="64"/>
      <c r="J81" s="64"/>
      <c r="K81" s="64"/>
      <c r="L81" s="64"/>
      <c r="M81" s="64"/>
      <c r="N81" s="64"/>
      <c r="O81" s="64"/>
      <c r="P81" s="64"/>
      <c r="Q81" s="64"/>
      <c r="R81" s="64"/>
      <c r="S81" s="64"/>
      <c r="T81" s="64"/>
      <c r="U81" s="64"/>
      <c r="V81" s="64"/>
      <c r="W81" s="64"/>
      <c r="X81" s="64"/>
      <c r="Y81" s="64"/>
      <c r="Z81" s="64"/>
      <c r="AA81" s="64"/>
      <c r="AB81" s="64"/>
      <c r="AC81" s="64"/>
      <c r="AD81" s="64"/>
      <c r="AE81" s="64"/>
      <c r="AF81" s="64"/>
      <c r="AG81" s="64"/>
      <c r="AH81" s="64"/>
      <c r="AI81" s="64"/>
      <c r="AJ81" s="64"/>
      <c r="AK81" s="64"/>
      <c r="AL81" s="64"/>
      <c r="AM81" s="64"/>
      <c r="AN81" s="64"/>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c r="BU81" s="64"/>
      <c r="BV81" s="64"/>
      <c r="BW81" s="64"/>
      <c r="BX81" s="64"/>
      <c r="BY81" s="64"/>
      <c r="BZ81" s="64"/>
      <c r="CA81" s="64"/>
      <c r="CB81" s="64"/>
      <c r="CC81" s="64"/>
      <c r="CD81" s="64"/>
      <c r="CE81" s="64"/>
      <c r="CF81" s="64"/>
      <c r="CG81" s="64"/>
      <c r="CH81" s="64"/>
      <c r="CI81" s="64"/>
      <c r="CJ81" s="64"/>
      <c r="CK81" s="64"/>
      <c r="CL81" s="64"/>
      <c r="CM81" s="64"/>
      <c r="CN81" s="64"/>
      <c r="CO81" s="64"/>
      <c r="CP81" s="64"/>
      <c r="CQ81" s="64"/>
      <c r="CR81" s="64"/>
      <c r="CS81" s="64"/>
      <c r="CT81" s="64"/>
      <c r="CU81" s="64"/>
      <c r="CV81" s="64"/>
      <c r="CW81" s="64"/>
      <c r="CX81" s="64"/>
    </row>
    <row r="82" spans="1:102" x14ac:dyDescent="0.2">
      <c r="A82" s="64"/>
      <c r="B82" s="64"/>
      <c r="C82" s="102"/>
      <c r="D82" s="102"/>
      <c r="E82" s="102"/>
      <c r="F82" s="102"/>
      <c r="G82" s="102"/>
      <c r="H82" s="102"/>
      <c r="I82" s="64"/>
      <c r="J82" s="64"/>
      <c r="K82" s="64"/>
      <c r="L82" s="64"/>
      <c r="M82" s="64"/>
      <c r="N82" s="64"/>
      <c r="O82" s="64"/>
      <c r="P82" s="64"/>
      <c r="Q82" s="64"/>
      <c r="R82" s="64"/>
      <c r="S82" s="64"/>
      <c r="T82" s="64"/>
      <c r="U82" s="64"/>
      <c r="V82" s="64"/>
      <c r="W82" s="64"/>
      <c r="X82" s="64"/>
      <c r="Y82" s="64"/>
      <c r="Z82" s="64"/>
      <c r="AA82" s="64"/>
      <c r="AB82" s="64"/>
      <c r="AC82" s="64"/>
      <c r="AD82" s="64"/>
      <c r="AE82" s="64"/>
      <c r="AF82" s="64"/>
      <c r="AG82" s="64"/>
      <c r="AH82" s="64"/>
      <c r="AI82" s="64"/>
      <c r="AJ82" s="64"/>
      <c r="AK82" s="64"/>
      <c r="AL82" s="64"/>
      <c r="AM82" s="64"/>
      <c r="AN82" s="64"/>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c r="BU82" s="64"/>
      <c r="BV82" s="64"/>
      <c r="BW82" s="64"/>
      <c r="BX82" s="64"/>
      <c r="BY82" s="64"/>
      <c r="BZ82" s="64"/>
      <c r="CA82" s="64"/>
      <c r="CB82" s="64"/>
      <c r="CC82" s="64"/>
      <c r="CD82" s="64"/>
      <c r="CE82" s="64"/>
      <c r="CF82" s="64"/>
      <c r="CG82" s="64"/>
      <c r="CH82" s="64"/>
      <c r="CI82" s="64"/>
      <c r="CJ82" s="64"/>
      <c r="CK82" s="64"/>
      <c r="CL82" s="64"/>
      <c r="CM82" s="64"/>
      <c r="CN82" s="64"/>
      <c r="CO82" s="64"/>
      <c r="CP82" s="64"/>
      <c r="CQ82" s="64"/>
      <c r="CR82" s="64"/>
      <c r="CS82" s="64"/>
      <c r="CT82" s="64"/>
      <c r="CU82" s="64"/>
      <c r="CV82" s="64"/>
      <c r="CW82" s="64"/>
      <c r="CX82" s="64"/>
    </row>
    <row r="83" spans="1:102" x14ac:dyDescent="0.2">
      <c r="A83" s="64"/>
      <c r="B83" s="64"/>
      <c r="C83" s="102"/>
      <c r="D83" s="102"/>
      <c r="E83" s="102"/>
      <c r="F83" s="102"/>
      <c r="G83" s="102"/>
      <c r="H83" s="102"/>
      <c r="I83" s="64"/>
      <c r="J83" s="64"/>
      <c r="K83" s="64"/>
      <c r="L83" s="64"/>
      <c r="M83" s="64"/>
      <c r="N83" s="64"/>
      <c r="O83" s="64"/>
      <c r="P83" s="64"/>
      <c r="Q83" s="64"/>
      <c r="R83" s="64"/>
      <c r="S83" s="64"/>
      <c r="T83" s="64"/>
      <c r="U83" s="64"/>
      <c r="V83" s="64"/>
      <c r="W83" s="64"/>
      <c r="X83" s="64"/>
      <c r="Y83" s="64"/>
      <c r="Z83" s="64"/>
      <c r="AA83" s="64"/>
      <c r="AB83" s="64"/>
      <c r="AC83" s="64"/>
      <c r="AD83" s="64"/>
      <c r="AE83" s="64"/>
      <c r="AF83" s="64"/>
      <c r="AG83" s="64"/>
      <c r="AH83" s="64"/>
      <c r="AI83" s="64"/>
      <c r="AJ83" s="64"/>
      <c r="AK83" s="64"/>
      <c r="AL83" s="64"/>
      <c r="AM83" s="64"/>
      <c r="AN83" s="64"/>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c r="BU83" s="64"/>
      <c r="BV83" s="64"/>
      <c r="BW83" s="64"/>
      <c r="BX83" s="64"/>
      <c r="BY83" s="64"/>
      <c r="BZ83" s="64"/>
      <c r="CA83" s="64"/>
      <c r="CB83" s="64"/>
      <c r="CC83" s="64"/>
      <c r="CD83" s="64"/>
      <c r="CE83" s="64"/>
      <c r="CF83" s="64"/>
      <c r="CG83" s="64"/>
      <c r="CH83" s="64"/>
      <c r="CI83" s="64"/>
      <c r="CJ83" s="64"/>
      <c r="CK83" s="64"/>
      <c r="CL83" s="64"/>
      <c r="CM83" s="64"/>
      <c r="CN83" s="64"/>
      <c r="CO83" s="64"/>
      <c r="CP83" s="64"/>
      <c r="CQ83" s="64"/>
      <c r="CR83" s="64"/>
      <c r="CS83" s="64"/>
      <c r="CT83" s="64"/>
      <c r="CU83" s="64"/>
      <c r="CV83" s="64"/>
      <c r="CW83" s="64"/>
      <c r="CX83" s="64"/>
    </row>
    <row r="84" spans="1:102" x14ac:dyDescent="0.2">
      <c r="A84" s="64"/>
      <c r="B84" s="64"/>
      <c r="C84" s="102"/>
      <c r="D84" s="102"/>
      <c r="E84" s="102"/>
      <c r="F84" s="102"/>
      <c r="G84" s="102"/>
      <c r="H84" s="102"/>
      <c r="I84" s="64"/>
      <c r="J84" s="64"/>
      <c r="K84" s="64"/>
      <c r="L84" s="64"/>
      <c r="M84" s="64"/>
      <c r="N84" s="64"/>
      <c r="O84" s="64"/>
      <c r="P84" s="64"/>
      <c r="Q84" s="64"/>
      <c r="R84" s="64"/>
      <c r="S84" s="64"/>
      <c r="T84" s="64"/>
      <c r="U84" s="64"/>
      <c r="V84" s="64"/>
      <c r="W84" s="64"/>
      <c r="X84" s="64"/>
      <c r="Y84" s="64"/>
      <c r="Z84" s="64"/>
      <c r="AA84" s="64"/>
      <c r="AB84" s="64"/>
      <c r="AC84" s="64"/>
      <c r="AD84" s="64"/>
      <c r="AE84" s="64"/>
      <c r="AF84" s="64"/>
      <c r="AG84" s="64"/>
      <c r="AH84" s="64"/>
      <c r="AI84" s="64"/>
      <c r="AJ84" s="64"/>
      <c r="AK84" s="64"/>
      <c r="AL84" s="64"/>
      <c r="AM84" s="64"/>
      <c r="AN84" s="64"/>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c r="BU84" s="64"/>
      <c r="BV84" s="64"/>
      <c r="BW84" s="64"/>
      <c r="BX84" s="64"/>
      <c r="BY84" s="64"/>
      <c r="BZ84" s="64"/>
      <c r="CA84" s="64"/>
      <c r="CB84" s="64"/>
      <c r="CC84" s="64"/>
      <c r="CD84" s="64"/>
      <c r="CE84" s="64"/>
      <c r="CF84" s="64"/>
      <c r="CG84" s="64"/>
      <c r="CH84" s="64"/>
      <c r="CI84" s="64"/>
      <c r="CJ84" s="64"/>
      <c r="CK84" s="64"/>
      <c r="CL84" s="64"/>
      <c r="CM84" s="64"/>
      <c r="CN84" s="64"/>
      <c r="CO84" s="64"/>
      <c r="CP84" s="64"/>
      <c r="CQ84" s="64"/>
      <c r="CR84" s="64"/>
      <c r="CS84" s="64"/>
      <c r="CT84" s="64"/>
      <c r="CU84" s="64"/>
      <c r="CV84" s="64"/>
      <c r="CW84" s="64"/>
      <c r="CX84" s="64"/>
    </row>
    <row r="85" spans="1:102" x14ac:dyDescent="0.2">
      <c r="A85" s="64"/>
      <c r="B85" s="64"/>
      <c r="C85" s="102"/>
      <c r="D85" s="102"/>
      <c r="E85" s="102"/>
      <c r="F85" s="102"/>
      <c r="G85" s="102"/>
      <c r="H85" s="102"/>
      <c r="I85" s="64"/>
      <c r="J85" s="64"/>
      <c r="K85" s="64"/>
      <c r="L85" s="64"/>
      <c r="M85" s="64"/>
      <c r="N85" s="64"/>
      <c r="O85" s="64"/>
      <c r="P85" s="64"/>
      <c r="Q85" s="64"/>
      <c r="R85" s="64"/>
      <c r="S85" s="64"/>
      <c r="T85" s="64"/>
      <c r="U85" s="64"/>
      <c r="V85" s="64"/>
      <c r="W85" s="64"/>
      <c r="X85" s="64"/>
      <c r="Y85" s="64"/>
      <c r="Z85" s="64"/>
      <c r="AA85" s="64"/>
      <c r="AB85" s="64"/>
      <c r="AC85" s="64"/>
      <c r="AD85" s="64"/>
      <c r="AE85" s="64"/>
      <c r="AF85" s="64"/>
      <c r="AG85" s="64"/>
      <c r="AH85" s="64"/>
      <c r="AI85" s="64"/>
      <c r="AJ85" s="64"/>
      <c r="AK85" s="64"/>
      <c r="AL85" s="64"/>
      <c r="AM85" s="64"/>
      <c r="AN85" s="64"/>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c r="BU85" s="64"/>
      <c r="BV85" s="64"/>
      <c r="BW85" s="64"/>
      <c r="BX85" s="64"/>
      <c r="BY85" s="64"/>
      <c r="BZ85" s="64"/>
      <c r="CA85" s="64"/>
      <c r="CB85" s="64"/>
      <c r="CC85" s="64"/>
      <c r="CD85" s="64"/>
      <c r="CE85" s="64"/>
      <c r="CF85" s="64"/>
      <c r="CG85" s="64"/>
      <c r="CH85" s="64"/>
      <c r="CI85" s="64"/>
      <c r="CJ85" s="64"/>
      <c r="CK85" s="64"/>
      <c r="CL85" s="64"/>
      <c r="CM85" s="64"/>
      <c r="CN85" s="64"/>
      <c r="CO85" s="64"/>
      <c r="CP85" s="64"/>
      <c r="CQ85" s="64"/>
      <c r="CR85" s="64"/>
      <c r="CS85" s="64"/>
      <c r="CT85" s="64"/>
      <c r="CU85" s="64"/>
      <c r="CV85" s="64"/>
      <c r="CW85" s="64"/>
      <c r="CX85" s="64"/>
    </row>
    <row r="86" spans="1:102" x14ac:dyDescent="0.2">
      <c r="A86" s="64"/>
      <c r="B86" s="64"/>
      <c r="C86" s="102"/>
      <c r="D86" s="102"/>
      <c r="E86" s="102"/>
      <c r="F86" s="102"/>
      <c r="G86" s="102"/>
      <c r="H86" s="102"/>
      <c r="I86" s="64"/>
      <c r="J86" s="64"/>
      <c r="K86" s="64"/>
      <c r="L86" s="64"/>
      <c r="M86" s="64"/>
      <c r="N86" s="64"/>
      <c r="O86" s="64"/>
      <c r="P86" s="64"/>
      <c r="Q86" s="64"/>
      <c r="R86" s="64"/>
      <c r="S86" s="64"/>
      <c r="T86" s="64"/>
      <c r="U86" s="64"/>
      <c r="V86" s="64"/>
      <c r="W86" s="64"/>
      <c r="X86" s="64"/>
      <c r="Y86" s="64"/>
      <c r="Z86" s="64"/>
      <c r="AA86" s="64"/>
      <c r="AB86" s="64"/>
      <c r="AC86" s="64"/>
      <c r="AD86" s="64"/>
      <c r="AE86" s="64"/>
      <c r="AF86" s="64"/>
      <c r="AG86" s="64"/>
      <c r="AH86" s="64"/>
      <c r="AI86" s="64"/>
      <c r="AJ86" s="64"/>
      <c r="AK86" s="64"/>
      <c r="AL86" s="64"/>
      <c r="AM86" s="64"/>
      <c r="AN86" s="64"/>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c r="BU86" s="64"/>
      <c r="BV86" s="64"/>
      <c r="BW86" s="64"/>
      <c r="BX86" s="64"/>
      <c r="BY86" s="64"/>
      <c r="BZ86" s="64"/>
      <c r="CA86" s="64"/>
      <c r="CB86" s="64"/>
      <c r="CC86" s="64"/>
      <c r="CD86" s="64"/>
      <c r="CE86" s="64"/>
      <c r="CF86" s="64"/>
      <c r="CG86" s="64"/>
      <c r="CH86" s="64"/>
      <c r="CI86" s="64"/>
      <c r="CJ86" s="64"/>
      <c r="CK86" s="64"/>
      <c r="CL86" s="64"/>
      <c r="CM86" s="64"/>
      <c r="CN86" s="64"/>
      <c r="CO86" s="64"/>
      <c r="CP86" s="64"/>
      <c r="CQ86" s="64"/>
      <c r="CR86" s="64"/>
      <c r="CS86" s="64"/>
      <c r="CT86" s="64"/>
      <c r="CU86" s="64"/>
      <c r="CV86" s="64"/>
      <c r="CW86" s="64"/>
      <c r="CX86" s="64"/>
    </row>
    <row r="87" spans="1:102" x14ac:dyDescent="0.2">
      <c r="A87" s="64"/>
      <c r="B87" s="64"/>
      <c r="C87" s="102"/>
      <c r="D87" s="102"/>
      <c r="E87" s="102"/>
      <c r="F87" s="102"/>
      <c r="G87" s="102"/>
      <c r="H87" s="102"/>
      <c r="I87" s="64"/>
      <c r="J87" s="64"/>
      <c r="K87" s="64"/>
      <c r="L87" s="64"/>
      <c r="M87" s="64"/>
      <c r="N87" s="64"/>
      <c r="O87" s="64"/>
      <c r="P87" s="64"/>
      <c r="Q87" s="64"/>
      <c r="R87" s="64"/>
      <c r="S87" s="64"/>
      <c r="T87" s="64"/>
      <c r="U87" s="64"/>
      <c r="V87" s="64"/>
      <c r="W87" s="64"/>
      <c r="X87" s="64"/>
      <c r="Y87" s="64"/>
      <c r="Z87" s="64"/>
      <c r="AA87" s="64"/>
      <c r="AB87" s="64"/>
      <c r="AC87" s="64"/>
      <c r="AD87" s="64"/>
      <c r="AE87" s="64"/>
      <c r="AF87" s="64"/>
      <c r="AG87" s="64"/>
      <c r="AH87" s="64"/>
      <c r="AI87" s="64"/>
      <c r="AJ87" s="64"/>
      <c r="AK87" s="64"/>
      <c r="AL87" s="64"/>
      <c r="AM87" s="64"/>
      <c r="AN87" s="64"/>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c r="BU87" s="64"/>
      <c r="BV87" s="64"/>
      <c r="BW87" s="64"/>
      <c r="BX87" s="64"/>
      <c r="BY87" s="64"/>
      <c r="BZ87" s="64"/>
      <c r="CA87" s="64"/>
      <c r="CB87" s="64"/>
      <c r="CC87" s="64"/>
      <c r="CD87" s="64"/>
      <c r="CE87" s="64"/>
      <c r="CF87" s="64"/>
      <c r="CG87" s="64"/>
      <c r="CH87" s="64"/>
      <c r="CI87" s="64"/>
      <c r="CJ87" s="64"/>
      <c r="CK87" s="64"/>
      <c r="CL87" s="64"/>
      <c r="CM87" s="64"/>
      <c r="CN87" s="64"/>
      <c r="CO87" s="64"/>
      <c r="CP87" s="64"/>
      <c r="CQ87" s="64"/>
      <c r="CR87" s="64"/>
      <c r="CS87" s="64"/>
      <c r="CT87" s="64"/>
      <c r="CU87" s="64"/>
      <c r="CV87" s="64"/>
      <c r="CW87" s="64"/>
      <c r="CX87" s="64"/>
    </row>
    <row r="88" spans="1:102" x14ac:dyDescent="0.2">
      <c r="A88" s="64"/>
      <c r="B88" s="64"/>
      <c r="C88" s="102"/>
      <c r="D88" s="102"/>
      <c r="E88" s="102"/>
      <c r="F88" s="102"/>
      <c r="G88" s="102"/>
      <c r="H88" s="102"/>
      <c r="I88" s="64"/>
      <c r="J88" s="64"/>
      <c r="K88" s="64"/>
      <c r="L88" s="64"/>
      <c r="M88" s="64"/>
      <c r="N88" s="64"/>
      <c r="O88" s="64"/>
      <c r="P88" s="64"/>
      <c r="Q88" s="64"/>
      <c r="R88" s="64"/>
      <c r="S88" s="64"/>
      <c r="T88" s="64"/>
      <c r="U88" s="64"/>
      <c r="V88" s="64"/>
      <c r="W88" s="64"/>
      <c r="X88" s="64"/>
      <c r="Y88" s="64"/>
      <c r="Z88" s="64"/>
      <c r="AA88" s="64"/>
      <c r="AB88" s="64"/>
      <c r="AC88" s="64"/>
      <c r="AD88" s="64"/>
      <c r="AE88" s="64"/>
      <c r="AF88" s="64"/>
      <c r="AG88" s="64"/>
      <c r="AH88" s="64"/>
      <c r="AI88" s="64"/>
      <c r="AJ88" s="64"/>
      <c r="AK88" s="64"/>
      <c r="AL88" s="64"/>
      <c r="AM88" s="64"/>
      <c r="AN88" s="64"/>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c r="BU88" s="64"/>
      <c r="BV88" s="64"/>
      <c r="BW88" s="64"/>
      <c r="BX88" s="64"/>
      <c r="BY88" s="64"/>
      <c r="BZ88" s="64"/>
      <c r="CA88" s="64"/>
      <c r="CB88" s="64"/>
      <c r="CC88" s="64"/>
      <c r="CD88" s="64"/>
      <c r="CE88" s="64"/>
      <c r="CF88" s="64"/>
      <c r="CG88" s="64"/>
      <c r="CH88" s="64"/>
      <c r="CI88" s="64"/>
      <c r="CJ88" s="64"/>
      <c r="CK88" s="64"/>
      <c r="CL88" s="64"/>
      <c r="CM88" s="64"/>
      <c r="CN88" s="64"/>
      <c r="CO88" s="64"/>
      <c r="CP88" s="64"/>
      <c r="CQ88" s="64"/>
      <c r="CR88" s="64"/>
      <c r="CS88" s="64"/>
      <c r="CT88" s="64"/>
      <c r="CU88" s="64"/>
      <c r="CV88" s="64"/>
      <c r="CW88" s="64"/>
      <c r="CX88" s="64"/>
    </row>
    <row r="89" spans="1:102" x14ac:dyDescent="0.2">
      <c r="A89" s="64"/>
      <c r="B89" s="64"/>
      <c r="C89" s="102"/>
      <c r="D89" s="102"/>
      <c r="E89" s="102"/>
      <c r="F89" s="102"/>
      <c r="G89" s="102"/>
      <c r="H89" s="102"/>
      <c r="I89" s="64"/>
      <c r="J89" s="64"/>
      <c r="K89" s="64"/>
      <c r="L89" s="64"/>
      <c r="M89" s="64"/>
      <c r="N89" s="64"/>
      <c r="O89" s="64"/>
      <c r="P89" s="64"/>
      <c r="Q89" s="64"/>
      <c r="R89" s="64"/>
      <c r="S89" s="64"/>
      <c r="T89" s="64"/>
      <c r="U89" s="64"/>
      <c r="V89" s="64"/>
      <c r="W89" s="64"/>
      <c r="X89" s="64"/>
      <c r="Y89" s="64"/>
      <c r="Z89" s="64"/>
      <c r="AA89" s="64"/>
      <c r="AB89" s="64"/>
      <c r="AC89" s="64"/>
      <c r="AD89" s="64"/>
      <c r="AE89" s="64"/>
      <c r="AF89" s="64"/>
      <c r="AG89" s="64"/>
      <c r="AH89" s="64"/>
      <c r="AI89" s="64"/>
      <c r="AJ89" s="64"/>
      <c r="AK89" s="64"/>
      <c r="AL89" s="64"/>
      <c r="AM89" s="64"/>
      <c r="AN89" s="64"/>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c r="BU89" s="64"/>
      <c r="BV89" s="64"/>
      <c r="BW89" s="64"/>
      <c r="BX89" s="64"/>
      <c r="BY89" s="64"/>
      <c r="BZ89" s="64"/>
      <c r="CA89" s="64"/>
      <c r="CB89" s="64"/>
      <c r="CC89" s="64"/>
      <c r="CD89" s="64"/>
      <c r="CE89" s="64"/>
      <c r="CF89" s="64"/>
      <c r="CG89" s="64"/>
      <c r="CH89" s="64"/>
      <c r="CI89" s="64"/>
      <c r="CJ89" s="64"/>
      <c r="CK89" s="64"/>
      <c r="CL89" s="64"/>
      <c r="CM89" s="64"/>
      <c r="CN89" s="64"/>
      <c r="CO89" s="64"/>
      <c r="CP89" s="64"/>
      <c r="CQ89" s="64"/>
      <c r="CR89" s="64"/>
      <c r="CS89" s="64"/>
      <c r="CT89" s="64"/>
      <c r="CU89" s="64"/>
      <c r="CV89" s="64"/>
      <c r="CW89" s="64"/>
      <c r="CX89" s="64"/>
    </row>
    <row r="90" spans="1:102" x14ac:dyDescent="0.2">
      <c r="A90" s="64"/>
      <c r="B90" s="64"/>
      <c r="C90" s="102"/>
      <c r="D90" s="102"/>
      <c r="E90" s="102"/>
      <c r="F90" s="102"/>
      <c r="G90" s="102"/>
      <c r="H90" s="102"/>
      <c r="I90" s="64"/>
      <c r="J90" s="64"/>
      <c r="K90" s="64"/>
      <c r="L90" s="64"/>
      <c r="M90" s="64"/>
      <c r="N90" s="64"/>
      <c r="O90" s="64"/>
      <c r="P90" s="64"/>
      <c r="Q90" s="64"/>
      <c r="R90" s="64"/>
      <c r="S90" s="64"/>
      <c r="T90" s="64"/>
      <c r="U90" s="64"/>
      <c r="V90" s="64"/>
      <c r="W90" s="64"/>
      <c r="X90" s="64"/>
      <c r="Y90" s="64"/>
      <c r="Z90" s="64"/>
      <c r="AA90" s="64"/>
      <c r="AB90" s="64"/>
      <c r="AC90" s="64"/>
      <c r="AD90" s="64"/>
      <c r="AE90" s="64"/>
      <c r="AF90" s="64"/>
      <c r="AG90" s="64"/>
      <c r="AH90" s="64"/>
      <c r="AI90" s="64"/>
      <c r="AJ90" s="64"/>
      <c r="AK90" s="64"/>
      <c r="AL90" s="64"/>
      <c r="AM90" s="64"/>
      <c r="AN90" s="64"/>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c r="BU90" s="64"/>
      <c r="BV90" s="64"/>
      <c r="BW90" s="64"/>
      <c r="BX90" s="64"/>
      <c r="BY90" s="64"/>
      <c r="BZ90" s="64"/>
      <c r="CA90" s="64"/>
      <c r="CB90" s="64"/>
      <c r="CC90" s="64"/>
      <c r="CD90" s="64"/>
      <c r="CE90" s="64"/>
      <c r="CF90" s="64"/>
      <c r="CG90" s="64"/>
      <c r="CH90" s="64"/>
      <c r="CI90" s="64"/>
      <c r="CJ90" s="64"/>
      <c r="CK90" s="64"/>
      <c r="CL90" s="64"/>
      <c r="CM90" s="64"/>
      <c r="CN90" s="64"/>
      <c r="CO90" s="64"/>
      <c r="CP90" s="64"/>
      <c r="CQ90" s="64"/>
      <c r="CR90" s="64"/>
      <c r="CS90" s="64"/>
      <c r="CT90" s="64"/>
      <c r="CU90" s="64"/>
      <c r="CV90" s="64"/>
      <c r="CW90" s="64"/>
      <c r="CX90" s="64"/>
    </row>
    <row r="91" spans="1:102" x14ac:dyDescent="0.2">
      <c r="A91" s="64"/>
      <c r="B91" s="64"/>
      <c r="C91" s="102"/>
      <c r="D91" s="102"/>
      <c r="E91" s="102"/>
      <c r="F91" s="102"/>
      <c r="G91" s="102"/>
      <c r="H91" s="102"/>
      <c r="I91" s="64"/>
      <c r="J91" s="64"/>
      <c r="K91" s="64"/>
      <c r="L91" s="64"/>
      <c r="M91" s="64"/>
      <c r="N91" s="64"/>
      <c r="O91" s="64"/>
      <c r="P91" s="64"/>
      <c r="Q91" s="64"/>
      <c r="R91" s="64"/>
      <c r="S91" s="64"/>
      <c r="T91" s="64"/>
      <c r="U91" s="64"/>
      <c r="V91" s="64"/>
      <c r="W91" s="64"/>
      <c r="X91" s="64"/>
      <c r="Y91" s="64"/>
      <c r="Z91" s="64"/>
      <c r="AA91" s="64"/>
      <c r="AB91" s="64"/>
      <c r="AC91" s="64"/>
      <c r="AD91" s="64"/>
      <c r="AE91" s="64"/>
      <c r="AF91" s="64"/>
      <c r="AG91" s="64"/>
      <c r="AH91" s="64"/>
      <c r="AI91" s="64"/>
      <c r="AJ91" s="64"/>
      <c r="AK91" s="64"/>
      <c r="AL91" s="64"/>
      <c r="AM91" s="64"/>
      <c r="AN91" s="64"/>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c r="BU91" s="64"/>
      <c r="BV91" s="64"/>
      <c r="BW91" s="64"/>
      <c r="BX91" s="64"/>
      <c r="BY91" s="64"/>
      <c r="BZ91" s="64"/>
      <c r="CA91" s="64"/>
      <c r="CB91" s="64"/>
      <c r="CC91" s="64"/>
      <c r="CD91" s="64"/>
      <c r="CE91" s="64"/>
      <c r="CF91" s="64"/>
      <c r="CG91" s="64"/>
      <c r="CH91" s="64"/>
      <c r="CI91" s="64"/>
      <c r="CJ91" s="64"/>
      <c r="CK91" s="64"/>
      <c r="CL91" s="64"/>
      <c r="CM91" s="64"/>
      <c r="CN91" s="64"/>
      <c r="CO91" s="64"/>
      <c r="CP91" s="64"/>
      <c r="CQ91" s="64"/>
      <c r="CR91" s="64"/>
      <c r="CS91" s="64"/>
      <c r="CT91" s="64"/>
      <c r="CU91" s="64"/>
      <c r="CV91" s="64"/>
      <c r="CW91" s="64"/>
      <c r="CX91" s="64"/>
    </row>
    <row r="92" spans="1:102" x14ac:dyDescent="0.2">
      <c r="A92" s="64"/>
      <c r="B92" s="64"/>
      <c r="C92" s="102"/>
      <c r="D92" s="102"/>
      <c r="E92" s="102"/>
      <c r="F92" s="102"/>
      <c r="G92" s="102"/>
      <c r="H92" s="102"/>
      <c r="I92" s="64"/>
      <c r="J92" s="64"/>
      <c r="K92" s="64"/>
      <c r="L92" s="64"/>
      <c r="M92" s="64"/>
      <c r="N92" s="64"/>
      <c r="O92" s="64"/>
      <c r="P92" s="64"/>
      <c r="Q92" s="64"/>
      <c r="R92" s="64"/>
      <c r="S92" s="64"/>
      <c r="T92" s="64"/>
      <c r="U92" s="64"/>
      <c r="V92" s="64"/>
      <c r="W92" s="64"/>
      <c r="X92" s="64"/>
      <c r="Y92" s="64"/>
      <c r="Z92" s="64"/>
      <c r="AA92" s="64"/>
      <c r="AB92" s="64"/>
      <c r="AC92" s="64"/>
      <c r="AD92" s="64"/>
      <c r="AE92" s="64"/>
      <c r="AF92" s="64"/>
      <c r="AG92" s="64"/>
      <c r="AH92" s="64"/>
      <c r="AI92" s="64"/>
      <c r="AJ92" s="64"/>
      <c r="AK92" s="64"/>
      <c r="AL92" s="64"/>
      <c r="AM92" s="64"/>
      <c r="AN92" s="64"/>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c r="BU92" s="64"/>
      <c r="BV92" s="64"/>
      <c r="BW92" s="64"/>
      <c r="BX92" s="64"/>
      <c r="BY92" s="64"/>
      <c r="BZ92" s="64"/>
      <c r="CA92" s="64"/>
      <c r="CB92" s="64"/>
      <c r="CC92" s="64"/>
      <c r="CD92" s="64"/>
      <c r="CE92" s="64"/>
      <c r="CF92" s="64"/>
      <c r="CG92" s="64"/>
      <c r="CH92" s="64"/>
      <c r="CI92" s="64"/>
      <c r="CJ92" s="64"/>
      <c r="CK92" s="64"/>
      <c r="CL92" s="64"/>
      <c r="CM92" s="64"/>
      <c r="CN92" s="64"/>
      <c r="CO92" s="64"/>
      <c r="CP92" s="64"/>
      <c r="CQ92" s="64"/>
      <c r="CR92" s="64"/>
      <c r="CS92" s="64"/>
      <c r="CT92" s="64"/>
      <c r="CU92" s="64"/>
      <c r="CV92" s="64"/>
      <c r="CW92" s="64"/>
      <c r="CX92" s="64"/>
    </row>
    <row r="93" spans="1:102" x14ac:dyDescent="0.2">
      <c r="A93" s="64"/>
      <c r="B93" s="64"/>
      <c r="C93" s="102"/>
      <c r="D93" s="102"/>
      <c r="E93" s="102"/>
      <c r="F93" s="102"/>
      <c r="G93" s="102"/>
      <c r="H93" s="102"/>
      <c r="I93" s="64"/>
      <c r="J93" s="64"/>
      <c r="K93" s="64"/>
      <c r="L93" s="64"/>
      <c r="M93" s="64"/>
      <c r="N93" s="64"/>
      <c r="O93" s="64"/>
      <c r="P93" s="64"/>
      <c r="Q93" s="64"/>
      <c r="R93" s="64"/>
      <c r="S93" s="64"/>
      <c r="T93" s="64"/>
      <c r="U93" s="64"/>
      <c r="V93" s="64"/>
      <c r="W93" s="64"/>
      <c r="X93" s="64"/>
      <c r="Y93" s="64"/>
      <c r="Z93" s="64"/>
      <c r="AA93" s="64"/>
      <c r="AB93" s="64"/>
      <c r="AC93" s="64"/>
      <c r="AD93" s="64"/>
      <c r="AE93" s="64"/>
      <c r="AF93" s="64"/>
      <c r="AG93" s="64"/>
      <c r="AH93" s="64"/>
      <c r="AI93" s="64"/>
      <c r="AJ93" s="64"/>
      <c r="AK93" s="64"/>
      <c r="AL93" s="64"/>
      <c r="AM93" s="64"/>
      <c r="AN93" s="64"/>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c r="BU93" s="64"/>
      <c r="BV93" s="64"/>
      <c r="BW93" s="64"/>
      <c r="BX93" s="64"/>
      <c r="BY93" s="64"/>
      <c r="BZ93" s="64"/>
      <c r="CA93" s="64"/>
      <c r="CB93" s="64"/>
      <c r="CC93" s="64"/>
      <c r="CD93" s="64"/>
      <c r="CE93" s="64"/>
      <c r="CF93" s="64"/>
      <c r="CG93" s="64"/>
      <c r="CH93" s="64"/>
      <c r="CI93" s="64"/>
      <c r="CJ93" s="64"/>
      <c r="CK93" s="64"/>
      <c r="CL93" s="64"/>
      <c r="CM93" s="64"/>
      <c r="CN93" s="64"/>
      <c r="CO93" s="64"/>
      <c r="CP93" s="64"/>
      <c r="CQ93" s="64"/>
      <c r="CR93" s="64"/>
      <c r="CS93" s="64"/>
      <c r="CT93" s="64"/>
      <c r="CU93" s="64"/>
      <c r="CV93" s="64"/>
      <c r="CW93" s="64"/>
      <c r="CX93" s="64"/>
    </row>
    <row r="94" spans="1:102" x14ac:dyDescent="0.2">
      <c r="A94" s="64"/>
      <c r="B94" s="64"/>
      <c r="C94" s="102"/>
      <c r="D94" s="102"/>
      <c r="E94" s="102"/>
      <c r="F94" s="102"/>
      <c r="G94" s="102"/>
      <c r="H94" s="102"/>
      <c r="I94" s="64"/>
      <c r="J94" s="64"/>
      <c r="K94" s="64"/>
      <c r="L94" s="64"/>
      <c r="M94" s="64"/>
      <c r="N94" s="64"/>
      <c r="O94" s="64"/>
      <c r="P94" s="64"/>
      <c r="Q94" s="64"/>
      <c r="R94" s="64"/>
      <c r="S94" s="64"/>
      <c r="T94" s="64"/>
      <c r="U94" s="64"/>
      <c r="V94" s="64"/>
      <c r="W94" s="64"/>
      <c r="X94" s="64"/>
      <c r="Y94" s="64"/>
      <c r="Z94" s="64"/>
      <c r="AA94" s="64"/>
      <c r="AB94" s="64"/>
      <c r="AC94" s="64"/>
      <c r="AD94" s="64"/>
      <c r="AE94" s="64"/>
      <c r="AF94" s="64"/>
      <c r="AG94" s="64"/>
      <c r="AH94" s="64"/>
      <c r="AI94" s="64"/>
      <c r="AJ94" s="64"/>
      <c r="AK94" s="64"/>
      <c r="AL94" s="64"/>
      <c r="AM94" s="64"/>
      <c r="AN94" s="64"/>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c r="BU94" s="64"/>
      <c r="BV94" s="64"/>
      <c r="BW94" s="64"/>
      <c r="BX94" s="64"/>
      <c r="BY94" s="64"/>
      <c r="BZ94" s="64"/>
      <c r="CA94" s="64"/>
      <c r="CB94" s="64"/>
      <c r="CC94" s="64"/>
      <c r="CD94" s="64"/>
      <c r="CE94" s="64"/>
      <c r="CF94" s="64"/>
      <c r="CG94" s="64"/>
      <c r="CH94" s="64"/>
      <c r="CI94" s="64"/>
      <c r="CJ94" s="64"/>
      <c r="CK94" s="64"/>
      <c r="CL94" s="64"/>
      <c r="CM94" s="64"/>
      <c r="CN94" s="64"/>
      <c r="CO94" s="64"/>
      <c r="CP94" s="64"/>
      <c r="CQ94" s="64"/>
      <c r="CR94" s="64"/>
      <c r="CS94" s="64"/>
      <c r="CT94" s="64"/>
      <c r="CU94" s="64"/>
      <c r="CV94" s="64"/>
      <c r="CW94" s="64"/>
      <c r="CX94" s="64"/>
    </row>
    <row r="95" spans="1:102" x14ac:dyDescent="0.2">
      <c r="A95" s="64"/>
      <c r="B95" s="64"/>
      <c r="C95" s="102"/>
      <c r="D95" s="102"/>
      <c r="E95" s="102"/>
      <c r="F95" s="102"/>
      <c r="G95" s="102"/>
      <c r="H95" s="102"/>
      <c r="I95" s="64"/>
      <c r="J95" s="64"/>
      <c r="K95" s="64"/>
      <c r="L95" s="64"/>
      <c r="M95" s="64"/>
      <c r="N95" s="64"/>
      <c r="O95" s="64"/>
      <c r="P95" s="64"/>
      <c r="Q95" s="64"/>
      <c r="R95" s="64"/>
      <c r="S95" s="64"/>
      <c r="T95" s="64"/>
      <c r="U95" s="64"/>
      <c r="V95" s="64"/>
      <c r="W95" s="64"/>
      <c r="X95" s="64"/>
      <c r="Y95" s="64"/>
      <c r="Z95" s="64"/>
      <c r="AA95" s="64"/>
      <c r="AB95" s="64"/>
      <c r="AC95" s="64"/>
      <c r="AD95" s="64"/>
      <c r="AE95" s="64"/>
      <c r="AF95" s="64"/>
      <c r="AG95" s="64"/>
      <c r="AH95" s="64"/>
      <c r="AI95" s="64"/>
      <c r="AJ95" s="64"/>
      <c r="AK95" s="64"/>
      <c r="AL95" s="64"/>
      <c r="AM95" s="64"/>
      <c r="AN95" s="64"/>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c r="BU95" s="64"/>
      <c r="BV95" s="64"/>
      <c r="BW95" s="64"/>
      <c r="BX95" s="64"/>
      <c r="BY95" s="64"/>
      <c r="BZ95" s="64"/>
      <c r="CA95" s="64"/>
      <c r="CB95" s="64"/>
      <c r="CC95" s="64"/>
      <c r="CD95" s="64"/>
      <c r="CE95" s="64"/>
      <c r="CF95" s="64"/>
      <c r="CG95" s="64"/>
      <c r="CH95" s="64"/>
      <c r="CI95" s="64"/>
      <c r="CJ95" s="64"/>
      <c r="CK95" s="64"/>
      <c r="CL95" s="64"/>
      <c r="CM95" s="64"/>
      <c r="CN95" s="64"/>
      <c r="CO95" s="64"/>
      <c r="CP95" s="64"/>
      <c r="CQ95" s="64"/>
      <c r="CR95" s="64"/>
      <c r="CS95" s="64"/>
      <c r="CT95" s="64"/>
      <c r="CU95" s="64"/>
      <c r="CV95" s="64"/>
      <c r="CW95" s="64"/>
      <c r="CX95" s="64"/>
    </row>
    <row r="96" spans="1:102" x14ac:dyDescent="0.2">
      <c r="A96" s="64"/>
      <c r="B96" s="64"/>
      <c r="C96" s="102"/>
      <c r="D96" s="102"/>
      <c r="E96" s="102"/>
      <c r="F96" s="102"/>
      <c r="G96" s="102"/>
      <c r="H96" s="102"/>
      <c r="I96" s="64"/>
      <c r="J96" s="64"/>
      <c r="K96" s="64"/>
      <c r="L96" s="64"/>
      <c r="M96" s="64"/>
      <c r="N96" s="64"/>
      <c r="O96" s="64"/>
      <c r="P96" s="64"/>
      <c r="Q96" s="64"/>
      <c r="R96" s="64"/>
      <c r="S96" s="64"/>
      <c r="T96" s="64"/>
      <c r="U96" s="64"/>
      <c r="V96" s="64"/>
      <c r="W96" s="64"/>
      <c r="X96" s="64"/>
      <c r="Y96" s="64"/>
      <c r="Z96" s="64"/>
      <c r="AA96" s="64"/>
      <c r="AB96" s="64"/>
      <c r="AC96" s="64"/>
      <c r="AD96" s="64"/>
      <c r="AE96" s="64"/>
      <c r="AF96" s="64"/>
      <c r="AG96" s="64"/>
      <c r="AH96" s="64"/>
      <c r="AI96" s="64"/>
      <c r="AJ96" s="64"/>
      <c r="AK96" s="64"/>
      <c r="AL96" s="64"/>
      <c r="AM96" s="64"/>
      <c r="AN96" s="64"/>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c r="BU96" s="64"/>
      <c r="BV96" s="64"/>
      <c r="BW96" s="64"/>
      <c r="BX96" s="64"/>
      <c r="BY96" s="64"/>
      <c r="BZ96" s="64"/>
      <c r="CA96" s="64"/>
      <c r="CB96" s="64"/>
      <c r="CC96" s="64"/>
      <c r="CD96" s="64"/>
      <c r="CE96" s="64"/>
      <c r="CF96" s="64"/>
      <c r="CG96" s="64"/>
      <c r="CH96" s="64"/>
      <c r="CI96" s="64"/>
      <c r="CJ96" s="64"/>
      <c r="CK96" s="64"/>
      <c r="CL96" s="64"/>
      <c r="CM96" s="64"/>
      <c r="CN96" s="64"/>
      <c r="CO96" s="64"/>
      <c r="CP96" s="64"/>
      <c r="CQ96" s="64"/>
      <c r="CR96" s="64"/>
      <c r="CS96" s="64"/>
      <c r="CT96" s="64"/>
      <c r="CU96" s="64"/>
      <c r="CV96" s="64"/>
      <c r="CW96" s="64"/>
      <c r="CX96" s="64"/>
    </row>
    <row r="97" spans="1:102" x14ac:dyDescent="0.2">
      <c r="A97" s="64"/>
      <c r="B97" s="64"/>
      <c r="C97" s="102"/>
      <c r="D97" s="102"/>
      <c r="E97" s="102"/>
      <c r="F97" s="102"/>
      <c r="G97" s="102"/>
      <c r="H97" s="102"/>
      <c r="I97" s="64"/>
      <c r="J97" s="64"/>
      <c r="K97" s="64"/>
      <c r="L97" s="64"/>
      <c r="M97" s="64"/>
      <c r="N97" s="64"/>
      <c r="O97" s="64"/>
      <c r="P97" s="64"/>
      <c r="Q97" s="64"/>
      <c r="R97" s="64"/>
      <c r="S97" s="64"/>
      <c r="T97" s="64"/>
      <c r="U97" s="64"/>
      <c r="V97" s="64"/>
      <c r="W97" s="64"/>
      <c r="X97" s="64"/>
      <c r="Y97" s="64"/>
      <c r="Z97" s="64"/>
      <c r="AA97" s="64"/>
      <c r="AB97" s="64"/>
      <c r="AC97" s="64"/>
      <c r="AD97" s="64"/>
      <c r="AE97" s="64"/>
      <c r="AF97" s="64"/>
      <c r="AG97" s="64"/>
      <c r="AH97" s="64"/>
      <c r="AI97" s="64"/>
      <c r="AJ97" s="64"/>
      <c r="AK97" s="64"/>
      <c r="AL97" s="64"/>
      <c r="AM97" s="64"/>
      <c r="AN97" s="64"/>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c r="BU97" s="64"/>
      <c r="BV97" s="64"/>
      <c r="BW97" s="64"/>
      <c r="BX97" s="64"/>
      <c r="BY97" s="64"/>
      <c r="BZ97" s="64"/>
      <c r="CA97" s="64"/>
      <c r="CB97" s="64"/>
      <c r="CC97" s="64"/>
      <c r="CD97" s="64"/>
      <c r="CE97" s="64"/>
      <c r="CF97" s="64"/>
      <c r="CG97" s="64"/>
      <c r="CH97" s="64"/>
      <c r="CI97" s="64"/>
      <c r="CJ97" s="64"/>
      <c r="CK97" s="64"/>
      <c r="CL97" s="64"/>
      <c r="CM97" s="64"/>
      <c r="CN97" s="64"/>
      <c r="CO97" s="64"/>
      <c r="CP97" s="64"/>
      <c r="CQ97" s="64"/>
      <c r="CR97" s="64"/>
      <c r="CS97" s="64"/>
      <c r="CT97" s="64"/>
      <c r="CU97" s="64"/>
      <c r="CV97" s="64"/>
      <c r="CW97" s="64"/>
      <c r="CX97" s="64"/>
    </row>
    <row r="98" spans="1:102" x14ac:dyDescent="0.2">
      <c r="A98" s="64"/>
      <c r="B98" s="64"/>
      <c r="C98" s="102"/>
      <c r="D98" s="102"/>
      <c r="E98" s="102"/>
      <c r="F98" s="102"/>
      <c r="G98" s="102"/>
      <c r="H98" s="102"/>
      <c r="I98" s="64"/>
      <c r="J98" s="64"/>
      <c r="K98" s="64"/>
      <c r="L98" s="64"/>
      <c r="M98" s="64"/>
      <c r="N98" s="64"/>
      <c r="O98" s="64"/>
      <c r="P98" s="64"/>
      <c r="Q98" s="64"/>
      <c r="R98" s="64"/>
      <c r="S98" s="64"/>
      <c r="T98" s="64"/>
      <c r="U98" s="64"/>
      <c r="V98" s="64"/>
      <c r="W98" s="64"/>
      <c r="X98" s="64"/>
      <c r="Y98" s="64"/>
      <c r="Z98" s="64"/>
      <c r="AA98" s="64"/>
      <c r="AB98" s="64"/>
      <c r="AC98" s="64"/>
      <c r="AD98" s="64"/>
      <c r="AE98" s="64"/>
      <c r="AF98" s="64"/>
      <c r="AG98" s="64"/>
      <c r="AH98" s="64"/>
      <c r="AI98" s="64"/>
      <c r="AJ98" s="64"/>
      <c r="AK98" s="64"/>
      <c r="AL98" s="64"/>
      <c r="AM98" s="64"/>
      <c r="AN98" s="64"/>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c r="BU98" s="64"/>
      <c r="BV98" s="64"/>
      <c r="BW98" s="64"/>
      <c r="BX98" s="64"/>
      <c r="BY98" s="64"/>
      <c r="BZ98" s="64"/>
      <c r="CA98" s="64"/>
      <c r="CB98" s="64"/>
      <c r="CC98" s="64"/>
      <c r="CD98" s="64"/>
      <c r="CE98" s="64"/>
      <c r="CF98" s="64"/>
      <c r="CG98" s="64"/>
      <c r="CH98" s="64"/>
      <c r="CI98" s="64"/>
      <c r="CJ98" s="64"/>
      <c r="CK98" s="64"/>
      <c r="CL98" s="64"/>
      <c r="CM98" s="64"/>
      <c r="CN98" s="64"/>
      <c r="CO98" s="64"/>
      <c r="CP98" s="64"/>
      <c r="CQ98" s="64"/>
      <c r="CR98" s="64"/>
      <c r="CS98" s="64"/>
      <c r="CT98" s="64"/>
      <c r="CU98" s="64"/>
      <c r="CV98" s="64"/>
      <c r="CW98" s="64"/>
      <c r="CX98" s="64"/>
    </row>
    <row r="99" spans="1:102" x14ac:dyDescent="0.2">
      <c r="A99" s="64"/>
      <c r="B99" s="64"/>
      <c r="C99" s="102"/>
      <c r="D99" s="102"/>
      <c r="E99" s="102"/>
      <c r="F99" s="102"/>
      <c r="G99" s="102"/>
      <c r="H99" s="102"/>
      <c r="I99" s="64"/>
      <c r="J99" s="64"/>
      <c r="K99" s="64"/>
      <c r="L99" s="64"/>
      <c r="M99" s="64"/>
      <c r="N99" s="64"/>
      <c r="O99" s="64"/>
      <c r="P99" s="64"/>
      <c r="Q99" s="64"/>
      <c r="R99" s="64"/>
      <c r="S99" s="64"/>
      <c r="T99" s="64"/>
      <c r="U99" s="64"/>
      <c r="V99" s="64"/>
      <c r="W99" s="64"/>
      <c r="X99" s="64"/>
      <c r="Y99" s="64"/>
      <c r="Z99" s="64"/>
      <c r="AA99" s="64"/>
      <c r="AB99" s="64"/>
      <c r="AC99" s="64"/>
      <c r="AD99" s="64"/>
      <c r="AE99" s="64"/>
      <c r="AF99" s="64"/>
      <c r="AG99" s="64"/>
      <c r="AH99" s="64"/>
      <c r="AI99" s="64"/>
      <c r="AJ99" s="64"/>
      <c r="AK99" s="64"/>
      <c r="AL99" s="64"/>
      <c r="AM99" s="64"/>
      <c r="AN99" s="64"/>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c r="BU99" s="64"/>
      <c r="BV99" s="64"/>
      <c r="BW99" s="64"/>
      <c r="BX99" s="64"/>
      <c r="BY99" s="64"/>
      <c r="BZ99" s="64"/>
      <c r="CA99" s="64"/>
      <c r="CB99" s="64"/>
      <c r="CC99" s="64"/>
      <c r="CD99" s="64"/>
      <c r="CE99" s="64"/>
      <c r="CF99" s="64"/>
      <c r="CG99" s="64"/>
      <c r="CH99" s="64"/>
      <c r="CI99" s="64"/>
      <c r="CJ99" s="64"/>
      <c r="CK99" s="64"/>
      <c r="CL99" s="64"/>
      <c r="CM99" s="64"/>
      <c r="CN99" s="64"/>
      <c r="CO99" s="64"/>
      <c r="CP99" s="64"/>
      <c r="CQ99" s="64"/>
      <c r="CR99" s="64"/>
      <c r="CS99" s="64"/>
      <c r="CT99" s="64"/>
      <c r="CU99" s="64"/>
      <c r="CV99" s="64"/>
      <c r="CW99" s="64"/>
      <c r="CX99" s="64"/>
    </row>
    <row r="100" spans="1:102" x14ac:dyDescent="0.2">
      <c r="A100" s="64"/>
      <c r="B100" s="64"/>
      <c r="C100" s="102"/>
      <c r="D100" s="102"/>
      <c r="E100" s="102"/>
      <c r="F100" s="102"/>
      <c r="G100" s="102"/>
      <c r="H100" s="102"/>
      <c r="I100" s="64"/>
      <c r="J100" s="64"/>
      <c r="K100" s="64"/>
      <c r="L100" s="64"/>
      <c r="M100" s="64"/>
      <c r="N100" s="64"/>
      <c r="O100" s="64"/>
      <c r="P100" s="64"/>
      <c r="Q100" s="64"/>
      <c r="R100" s="64"/>
      <c r="S100" s="64"/>
      <c r="T100" s="64"/>
      <c r="U100" s="64"/>
      <c r="V100" s="64"/>
      <c r="W100" s="64"/>
      <c r="X100" s="64"/>
      <c r="Y100" s="64"/>
      <c r="Z100" s="64"/>
      <c r="AA100" s="64"/>
      <c r="AB100" s="64"/>
      <c r="AC100" s="64"/>
      <c r="AD100" s="64"/>
      <c r="AE100" s="64"/>
      <c r="AF100" s="64"/>
      <c r="AG100" s="64"/>
      <c r="AH100" s="64"/>
      <c r="AI100" s="64"/>
      <c r="AJ100" s="64"/>
      <c r="AK100" s="64"/>
      <c r="AL100" s="64"/>
      <c r="AM100" s="64"/>
      <c r="AN100" s="64"/>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c r="BU100" s="64"/>
      <c r="BV100" s="64"/>
      <c r="BW100" s="64"/>
      <c r="BX100" s="64"/>
      <c r="BY100" s="64"/>
      <c r="BZ100" s="64"/>
      <c r="CA100" s="64"/>
      <c r="CB100" s="64"/>
      <c r="CC100" s="64"/>
      <c r="CD100" s="64"/>
      <c r="CE100" s="64"/>
      <c r="CF100" s="64"/>
      <c r="CG100" s="64"/>
      <c r="CH100" s="64"/>
      <c r="CI100" s="64"/>
      <c r="CJ100" s="64"/>
      <c r="CK100" s="64"/>
      <c r="CL100" s="64"/>
      <c r="CM100" s="64"/>
      <c r="CN100" s="64"/>
      <c r="CO100" s="64"/>
      <c r="CP100" s="64"/>
      <c r="CQ100" s="64"/>
      <c r="CR100" s="64"/>
      <c r="CS100" s="64"/>
      <c r="CT100" s="64"/>
      <c r="CU100" s="64"/>
      <c r="CV100" s="64"/>
      <c r="CW100" s="64"/>
      <c r="CX100" s="64"/>
    </row>
    <row r="101" spans="1:102" x14ac:dyDescent="0.2">
      <c r="A101" s="64"/>
      <c r="B101" s="64"/>
      <c r="C101" s="102"/>
      <c r="D101" s="102"/>
      <c r="E101" s="102"/>
      <c r="F101" s="102"/>
      <c r="G101" s="102"/>
      <c r="H101" s="102"/>
      <c r="I101" s="64"/>
      <c r="J101" s="64"/>
      <c r="K101" s="64"/>
      <c r="L101" s="64"/>
      <c r="M101" s="64"/>
      <c r="N101" s="64"/>
      <c r="O101" s="64"/>
      <c r="P101" s="64"/>
      <c r="Q101" s="64"/>
      <c r="R101" s="64"/>
      <c r="S101" s="64"/>
      <c r="T101" s="64"/>
      <c r="U101" s="64"/>
      <c r="V101" s="64"/>
      <c r="W101" s="64"/>
      <c r="X101" s="64"/>
      <c r="Y101" s="64"/>
      <c r="Z101" s="64"/>
      <c r="AA101" s="64"/>
      <c r="AB101" s="64"/>
      <c r="AC101" s="64"/>
      <c r="AD101" s="64"/>
      <c r="AE101" s="64"/>
      <c r="AF101" s="64"/>
      <c r="AG101" s="64"/>
      <c r="AH101" s="64"/>
      <c r="AI101" s="64"/>
      <c r="AJ101" s="64"/>
      <c r="AK101" s="64"/>
      <c r="AL101" s="64"/>
      <c r="AM101" s="64"/>
      <c r="AN101" s="64"/>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c r="BU101" s="64"/>
      <c r="BV101" s="64"/>
      <c r="BW101" s="64"/>
      <c r="BX101" s="64"/>
      <c r="BY101" s="64"/>
      <c r="BZ101" s="64"/>
      <c r="CA101" s="64"/>
      <c r="CB101" s="64"/>
      <c r="CC101" s="64"/>
      <c r="CD101" s="64"/>
      <c r="CE101" s="64"/>
      <c r="CF101" s="64"/>
      <c r="CG101" s="64"/>
      <c r="CH101" s="64"/>
      <c r="CI101" s="64"/>
      <c r="CJ101" s="64"/>
      <c r="CK101" s="64"/>
      <c r="CL101" s="64"/>
      <c r="CM101" s="64"/>
      <c r="CN101" s="64"/>
      <c r="CO101" s="64"/>
      <c r="CP101" s="64"/>
      <c r="CQ101" s="64"/>
      <c r="CR101" s="64"/>
      <c r="CS101" s="64"/>
      <c r="CT101" s="64"/>
      <c r="CU101" s="64"/>
      <c r="CV101" s="64"/>
      <c r="CW101" s="64"/>
      <c r="CX101" s="64"/>
    </row>
    <row r="102" spans="1:102" x14ac:dyDescent="0.2">
      <c r="A102" s="64"/>
      <c r="B102" s="64"/>
      <c r="C102" s="102"/>
      <c r="D102" s="102"/>
      <c r="E102" s="102"/>
      <c r="F102" s="102"/>
      <c r="G102" s="102"/>
      <c r="H102" s="102"/>
      <c r="I102" s="64"/>
      <c r="J102" s="64"/>
      <c r="K102" s="64"/>
      <c r="L102" s="64"/>
      <c r="M102" s="64"/>
      <c r="N102" s="64"/>
      <c r="O102" s="64"/>
      <c r="P102" s="64"/>
      <c r="Q102" s="64"/>
      <c r="R102" s="64"/>
      <c r="S102" s="64"/>
      <c r="T102" s="64"/>
      <c r="U102" s="64"/>
      <c r="V102" s="64"/>
      <c r="W102" s="64"/>
      <c r="X102" s="64"/>
      <c r="Y102" s="64"/>
      <c r="Z102" s="64"/>
      <c r="AA102" s="64"/>
      <c r="AB102" s="64"/>
      <c r="AC102" s="64"/>
      <c r="AD102" s="64"/>
      <c r="AE102" s="64"/>
      <c r="AF102" s="64"/>
      <c r="AG102" s="64"/>
      <c r="AH102" s="64"/>
      <c r="AI102" s="64"/>
      <c r="AJ102" s="64"/>
      <c r="AK102" s="64"/>
      <c r="AL102" s="64"/>
      <c r="AM102" s="64"/>
      <c r="AN102" s="64"/>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c r="BU102" s="64"/>
      <c r="BV102" s="64"/>
      <c r="BW102" s="64"/>
      <c r="BX102" s="64"/>
      <c r="BY102" s="64"/>
      <c r="BZ102" s="64"/>
      <c r="CA102" s="64"/>
      <c r="CB102" s="64"/>
      <c r="CC102" s="64"/>
      <c r="CD102" s="64"/>
      <c r="CE102" s="64"/>
      <c r="CF102" s="64"/>
      <c r="CG102" s="64"/>
      <c r="CH102" s="64"/>
      <c r="CI102" s="64"/>
      <c r="CJ102" s="64"/>
      <c r="CK102" s="64"/>
      <c r="CL102" s="64"/>
      <c r="CM102" s="64"/>
      <c r="CN102" s="64"/>
      <c r="CO102" s="64"/>
      <c r="CP102" s="64"/>
      <c r="CQ102" s="64"/>
      <c r="CR102" s="64"/>
      <c r="CS102" s="64"/>
      <c r="CT102" s="64"/>
      <c r="CU102" s="64"/>
      <c r="CV102" s="64"/>
      <c r="CW102" s="64"/>
      <c r="CX102" s="64"/>
    </row>
    <row r="103" spans="1:102" x14ac:dyDescent="0.2">
      <c r="A103" s="64"/>
      <c r="B103" s="64"/>
      <c r="C103" s="102"/>
      <c r="D103" s="102"/>
      <c r="E103" s="102"/>
      <c r="F103" s="102"/>
      <c r="G103" s="102"/>
      <c r="H103" s="102"/>
      <c r="I103" s="64"/>
      <c r="J103" s="64"/>
      <c r="K103" s="64"/>
      <c r="L103" s="64"/>
      <c r="M103" s="64"/>
      <c r="N103" s="64"/>
      <c r="O103" s="64"/>
      <c r="P103" s="64"/>
      <c r="Q103" s="64"/>
      <c r="R103" s="64"/>
      <c r="S103" s="64"/>
      <c r="T103" s="64"/>
      <c r="U103" s="64"/>
      <c r="V103" s="64"/>
      <c r="W103" s="64"/>
      <c r="X103" s="64"/>
      <c r="Y103" s="64"/>
      <c r="Z103" s="64"/>
      <c r="AA103" s="64"/>
      <c r="AB103" s="64"/>
      <c r="AC103" s="64"/>
      <c r="AD103" s="64"/>
      <c r="AE103" s="64"/>
      <c r="AF103" s="64"/>
      <c r="AG103" s="64"/>
      <c r="AH103" s="64"/>
      <c r="AI103" s="64"/>
      <c r="AJ103" s="64"/>
      <c r="AK103" s="64"/>
      <c r="AL103" s="64"/>
      <c r="AM103" s="64"/>
      <c r="AN103" s="64"/>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c r="BU103" s="64"/>
      <c r="BV103" s="64"/>
      <c r="BW103" s="64"/>
      <c r="BX103" s="64"/>
      <c r="BY103" s="64"/>
      <c r="BZ103" s="64"/>
      <c r="CA103" s="64"/>
      <c r="CB103" s="64"/>
      <c r="CC103" s="64"/>
      <c r="CD103" s="64"/>
      <c r="CE103" s="64"/>
      <c r="CF103" s="64"/>
      <c r="CG103" s="64"/>
      <c r="CH103" s="64"/>
      <c r="CI103" s="64"/>
      <c r="CJ103" s="64"/>
      <c r="CK103" s="64"/>
      <c r="CL103" s="64"/>
      <c r="CM103" s="64"/>
      <c r="CN103" s="64"/>
      <c r="CO103" s="64"/>
      <c r="CP103" s="64"/>
      <c r="CQ103" s="64"/>
      <c r="CR103" s="64"/>
      <c r="CS103" s="64"/>
      <c r="CT103" s="64"/>
      <c r="CU103" s="64"/>
      <c r="CV103" s="64"/>
      <c r="CW103" s="64"/>
      <c r="CX103" s="64"/>
    </row>
    <row r="104" spans="1:102" x14ac:dyDescent="0.2">
      <c r="A104" s="64"/>
      <c r="B104" s="64"/>
      <c r="C104" s="102"/>
      <c r="D104" s="102"/>
      <c r="E104" s="102"/>
      <c r="F104" s="102"/>
      <c r="G104" s="102"/>
      <c r="H104" s="102"/>
      <c r="I104" s="64"/>
      <c r="J104" s="64"/>
      <c r="K104" s="64"/>
      <c r="L104" s="64"/>
      <c r="M104" s="64"/>
      <c r="N104" s="64"/>
      <c r="O104" s="64"/>
      <c r="P104" s="64"/>
      <c r="Q104" s="64"/>
      <c r="R104" s="64"/>
      <c r="S104" s="64"/>
      <c r="T104" s="64"/>
      <c r="U104" s="64"/>
      <c r="V104" s="64"/>
      <c r="W104" s="64"/>
      <c r="X104" s="64"/>
      <c r="Y104" s="64"/>
      <c r="Z104" s="64"/>
      <c r="AA104" s="64"/>
      <c r="AB104" s="64"/>
      <c r="AC104" s="64"/>
      <c r="AD104" s="64"/>
      <c r="AE104" s="64"/>
      <c r="AF104" s="64"/>
      <c r="AG104" s="64"/>
      <c r="AH104" s="64"/>
      <c r="AI104" s="64"/>
      <c r="AJ104" s="64"/>
      <c r="AK104" s="64"/>
      <c r="AL104" s="64"/>
      <c r="AM104" s="64"/>
      <c r="AN104" s="64"/>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c r="BU104" s="64"/>
      <c r="BV104" s="64"/>
      <c r="BW104" s="64"/>
      <c r="BX104" s="64"/>
      <c r="BY104" s="64"/>
      <c r="BZ104" s="64"/>
      <c r="CA104" s="64"/>
      <c r="CB104" s="64"/>
      <c r="CC104" s="64"/>
      <c r="CD104" s="64"/>
      <c r="CE104" s="64"/>
      <c r="CF104" s="64"/>
      <c r="CG104" s="64"/>
      <c r="CH104" s="64"/>
      <c r="CI104" s="64"/>
      <c r="CJ104" s="64"/>
      <c r="CK104" s="64"/>
      <c r="CL104" s="64"/>
      <c r="CM104" s="64"/>
      <c r="CN104" s="64"/>
      <c r="CO104" s="64"/>
      <c r="CP104" s="64"/>
      <c r="CQ104" s="64"/>
      <c r="CR104" s="64"/>
      <c r="CS104" s="64"/>
      <c r="CT104" s="64"/>
      <c r="CU104" s="64"/>
      <c r="CV104" s="64"/>
      <c r="CW104" s="64"/>
      <c r="CX104" s="64"/>
    </row>
    <row r="105" spans="1:102" x14ac:dyDescent="0.2">
      <c r="A105" s="64"/>
      <c r="B105" s="64"/>
      <c r="C105" s="102"/>
      <c r="D105" s="102"/>
      <c r="E105" s="102"/>
      <c r="F105" s="102"/>
      <c r="G105" s="102"/>
      <c r="H105" s="102"/>
      <c r="I105" s="64"/>
      <c r="J105" s="64"/>
      <c r="K105" s="64"/>
      <c r="L105" s="64"/>
      <c r="M105" s="64"/>
      <c r="N105" s="64"/>
      <c r="O105" s="64"/>
      <c r="P105" s="64"/>
      <c r="Q105" s="64"/>
      <c r="R105" s="64"/>
      <c r="S105" s="64"/>
      <c r="T105" s="64"/>
      <c r="U105" s="64"/>
      <c r="V105" s="64"/>
      <c r="W105" s="64"/>
      <c r="X105" s="64"/>
      <c r="Y105" s="64"/>
      <c r="Z105" s="64"/>
      <c r="AA105" s="64"/>
      <c r="AB105" s="64"/>
      <c r="AC105" s="64"/>
      <c r="AD105" s="64"/>
      <c r="AE105" s="64"/>
      <c r="AF105" s="64"/>
      <c r="AG105" s="64"/>
      <c r="AH105" s="64"/>
      <c r="AI105" s="64"/>
      <c r="AJ105" s="64"/>
      <c r="AK105" s="64"/>
      <c r="AL105" s="64"/>
      <c r="AM105" s="64"/>
      <c r="AN105" s="64"/>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c r="BU105" s="64"/>
      <c r="BV105" s="64"/>
      <c r="BW105" s="64"/>
      <c r="BX105" s="64"/>
      <c r="BY105" s="64"/>
      <c r="BZ105" s="64"/>
      <c r="CA105" s="64"/>
      <c r="CB105" s="64"/>
      <c r="CC105" s="64"/>
      <c r="CD105" s="64"/>
      <c r="CE105" s="64"/>
      <c r="CF105" s="64"/>
      <c r="CG105" s="64"/>
      <c r="CH105" s="64"/>
      <c r="CI105" s="64"/>
      <c r="CJ105" s="64"/>
      <c r="CK105" s="64"/>
      <c r="CL105" s="64"/>
      <c r="CM105" s="64"/>
      <c r="CN105" s="64"/>
      <c r="CO105" s="64"/>
      <c r="CP105" s="64"/>
      <c r="CQ105" s="64"/>
      <c r="CR105" s="64"/>
      <c r="CS105" s="64"/>
      <c r="CT105" s="64"/>
      <c r="CU105" s="64"/>
      <c r="CV105" s="64"/>
      <c r="CW105" s="64"/>
      <c r="CX105" s="64"/>
    </row>
    <row r="106" spans="1:102" x14ac:dyDescent="0.2">
      <c r="A106" s="64"/>
      <c r="B106" s="64"/>
      <c r="C106" s="102"/>
      <c r="D106" s="102"/>
      <c r="E106" s="102"/>
      <c r="F106" s="102"/>
      <c r="G106" s="102"/>
      <c r="H106" s="102"/>
      <c r="I106" s="64"/>
      <c r="J106" s="64"/>
      <c r="K106" s="64"/>
      <c r="L106" s="64"/>
      <c r="M106" s="64"/>
      <c r="N106" s="64"/>
      <c r="O106" s="64"/>
      <c r="P106" s="64"/>
      <c r="Q106" s="64"/>
      <c r="R106" s="64"/>
      <c r="S106" s="64"/>
      <c r="T106" s="64"/>
      <c r="U106" s="64"/>
      <c r="V106" s="64"/>
      <c r="W106" s="64"/>
      <c r="X106" s="64"/>
      <c r="Y106" s="64"/>
      <c r="Z106" s="64"/>
      <c r="AA106" s="64"/>
      <c r="AB106" s="64"/>
      <c r="AC106" s="64"/>
      <c r="AD106" s="64"/>
      <c r="AE106" s="64"/>
      <c r="AF106" s="64"/>
      <c r="AG106" s="64"/>
      <c r="AH106" s="64"/>
      <c r="AI106" s="64"/>
      <c r="AJ106" s="64"/>
      <c r="AK106" s="64"/>
      <c r="AL106" s="64"/>
      <c r="AM106" s="64"/>
      <c r="AN106" s="64"/>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c r="BU106" s="64"/>
      <c r="BV106" s="64"/>
      <c r="BW106" s="64"/>
      <c r="BX106" s="64"/>
      <c r="BY106" s="64"/>
      <c r="BZ106" s="64"/>
      <c r="CA106" s="64"/>
      <c r="CB106" s="64"/>
      <c r="CC106" s="64"/>
      <c r="CD106" s="64"/>
      <c r="CE106" s="64"/>
      <c r="CF106" s="64"/>
      <c r="CG106" s="64"/>
      <c r="CH106" s="64"/>
      <c r="CI106" s="64"/>
      <c r="CJ106" s="64"/>
      <c r="CK106" s="64"/>
      <c r="CL106" s="64"/>
      <c r="CM106" s="64"/>
      <c r="CN106" s="64"/>
      <c r="CO106" s="64"/>
      <c r="CP106" s="64"/>
      <c r="CQ106" s="64"/>
      <c r="CR106" s="64"/>
      <c r="CS106" s="64"/>
      <c r="CT106" s="64"/>
      <c r="CU106" s="64"/>
      <c r="CV106" s="64"/>
      <c r="CW106" s="64"/>
      <c r="CX106" s="64"/>
    </row>
    <row r="107" spans="1:102" x14ac:dyDescent="0.2">
      <c r="A107" s="64"/>
      <c r="B107" s="64"/>
      <c r="C107" s="102"/>
      <c r="D107" s="102"/>
      <c r="E107" s="102"/>
      <c r="F107" s="102"/>
      <c r="G107" s="102"/>
      <c r="H107" s="102"/>
      <c r="I107" s="64"/>
      <c r="J107" s="64"/>
      <c r="K107" s="64"/>
      <c r="L107" s="64"/>
      <c r="M107" s="64"/>
      <c r="N107" s="64"/>
      <c r="O107" s="64"/>
      <c r="P107" s="64"/>
      <c r="Q107" s="64"/>
      <c r="R107" s="64"/>
      <c r="S107" s="64"/>
      <c r="T107" s="64"/>
      <c r="U107" s="64"/>
      <c r="V107" s="64"/>
      <c r="W107" s="64"/>
      <c r="X107" s="64"/>
      <c r="Y107" s="64"/>
      <c r="Z107" s="64"/>
      <c r="AA107" s="64"/>
      <c r="AB107" s="64"/>
      <c r="AC107" s="64"/>
      <c r="AD107" s="64"/>
      <c r="AE107" s="64"/>
      <c r="AF107" s="64"/>
      <c r="AG107" s="64"/>
      <c r="AH107" s="64"/>
      <c r="AI107" s="64"/>
      <c r="AJ107" s="64"/>
      <c r="AK107" s="64"/>
      <c r="AL107" s="64"/>
      <c r="AM107" s="64"/>
      <c r="AN107" s="64"/>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c r="BU107" s="64"/>
      <c r="BV107" s="64"/>
      <c r="BW107" s="64"/>
      <c r="BX107" s="64"/>
      <c r="BY107" s="64"/>
      <c r="BZ107" s="64"/>
      <c r="CA107" s="64"/>
      <c r="CB107" s="64"/>
      <c r="CC107" s="64"/>
      <c r="CD107" s="64"/>
      <c r="CE107" s="64"/>
      <c r="CF107" s="64"/>
      <c r="CG107" s="64"/>
      <c r="CH107" s="64"/>
      <c r="CI107" s="64"/>
      <c r="CJ107" s="64"/>
      <c r="CK107" s="64"/>
      <c r="CL107" s="64"/>
      <c r="CM107" s="64"/>
      <c r="CN107" s="64"/>
      <c r="CO107" s="64"/>
      <c r="CP107" s="64"/>
      <c r="CQ107" s="64"/>
      <c r="CR107" s="64"/>
      <c r="CS107" s="64"/>
      <c r="CT107" s="64"/>
      <c r="CU107" s="64"/>
      <c r="CV107" s="64"/>
      <c r="CW107" s="64"/>
      <c r="CX107" s="64"/>
    </row>
    <row r="108" spans="1:102" x14ac:dyDescent="0.2">
      <c r="A108" s="64"/>
      <c r="B108" s="64"/>
      <c r="C108" s="102"/>
      <c r="D108" s="102"/>
      <c r="E108" s="102"/>
      <c r="F108" s="102"/>
      <c r="G108" s="102"/>
      <c r="H108" s="102"/>
      <c r="I108" s="64"/>
      <c r="J108" s="64"/>
      <c r="K108" s="64"/>
      <c r="L108" s="64"/>
      <c r="M108" s="64"/>
      <c r="N108" s="64"/>
      <c r="O108" s="64"/>
      <c r="P108" s="64"/>
      <c r="Q108" s="64"/>
      <c r="R108" s="64"/>
      <c r="S108" s="64"/>
      <c r="T108" s="64"/>
      <c r="U108" s="64"/>
      <c r="V108" s="64"/>
      <c r="W108" s="64"/>
      <c r="X108" s="64"/>
      <c r="Y108" s="64"/>
      <c r="Z108" s="64"/>
      <c r="AA108" s="64"/>
      <c r="AB108" s="64"/>
      <c r="AC108" s="64"/>
      <c r="AD108" s="64"/>
      <c r="AE108" s="64"/>
      <c r="AF108" s="64"/>
      <c r="AG108" s="64"/>
      <c r="AH108" s="64"/>
      <c r="AI108" s="64"/>
      <c r="AJ108" s="64"/>
      <c r="AK108" s="64"/>
      <c r="AL108" s="64"/>
      <c r="AM108" s="64"/>
      <c r="AN108" s="64"/>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c r="BU108" s="64"/>
      <c r="BV108" s="64"/>
      <c r="BW108" s="64"/>
      <c r="BX108" s="64"/>
      <c r="BY108" s="64"/>
      <c r="BZ108" s="64"/>
      <c r="CA108" s="64"/>
      <c r="CB108" s="64"/>
      <c r="CC108" s="64"/>
      <c r="CD108" s="64"/>
      <c r="CE108" s="64"/>
      <c r="CF108" s="64"/>
      <c r="CG108" s="64"/>
      <c r="CH108" s="64"/>
      <c r="CI108" s="64"/>
      <c r="CJ108" s="64"/>
      <c r="CK108" s="64"/>
      <c r="CL108" s="64"/>
      <c r="CM108" s="64"/>
      <c r="CN108" s="64"/>
      <c r="CO108" s="64"/>
      <c r="CP108" s="64"/>
      <c r="CQ108" s="64"/>
      <c r="CR108" s="64"/>
      <c r="CS108" s="64"/>
      <c r="CT108" s="64"/>
      <c r="CU108" s="64"/>
      <c r="CV108" s="64"/>
      <c r="CW108" s="64"/>
      <c r="CX108" s="64"/>
    </row>
    <row r="109" spans="1:102" x14ac:dyDescent="0.2">
      <c r="A109" s="64"/>
      <c r="B109" s="64"/>
      <c r="C109" s="102"/>
      <c r="D109" s="102"/>
      <c r="E109" s="102"/>
      <c r="F109" s="102"/>
      <c r="G109" s="102"/>
      <c r="H109" s="102"/>
      <c r="I109" s="64"/>
      <c r="J109" s="64"/>
      <c r="K109" s="64"/>
      <c r="L109" s="64"/>
      <c r="M109" s="64"/>
      <c r="N109" s="64"/>
      <c r="O109" s="64"/>
      <c r="P109" s="64"/>
      <c r="Q109" s="64"/>
      <c r="R109" s="64"/>
      <c r="S109" s="64"/>
      <c r="T109" s="64"/>
      <c r="U109" s="64"/>
      <c r="V109" s="64"/>
      <c r="W109" s="64"/>
      <c r="X109" s="64"/>
      <c r="Y109" s="64"/>
      <c r="Z109" s="64"/>
      <c r="AA109" s="64"/>
      <c r="AB109" s="64"/>
      <c r="AC109" s="64"/>
      <c r="AD109" s="64"/>
      <c r="AE109" s="64"/>
      <c r="AF109" s="64"/>
      <c r="AG109" s="64"/>
      <c r="AH109" s="64"/>
      <c r="AI109" s="64"/>
      <c r="AJ109" s="64"/>
      <c r="AK109" s="64"/>
      <c r="AL109" s="64"/>
      <c r="AM109" s="64"/>
      <c r="AN109" s="64"/>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c r="BU109" s="64"/>
      <c r="BV109" s="64"/>
      <c r="BW109" s="64"/>
      <c r="BX109" s="64"/>
      <c r="BY109" s="64"/>
      <c r="BZ109" s="64"/>
      <c r="CA109" s="64"/>
      <c r="CB109" s="64"/>
      <c r="CC109" s="64"/>
      <c r="CD109" s="64"/>
      <c r="CE109" s="64"/>
      <c r="CF109" s="64"/>
      <c r="CG109" s="64"/>
      <c r="CH109" s="64"/>
      <c r="CI109" s="64"/>
      <c r="CJ109" s="64"/>
      <c r="CK109" s="64"/>
      <c r="CL109" s="64"/>
      <c r="CM109" s="64"/>
      <c r="CN109" s="64"/>
      <c r="CO109" s="64"/>
      <c r="CP109" s="64"/>
      <c r="CQ109" s="64"/>
      <c r="CR109" s="64"/>
      <c r="CS109" s="64"/>
      <c r="CT109" s="64"/>
      <c r="CU109" s="64"/>
      <c r="CV109" s="64"/>
      <c r="CW109" s="64"/>
      <c r="CX109" s="64"/>
    </row>
    <row r="110" spans="1:102" x14ac:dyDescent="0.2">
      <c r="A110" s="64"/>
      <c r="B110" s="64"/>
      <c r="C110" s="102"/>
      <c r="D110" s="102"/>
      <c r="E110" s="102"/>
      <c r="F110" s="102"/>
      <c r="G110" s="102"/>
      <c r="H110" s="102"/>
      <c r="I110" s="64"/>
      <c r="J110" s="64"/>
      <c r="K110" s="64"/>
      <c r="L110" s="64"/>
      <c r="M110" s="64"/>
      <c r="N110" s="64"/>
      <c r="O110" s="64"/>
      <c r="P110" s="64"/>
      <c r="Q110" s="64"/>
      <c r="R110" s="64"/>
      <c r="S110" s="64"/>
      <c r="T110" s="64"/>
      <c r="U110" s="64"/>
      <c r="V110" s="64"/>
      <c r="W110" s="64"/>
      <c r="X110" s="64"/>
      <c r="Y110" s="64"/>
      <c r="Z110" s="64"/>
      <c r="AA110" s="64"/>
      <c r="AB110" s="64"/>
      <c r="AC110" s="64"/>
      <c r="AD110" s="64"/>
      <c r="AE110" s="64"/>
      <c r="AF110" s="64"/>
      <c r="AG110" s="64"/>
      <c r="AH110" s="64"/>
      <c r="AI110" s="64"/>
      <c r="AJ110" s="64"/>
      <c r="AK110" s="64"/>
      <c r="AL110" s="64"/>
      <c r="AM110" s="64"/>
      <c r="AN110" s="64"/>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c r="BU110" s="64"/>
      <c r="BV110" s="64"/>
      <c r="BW110" s="64"/>
      <c r="BX110" s="64"/>
      <c r="BY110" s="64"/>
      <c r="BZ110" s="64"/>
      <c r="CA110" s="64"/>
      <c r="CB110" s="64"/>
      <c r="CC110" s="64"/>
      <c r="CD110" s="64"/>
      <c r="CE110" s="64"/>
      <c r="CF110" s="64"/>
      <c r="CG110" s="64"/>
      <c r="CH110" s="64"/>
      <c r="CI110" s="64"/>
      <c r="CJ110" s="64"/>
      <c r="CK110" s="64"/>
      <c r="CL110" s="64"/>
      <c r="CM110" s="64"/>
      <c r="CN110" s="64"/>
      <c r="CO110" s="64"/>
      <c r="CP110" s="64"/>
      <c r="CQ110" s="64"/>
      <c r="CR110" s="64"/>
      <c r="CS110" s="64"/>
      <c r="CT110" s="64"/>
      <c r="CU110" s="64"/>
      <c r="CV110" s="64"/>
      <c r="CW110" s="64"/>
      <c r="CX110" s="64"/>
    </row>
    <row r="111" spans="1:102" x14ac:dyDescent="0.2">
      <c r="A111" s="64"/>
      <c r="B111" s="64"/>
      <c r="C111" s="102"/>
      <c r="D111" s="102"/>
      <c r="E111" s="102"/>
      <c r="F111" s="102"/>
      <c r="G111" s="102"/>
      <c r="H111" s="102"/>
      <c r="I111" s="64"/>
      <c r="J111" s="64"/>
      <c r="K111" s="64"/>
      <c r="L111" s="64"/>
      <c r="M111" s="64"/>
      <c r="N111" s="64"/>
      <c r="O111" s="64"/>
      <c r="P111" s="64"/>
      <c r="Q111" s="64"/>
      <c r="R111" s="64"/>
      <c r="S111" s="64"/>
      <c r="T111" s="64"/>
      <c r="U111" s="64"/>
      <c r="V111" s="64"/>
      <c r="W111" s="64"/>
      <c r="X111" s="64"/>
      <c r="Y111" s="64"/>
      <c r="Z111" s="64"/>
      <c r="AA111" s="64"/>
      <c r="AB111" s="64"/>
      <c r="AC111" s="64"/>
      <c r="AD111" s="64"/>
      <c r="AE111" s="64"/>
      <c r="AF111" s="64"/>
      <c r="AG111" s="64"/>
      <c r="AH111" s="64"/>
      <c r="AI111" s="64"/>
      <c r="AJ111" s="64"/>
      <c r="AK111" s="64"/>
      <c r="AL111" s="64"/>
      <c r="AM111" s="64"/>
      <c r="AN111" s="64"/>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c r="BU111" s="64"/>
      <c r="BV111" s="64"/>
      <c r="BW111" s="64"/>
      <c r="BX111" s="64"/>
      <c r="BY111" s="64"/>
      <c r="BZ111" s="64"/>
      <c r="CA111" s="64"/>
      <c r="CB111" s="64"/>
      <c r="CC111" s="64"/>
      <c r="CD111" s="64"/>
      <c r="CE111" s="64"/>
      <c r="CF111" s="64"/>
      <c r="CG111" s="64"/>
      <c r="CH111" s="64"/>
      <c r="CI111" s="64"/>
      <c r="CJ111" s="64"/>
      <c r="CK111" s="64"/>
      <c r="CL111" s="64"/>
      <c r="CM111" s="64"/>
      <c r="CN111" s="64"/>
      <c r="CO111" s="64"/>
      <c r="CP111" s="64"/>
      <c r="CQ111" s="64"/>
      <c r="CR111" s="64"/>
      <c r="CS111" s="64"/>
      <c r="CT111" s="64"/>
      <c r="CU111" s="64"/>
      <c r="CV111" s="64"/>
      <c r="CW111" s="64"/>
      <c r="CX111" s="64"/>
    </row>
    <row r="112" spans="1:102" x14ac:dyDescent="0.2">
      <c r="A112" s="64"/>
      <c r="B112" s="64"/>
      <c r="C112" s="102"/>
      <c r="D112" s="102"/>
      <c r="E112" s="102"/>
      <c r="F112" s="102"/>
      <c r="G112" s="102"/>
      <c r="H112" s="102"/>
      <c r="I112" s="64"/>
      <c r="J112" s="64"/>
      <c r="K112" s="64"/>
      <c r="L112" s="64"/>
      <c r="M112" s="64"/>
      <c r="N112" s="64"/>
      <c r="O112" s="64"/>
      <c r="P112" s="64"/>
      <c r="Q112" s="64"/>
      <c r="R112" s="64"/>
      <c r="S112" s="64"/>
      <c r="T112" s="64"/>
      <c r="U112" s="64"/>
      <c r="V112" s="64"/>
      <c r="W112" s="64"/>
      <c r="X112" s="64"/>
      <c r="Y112" s="64"/>
      <c r="Z112" s="64"/>
      <c r="AA112" s="64"/>
      <c r="AB112" s="64"/>
      <c r="AC112" s="64"/>
      <c r="AD112" s="64"/>
      <c r="AE112" s="64"/>
      <c r="AF112" s="64"/>
      <c r="AG112" s="64"/>
      <c r="AH112" s="64"/>
      <c r="AI112" s="64"/>
      <c r="AJ112" s="64"/>
      <c r="AK112" s="64"/>
      <c r="AL112" s="64"/>
      <c r="AM112" s="64"/>
      <c r="AN112" s="64"/>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c r="BU112" s="64"/>
      <c r="BV112" s="64"/>
      <c r="BW112" s="64"/>
      <c r="BX112" s="64"/>
      <c r="BY112" s="64"/>
      <c r="BZ112" s="64"/>
      <c r="CA112" s="64"/>
      <c r="CB112" s="64"/>
      <c r="CC112" s="64"/>
      <c r="CD112" s="64"/>
      <c r="CE112" s="64"/>
      <c r="CF112" s="64"/>
      <c r="CG112" s="64"/>
      <c r="CH112" s="64"/>
      <c r="CI112" s="64"/>
      <c r="CJ112" s="64"/>
      <c r="CK112" s="64"/>
      <c r="CL112" s="64"/>
      <c r="CM112" s="64"/>
      <c r="CN112" s="64"/>
      <c r="CO112" s="64"/>
      <c r="CP112" s="64"/>
      <c r="CQ112" s="64"/>
      <c r="CR112" s="64"/>
      <c r="CS112" s="64"/>
      <c r="CT112" s="64"/>
      <c r="CU112" s="64"/>
      <c r="CV112" s="64"/>
      <c r="CW112" s="64"/>
      <c r="CX112" s="64"/>
    </row>
    <row r="113" spans="1:102" x14ac:dyDescent="0.2">
      <c r="A113" s="64"/>
      <c r="B113" s="64"/>
      <c r="C113" s="102"/>
      <c r="D113" s="102"/>
      <c r="E113" s="102"/>
      <c r="F113" s="102"/>
      <c r="G113" s="102"/>
      <c r="H113" s="102"/>
      <c r="I113" s="64"/>
      <c r="J113" s="64"/>
      <c r="K113" s="64"/>
      <c r="L113" s="64"/>
      <c r="M113" s="64"/>
      <c r="N113" s="64"/>
      <c r="O113" s="64"/>
      <c r="P113" s="64"/>
      <c r="Q113" s="64"/>
      <c r="R113" s="64"/>
      <c r="S113" s="64"/>
      <c r="T113" s="64"/>
      <c r="U113" s="64"/>
      <c r="V113" s="64"/>
      <c r="W113" s="64"/>
      <c r="X113" s="64"/>
      <c r="Y113" s="64"/>
      <c r="Z113" s="64"/>
      <c r="AA113" s="64"/>
      <c r="AB113" s="64"/>
      <c r="AC113" s="64"/>
      <c r="AD113" s="64"/>
      <c r="AE113" s="64"/>
      <c r="AF113" s="64"/>
      <c r="AG113" s="64"/>
      <c r="AH113" s="64"/>
      <c r="AI113" s="64"/>
      <c r="AJ113" s="64"/>
      <c r="AK113" s="64"/>
      <c r="AL113" s="64"/>
      <c r="AM113" s="64"/>
      <c r="AN113" s="64"/>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c r="BU113" s="64"/>
      <c r="BV113" s="64"/>
      <c r="BW113" s="64"/>
      <c r="BX113" s="64"/>
      <c r="BY113" s="64"/>
      <c r="BZ113" s="64"/>
      <c r="CA113" s="64"/>
      <c r="CB113" s="64"/>
      <c r="CC113" s="64"/>
      <c r="CD113" s="64"/>
      <c r="CE113" s="64"/>
      <c r="CF113" s="64"/>
      <c r="CG113" s="64"/>
      <c r="CH113" s="64"/>
      <c r="CI113" s="64"/>
      <c r="CJ113" s="64"/>
      <c r="CK113" s="64"/>
      <c r="CL113" s="64"/>
      <c r="CM113" s="64"/>
      <c r="CN113" s="64"/>
      <c r="CO113" s="64"/>
      <c r="CP113" s="64"/>
      <c r="CQ113" s="64"/>
      <c r="CR113" s="64"/>
      <c r="CS113" s="64"/>
      <c r="CT113" s="64"/>
      <c r="CU113" s="64"/>
      <c r="CV113" s="64"/>
      <c r="CW113" s="64"/>
      <c r="CX113" s="64"/>
    </row>
    <row r="114" spans="1:102" x14ac:dyDescent="0.2">
      <c r="A114" s="64"/>
      <c r="B114" s="64"/>
      <c r="C114" s="102"/>
      <c r="D114" s="102"/>
      <c r="E114" s="102"/>
      <c r="F114" s="102"/>
      <c r="G114" s="102"/>
      <c r="H114" s="102"/>
      <c r="I114" s="64"/>
      <c r="J114" s="64"/>
      <c r="K114" s="64"/>
      <c r="L114" s="64"/>
      <c r="M114" s="64"/>
      <c r="N114" s="64"/>
      <c r="O114" s="64"/>
      <c r="P114" s="64"/>
      <c r="Q114" s="64"/>
      <c r="R114" s="64"/>
      <c r="S114" s="64"/>
      <c r="T114" s="64"/>
      <c r="U114" s="64"/>
      <c r="V114" s="64"/>
      <c r="W114" s="64"/>
      <c r="X114" s="64"/>
      <c r="Y114" s="64"/>
      <c r="Z114" s="64"/>
      <c r="AA114" s="64"/>
      <c r="AB114" s="64"/>
      <c r="AC114" s="64"/>
      <c r="AD114" s="64"/>
      <c r="AE114" s="64"/>
      <c r="AF114" s="64"/>
      <c r="AG114" s="64"/>
      <c r="AH114" s="64"/>
      <c r="AI114" s="64"/>
      <c r="AJ114" s="64"/>
      <c r="AK114" s="64"/>
      <c r="AL114" s="64"/>
      <c r="AM114" s="64"/>
      <c r="AN114" s="64"/>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c r="BU114" s="64"/>
      <c r="BV114" s="64"/>
      <c r="BW114" s="64"/>
      <c r="BX114" s="64"/>
      <c r="BY114" s="64"/>
      <c r="BZ114" s="64"/>
      <c r="CA114" s="64"/>
      <c r="CB114" s="64"/>
      <c r="CC114" s="64"/>
      <c r="CD114" s="64"/>
      <c r="CE114" s="64"/>
      <c r="CF114" s="64"/>
      <c r="CG114" s="64"/>
      <c r="CH114" s="64"/>
      <c r="CI114" s="64"/>
      <c r="CJ114" s="64"/>
      <c r="CK114" s="64"/>
      <c r="CL114" s="64"/>
      <c r="CM114" s="64"/>
      <c r="CN114" s="64"/>
      <c r="CO114" s="64"/>
      <c r="CP114" s="64"/>
      <c r="CQ114" s="64"/>
      <c r="CR114" s="64"/>
      <c r="CS114" s="64"/>
      <c r="CT114" s="64"/>
      <c r="CU114" s="64"/>
      <c r="CV114" s="64"/>
      <c r="CW114" s="64"/>
      <c r="CX114" s="64"/>
    </row>
    <row r="115" spans="1:102" x14ac:dyDescent="0.2">
      <c r="A115" s="64"/>
      <c r="B115" s="64"/>
      <c r="C115" s="102"/>
      <c r="D115" s="102"/>
      <c r="E115" s="102"/>
      <c r="F115" s="102"/>
      <c r="G115" s="102"/>
      <c r="H115" s="102"/>
      <c r="I115" s="64"/>
      <c r="J115" s="64"/>
      <c r="K115" s="64"/>
      <c r="L115" s="64"/>
      <c r="M115" s="64"/>
      <c r="N115" s="64"/>
      <c r="O115" s="64"/>
      <c r="P115" s="64"/>
      <c r="Q115" s="64"/>
      <c r="R115" s="64"/>
      <c r="S115" s="64"/>
      <c r="T115" s="64"/>
      <c r="U115" s="64"/>
      <c r="V115" s="64"/>
      <c r="W115" s="64"/>
      <c r="X115" s="64"/>
      <c r="Y115" s="64"/>
      <c r="Z115" s="64"/>
      <c r="AA115" s="64"/>
      <c r="AB115" s="64"/>
      <c r="AC115" s="64"/>
      <c r="AD115" s="64"/>
      <c r="AE115" s="64"/>
      <c r="AF115" s="64"/>
      <c r="AG115" s="64"/>
      <c r="AH115" s="64"/>
      <c r="AI115" s="64"/>
      <c r="AJ115" s="64"/>
      <c r="AK115" s="64"/>
      <c r="AL115" s="64"/>
      <c r="AM115" s="64"/>
      <c r="AN115" s="64"/>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c r="BU115" s="64"/>
      <c r="BV115" s="64"/>
      <c r="BW115" s="64"/>
      <c r="BX115" s="64"/>
      <c r="BY115" s="64"/>
      <c r="BZ115" s="64"/>
      <c r="CA115" s="64"/>
      <c r="CB115" s="64"/>
      <c r="CC115" s="64"/>
      <c r="CD115" s="64"/>
      <c r="CE115" s="64"/>
      <c r="CF115" s="64"/>
      <c r="CG115" s="64"/>
      <c r="CH115" s="64"/>
      <c r="CI115" s="64"/>
      <c r="CJ115" s="64"/>
      <c r="CK115" s="64"/>
      <c r="CL115" s="64"/>
      <c r="CM115" s="64"/>
      <c r="CN115" s="64"/>
      <c r="CO115" s="64"/>
      <c r="CP115" s="64"/>
      <c r="CQ115" s="64"/>
      <c r="CR115" s="64"/>
      <c r="CS115" s="64"/>
      <c r="CT115" s="64"/>
      <c r="CU115" s="64"/>
      <c r="CV115" s="64"/>
      <c r="CW115" s="64"/>
      <c r="CX115" s="64"/>
    </row>
    <row r="116" spans="1:102" x14ac:dyDescent="0.2">
      <c r="A116" s="64"/>
      <c r="B116" s="64"/>
      <c r="C116" s="102"/>
      <c r="D116" s="102"/>
      <c r="E116" s="102"/>
      <c r="F116" s="102"/>
      <c r="G116" s="102"/>
      <c r="H116" s="102"/>
      <c r="I116" s="64"/>
      <c r="J116" s="64"/>
      <c r="K116" s="64"/>
      <c r="L116" s="64"/>
      <c r="M116" s="64"/>
      <c r="N116" s="64"/>
      <c r="O116" s="64"/>
      <c r="P116" s="64"/>
      <c r="Q116" s="64"/>
      <c r="R116" s="64"/>
      <c r="S116" s="64"/>
      <c r="T116" s="64"/>
      <c r="U116" s="64"/>
      <c r="V116" s="64"/>
      <c r="W116" s="64"/>
      <c r="X116" s="64"/>
      <c r="Y116" s="64"/>
      <c r="Z116" s="64"/>
      <c r="AA116" s="64"/>
      <c r="AB116" s="64"/>
      <c r="AC116" s="64"/>
      <c r="AD116" s="64"/>
      <c r="AE116" s="64"/>
      <c r="AF116" s="64"/>
      <c r="AG116" s="64"/>
      <c r="AH116" s="64"/>
      <c r="AI116" s="64"/>
      <c r="AJ116" s="64"/>
      <c r="AK116" s="64"/>
      <c r="AL116" s="64"/>
      <c r="AM116" s="64"/>
      <c r="AN116" s="64"/>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c r="BU116" s="64"/>
      <c r="BV116" s="64"/>
      <c r="BW116" s="64"/>
      <c r="BX116" s="64"/>
      <c r="BY116" s="64"/>
      <c r="BZ116" s="64"/>
      <c r="CA116" s="64"/>
      <c r="CB116" s="64"/>
      <c r="CC116" s="64"/>
      <c r="CD116" s="64"/>
      <c r="CE116" s="64"/>
      <c r="CF116" s="64"/>
      <c r="CG116" s="64"/>
      <c r="CH116" s="64"/>
      <c r="CI116" s="64"/>
      <c r="CJ116" s="64"/>
      <c r="CK116" s="64"/>
      <c r="CL116" s="64"/>
      <c r="CM116" s="64"/>
      <c r="CN116" s="64"/>
      <c r="CO116" s="64"/>
      <c r="CP116" s="64"/>
      <c r="CQ116" s="64"/>
      <c r="CR116" s="64"/>
      <c r="CS116" s="64"/>
      <c r="CT116" s="64"/>
      <c r="CU116" s="64"/>
      <c r="CV116" s="64"/>
      <c r="CW116" s="64"/>
      <c r="CX116" s="64"/>
    </row>
    <row r="117" spans="1:102" x14ac:dyDescent="0.2">
      <c r="A117" s="64"/>
      <c r="B117" s="64"/>
      <c r="C117" s="102"/>
      <c r="D117" s="102"/>
      <c r="E117" s="102"/>
      <c r="F117" s="102"/>
      <c r="G117" s="102"/>
      <c r="H117" s="102"/>
      <c r="I117" s="64"/>
      <c r="J117" s="64"/>
      <c r="K117" s="64"/>
      <c r="L117" s="64"/>
      <c r="M117" s="64"/>
      <c r="N117" s="64"/>
      <c r="O117" s="64"/>
      <c r="P117" s="64"/>
      <c r="Q117" s="64"/>
      <c r="R117" s="64"/>
      <c r="S117" s="64"/>
      <c r="T117" s="64"/>
      <c r="U117" s="64"/>
      <c r="V117" s="64"/>
      <c r="W117" s="64"/>
      <c r="X117" s="64"/>
      <c r="Y117" s="64"/>
      <c r="Z117" s="64"/>
      <c r="AA117" s="64"/>
      <c r="AB117" s="64"/>
      <c r="AC117" s="64"/>
      <c r="AD117" s="64"/>
      <c r="AE117" s="64"/>
      <c r="AF117" s="64"/>
      <c r="AG117" s="64"/>
      <c r="AH117" s="64"/>
      <c r="AI117" s="64"/>
      <c r="AJ117" s="64"/>
      <c r="AK117" s="64"/>
      <c r="AL117" s="64"/>
      <c r="AM117" s="64"/>
      <c r="AN117" s="64"/>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c r="BU117" s="64"/>
      <c r="BV117" s="64"/>
      <c r="BW117" s="64"/>
      <c r="BX117" s="64"/>
      <c r="BY117" s="64"/>
      <c r="BZ117" s="64"/>
      <c r="CA117" s="64"/>
      <c r="CB117" s="64"/>
      <c r="CC117" s="64"/>
      <c r="CD117" s="64"/>
      <c r="CE117" s="64"/>
      <c r="CF117" s="64"/>
      <c r="CG117" s="64"/>
      <c r="CH117" s="64"/>
      <c r="CI117" s="64"/>
      <c r="CJ117" s="64"/>
      <c r="CK117" s="64"/>
      <c r="CL117" s="64"/>
      <c r="CM117" s="64"/>
      <c r="CN117" s="64"/>
      <c r="CO117" s="64"/>
      <c r="CP117" s="64"/>
      <c r="CQ117" s="64"/>
      <c r="CR117" s="64"/>
      <c r="CS117" s="64"/>
      <c r="CT117" s="64"/>
      <c r="CU117" s="64"/>
      <c r="CV117" s="64"/>
      <c r="CW117" s="64"/>
      <c r="CX117" s="64"/>
    </row>
    <row r="118" spans="1:102" x14ac:dyDescent="0.2">
      <c r="A118" s="64"/>
      <c r="B118" s="64"/>
      <c r="C118" s="102"/>
      <c r="D118" s="102"/>
      <c r="E118" s="102"/>
      <c r="F118" s="102"/>
      <c r="G118" s="102"/>
      <c r="H118" s="102"/>
      <c r="I118" s="64"/>
      <c r="J118" s="64"/>
      <c r="K118" s="64"/>
      <c r="L118" s="64"/>
      <c r="M118" s="64"/>
      <c r="N118" s="64"/>
      <c r="O118" s="64"/>
      <c r="P118" s="64"/>
      <c r="Q118" s="64"/>
      <c r="R118" s="64"/>
      <c r="S118" s="64"/>
      <c r="T118" s="64"/>
      <c r="U118" s="64"/>
      <c r="V118" s="64"/>
      <c r="W118" s="64"/>
      <c r="X118" s="64"/>
      <c r="Y118" s="64"/>
      <c r="Z118" s="64"/>
      <c r="AA118" s="64"/>
      <c r="AB118" s="64"/>
      <c r="AC118" s="64"/>
      <c r="AD118" s="64"/>
      <c r="AE118" s="64"/>
      <c r="AF118" s="64"/>
      <c r="AG118" s="64"/>
      <c r="AH118" s="64"/>
      <c r="AI118" s="64"/>
      <c r="AJ118" s="64"/>
      <c r="AK118" s="64"/>
      <c r="AL118" s="64"/>
      <c r="AM118" s="64"/>
      <c r="AN118" s="64"/>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c r="BU118" s="64"/>
      <c r="BV118" s="64"/>
      <c r="BW118" s="64"/>
      <c r="BX118" s="64"/>
      <c r="BY118" s="64"/>
      <c r="BZ118" s="64"/>
      <c r="CA118" s="64"/>
      <c r="CB118" s="64"/>
      <c r="CC118" s="64"/>
      <c r="CD118" s="64"/>
      <c r="CE118" s="64"/>
      <c r="CF118" s="64"/>
      <c r="CG118" s="64"/>
      <c r="CH118" s="64"/>
      <c r="CI118" s="64"/>
      <c r="CJ118" s="64"/>
      <c r="CK118" s="64"/>
      <c r="CL118" s="64"/>
      <c r="CM118" s="64"/>
      <c r="CN118" s="64"/>
      <c r="CO118" s="64"/>
      <c r="CP118" s="64"/>
      <c r="CQ118" s="64"/>
      <c r="CR118" s="64"/>
      <c r="CS118" s="64"/>
      <c r="CT118" s="64"/>
      <c r="CU118" s="64"/>
      <c r="CV118" s="64"/>
      <c r="CW118" s="64"/>
      <c r="CX118" s="64"/>
    </row>
    <row r="119" spans="1:102" x14ac:dyDescent="0.2">
      <c r="A119" s="64"/>
      <c r="B119" s="64"/>
      <c r="C119" s="102"/>
      <c r="D119" s="102"/>
      <c r="E119" s="102"/>
      <c r="F119" s="102"/>
      <c r="G119" s="102"/>
      <c r="H119" s="102"/>
      <c r="I119" s="64"/>
      <c r="J119" s="64"/>
      <c r="K119" s="64"/>
      <c r="L119" s="64"/>
      <c r="M119" s="64"/>
      <c r="N119" s="64"/>
      <c r="O119" s="64"/>
      <c r="P119" s="64"/>
      <c r="Q119" s="64"/>
      <c r="R119" s="64"/>
      <c r="S119" s="64"/>
      <c r="T119" s="64"/>
      <c r="U119" s="64"/>
      <c r="V119" s="64"/>
      <c r="W119" s="64"/>
      <c r="X119" s="64"/>
      <c r="Y119" s="64"/>
      <c r="Z119" s="64"/>
      <c r="AA119" s="64"/>
      <c r="AB119" s="64"/>
      <c r="AC119" s="64"/>
      <c r="AD119" s="64"/>
      <c r="AE119" s="64"/>
      <c r="AF119" s="64"/>
      <c r="AG119" s="64"/>
      <c r="AH119" s="64"/>
      <c r="AI119" s="64"/>
      <c r="AJ119" s="64"/>
      <c r="AK119" s="64"/>
      <c r="AL119" s="64"/>
      <c r="AM119" s="64"/>
      <c r="AN119" s="64"/>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c r="BU119" s="64"/>
      <c r="BV119" s="64"/>
      <c r="BW119" s="64"/>
      <c r="BX119" s="64"/>
      <c r="BY119" s="64"/>
      <c r="BZ119" s="64"/>
      <c r="CA119" s="64"/>
      <c r="CB119" s="64"/>
      <c r="CC119" s="64"/>
      <c r="CD119" s="64"/>
      <c r="CE119" s="64"/>
      <c r="CF119" s="64"/>
      <c r="CG119" s="64"/>
      <c r="CH119" s="64"/>
      <c r="CI119" s="64"/>
      <c r="CJ119" s="64"/>
      <c r="CK119" s="64"/>
      <c r="CL119" s="64"/>
      <c r="CM119" s="64"/>
      <c r="CN119" s="64"/>
      <c r="CO119" s="64"/>
      <c r="CP119" s="64"/>
      <c r="CQ119" s="64"/>
      <c r="CR119" s="64"/>
      <c r="CS119" s="64"/>
      <c r="CT119" s="64"/>
      <c r="CU119" s="64"/>
      <c r="CV119" s="64"/>
      <c r="CW119" s="64"/>
      <c r="CX119" s="64"/>
    </row>
    <row r="120" spans="1:102" x14ac:dyDescent="0.2">
      <c r="A120" s="64"/>
      <c r="B120" s="64"/>
      <c r="C120" s="102"/>
      <c r="D120" s="102"/>
      <c r="E120" s="102"/>
      <c r="F120" s="102"/>
      <c r="G120" s="102"/>
      <c r="H120" s="102"/>
      <c r="I120" s="64"/>
      <c r="J120" s="64"/>
      <c r="K120" s="64"/>
      <c r="L120" s="64"/>
      <c r="M120" s="64"/>
      <c r="N120" s="64"/>
      <c r="O120" s="64"/>
      <c r="P120" s="64"/>
      <c r="Q120" s="64"/>
      <c r="R120" s="64"/>
      <c r="S120" s="64"/>
      <c r="T120" s="64"/>
      <c r="U120" s="64"/>
      <c r="V120" s="64"/>
      <c r="W120" s="64"/>
      <c r="X120" s="64"/>
      <c r="Y120" s="64"/>
      <c r="Z120" s="64"/>
      <c r="AA120" s="64"/>
      <c r="AB120" s="64"/>
      <c r="AC120" s="64"/>
      <c r="AD120" s="64"/>
      <c r="AE120" s="64"/>
      <c r="AF120" s="64"/>
      <c r="AG120" s="64"/>
      <c r="AH120" s="64"/>
      <c r="AI120" s="64"/>
      <c r="AJ120" s="64"/>
      <c r="AK120" s="64"/>
      <c r="AL120" s="64"/>
      <c r="AM120" s="64"/>
      <c r="AN120" s="64"/>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c r="BU120" s="64"/>
      <c r="BV120" s="64"/>
      <c r="BW120" s="64"/>
      <c r="BX120" s="64"/>
      <c r="BY120" s="64"/>
      <c r="BZ120" s="64"/>
      <c r="CA120" s="64"/>
      <c r="CB120" s="64"/>
      <c r="CC120" s="64"/>
      <c r="CD120" s="64"/>
      <c r="CE120" s="64"/>
      <c r="CF120" s="64"/>
      <c r="CG120" s="64"/>
      <c r="CH120" s="64"/>
      <c r="CI120" s="64"/>
      <c r="CJ120" s="64"/>
      <c r="CK120" s="64"/>
      <c r="CL120" s="64"/>
      <c r="CM120" s="64"/>
      <c r="CN120" s="64"/>
      <c r="CO120" s="64"/>
      <c r="CP120" s="64"/>
      <c r="CQ120" s="64"/>
      <c r="CR120" s="64"/>
      <c r="CS120" s="64"/>
      <c r="CT120" s="64"/>
      <c r="CU120" s="64"/>
      <c r="CV120" s="64"/>
      <c r="CW120" s="64"/>
      <c r="CX120" s="64"/>
    </row>
    <row r="121" spans="1:102" x14ac:dyDescent="0.2">
      <c r="A121" s="64"/>
      <c r="B121" s="64"/>
      <c r="C121" s="102"/>
      <c r="D121" s="102"/>
      <c r="E121" s="102"/>
      <c r="F121" s="102"/>
      <c r="G121" s="102"/>
      <c r="H121" s="102"/>
      <c r="I121" s="64"/>
      <c r="J121" s="64"/>
      <c r="K121" s="64"/>
      <c r="L121" s="64"/>
      <c r="M121" s="64"/>
      <c r="N121" s="64"/>
      <c r="O121" s="64"/>
      <c r="P121" s="64"/>
      <c r="Q121" s="64"/>
      <c r="R121" s="64"/>
      <c r="S121" s="64"/>
      <c r="T121" s="64"/>
      <c r="U121" s="64"/>
      <c r="V121" s="64"/>
      <c r="W121" s="64"/>
      <c r="X121" s="64"/>
      <c r="Y121" s="64"/>
      <c r="Z121" s="64"/>
      <c r="AA121" s="64"/>
      <c r="AB121" s="64"/>
      <c r="AC121" s="64"/>
      <c r="AD121" s="64"/>
      <c r="AE121" s="64"/>
      <c r="AF121" s="64"/>
      <c r="AG121" s="64"/>
      <c r="AH121" s="64"/>
      <c r="AI121" s="64"/>
      <c r="AJ121" s="64"/>
      <c r="AK121" s="64"/>
      <c r="AL121" s="64"/>
      <c r="AM121" s="64"/>
      <c r="AN121" s="64"/>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c r="BU121" s="64"/>
      <c r="BV121" s="64"/>
      <c r="BW121" s="64"/>
      <c r="BX121" s="64"/>
      <c r="BY121" s="64"/>
      <c r="BZ121" s="64"/>
      <c r="CA121" s="64"/>
      <c r="CB121" s="64"/>
      <c r="CC121" s="64"/>
      <c r="CD121" s="64"/>
      <c r="CE121" s="64"/>
      <c r="CF121" s="64"/>
      <c r="CG121" s="64"/>
      <c r="CH121" s="64"/>
      <c r="CI121" s="64"/>
      <c r="CJ121" s="64"/>
      <c r="CK121" s="64"/>
      <c r="CL121" s="64"/>
      <c r="CM121" s="64"/>
      <c r="CN121" s="64"/>
      <c r="CO121" s="64"/>
      <c r="CP121" s="64"/>
      <c r="CQ121" s="64"/>
      <c r="CR121" s="64"/>
      <c r="CS121" s="64"/>
      <c r="CT121" s="64"/>
      <c r="CU121" s="64"/>
      <c r="CV121" s="64"/>
      <c r="CW121" s="64"/>
      <c r="CX121" s="64"/>
    </row>
    <row r="122" spans="1:102" x14ac:dyDescent="0.2">
      <c r="A122" s="64"/>
      <c r="B122" s="64"/>
      <c r="C122" s="102"/>
      <c r="D122" s="102"/>
      <c r="E122" s="102"/>
      <c r="F122" s="102"/>
      <c r="G122" s="102"/>
      <c r="H122" s="102"/>
      <c r="I122" s="64"/>
      <c r="J122" s="64"/>
      <c r="K122" s="64"/>
      <c r="L122" s="64"/>
      <c r="M122" s="64"/>
      <c r="N122" s="64"/>
      <c r="O122" s="64"/>
      <c r="P122" s="64"/>
      <c r="Q122" s="64"/>
      <c r="R122" s="64"/>
      <c r="S122" s="64"/>
      <c r="T122" s="64"/>
      <c r="U122" s="64"/>
      <c r="V122" s="64"/>
      <c r="W122" s="64"/>
      <c r="X122" s="64"/>
      <c r="Y122" s="64"/>
      <c r="Z122" s="64"/>
      <c r="AA122" s="64"/>
      <c r="AB122" s="64"/>
      <c r="AC122" s="64"/>
      <c r="AD122" s="64"/>
      <c r="AE122" s="64"/>
      <c r="AF122" s="64"/>
      <c r="AG122" s="64"/>
      <c r="AH122" s="64"/>
      <c r="AI122" s="64"/>
      <c r="AJ122" s="64"/>
      <c r="AK122" s="64"/>
      <c r="AL122" s="64"/>
      <c r="AM122" s="64"/>
      <c r="AN122" s="64"/>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c r="BU122" s="64"/>
      <c r="BV122" s="64"/>
      <c r="BW122" s="64"/>
      <c r="BX122" s="64"/>
      <c r="BY122" s="64"/>
      <c r="BZ122" s="64"/>
      <c r="CA122" s="64"/>
      <c r="CB122" s="64"/>
      <c r="CC122" s="64"/>
      <c r="CD122" s="64"/>
      <c r="CE122" s="64"/>
      <c r="CF122" s="64"/>
      <c r="CG122" s="64"/>
      <c r="CH122" s="64"/>
      <c r="CI122" s="64"/>
      <c r="CJ122" s="64"/>
      <c r="CK122" s="64"/>
      <c r="CL122" s="64"/>
      <c r="CM122" s="64"/>
      <c r="CN122" s="64"/>
      <c r="CO122" s="64"/>
      <c r="CP122" s="64"/>
      <c r="CQ122" s="64"/>
      <c r="CR122" s="64"/>
      <c r="CS122" s="64"/>
      <c r="CT122" s="64"/>
      <c r="CU122" s="64"/>
      <c r="CV122" s="64"/>
      <c r="CW122" s="64"/>
      <c r="CX122" s="64"/>
    </row>
    <row r="123" spans="1:102" x14ac:dyDescent="0.2">
      <c r="A123" s="64"/>
      <c r="B123" s="64"/>
      <c r="C123" s="102"/>
      <c r="D123" s="102"/>
      <c r="E123" s="102"/>
      <c r="F123" s="102"/>
      <c r="G123" s="102"/>
      <c r="H123" s="102"/>
      <c r="I123" s="64"/>
      <c r="J123" s="64"/>
      <c r="K123" s="64"/>
      <c r="L123" s="64"/>
      <c r="M123" s="64"/>
      <c r="N123" s="64"/>
      <c r="O123" s="64"/>
      <c r="P123" s="64"/>
      <c r="Q123" s="64"/>
      <c r="R123" s="64"/>
      <c r="S123" s="64"/>
      <c r="T123" s="64"/>
      <c r="U123" s="64"/>
      <c r="V123" s="64"/>
      <c r="W123" s="64"/>
      <c r="X123" s="64"/>
      <c r="Y123" s="64"/>
      <c r="Z123" s="64"/>
      <c r="AA123" s="64"/>
      <c r="AB123" s="64"/>
      <c r="AC123" s="64"/>
      <c r="AD123" s="64"/>
      <c r="AE123" s="64"/>
      <c r="AF123" s="64"/>
      <c r="AG123" s="64"/>
      <c r="AH123" s="64"/>
      <c r="AI123" s="64"/>
      <c r="AJ123" s="64"/>
      <c r="AK123" s="64"/>
      <c r="AL123" s="64"/>
      <c r="AM123" s="64"/>
      <c r="AN123" s="64"/>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c r="BU123" s="64"/>
      <c r="BV123" s="64"/>
      <c r="BW123" s="64"/>
      <c r="BX123" s="64"/>
      <c r="BY123" s="64"/>
      <c r="BZ123" s="64"/>
      <c r="CA123" s="64"/>
      <c r="CB123" s="64"/>
      <c r="CC123" s="64"/>
      <c r="CD123" s="64"/>
      <c r="CE123" s="64"/>
      <c r="CF123" s="64"/>
      <c r="CG123" s="64"/>
      <c r="CH123" s="64"/>
      <c r="CI123" s="64"/>
      <c r="CJ123" s="64"/>
      <c r="CK123" s="64"/>
      <c r="CL123" s="64"/>
      <c r="CM123" s="64"/>
      <c r="CN123" s="64"/>
      <c r="CO123" s="64"/>
      <c r="CP123" s="64"/>
      <c r="CQ123" s="64"/>
      <c r="CR123" s="64"/>
      <c r="CS123" s="64"/>
      <c r="CT123" s="64"/>
      <c r="CU123" s="64"/>
      <c r="CV123" s="64"/>
      <c r="CW123" s="64"/>
      <c r="CX123" s="64"/>
    </row>
    <row r="124" spans="1:102" x14ac:dyDescent="0.2">
      <c r="A124" s="64"/>
      <c r="B124" s="64"/>
      <c r="C124" s="102"/>
      <c r="D124" s="102"/>
      <c r="E124" s="102"/>
      <c r="F124" s="102"/>
      <c r="G124" s="102"/>
      <c r="H124" s="102"/>
      <c r="I124" s="64"/>
      <c r="J124" s="64"/>
      <c r="K124" s="64"/>
      <c r="L124" s="64"/>
      <c r="M124" s="64"/>
      <c r="N124" s="64"/>
      <c r="O124" s="64"/>
      <c r="P124" s="64"/>
      <c r="Q124" s="64"/>
      <c r="R124" s="64"/>
      <c r="S124" s="64"/>
      <c r="T124" s="64"/>
      <c r="U124" s="64"/>
      <c r="V124" s="64"/>
      <c r="W124" s="64"/>
      <c r="X124" s="64"/>
      <c r="Y124" s="64"/>
      <c r="Z124" s="64"/>
      <c r="AA124" s="64"/>
      <c r="AB124" s="64"/>
      <c r="AC124" s="64"/>
      <c r="AD124" s="64"/>
      <c r="AE124" s="64"/>
      <c r="AF124" s="64"/>
      <c r="AG124" s="64"/>
      <c r="AH124" s="64"/>
      <c r="AI124" s="64"/>
      <c r="AJ124" s="64"/>
      <c r="AK124" s="64"/>
      <c r="AL124" s="64"/>
      <c r="AM124" s="64"/>
      <c r="AN124" s="64"/>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c r="BU124" s="64"/>
      <c r="BV124" s="64"/>
      <c r="BW124" s="64"/>
      <c r="BX124" s="64"/>
      <c r="BY124" s="64"/>
      <c r="BZ124" s="64"/>
      <c r="CA124" s="64"/>
      <c r="CB124" s="64"/>
      <c r="CC124" s="64"/>
      <c r="CD124" s="64"/>
      <c r="CE124" s="64"/>
      <c r="CF124" s="64"/>
      <c r="CG124" s="64"/>
      <c r="CH124" s="64"/>
      <c r="CI124" s="64"/>
      <c r="CJ124" s="64"/>
      <c r="CK124" s="64"/>
      <c r="CL124" s="64"/>
      <c r="CM124" s="64"/>
      <c r="CN124" s="64"/>
      <c r="CO124" s="64"/>
      <c r="CP124" s="64"/>
      <c r="CQ124" s="64"/>
      <c r="CR124" s="64"/>
      <c r="CS124" s="64"/>
      <c r="CT124" s="64"/>
      <c r="CU124" s="64"/>
      <c r="CV124" s="64"/>
      <c r="CW124" s="64"/>
      <c r="CX124" s="64"/>
    </row>
    <row r="125" spans="1:102" x14ac:dyDescent="0.2">
      <c r="A125" s="64"/>
      <c r="B125" s="64"/>
      <c r="C125" s="102"/>
      <c r="D125" s="102"/>
      <c r="E125" s="102"/>
      <c r="F125" s="102"/>
      <c r="G125" s="102"/>
      <c r="H125" s="102"/>
      <c r="I125" s="64"/>
      <c r="J125" s="64"/>
      <c r="K125" s="64"/>
      <c r="L125" s="64"/>
      <c r="M125" s="64"/>
      <c r="N125" s="64"/>
      <c r="O125" s="64"/>
      <c r="P125" s="64"/>
      <c r="Q125" s="64"/>
      <c r="R125" s="64"/>
      <c r="S125" s="64"/>
      <c r="T125" s="64"/>
      <c r="U125" s="64"/>
      <c r="V125" s="64"/>
      <c r="W125" s="64"/>
      <c r="X125" s="64"/>
      <c r="Y125" s="64"/>
      <c r="Z125" s="64"/>
      <c r="AA125" s="64"/>
      <c r="AB125" s="64"/>
      <c r="AC125" s="64"/>
      <c r="AD125" s="64"/>
      <c r="AE125" s="64"/>
      <c r="AF125" s="64"/>
      <c r="AG125" s="64"/>
      <c r="AH125" s="64"/>
      <c r="AI125" s="64"/>
      <c r="AJ125" s="64"/>
      <c r="AK125" s="64"/>
      <c r="AL125" s="64"/>
      <c r="AM125" s="64"/>
      <c r="AN125" s="64"/>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c r="BU125" s="64"/>
      <c r="BV125" s="64"/>
      <c r="BW125" s="64"/>
      <c r="BX125" s="64"/>
      <c r="BY125" s="64"/>
      <c r="BZ125" s="64"/>
      <c r="CA125" s="64"/>
      <c r="CB125" s="64"/>
      <c r="CC125" s="64"/>
      <c r="CD125" s="64"/>
      <c r="CE125" s="64"/>
      <c r="CF125" s="64"/>
      <c r="CG125" s="64"/>
      <c r="CH125" s="64"/>
      <c r="CI125" s="64"/>
      <c r="CJ125" s="64"/>
      <c r="CK125" s="64"/>
      <c r="CL125" s="64"/>
      <c r="CM125" s="64"/>
      <c r="CN125" s="64"/>
      <c r="CO125" s="64"/>
      <c r="CP125" s="64"/>
      <c r="CQ125" s="64"/>
      <c r="CR125" s="64"/>
      <c r="CS125" s="64"/>
      <c r="CT125" s="64"/>
      <c r="CU125" s="64"/>
      <c r="CV125" s="64"/>
      <c r="CW125" s="64"/>
      <c r="CX125" s="64"/>
    </row>
    <row r="126" spans="1:102" x14ac:dyDescent="0.2">
      <c r="A126" s="64"/>
      <c r="B126" s="64"/>
      <c r="C126" s="102"/>
      <c r="D126" s="102"/>
      <c r="E126" s="102"/>
      <c r="F126" s="102"/>
      <c r="G126" s="102"/>
      <c r="H126" s="102"/>
      <c r="I126" s="64"/>
      <c r="J126" s="64"/>
      <c r="K126" s="64"/>
      <c r="L126" s="64"/>
      <c r="M126" s="64"/>
      <c r="N126" s="64"/>
      <c r="O126" s="64"/>
      <c r="P126" s="64"/>
      <c r="Q126" s="64"/>
      <c r="R126" s="64"/>
      <c r="S126" s="64"/>
      <c r="T126" s="64"/>
      <c r="U126" s="64"/>
      <c r="V126" s="64"/>
      <c r="W126" s="64"/>
      <c r="X126" s="64"/>
      <c r="Y126" s="64"/>
      <c r="Z126" s="64"/>
      <c r="AA126" s="64"/>
      <c r="AB126" s="64"/>
      <c r="AC126" s="64"/>
      <c r="AD126" s="64"/>
      <c r="AE126" s="64"/>
      <c r="AF126" s="64"/>
      <c r="AG126" s="64"/>
      <c r="AH126" s="64"/>
      <c r="AI126" s="64"/>
      <c r="AJ126" s="64"/>
      <c r="AK126" s="64"/>
      <c r="AL126" s="64"/>
      <c r="AM126" s="64"/>
      <c r="AN126" s="64"/>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c r="BU126" s="64"/>
      <c r="BV126" s="64"/>
      <c r="BW126" s="64"/>
      <c r="BX126" s="64"/>
      <c r="BY126" s="64"/>
      <c r="BZ126" s="64"/>
      <c r="CA126" s="64"/>
      <c r="CB126" s="64"/>
      <c r="CC126" s="64"/>
      <c r="CD126" s="64"/>
      <c r="CE126" s="64"/>
      <c r="CF126" s="64"/>
      <c r="CG126" s="64"/>
      <c r="CH126" s="64"/>
      <c r="CI126" s="64"/>
      <c r="CJ126" s="64"/>
      <c r="CK126" s="64"/>
      <c r="CL126" s="64"/>
      <c r="CM126" s="64"/>
      <c r="CN126" s="64"/>
      <c r="CO126" s="64"/>
      <c r="CP126" s="64"/>
      <c r="CQ126" s="64"/>
      <c r="CR126" s="64"/>
      <c r="CS126" s="64"/>
      <c r="CT126" s="64"/>
      <c r="CU126" s="64"/>
      <c r="CV126" s="64"/>
      <c r="CW126" s="64"/>
      <c r="CX126" s="64"/>
    </row>
    <row r="127" spans="1:102" x14ac:dyDescent="0.2">
      <c r="A127" s="64"/>
      <c r="B127" s="64"/>
      <c r="C127" s="102"/>
      <c r="D127" s="102"/>
      <c r="E127" s="102"/>
      <c r="F127" s="102"/>
      <c r="G127" s="102"/>
      <c r="H127" s="102"/>
      <c r="I127" s="64"/>
      <c r="J127" s="64"/>
      <c r="K127" s="64"/>
      <c r="L127" s="64"/>
      <c r="M127" s="64"/>
      <c r="N127" s="64"/>
      <c r="O127" s="64"/>
      <c r="P127" s="64"/>
      <c r="Q127" s="64"/>
      <c r="R127" s="64"/>
      <c r="S127" s="64"/>
      <c r="T127" s="64"/>
      <c r="U127" s="64"/>
      <c r="V127" s="64"/>
      <c r="W127" s="64"/>
      <c r="X127" s="64"/>
      <c r="Y127" s="64"/>
      <c r="Z127" s="64"/>
      <c r="AA127" s="64"/>
      <c r="AB127" s="64"/>
      <c r="AC127" s="64"/>
      <c r="AD127" s="64"/>
      <c r="AE127" s="64"/>
      <c r="AF127" s="64"/>
      <c r="AG127" s="64"/>
      <c r="AH127" s="64"/>
      <c r="AI127" s="64"/>
      <c r="AJ127" s="64"/>
      <c r="AK127" s="64"/>
      <c r="AL127" s="64"/>
      <c r="AM127" s="64"/>
      <c r="AN127" s="64"/>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c r="BU127" s="64"/>
      <c r="BV127" s="64"/>
      <c r="BW127" s="64"/>
      <c r="BX127" s="64"/>
      <c r="BY127" s="64"/>
      <c r="BZ127" s="64"/>
      <c r="CA127" s="64"/>
      <c r="CB127" s="64"/>
      <c r="CC127" s="64"/>
      <c r="CD127" s="64"/>
      <c r="CE127" s="64"/>
      <c r="CF127" s="64"/>
      <c r="CG127" s="64"/>
      <c r="CH127" s="64"/>
      <c r="CI127" s="64"/>
      <c r="CJ127" s="64"/>
      <c r="CK127" s="64"/>
      <c r="CL127" s="64"/>
      <c r="CM127" s="64"/>
      <c r="CN127" s="64"/>
      <c r="CO127" s="64"/>
      <c r="CP127" s="64"/>
      <c r="CQ127" s="64"/>
      <c r="CR127" s="64"/>
      <c r="CS127" s="64"/>
      <c r="CT127" s="64"/>
      <c r="CU127" s="64"/>
      <c r="CV127" s="64"/>
      <c r="CW127" s="64"/>
      <c r="CX127" s="64"/>
    </row>
    <row r="128" spans="1:102" x14ac:dyDescent="0.2">
      <c r="A128" s="64"/>
      <c r="B128" s="64"/>
      <c r="C128" s="102"/>
      <c r="D128" s="102"/>
      <c r="E128" s="102"/>
      <c r="F128" s="102"/>
      <c r="G128" s="102"/>
      <c r="H128" s="102"/>
      <c r="I128" s="64"/>
      <c r="J128" s="64"/>
      <c r="K128" s="64"/>
      <c r="L128" s="64"/>
      <c r="M128" s="64"/>
      <c r="N128" s="64"/>
      <c r="O128" s="64"/>
      <c r="P128" s="64"/>
      <c r="Q128" s="64"/>
      <c r="R128" s="64"/>
      <c r="S128" s="64"/>
      <c r="T128" s="64"/>
      <c r="U128" s="64"/>
      <c r="V128" s="64"/>
      <c r="W128" s="64"/>
      <c r="X128" s="64"/>
      <c r="Y128" s="64"/>
      <c r="Z128" s="64"/>
      <c r="AA128" s="64"/>
      <c r="AB128" s="64"/>
      <c r="AC128" s="64"/>
      <c r="AD128" s="64"/>
      <c r="AE128" s="64"/>
      <c r="AF128" s="64"/>
      <c r="AG128" s="64"/>
      <c r="AH128" s="64"/>
      <c r="AI128" s="64"/>
      <c r="AJ128" s="64"/>
      <c r="AK128" s="64"/>
      <c r="AL128" s="64"/>
      <c r="AM128" s="64"/>
      <c r="AN128" s="64"/>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c r="BU128" s="64"/>
      <c r="BV128" s="64"/>
      <c r="BW128" s="64"/>
      <c r="BX128" s="64"/>
      <c r="BY128" s="64"/>
      <c r="BZ128" s="64"/>
      <c r="CA128" s="64"/>
      <c r="CB128" s="64"/>
      <c r="CC128" s="64"/>
      <c r="CD128" s="64"/>
      <c r="CE128" s="64"/>
      <c r="CF128" s="64"/>
      <c r="CG128" s="64"/>
      <c r="CH128" s="64"/>
      <c r="CI128" s="64"/>
      <c r="CJ128" s="64"/>
      <c r="CK128" s="64"/>
      <c r="CL128" s="64"/>
      <c r="CM128" s="64"/>
      <c r="CN128" s="64"/>
      <c r="CO128" s="64"/>
      <c r="CP128" s="64"/>
      <c r="CQ128" s="64"/>
      <c r="CR128" s="64"/>
      <c r="CS128" s="64"/>
      <c r="CT128" s="64"/>
      <c r="CU128" s="64"/>
      <c r="CV128" s="64"/>
      <c r="CW128" s="64"/>
      <c r="CX128" s="64"/>
    </row>
    <row r="129" spans="1:102" x14ac:dyDescent="0.2">
      <c r="A129" s="64"/>
      <c r="B129" s="64"/>
      <c r="C129" s="102"/>
      <c r="D129" s="102"/>
      <c r="E129" s="102"/>
      <c r="F129" s="102"/>
      <c r="G129" s="102"/>
      <c r="H129" s="102"/>
      <c r="I129" s="64"/>
      <c r="J129" s="64"/>
      <c r="K129" s="64"/>
      <c r="L129" s="64"/>
      <c r="M129" s="64"/>
      <c r="N129" s="64"/>
      <c r="O129" s="64"/>
      <c r="P129" s="64"/>
      <c r="Q129" s="64"/>
      <c r="R129" s="64"/>
      <c r="S129" s="64"/>
      <c r="T129" s="64"/>
      <c r="U129" s="64"/>
      <c r="V129" s="64"/>
      <c r="W129" s="64"/>
      <c r="X129" s="64"/>
      <c r="Y129" s="64"/>
      <c r="Z129" s="64"/>
      <c r="AA129" s="64"/>
      <c r="AB129" s="64"/>
      <c r="AC129" s="64"/>
      <c r="AD129" s="64"/>
      <c r="AE129" s="64"/>
      <c r="AF129" s="64"/>
      <c r="AG129" s="64"/>
      <c r="AH129" s="64"/>
      <c r="AI129" s="64"/>
      <c r="AJ129" s="64"/>
      <c r="AK129" s="64"/>
      <c r="AL129" s="64"/>
      <c r="AM129" s="64"/>
      <c r="AN129" s="64"/>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c r="BU129" s="64"/>
      <c r="BV129" s="64"/>
      <c r="BW129" s="64"/>
      <c r="BX129" s="64"/>
      <c r="BY129" s="64"/>
      <c r="BZ129" s="64"/>
      <c r="CA129" s="64"/>
      <c r="CB129" s="64"/>
      <c r="CC129" s="64"/>
      <c r="CD129" s="64"/>
      <c r="CE129" s="64"/>
      <c r="CF129" s="64"/>
      <c r="CG129" s="64"/>
      <c r="CH129" s="64"/>
      <c r="CI129" s="64"/>
      <c r="CJ129" s="64"/>
      <c r="CK129" s="64"/>
      <c r="CL129" s="64"/>
      <c r="CM129" s="64"/>
      <c r="CN129" s="64"/>
      <c r="CO129" s="64"/>
      <c r="CP129" s="64"/>
      <c r="CQ129" s="64"/>
      <c r="CR129" s="64"/>
      <c r="CS129" s="64"/>
      <c r="CT129" s="64"/>
      <c r="CU129" s="64"/>
      <c r="CV129" s="64"/>
      <c r="CW129" s="64"/>
      <c r="CX129" s="64"/>
    </row>
    <row r="130" spans="1:102" x14ac:dyDescent="0.2">
      <c r="A130" s="64"/>
      <c r="B130" s="64"/>
      <c r="C130" s="102"/>
      <c r="D130" s="102"/>
      <c r="E130" s="102"/>
      <c r="F130" s="102"/>
      <c r="G130" s="102"/>
      <c r="H130" s="102"/>
      <c r="I130" s="64"/>
      <c r="J130" s="64"/>
      <c r="K130" s="64"/>
      <c r="L130" s="64"/>
      <c r="M130" s="64"/>
      <c r="N130" s="64"/>
      <c r="O130" s="64"/>
      <c r="P130" s="64"/>
      <c r="Q130" s="64"/>
      <c r="R130" s="64"/>
      <c r="S130" s="64"/>
      <c r="T130" s="64"/>
      <c r="U130" s="64"/>
      <c r="V130" s="64"/>
      <c r="W130" s="64"/>
      <c r="X130" s="64"/>
      <c r="Y130" s="64"/>
      <c r="Z130" s="64"/>
      <c r="AA130" s="64"/>
      <c r="AB130" s="64"/>
      <c r="AC130" s="64"/>
      <c r="AD130" s="64"/>
      <c r="AE130" s="64"/>
      <c r="AF130" s="64"/>
      <c r="AG130" s="64"/>
      <c r="AH130" s="64"/>
      <c r="AI130" s="64"/>
      <c r="AJ130" s="64"/>
      <c r="AK130" s="64"/>
      <c r="AL130" s="64"/>
      <c r="AM130" s="64"/>
      <c r="AN130" s="64"/>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c r="BU130" s="64"/>
      <c r="BV130" s="64"/>
      <c r="BW130" s="64"/>
      <c r="BX130" s="64"/>
      <c r="BY130" s="64"/>
      <c r="BZ130" s="64"/>
      <c r="CA130" s="64"/>
      <c r="CB130" s="64"/>
      <c r="CC130" s="64"/>
      <c r="CD130" s="64"/>
      <c r="CE130" s="64"/>
      <c r="CF130" s="64"/>
      <c r="CG130" s="64"/>
      <c r="CH130" s="64"/>
      <c r="CI130" s="64"/>
      <c r="CJ130" s="64"/>
      <c r="CK130" s="64"/>
      <c r="CL130" s="64"/>
      <c r="CM130" s="64"/>
      <c r="CN130" s="64"/>
      <c r="CO130" s="64"/>
      <c r="CP130" s="64"/>
      <c r="CQ130" s="64"/>
      <c r="CR130" s="64"/>
      <c r="CS130" s="64"/>
      <c r="CT130" s="64"/>
      <c r="CU130" s="64"/>
      <c r="CV130" s="64"/>
      <c r="CW130" s="64"/>
      <c r="CX130" s="64"/>
    </row>
    <row r="131" spans="1:102" x14ac:dyDescent="0.2">
      <c r="A131" s="64"/>
      <c r="B131" s="64"/>
      <c r="C131" s="102"/>
      <c r="D131" s="102"/>
      <c r="E131" s="102"/>
      <c r="F131" s="102"/>
      <c r="G131" s="102"/>
      <c r="H131" s="102"/>
      <c r="I131" s="64"/>
      <c r="J131" s="64"/>
      <c r="K131" s="64"/>
      <c r="L131" s="64"/>
      <c r="M131" s="64"/>
      <c r="N131" s="64"/>
      <c r="O131" s="64"/>
      <c r="P131" s="64"/>
      <c r="Q131" s="64"/>
      <c r="R131" s="64"/>
      <c r="S131" s="64"/>
      <c r="T131" s="64"/>
      <c r="U131" s="64"/>
      <c r="V131" s="64"/>
      <c r="W131" s="64"/>
      <c r="X131" s="64"/>
      <c r="Y131" s="64"/>
      <c r="Z131" s="64"/>
      <c r="AA131" s="64"/>
      <c r="AB131" s="64"/>
      <c r="AC131" s="64"/>
      <c r="AD131" s="64"/>
      <c r="AE131" s="64"/>
      <c r="AF131" s="64"/>
      <c r="AG131" s="64"/>
      <c r="AH131" s="64"/>
      <c r="AI131" s="64"/>
      <c r="AJ131" s="64"/>
      <c r="AK131" s="64"/>
      <c r="AL131" s="64"/>
      <c r="AM131" s="64"/>
      <c r="AN131" s="64"/>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c r="BU131" s="64"/>
      <c r="BV131" s="64"/>
      <c r="BW131" s="64"/>
      <c r="BX131" s="64"/>
      <c r="BY131" s="64"/>
      <c r="BZ131" s="64"/>
      <c r="CA131" s="64"/>
      <c r="CB131" s="64"/>
      <c r="CC131" s="64"/>
      <c r="CD131" s="64"/>
      <c r="CE131" s="64"/>
      <c r="CF131" s="64"/>
      <c r="CG131" s="64"/>
      <c r="CH131" s="64"/>
      <c r="CI131" s="64"/>
      <c r="CJ131" s="64"/>
      <c r="CK131" s="64"/>
      <c r="CL131" s="64"/>
      <c r="CM131" s="64"/>
      <c r="CN131" s="64"/>
      <c r="CO131" s="64"/>
      <c r="CP131" s="64"/>
      <c r="CQ131" s="64"/>
      <c r="CR131" s="64"/>
      <c r="CS131" s="64"/>
      <c r="CT131" s="64"/>
      <c r="CU131" s="64"/>
      <c r="CV131" s="64"/>
      <c r="CW131" s="64"/>
      <c r="CX131" s="64"/>
    </row>
    <row r="132" spans="1:102" x14ac:dyDescent="0.2">
      <c r="A132" s="64"/>
      <c r="B132" s="64"/>
      <c r="C132" s="102"/>
      <c r="D132" s="102"/>
      <c r="E132" s="102"/>
      <c r="F132" s="102"/>
      <c r="G132" s="102"/>
      <c r="H132" s="102"/>
      <c r="I132" s="64"/>
      <c r="J132" s="64"/>
      <c r="K132" s="64"/>
      <c r="L132" s="64"/>
      <c r="M132" s="64"/>
      <c r="N132" s="64"/>
      <c r="O132" s="64"/>
      <c r="P132" s="64"/>
      <c r="Q132" s="64"/>
      <c r="R132" s="64"/>
      <c r="S132" s="64"/>
      <c r="T132" s="64"/>
      <c r="U132" s="64"/>
      <c r="V132" s="64"/>
      <c r="W132" s="64"/>
      <c r="X132" s="64"/>
      <c r="Y132" s="64"/>
      <c r="Z132" s="64"/>
      <c r="AA132" s="64"/>
      <c r="AB132" s="64"/>
      <c r="AC132" s="64"/>
      <c r="AD132" s="64"/>
      <c r="AE132" s="64"/>
      <c r="AF132" s="64"/>
      <c r="AG132" s="64"/>
      <c r="AH132" s="64"/>
      <c r="AI132" s="64"/>
      <c r="AJ132" s="64"/>
      <c r="AK132" s="64"/>
      <c r="AL132" s="64"/>
      <c r="AM132" s="64"/>
      <c r="AN132" s="64"/>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c r="BU132" s="64"/>
      <c r="BV132" s="64"/>
      <c r="BW132" s="64"/>
      <c r="BX132" s="64"/>
      <c r="BY132" s="64"/>
      <c r="BZ132" s="64"/>
      <c r="CA132" s="64"/>
      <c r="CB132" s="64"/>
      <c r="CC132" s="64"/>
      <c r="CD132" s="64"/>
      <c r="CE132" s="64"/>
      <c r="CF132" s="64"/>
      <c r="CG132" s="64"/>
      <c r="CH132" s="64"/>
      <c r="CI132" s="64"/>
      <c r="CJ132" s="64"/>
      <c r="CK132" s="64"/>
      <c r="CL132" s="64"/>
      <c r="CM132" s="64"/>
      <c r="CN132" s="64"/>
      <c r="CO132" s="64"/>
      <c r="CP132" s="64"/>
      <c r="CQ132" s="64"/>
      <c r="CR132" s="64"/>
      <c r="CS132" s="64"/>
      <c r="CT132" s="64"/>
      <c r="CU132" s="64"/>
      <c r="CV132" s="64"/>
      <c r="CW132" s="64"/>
      <c r="CX132" s="64"/>
    </row>
    <row r="133" spans="1:102" x14ac:dyDescent="0.2">
      <c r="A133" s="64"/>
      <c r="B133" s="64"/>
      <c r="C133" s="102"/>
      <c r="D133" s="102"/>
      <c r="E133" s="102"/>
      <c r="F133" s="102"/>
      <c r="G133" s="102"/>
      <c r="H133" s="102"/>
      <c r="I133" s="64"/>
      <c r="J133" s="64"/>
      <c r="K133" s="64"/>
      <c r="L133" s="64"/>
      <c r="M133" s="64"/>
      <c r="N133" s="64"/>
      <c r="O133" s="64"/>
      <c r="P133" s="64"/>
      <c r="Q133" s="64"/>
      <c r="R133" s="64"/>
      <c r="S133" s="64"/>
      <c r="T133" s="64"/>
      <c r="U133" s="64"/>
      <c r="V133" s="64"/>
      <c r="W133" s="64"/>
      <c r="X133" s="64"/>
      <c r="Y133" s="64"/>
      <c r="Z133" s="64"/>
      <c r="AA133" s="64"/>
      <c r="AB133" s="64"/>
      <c r="AC133" s="64"/>
      <c r="AD133" s="64"/>
      <c r="AE133" s="64"/>
      <c r="AF133" s="64"/>
      <c r="AG133" s="64"/>
      <c r="AH133" s="64"/>
      <c r="AI133" s="64"/>
      <c r="AJ133" s="64"/>
      <c r="AK133" s="64"/>
      <c r="AL133" s="64"/>
      <c r="AM133" s="64"/>
      <c r="AN133" s="64"/>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c r="BU133" s="64"/>
      <c r="BV133" s="64"/>
      <c r="BW133" s="64"/>
      <c r="BX133" s="64"/>
      <c r="BY133" s="64"/>
      <c r="BZ133" s="64"/>
      <c r="CA133" s="64"/>
      <c r="CB133" s="64"/>
      <c r="CC133" s="64"/>
      <c r="CD133" s="64"/>
      <c r="CE133" s="64"/>
      <c r="CF133" s="64"/>
      <c r="CG133" s="64"/>
      <c r="CH133" s="64"/>
      <c r="CI133" s="64"/>
      <c r="CJ133" s="64"/>
      <c r="CK133" s="64"/>
      <c r="CL133" s="64"/>
      <c r="CM133" s="64"/>
      <c r="CN133" s="64"/>
      <c r="CO133" s="64"/>
      <c r="CP133" s="64"/>
      <c r="CQ133" s="64"/>
      <c r="CR133" s="64"/>
      <c r="CS133" s="64"/>
      <c r="CT133" s="64"/>
      <c r="CU133" s="64"/>
      <c r="CV133" s="64"/>
      <c r="CW133" s="64"/>
      <c r="CX133" s="64"/>
    </row>
    <row r="134" spans="1:102" x14ac:dyDescent="0.2">
      <c r="A134" s="64"/>
      <c r="B134" s="64"/>
      <c r="C134" s="102"/>
      <c r="D134" s="102"/>
      <c r="E134" s="102"/>
      <c r="F134" s="102"/>
      <c r="G134" s="102"/>
      <c r="H134" s="102"/>
      <c r="I134" s="64"/>
      <c r="J134" s="64"/>
      <c r="K134" s="64"/>
      <c r="L134" s="64"/>
      <c r="M134" s="64"/>
      <c r="N134" s="64"/>
      <c r="O134" s="64"/>
      <c r="P134" s="64"/>
      <c r="Q134" s="64"/>
      <c r="R134" s="64"/>
      <c r="S134" s="64"/>
      <c r="T134" s="64"/>
      <c r="U134" s="64"/>
      <c r="V134" s="64"/>
      <c r="W134" s="64"/>
      <c r="X134" s="64"/>
      <c r="Y134" s="64"/>
      <c r="Z134" s="64"/>
      <c r="AA134" s="64"/>
      <c r="AB134" s="64"/>
      <c r="AC134" s="64"/>
      <c r="AD134" s="64"/>
      <c r="AE134" s="64"/>
      <c r="AF134" s="64"/>
      <c r="AG134" s="64"/>
      <c r="AH134" s="64"/>
      <c r="AI134" s="64"/>
      <c r="AJ134" s="64"/>
      <c r="AK134" s="64"/>
      <c r="AL134" s="64"/>
      <c r="AM134" s="64"/>
      <c r="AN134" s="64"/>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c r="BU134" s="64"/>
      <c r="BV134" s="64"/>
      <c r="BW134" s="64"/>
      <c r="BX134" s="64"/>
      <c r="BY134" s="64"/>
      <c r="BZ134" s="64"/>
      <c r="CA134" s="64"/>
      <c r="CB134" s="64"/>
      <c r="CC134" s="64"/>
      <c r="CD134" s="64"/>
      <c r="CE134" s="64"/>
      <c r="CF134" s="64"/>
      <c r="CG134" s="64"/>
      <c r="CH134" s="64"/>
      <c r="CI134" s="64"/>
      <c r="CJ134" s="64"/>
      <c r="CK134" s="64"/>
      <c r="CL134" s="64"/>
      <c r="CM134" s="64"/>
      <c r="CN134" s="64"/>
      <c r="CO134" s="64"/>
      <c r="CP134" s="64"/>
      <c r="CQ134" s="64"/>
      <c r="CR134" s="64"/>
      <c r="CS134" s="64"/>
      <c r="CT134" s="64"/>
      <c r="CU134" s="64"/>
      <c r="CV134" s="64"/>
      <c r="CW134" s="64"/>
      <c r="CX134" s="64"/>
    </row>
    <row r="135" spans="1:102" x14ac:dyDescent="0.2">
      <c r="A135" s="64"/>
      <c r="B135" s="64"/>
      <c r="C135" s="102"/>
      <c r="D135" s="102"/>
      <c r="E135" s="102"/>
      <c r="F135" s="102"/>
      <c r="G135" s="102"/>
      <c r="H135" s="102"/>
      <c r="I135" s="64"/>
      <c r="J135" s="64"/>
      <c r="K135" s="64"/>
      <c r="L135" s="64"/>
      <c r="M135" s="64"/>
      <c r="N135" s="64"/>
      <c r="O135" s="64"/>
      <c r="P135" s="64"/>
      <c r="Q135" s="64"/>
      <c r="R135" s="64"/>
      <c r="S135" s="64"/>
      <c r="T135" s="64"/>
      <c r="U135" s="64"/>
      <c r="V135" s="64"/>
      <c r="W135" s="64"/>
      <c r="X135" s="64"/>
      <c r="Y135" s="64"/>
      <c r="Z135" s="64"/>
      <c r="AA135" s="64"/>
      <c r="AB135" s="64"/>
      <c r="AC135" s="64"/>
      <c r="AD135" s="64"/>
      <c r="AE135" s="64"/>
      <c r="AF135" s="64"/>
      <c r="AG135" s="64"/>
      <c r="AH135" s="64"/>
      <c r="AI135" s="64"/>
      <c r="AJ135" s="64"/>
      <c r="AK135" s="64"/>
      <c r="AL135" s="64"/>
      <c r="AM135" s="64"/>
      <c r="AN135" s="64"/>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c r="BU135" s="64"/>
      <c r="BV135" s="64"/>
      <c r="BW135" s="64"/>
      <c r="BX135" s="64"/>
      <c r="BY135" s="64"/>
      <c r="BZ135" s="64"/>
      <c r="CA135" s="64"/>
      <c r="CB135" s="64"/>
      <c r="CC135" s="64"/>
      <c r="CD135" s="64"/>
      <c r="CE135" s="64"/>
      <c r="CF135" s="64"/>
      <c r="CG135" s="64"/>
      <c r="CH135" s="64"/>
      <c r="CI135" s="64"/>
      <c r="CJ135" s="64"/>
      <c r="CK135" s="64"/>
      <c r="CL135" s="64"/>
      <c r="CM135" s="64"/>
      <c r="CN135" s="64"/>
      <c r="CO135" s="64"/>
      <c r="CP135" s="64"/>
      <c r="CQ135" s="64"/>
      <c r="CR135" s="64"/>
      <c r="CS135" s="64"/>
      <c r="CT135" s="64"/>
      <c r="CU135" s="64"/>
      <c r="CV135" s="64"/>
      <c r="CW135" s="64"/>
      <c r="CX135" s="64"/>
    </row>
    <row r="136" spans="1:102" x14ac:dyDescent="0.2">
      <c r="A136" s="64"/>
      <c r="B136" s="64"/>
      <c r="C136" s="102"/>
      <c r="D136" s="102"/>
      <c r="E136" s="102"/>
      <c r="F136" s="102"/>
      <c r="G136" s="102"/>
      <c r="H136" s="102"/>
      <c r="I136" s="64"/>
      <c r="J136" s="64"/>
      <c r="K136" s="64"/>
      <c r="L136" s="64"/>
      <c r="M136" s="64"/>
      <c r="N136" s="64"/>
      <c r="O136" s="64"/>
      <c r="P136" s="64"/>
      <c r="Q136" s="64"/>
      <c r="R136" s="64"/>
      <c r="S136" s="64"/>
      <c r="T136" s="64"/>
      <c r="U136" s="64"/>
      <c r="V136" s="64"/>
      <c r="W136" s="64"/>
      <c r="X136" s="64"/>
      <c r="Y136" s="64"/>
      <c r="Z136" s="64"/>
      <c r="AA136" s="64"/>
      <c r="AB136" s="64"/>
      <c r="AC136" s="64"/>
      <c r="AD136" s="64"/>
      <c r="AE136" s="64"/>
      <c r="AF136" s="64"/>
      <c r="AG136" s="64"/>
      <c r="AH136" s="64"/>
      <c r="AI136" s="64"/>
      <c r="AJ136" s="64"/>
      <c r="AK136" s="64"/>
      <c r="AL136" s="64"/>
      <c r="AM136" s="64"/>
      <c r="AN136" s="64"/>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c r="BU136" s="64"/>
      <c r="BV136" s="64"/>
      <c r="BW136" s="64"/>
      <c r="BX136" s="64"/>
      <c r="BY136" s="64"/>
      <c r="BZ136" s="64"/>
      <c r="CA136" s="64"/>
      <c r="CB136" s="64"/>
      <c r="CC136" s="64"/>
      <c r="CD136" s="64"/>
      <c r="CE136" s="64"/>
      <c r="CF136" s="64"/>
      <c r="CG136" s="64"/>
      <c r="CH136" s="64"/>
      <c r="CI136" s="64"/>
      <c r="CJ136" s="64"/>
      <c r="CK136" s="64"/>
      <c r="CL136" s="64"/>
      <c r="CM136" s="64"/>
      <c r="CN136" s="64"/>
      <c r="CO136" s="64"/>
      <c r="CP136" s="64"/>
      <c r="CQ136" s="64"/>
      <c r="CR136" s="64"/>
      <c r="CS136" s="64"/>
      <c r="CT136" s="64"/>
      <c r="CU136" s="64"/>
      <c r="CV136" s="64"/>
      <c r="CW136" s="64"/>
      <c r="CX136" s="64"/>
    </row>
    <row r="137" spans="1:102" x14ac:dyDescent="0.2">
      <c r="A137" s="64"/>
      <c r="B137" s="64"/>
      <c r="C137" s="102"/>
      <c r="D137" s="102"/>
      <c r="E137" s="102"/>
      <c r="F137" s="102"/>
      <c r="G137" s="102"/>
      <c r="H137" s="102"/>
      <c r="I137" s="64"/>
      <c r="J137" s="64"/>
      <c r="K137" s="64"/>
      <c r="L137" s="64"/>
      <c r="M137" s="64"/>
      <c r="N137" s="64"/>
      <c r="O137" s="64"/>
      <c r="P137" s="64"/>
      <c r="Q137" s="64"/>
      <c r="R137" s="64"/>
      <c r="S137" s="64"/>
      <c r="T137" s="64"/>
      <c r="U137" s="64"/>
      <c r="V137" s="64"/>
      <c r="W137" s="64"/>
      <c r="X137" s="64"/>
      <c r="Y137" s="64"/>
      <c r="Z137" s="64"/>
      <c r="AA137" s="64"/>
      <c r="AB137" s="64"/>
      <c r="AC137" s="64"/>
      <c r="AD137" s="64"/>
      <c r="AE137" s="64"/>
      <c r="AF137" s="64"/>
      <c r="AG137" s="64"/>
      <c r="AH137" s="64"/>
      <c r="AI137" s="64"/>
      <c r="AJ137" s="64"/>
      <c r="AK137" s="64"/>
      <c r="AL137" s="64"/>
      <c r="AM137" s="64"/>
      <c r="AN137" s="64"/>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c r="BU137" s="64"/>
      <c r="BV137" s="64"/>
      <c r="BW137" s="64"/>
      <c r="BX137" s="64"/>
      <c r="BY137" s="64"/>
      <c r="BZ137" s="64"/>
      <c r="CA137" s="64"/>
      <c r="CB137" s="64"/>
      <c r="CC137" s="64"/>
      <c r="CD137" s="64"/>
      <c r="CE137" s="64"/>
      <c r="CF137" s="64"/>
      <c r="CG137" s="64"/>
      <c r="CH137" s="64"/>
      <c r="CI137" s="64"/>
      <c r="CJ137" s="64"/>
      <c r="CK137" s="64"/>
      <c r="CL137" s="64"/>
      <c r="CM137" s="64"/>
      <c r="CN137" s="64"/>
      <c r="CO137" s="64"/>
      <c r="CP137" s="64"/>
      <c r="CQ137" s="64"/>
      <c r="CR137" s="64"/>
      <c r="CS137" s="64"/>
      <c r="CT137" s="64"/>
      <c r="CU137" s="64"/>
      <c r="CV137" s="64"/>
      <c r="CW137" s="64"/>
      <c r="CX137" s="64"/>
    </row>
    <row r="138" spans="1:102" x14ac:dyDescent="0.2">
      <c r="A138" s="64"/>
      <c r="B138" s="64"/>
      <c r="C138" s="102"/>
      <c r="D138" s="102"/>
      <c r="E138" s="102"/>
      <c r="F138" s="102"/>
      <c r="G138" s="102"/>
      <c r="H138" s="102"/>
      <c r="I138" s="64"/>
      <c r="J138" s="64"/>
      <c r="K138" s="64"/>
      <c r="L138" s="64"/>
      <c r="M138" s="64"/>
      <c r="N138" s="64"/>
      <c r="O138" s="64"/>
      <c r="P138" s="64"/>
      <c r="Q138" s="64"/>
      <c r="R138" s="64"/>
      <c r="S138" s="64"/>
      <c r="T138" s="64"/>
      <c r="U138" s="64"/>
      <c r="V138" s="64"/>
      <c r="W138" s="64"/>
      <c r="X138" s="64"/>
      <c r="Y138" s="64"/>
      <c r="Z138" s="64"/>
      <c r="AA138" s="64"/>
      <c r="AB138" s="64"/>
      <c r="AC138" s="64"/>
      <c r="AD138" s="64"/>
      <c r="AE138" s="64"/>
      <c r="AF138" s="64"/>
      <c r="AG138" s="64"/>
      <c r="AH138" s="64"/>
      <c r="AI138" s="64"/>
      <c r="AJ138" s="64"/>
      <c r="AK138" s="64"/>
      <c r="AL138" s="64"/>
      <c r="AM138" s="64"/>
      <c r="AN138" s="64"/>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c r="BU138" s="64"/>
      <c r="BV138" s="64"/>
      <c r="BW138" s="64"/>
      <c r="BX138" s="64"/>
      <c r="BY138" s="64"/>
      <c r="BZ138" s="64"/>
      <c r="CA138" s="64"/>
      <c r="CB138" s="64"/>
      <c r="CC138" s="64"/>
      <c r="CD138" s="64"/>
      <c r="CE138" s="64"/>
      <c r="CF138" s="64"/>
      <c r="CG138" s="64"/>
      <c r="CH138" s="64"/>
      <c r="CI138" s="64"/>
      <c r="CJ138" s="64"/>
      <c r="CK138" s="64"/>
      <c r="CL138" s="64"/>
      <c r="CM138" s="64"/>
      <c r="CN138" s="64"/>
      <c r="CO138" s="64"/>
      <c r="CP138" s="64"/>
      <c r="CQ138" s="64"/>
      <c r="CR138" s="64"/>
      <c r="CS138" s="64"/>
      <c r="CT138" s="64"/>
      <c r="CU138" s="64"/>
      <c r="CV138" s="64"/>
      <c r="CW138" s="64"/>
      <c r="CX138" s="64"/>
    </row>
    <row r="139" spans="1:102" x14ac:dyDescent="0.2">
      <c r="A139" s="64"/>
      <c r="B139" s="64"/>
      <c r="C139" s="102"/>
      <c r="D139" s="102"/>
      <c r="E139" s="102"/>
      <c r="F139" s="102"/>
      <c r="G139" s="102"/>
      <c r="H139" s="102"/>
      <c r="I139" s="64"/>
      <c r="J139" s="64"/>
      <c r="K139" s="64"/>
      <c r="L139" s="64"/>
      <c r="M139" s="64"/>
      <c r="N139" s="64"/>
      <c r="O139" s="64"/>
      <c r="P139" s="64"/>
      <c r="Q139" s="64"/>
      <c r="R139" s="64"/>
      <c r="S139" s="64"/>
      <c r="T139" s="64"/>
      <c r="U139" s="64"/>
      <c r="V139" s="64"/>
      <c r="W139" s="64"/>
      <c r="X139" s="64"/>
      <c r="Y139" s="64"/>
      <c r="Z139" s="64"/>
      <c r="AA139" s="64"/>
      <c r="AB139" s="64"/>
      <c r="AC139" s="64"/>
      <c r="AD139" s="64"/>
      <c r="AE139" s="64"/>
      <c r="AF139" s="64"/>
      <c r="AG139" s="64"/>
      <c r="AH139" s="64"/>
      <c r="AI139" s="64"/>
      <c r="AJ139" s="64"/>
      <c r="AK139" s="64"/>
      <c r="AL139" s="64"/>
      <c r="AM139" s="64"/>
      <c r="AN139" s="64"/>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c r="BU139" s="64"/>
      <c r="BV139" s="64"/>
      <c r="BW139" s="64"/>
      <c r="BX139" s="64"/>
      <c r="BY139" s="64"/>
      <c r="BZ139" s="64"/>
      <c r="CA139" s="64"/>
      <c r="CB139" s="64"/>
      <c r="CC139" s="64"/>
      <c r="CD139" s="64"/>
      <c r="CE139" s="64"/>
      <c r="CF139" s="64"/>
      <c r="CG139" s="64"/>
      <c r="CH139" s="64"/>
      <c r="CI139" s="64"/>
      <c r="CJ139" s="64"/>
      <c r="CK139" s="64"/>
      <c r="CL139" s="64"/>
      <c r="CM139" s="64"/>
      <c r="CN139" s="64"/>
      <c r="CO139" s="64"/>
      <c r="CP139" s="64"/>
      <c r="CQ139" s="64"/>
      <c r="CR139" s="64"/>
      <c r="CS139" s="64"/>
      <c r="CT139" s="64"/>
      <c r="CU139" s="64"/>
      <c r="CV139" s="64"/>
      <c r="CW139" s="64"/>
      <c r="CX139" s="64"/>
    </row>
    <row r="140" spans="1:102" x14ac:dyDescent="0.2">
      <c r="A140" s="64"/>
      <c r="B140" s="64"/>
      <c r="C140" s="102"/>
      <c r="D140" s="102"/>
      <c r="E140" s="102"/>
      <c r="F140" s="102"/>
      <c r="G140" s="102"/>
      <c r="H140" s="102"/>
      <c r="I140" s="64"/>
      <c r="J140" s="64"/>
      <c r="K140" s="64"/>
      <c r="L140" s="64"/>
      <c r="M140" s="64"/>
      <c r="N140" s="64"/>
      <c r="O140" s="64"/>
      <c r="P140" s="64"/>
      <c r="Q140" s="64"/>
      <c r="R140" s="64"/>
      <c r="S140" s="64"/>
      <c r="T140" s="64"/>
      <c r="U140" s="64"/>
      <c r="V140" s="64"/>
      <c r="W140" s="64"/>
      <c r="X140" s="64"/>
      <c r="Y140" s="64"/>
      <c r="Z140" s="64"/>
      <c r="AA140" s="64"/>
      <c r="AB140" s="64"/>
      <c r="AC140" s="64"/>
      <c r="AD140" s="64"/>
      <c r="AE140" s="64"/>
      <c r="AF140" s="64"/>
      <c r="AG140" s="64"/>
      <c r="AH140" s="64"/>
      <c r="AI140" s="64"/>
      <c r="AJ140" s="64"/>
      <c r="AK140" s="64"/>
      <c r="AL140" s="64"/>
      <c r="AM140" s="64"/>
      <c r="AN140" s="64"/>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c r="BU140" s="64"/>
      <c r="BV140" s="64"/>
      <c r="BW140" s="64"/>
      <c r="BX140" s="64"/>
      <c r="BY140" s="64"/>
      <c r="BZ140" s="64"/>
      <c r="CA140" s="64"/>
      <c r="CB140" s="64"/>
      <c r="CC140" s="64"/>
      <c r="CD140" s="64"/>
      <c r="CE140" s="64"/>
      <c r="CF140" s="64"/>
      <c r="CG140" s="64"/>
      <c r="CH140" s="64"/>
      <c r="CI140" s="64"/>
      <c r="CJ140" s="64"/>
      <c r="CK140" s="64"/>
      <c r="CL140" s="64"/>
      <c r="CM140" s="64"/>
      <c r="CN140" s="64"/>
      <c r="CO140" s="64"/>
      <c r="CP140" s="64"/>
      <c r="CQ140" s="64"/>
      <c r="CR140" s="64"/>
      <c r="CS140" s="64"/>
      <c r="CT140" s="64"/>
      <c r="CU140" s="64"/>
      <c r="CV140" s="64"/>
      <c r="CW140" s="64"/>
      <c r="CX140" s="64"/>
    </row>
    <row r="141" spans="1:102" x14ac:dyDescent="0.2">
      <c r="A141" s="64"/>
      <c r="B141" s="64"/>
      <c r="C141" s="102"/>
      <c r="D141" s="102"/>
      <c r="E141" s="102"/>
      <c r="F141" s="102"/>
      <c r="G141" s="102"/>
      <c r="H141" s="102"/>
      <c r="I141" s="64"/>
      <c r="J141" s="64"/>
      <c r="K141" s="64"/>
      <c r="L141" s="64"/>
      <c r="M141" s="64"/>
      <c r="N141" s="64"/>
      <c r="O141" s="64"/>
      <c r="P141" s="64"/>
      <c r="Q141" s="64"/>
      <c r="R141" s="64"/>
      <c r="S141" s="64"/>
      <c r="T141" s="64"/>
      <c r="U141" s="64"/>
      <c r="V141" s="64"/>
      <c r="W141" s="64"/>
      <c r="X141" s="64"/>
      <c r="Y141" s="64"/>
      <c r="Z141" s="64"/>
      <c r="AA141" s="64"/>
      <c r="AB141" s="64"/>
      <c r="AC141" s="64"/>
      <c r="AD141" s="64"/>
      <c r="AE141" s="64"/>
      <c r="AF141" s="64"/>
      <c r="AG141" s="64"/>
      <c r="AH141" s="64"/>
      <c r="AI141" s="64"/>
      <c r="AJ141" s="64"/>
      <c r="AK141" s="64"/>
      <c r="AL141" s="64"/>
      <c r="AM141" s="64"/>
      <c r="AN141" s="64"/>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c r="BU141" s="64"/>
      <c r="BV141" s="64"/>
      <c r="BW141" s="64"/>
      <c r="BX141" s="64"/>
      <c r="BY141" s="64"/>
      <c r="BZ141" s="64"/>
      <c r="CA141" s="64"/>
      <c r="CB141" s="64"/>
      <c r="CC141" s="64"/>
      <c r="CD141" s="64"/>
      <c r="CE141" s="64"/>
      <c r="CF141" s="64"/>
      <c r="CG141" s="64"/>
      <c r="CH141" s="64"/>
      <c r="CI141" s="64"/>
      <c r="CJ141" s="64"/>
      <c r="CK141" s="64"/>
      <c r="CL141" s="64"/>
      <c r="CM141" s="64"/>
      <c r="CN141" s="64"/>
      <c r="CO141" s="64"/>
      <c r="CP141" s="64"/>
      <c r="CQ141" s="64"/>
      <c r="CR141" s="64"/>
      <c r="CS141" s="64"/>
      <c r="CT141" s="64"/>
      <c r="CU141" s="64"/>
      <c r="CV141" s="64"/>
      <c r="CW141" s="64"/>
      <c r="CX141" s="64"/>
    </row>
    <row r="142" spans="1:102" x14ac:dyDescent="0.2">
      <c r="A142" s="64"/>
      <c r="B142" s="64"/>
      <c r="C142" s="102"/>
      <c r="D142" s="102"/>
      <c r="E142" s="102"/>
      <c r="F142" s="102"/>
      <c r="G142" s="102"/>
      <c r="H142" s="102"/>
      <c r="I142" s="64"/>
      <c r="J142" s="64"/>
      <c r="K142" s="64"/>
      <c r="L142" s="64"/>
      <c r="M142" s="64"/>
      <c r="N142" s="64"/>
      <c r="O142" s="64"/>
      <c r="P142" s="64"/>
      <c r="Q142" s="64"/>
      <c r="R142" s="64"/>
      <c r="S142" s="64"/>
      <c r="T142" s="64"/>
      <c r="U142" s="64"/>
      <c r="V142" s="64"/>
      <c r="W142" s="64"/>
      <c r="X142" s="64"/>
      <c r="Y142" s="64"/>
      <c r="Z142" s="64"/>
      <c r="AA142" s="64"/>
      <c r="AB142" s="64"/>
      <c r="AC142" s="64"/>
      <c r="AD142" s="64"/>
      <c r="AE142" s="64"/>
      <c r="AF142" s="64"/>
      <c r="AG142" s="64"/>
      <c r="AH142" s="64"/>
      <c r="AI142" s="64"/>
      <c r="AJ142" s="64"/>
      <c r="AK142" s="64"/>
      <c r="AL142" s="64"/>
      <c r="AM142" s="64"/>
      <c r="AN142" s="64"/>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c r="BU142" s="64"/>
      <c r="BV142" s="64"/>
      <c r="BW142" s="64"/>
      <c r="BX142" s="64"/>
      <c r="BY142" s="64"/>
      <c r="BZ142" s="64"/>
      <c r="CA142" s="64"/>
      <c r="CB142" s="64"/>
      <c r="CC142" s="64"/>
      <c r="CD142" s="64"/>
      <c r="CE142" s="64"/>
      <c r="CF142" s="64"/>
      <c r="CG142" s="64"/>
      <c r="CH142" s="64"/>
      <c r="CI142" s="64"/>
      <c r="CJ142" s="64"/>
      <c r="CK142" s="64"/>
      <c r="CL142" s="64"/>
      <c r="CM142" s="64"/>
      <c r="CN142" s="64"/>
      <c r="CO142" s="64"/>
      <c r="CP142" s="64"/>
      <c r="CQ142" s="64"/>
      <c r="CR142" s="64"/>
      <c r="CS142" s="64"/>
      <c r="CT142" s="64"/>
      <c r="CU142" s="64"/>
      <c r="CV142" s="64"/>
      <c r="CW142" s="64"/>
      <c r="CX142" s="64"/>
    </row>
    <row r="143" spans="1:102" x14ac:dyDescent="0.2">
      <c r="A143" s="64"/>
      <c r="B143" s="64"/>
      <c r="C143" s="102"/>
      <c r="D143" s="102"/>
      <c r="E143" s="102"/>
      <c r="F143" s="102"/>
      <c r="G143" s="102"/>
      <c r="H143" s="102"/>
      <c r="I143" s="64"/>
      <c r="J143" s="64"/>
      <c r="K143" s="64"/>
      <c r="L143" s="64"/>
      <c r="M143" s="64"/>
      <c r="N143" s="64"/>
      <c r="O143" s="64"/>
      <c r="P143" s="64"/>
      <c r="Q143" s="64"/>
      <c r="R143" s="64"/>
      <c r="S143" s="64"/>
      <c r="T143" s="64"/>
      <c r="U143" s="64"/>
      <c r="V143" s="64"/>
      <c r="W143" s="64"/>
      <c r="X143" s="64"/>
      <c r="Y143" s="64"/>
      <c r="Z143" s="64"/>
      <c r="AA143" s="64"/>
      <c r="AB143" s="64"/>
      <c r="AC143" s="64"/>
      <c r="AD143" s="64"/>
      <c r="AE143" s="64"/>
      <c r="AF143" s="64"/>
      <c r="AG143" s="64"/>
      <c r="AH143" s="64"/>
      <c r="AI143" s="64"/>
      <c r="AJ143" s="64"/>
      <c r="AK143" s="64"/>
      <c r="AL143" s="64"/>
      <c r="AM143" s="64"/>
      <c r="AN143" s="64"/>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c r="BU143" s="64"/>
      <c r="BV143" s="64"/>
      <c r="BW143" s="64"/>
      <c r="BX143" s="64"/>
      <c r="BY143" s="64"/>
      <c r="BZ143" s="64"/>
      <c r="CA143" s="64"/>
      <c r="CB143" s="64"/>
      <c r="CC143" s="64"/>
      <c r="CD143" s="64"/>
      <c r="CE143" s="64"/>
      <c r="CF143" s="64"/>
      <c r="CG143" s="64"/>
      <c r="CH143" s="64"/>
      <c r="CI143" s="64"/>
      <c r="CJ143" s="64"/>
      <c r="CK143" s="64"/>
      <c r="CL143" s="64"/>
      <c r="CM143" s="64"/>
      <c r="CN143" s="64"/>
      <c r="CO143" s="64"/>
      <c r="CP143" s="64"/>
      <c r="CQ143" s="64"/>
      <c r="CR143" s="64"/>
      <c r="CS143" s="64"/>
      <c r="CT143" s="64"/>
      <c r="CU143" s="64"/>
      <c r="CV143" s="64"/>
      <c r="CW143" s="64"/>
      <c r="CX143" s="64"/>
    </row>
    <row r="144" spans="1:102" x14ac:dyDescent="0.2">
      <c r="A144" s="64"/>
      <c r="B144" s="64"/>
      <c r="C144" s="102"/>
      <c r="D144" s="102"/>
      <c r="E144" s="102"/>
      <c r="F144" s="102"/>
      <c r="G144" s="102"/>
      <c r="H144" s="102"/>
      <c r="I144" s="64"/>
      <c r="J144" s="64"/>
      <c r="K144" s="64"/>
      <c r="L144" s="64"/>
      <c r="M144" s="64"/>
      <c r="N144" s="64"/>
      <c r="O144" s="64"/>
      <c r="P144" s="64"/>
      <c r="Q144" s="64"/>
      <c r="R144" s="64"/>
      <c r="S144" s="64"/>
      <c r="T144" s="64"/>
      <c r="U144" s="64"/>
      <c r="V144" s="64"/>
      <c r="W144" s="64"/>
      <c r="X144" s="64"/>
      <c r="Y144" s="64"/>
      <c r="Z144" s="64"/>
      <c r="AA144" s="64"/>
      <c r="AB144" s="64"/>
      <c r="AC144" s="64"/>
      <c r="AD144" s="64"/>
      <c r="AE144" s="64"/>
      <c r="AF144" s="64"/>
      <c r="AG144" s="64"/>
      <c r="AH144" s="64"/>
      <c r="AI144" s="64"/>
      <c r="AJ144" s="64"/>
      <c r="AK144" s="64"/>
      <c r="AL144" s="64"/>
      <c r="AM144" s="64"/>
      <c r="AN144" s="64"/>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c r="BU144" s="64"/>
      <c r="BV144" s="64"/>
      <c r="BW144" s="64"/>
      <c r="BX144" s="64"/>
      <c r="BY144" s="64"/>
      <c r="BZ144" s="64"/>
      <c r="CA144" s="64"/>
      <c r="CB144" s="64"/>
      <c r="CC144" s="64"/>
      <c r="CD144" s="64"/>
      <c r="CE144" s="64"/>
      <c r="CF144" s="64"/>
      <c r="CG144" s="64"/>
      <c r="CH144" s="64"/>
      <c r="CI144" s="64"/>
      <c r="CJ144" s="64"/>
      <c r="CK144" s="64"/>
      <c r="CL144" s="64"/>
      <c r="CM144" s="64"/>
      <c r="CN144" s="64"/>
      <c r="CO144" s="64"/>
      <c r="CP144" s="64"/>
      <c r="CQ144" s="64"/>
      <c r="CR144" s="64"/>
      <c r="CS144" s="64"/>
      <c r="CT144" s="64"/>
      <c r="CU144" s="64"/>
      <c r="CV144" s="64"/>
      <c r="CW144" s="64"/>
      <c r="CX144" s="64"/>
    </row>
    <row r="145" spans="1:102" x14ac:dyDescent="0.2">
      <c r="A145" s="64"/>
      <c r="B145" s="64"/>
      <c r="C145" s="102"/>
      <c r="D145" s="102"/>
      <c r="E145" s="102"/>
      <c r="F145" s="102"/>
      <c r="G145" s="102"/>
      <c r="H145" s="102"/>
      <c r="I145" s="64"/>
      <c r="J145" s="64"/>
      <c r="K145" s="64"/>
      <c r="L145" s="64"/>
      <c r="M145" s="64"/>
      <c r="N145" s="64"/>
      <c r="O145" s="64"/>
      <c r="P145" s="64"/>
      <c r="Q145" s="64"/>
      <c r="R145" s="64"/>
      <c r="S145" s="64"/>
      <c r="T145" s="64"/>
      <c r="U145" s="64"/>
      <c r="V145" s="64"/>
      <c r="W145" s="64"/>
      <c r="X145" s="64"/>
      <c r="Y145" s="64"/>
      <c r="Z145" s="64"/>
      <c r="AA145" s="64"/>
      <c r="AB145" s="64"/>
      <c r="AC145" s="64"/>
      <c r="AD145" s="64"/>
      <c r="AE145" s="64"/>
      <c r="AF145" s="64"/>
      <c r="AG145" s="64"/>
      <c r="AH145" s="64"/>
      <c r="AI145" s="64"/>
      <c r="AJ145" s="64"/>
      <c r="AK145" s="64"/>
      <c r="AL145" s="64"/>
      <c r="AM145" s="64"/>
      <c r="AN145" s="64"/>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c r="BU145" s="64"/>
      <c r="BV145" s="64"/>
      <c r="BW145" s="64"/>
      <c r="BX145" s="64"/>
      <c r="BY145" s="64"/>
      <c r="BZ145" s="64"/>
      <c r="CA145" s="64"/>
      <c r="CB145" s="64"/>
      <c r="CC145" s="64"/>
      <c r="CD145" s="64"/>
      <c r="CE145" s="64"/>
      <c r="CF145" s="64"/>
      <c r="CG145" s="64"/>
      <c r="CH145" s="64"/>
      <c r="CI145" s="64"/>
      <c r="CJ145" s="64"/>
      <c r="CK145" s="64"/>
      <c r="CL145" s="64"/>
      <c r="CM145" s="64"/>
      <c r="CN145" s="64"/>
      <c r="CO145" s="64"/>
      <c r="CP145" s="64"/>
      <c r="CQ145" s="64"/>
      <c r="CR145" s="64"/>
      <c r="CS145" s="64"/>
      <c r="CT145" s="64"/>
      <c r="CU145" s="64"/>
      <c r="CV145" s="64"/>
      <c r="CW145" s="64"/>
      <c r="CX145" s="64"/>
    </row>
    <row r="146" spans="1:102" x14ac:dyDescent="0.2">
      <c r="A146" s="64"/>
      <c r="B146" s="64"/>
      <c r="C146" s="102"/>
      <c r="D146" s="102"/>
      <c r="E146" s="102"/>
      <c r="F146" s="102"/>
      <c r="G146" s="102"/>
      <c r="H146" s="102"/>
      <c r="I146" s="64"/>
      <c r="J146" s="64"/>
      <c r="K146" s="64"/>
      <c r="L146" s="64"/>
      <c r="M146" s="64"/>
      <c r="N146" s="64"/>
      <c r="O146" s="64"/>
      <c r="P146" s="64"/>
      <c r="Q146" s="64"/>
      <c r="R146" s="64"/>
      <c r="S146" s="64"/>
      <c r="T146" s="64"/>
      <c r="U146" s="64"/>
      <c r="V146" s="64"/>
      <c r="W146" s="64"/>
      <c r="X146" s="64"/>
      <c r="Y146" s="64"/>
      <c r="Z146" s="64"/>
      <c r="AA146" s="64"/>
      <c r="AB146" s="64"/>
      <c r="AC146" s="64"/>
      <c r="AD146" s="64"/>
      <c r="AE146" s="64"/>
      <c r="AF146" s="64"/>
      <c r="AG146" s="64"/>
      <c r="AH146" s="64"/>
      <c r="AI146" s="64"/>
      <c r="AJ146" s="64"/>
      <c r="AK146" s="64"/>
      <c r="AL146" s="64"/>
      <c r="AM146" s="64"/>
      <c r="AN146" s="64"/>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c r="BU146" s="64"/>
      <c r="BV146" s="64"/>
      <c r="BW146" s="64"/>
      <c r="BX146" s="64"/>
      <c r="BY146" s="64"/>
      <c r="BZ146" s="64"/>
      <c r="CA146" s="64"/>
      <c r="CB146" s="64"/>
      <c r="CC146" s="64"/>
      <c r="CD146" s="64"/>
      <c r="CE146" s="64"/>
      <c r="CF146" s="64"/>
      <c r="CG146" s="64"/>
      <c r="CH146" s="64"/>
      <c r="CI146" s="64"/>
      <c r="CJ146" s="64"/>
      <c r="CK146" s="64"/>
      <c r="CL146" s="64"/>
      <c r="CM146" s="64"/>
      <c r="CN146" s="64"/>
      <c r="CO146" s="64"/>
      <c r="CP146" s="64"/>
      <c r="CQ146" s="64"/>
      <c r="CR146" s="64"/>
      <c r="CS146" s="64"/>
      <c r="CT146" s="64"/>
      <c r="CU146" s="64"/>
      <c r="CV146" s="64"/>
      <c r="CW146" s="64"/>
      <c r="CX146" s="64"/>
    </row>
    <row r="147" spans="1:102" x14ac:dyDescent="0.2">
      <c r="A147" s="64"/>
      <c r="B147" s="64"/>
      <c r="C147" s="102"/>
      <c r="D147" s="102"/>
      <c r="E147" s="102"/>
      <c r="F147" s="102"/>
      <c r="G147" s="102"/>
      <c r="H147" s="102"/>
      <c r="I147" s="64"/>
      <c r="J147" s="64"/>
      <c r="K147" s="64"/>
      <c r="L147" s="64"/>
      <c r="M147" s="64"/>
      <c r="N147" s="64"/>
      <c r="O147" s="64"/>
      <c r="P147" s="64"/>
      <c r="Q147" s="64"/>
      <c r="R147" s="64"/>
      <c r="S147" s="64"/>
      <c r="T147" s="64"/>
      <c r="U147" s="64"/>
      <c r="V147" s="64"/>
      <c r="W147" s="64"/>
      <c r="X147" s="64"/>
      <c r="Y147" s="64"/>
      <c r="Z147" s="64"/>
      <c r="AA147" s="64"/>
      <c r="AB147" s="64"/>
      <c r="AC147" s="64"/>
      <c r="AD147" s="64"/>
      <c r="AE147" s="64"/>
      <c r="AF147" s="64"/>
      <c r="AG147" s="64"/>
      <c r="AH147" s="64"/>
      <c r="AI147" s="64"/>
      <c r="AJ147" s="64"/>
      <c r="AK147" s="64"/>
      <c r="AL147" s="64"/>
      <c r="AM147" s="64"/>
      <c r="AN147" s="64"/>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c r="BU147" s="64"/>
      <c r="BV147" s="64"/>
      <c r="BW147" s="64"/>
      <c r="BX147" s="64"/>
      <c r="BY147" s="64"/>
      <c r="BZ147" s="64"/>
      <c r="CA147" s="64"/>
      <c r="CB147" s="64"/>
      <c r="CC147" s="64"/>
      <c r="CD147" s="64"/>
      <c r="CE147" s="64"/>
      <c r="CF147" s="64"/>
      <c r="CG147" s="64"/>
      <c r="CH147" s="64"/>
      <c r="CI147" s="64"/>
      <c r="CJ147" s="64"/>
      <c r="CK147" s="64"/>
      <c r="CL147" s="64"/>
      <c r="CM147" s="64"/>
      <c r="CN147" s="64"/>
      <c r="CO147" s="64"/>
      <c r="CP147" s="64"/>
      <c r="CQ147" s="64"/>
      <c r="CR147" s="64"/>
      <c r="CS147" s="64"/>
      <c r="CT147" s="64"/>
      <c r="CU147" s="64"/>
      <c r="CV147" s="64"/>
      <c r="CW147" s="64"/>
      <c r="CX147" s="64"/>
    </row>
    <row r="148" spans="1:102" x14ac:dyDescent="0.2">
      <c r="A148" s="64"/>
      <c r="B148" s="64"/>
      <c r="C148" s="102"/>
      <c r="D148" s="102"/>
      <c r="E148" s="102"/>
      <c r="F148" s="102"/>
      <c r="G148" s="102"/>
      <c r="H148" s="102"/>
      <c r="I148" s="64"/>
      <c r="J148" s="64"/>
      <c r="K148" s="64"/>
      <c r="L148" s="64"/>
      <c r="M148" s="64"/>
      <c r="N148" s="64"/>
      <c r="O148" s="64"/>
      <c r="P148" s="64"/>
      <c r="Q148" s="64"/>
      <c r="R148" s="64"/>
      <c r="S148" s="64"/>
      <c r="T148" s="64"/>
      <c r="U148" s="64"/>
      <c r="V148" s="64"/>
      <c r="W148" s="64"/>
      <c r="X148" s="64"/>
      <c r="Y148" s="64"/>
      <c r="Z148" s="64"/>
      <c r="AA148" s="64"/>
      <c r="AB148" s="64"/>
      <c r="AC148" s="64"/>
      <c r="AD148" s="64"/>
      <c r="AE148" s="64"/>
      <c r="AF148" s="64"/>
      <c r="AG148" s="64"/>
      <c r="AH148" s="64"/>
      <c r="AI148" s="64"/>
      <c r="AJ148" s="64"/>
      <c r="AK148" s="64"/>
      <c r="AL148" s="64"/>
      <c r="AM148" s="64"/>
      <c r="AN148" s="64"/>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c r="BU148" s="64"/>
      <c r="BV148" s="64"/>
      <c r="BW148" s="64"/>
      <c r="BX148" s="64"/>
      <c r="BY148" s="64"/>
      <c r="BZ148" s="64"/>
      <c r="CA148" s="64"/>
      <c r="CB148" s="64"/>
      <c r="CC148" s="64"/>
      <c r="CD148" s="64"/>
      <c r="CE148" s="64"/>
      <c r="CF148" s="64"/>
      <c r="CG148" s="64"/>
      <c r="CH148" s="64"/>
      <c r="CI148" s="64"/>
      <c r="CJ148" s="64"/>
      <c r="CK148" s="64"/>
      <c r="CL148" s="64"/>
      <c r="CM148" s="64"/>
      <c r="CN148" s="64"/>
      <c r="CO148" s="64"/>
      <c r="CP148" s="64"/>
      <c r="CQ148" s="64"/>
      <c r="CR148" s="64"/>
      <c r="CS148" s="64"/>
      <c r="CT148" s="64"/>
      <c r="CU148" s="64"/>
      <c r="CV148" s="64"/>
      <c r="CW148" s="64"/>
      <c r="CX148" s="64"/>
    </row>
    <row r="149" spans="1:102" x14ac:dyDescent="0.2">
      <c r="A149" s="64"/>
      <c r="B149" s="64"/>
      <c r="C149" s="102"/>
      <c r="D149" s="102"/>
      <c r="E149" s="102"/>
      <c r="F149" s="102"/>
      <c r="G149" s="102"/>
      <c r="H149" s="102"/>
      <c r="I149" s="64"/>
      <c r="J149" s="64"/>
      <c r="K149" s="64"/>
      <c r="L149" s="64"/>
      <c r="M149" s="64"/>
      <c r="N149" s="64"/>
      <c r="O149" s="64"/>
      <c r="P149" s="64"/>
      <c r="Q149" s="64"/>
      <c r="R149" s="64"/>
      <c r="S149" s="64"/>
      <c r="T149" s="64"/>
      <c r="U149" s="64"/>
      <c r="V149" s="64"/>
      <c r="W149" s="64"/>
      <c r="X149" s="64"/>
      <c r="Y149" s="64"/>
      <c r="Z149" s="64"/>
      <c r="AA149" s="64"/>
      <c r="AB149" s="64"/>
      <c r="AC149" s="64"/>
      <c r="AD149" s="64"/>
      <c r="AE149" s="64"/>
      <c r="AF149" s="64"/>
      <c r="AG149" s="64"/>
      <c r="AH149" s="64"/>
      <c r="AI149" s="64"/>
      <c r="AJ149" s="64"/>
      <c r="AK149" s="64"/>
      <c r="AL149" s="64"/>
      <c r="AM149" s="64"/>
      <c r="AN149" s="64"/>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c r="BU149" s="64"/>
      <c r="BV149" s="64"/>
      <c r="BW149" s="64"/>
      <c r="BX149" s="64"/>
      <c r="BY149" s="64"/>
      <c r="BZ149" s="64"/>
      <c r="CA149" s="64"/>
      <c r="CB149" s="64"/>
      <c r="CC149" s="64"/>
      <c r="CD149" s="64"/>
      <c r="CE149" s="64"/>
      <c r="CF149" s="64"/>
      <c r="CG149" s="64"/>
      <c r="CH149" s="64"/>
      <c r="CI149" s="64"/>
      <c r="CJ149" s="64"/>
      <c r="CK149" s="64"/>
      <c r="CL149" s="64"/>
      <c r="CM149" s="64"/>
      <c r="CN149" s="64"/>
      <c r="CO149" s="64"/>
      <c r="CP149" s="64"/>
      <c r="CQ149" s="64"/>
      <c r="CR149" s="64"/>
      <c r="CS149" s="64"/>
      <c r="CT149" s="64"/>
      <c r="CU149" s="64"/>
      <c r="CV149" s="64"/>
      <c r="CW149" s="64"/>
      <c r="CX149" s="64"/>
    </row>
    <row r="150" spans="1:102" x14ac:dyDescent="0.2">
      <c r="A150" s="64"/>
      <c r="B150" s="64"/>
      <c r="C150" s="102"/>
      <c r="D150" s="102"/>
      <c r="E150" s="102"/>
      <c r="F150" s="102"/>
      <c r="G150" s="102"/>
      <c r="H150" s="102"/>
      <c r="I150" s="64"/>
      <c r="J150" s="64"/>
      <c r="K150" s="64"/>
      <c r="L150" s="64"/>
      <c r="M150" s="64"/>
      <c r="N150" s="64"/>
      <c r="O150" s="64"/>
      <c r="P150" s="64"/>
      <c r="Q150" s="64"/>
      <c r="R150" s="64"/>
      <c r="S150" s="64"/>
      <c r="T150" s="64"/>
      <c r="U150" s="64"/>
      <c r="V150" s="64"/>
      <c r="W150" s="64"/>
      <c r="X150" s="64"/>
      <c r="Y150" s="64"/>
      <c r="Z150" s="64"/>
      <c r="AA150" s="64"/>
      <c r="AB150" s="64"/>
      <c r="AC150" s="64"/>
      <c r="AD150" s="64"/>
      <c r="AE150" s="64"/>
      <c r="AF150" s="64"/>
      <c r="AG150" s="64"/>
      <c r="AH150" s="64"/>
      <c r="AI150" s="64"/>
      <c r="AJ150" s="64"/>
      <c r="AK150" s="64"/>
      <c r="AL150" s="64"/>
      <c r="AM150" s="64"/>
      <c r="AN150" s="64"/>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c r="BU150" s="64"/>
      <c r="BV150" s="64"/>
      <c r="BW150" s="64"/>
      <c r="BX150" s="64"/>
      <c r="BY150" s="64"/>
      <c r="BZ150" s="64"/>
      <c r="CA150" s="64"/>
      <c r="CB150" s="64"/>
      <c r="CC150" s="64"/>
      <c r="CD150" s="64"/>
      <c r="CE150" s="64"/>
      <c r="CF150" s="64"/>
      <c r="CG150" s="64"/>
      <c r="CH150" s="64"/>
      <c r="CI150" s="64"/>
      <c r="CJ150" s="64"/>
      <c r="CK150" s="64"/>
      <c r="CL150" s="64"/>
      <c r="CM150" s="64"/>
      <c r="CN150" s="64"/>
      <c r="CO150" s="64"/>
      <c r="CP150" s="64"/>
      <c r="CQ150" s="64"/>
      <c r="CR150" s="64"/>
      <c r="CS150" s="64"/>
      <c r="CT150" s="64"/>
      <c r="CU150" s="64"/>
      <c r="CV150" s="64"/>
      <c r="CW150" s="64"/>
      <c r="CX150" s="64"/>
    </row>
    <row r="151" spans="1:102" x14ac:dyDescent="0.2">
      <c r="A151" s="64"/>
      <c r="B151" s="64"/>
      <c r="C151" s="102"/>
      <c r="D151" s="102"/>
      <c r="E151" s="102"/>
      <c r="F151" s="102"/>
      <c r="G151" s="102"/>
      <c r="H151" s="102"/>
      <c r="I151" s="64"/>
      <c r="J151" s="64"/>
      <c r="K151" s="64"/>
      <c r="L151" s="64"/>
      <c r="M151" s="64"/>
      <c r="N151" s="64"/>
      <c r="O151" s="64"/>
      <c r="P151" s="64"/>
      <c r="Q151" s="64"/>
      <c r="R151" s="64"/>
      <c r="S151" s="64"/>
      <c r="T151" s="64"/>
      <c r="U151" s="64"/>
      <c r="V151" s="64"/>
      <c r="W151" s="64"/>
      <c r="X151" s="64"/>
      <c r="Y151" s="64"/>
      <c r="Z151" s="64"/>
      <c r="AA151" s="64"/>
      <c r="AB151" s="64"/>
      <c r="AC151" s="64"/>
      <c r="AD151" s="64"/>
      <c r="AE151" s="64"/>
      <c r="AF151" s="64"/>
      <c r="AG151" s="64"/>
      <c r="AH151" s="64"/>
      <c r="AI151" s="64"/>
      <c r="AJ151" s="64"/>
      <c r="AK151" s="64"/>
      <c r="AL151" s="64"/>
      <c r="AM151" s="64"/>
      <c r="AN151" s="64"/>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c r="BU151" s="64"/>
      <c r="BV151" s="64"/>
      <c r="BW151" s="64"/>
      <c r="BX151" s="64"/>
      <c r="BY151" s="64"/>
      <c r="BZ151" s="64"/>
      <c r="CA151" s="64"/>
      <c r="CB151" s="64"/>
      <c r="CC151" s="64"/>
      <c r="CD151" s="64"/>
      <c r="CE151" s="64"/>
      <c r="CF151" s="64"/>
      <c r="CG151" s="64"/>
      <c r="CH151" s="64"/>
      <c r="CI151" s="64"/>
      <c r="CJ151" s="64"/>
      <c r="CK151" s="64"/>
      <c r="CL151" s="64"/>
      <c r="CM151" s="64"/>
      <c r="CN151" s="64"/>
      <c r="CO151" s="64"/>
      <c r="CP151" s="64"/>
      <c r="CQ151" s="64"/>
      <c r="CR151" s="64"/>
      <c r="CS151" s="64"/>
      <c r="CT151" s="64"/>
      <c r="CU151" s="64"/>
      <c r="CV151" s="64"/>
      <c r="CW151" s="64"/>
      <c r="CX151" s="64"/>
    </row>
    <row r="152" spans="1:102" x14ac:dyDescent="0.2">
      <c r="A152" s="64"/>
      <c r="B152" s="64"/>
      <c r="C152" s="102"/>
      <c r="D152" s="102"/>
      <c r="E152" s="102"/>
      <c r="F152" s="102"/>
      <c r="G152" s="102"/>
      <c r="H152" s="102"/>
      <c r="I152" s="64"/>
      <c r="J152" s="64"/>
      <c r="K152" s="64"/>
      <c r="L152" s="64"/>
      <c r="M152" s="64"/>
      <c r="N152" s="64"/>
      <c r="O152" s="64"/>
      <c r="P152" s="64"/>
      <c r="Q152" s="64"/>
      <c r="R152" s="64"/>
      <c r="S152" s="64"/>
      <c r="T152" s="64"/>
      <c r="U152" s="64"/>
      <c r="V152" s="64"/>
      <c r="W152" s="64"/>
      <c r="X152" s="64"/>
      <c r="Y152" s="64"/>
      <c r="Z152" s="64"/>
      <c r="AA152" s="64"/>
      <c r="AB152" s="64"/>
      <c r="AC152" s="64"/>
      <c r="AD152" s="64"/>
      <c r="AE152" s="64"/>
      <c r="AF152" s="64"/>
      <c r="AG152" s="64"/>
      <c r="AH152" s="64"/>
      <c r="AI152" s="64"/>
      <c r="AJ152" s="64"/>
      <c r="AK152" s="64"/>
      <c r="AL152" s="64"/>
      <c r="AM152" s="64"/>
      <c r="AN152" s="64"/>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c r="BU152" s="64"/>
      <c r="BV152" s="64"/>
      <c r="BW152" s="64"/>
      <c r="BX152" s="64"/>
      <c r="BY152" s="64"/>
      <c r="BZ152" s="64"/>
      <c r="CA152" s="64"/>
      <c r="CB152" s="64"/>
      <c r="CC152" s="64"/>
      <c r="CD152" s="64"/>
      <c r="CE152" s="64"/>
      <c r="CF152" s="64"/>
      <c r="CG152" s="64"/>
      <c r="CH152" s="64"/>
      <c r="CI152" s="64"/>
      <c r="CJ152" s="64"/>
      <c r="CK152" s="64"/>
      <c r="CL152" s="64"/>
      <c r="CM152" s="64"/>
      <c r="CN152" s="64"/>
      <c r="CO152" s="64"/>
      <c r="CP152" s="64"/>
      <c r="CQ152" s="64"/>
      <c r="CR152" s="64"/>
      <c r="CS152" s="64"/>
      <c r="CT152" s="64"/>
      <c r="CU152" s="64"/>
      <c r="CV152" s="64"/>
      <c r="CW152" s="64"/>
      <c r="CX152" s="64"/>
    </row>
    <row r="153" spans="1:102" x14ac:dyDescent="0.2">
      <c r="A153" s="64"/>
      <c r="B153" s="64"/>
      <c r="C153" s="102"/>
      <c r="D153" s="102"/>
      <c r="E153" s="102"/>
      <c r="F153" s="102"/>
      <c r="G153" s="102"/>
      <c r="H153" s="102"/>
      <c r="I153" s="64"/>
      <c r="J153" s="64"/>
      <c r="K153" s="64"/>
      <c r="L153" s="64"/>
      <c r="M153" s="64"/>
      <c r="N153" s="64"/>
      <c r="O153" s="64"/>
      <c r="P153" s="64"/>
      <c r="Q153" s="64"/>
      <c r="R153" s="64"/>
      <c r="S153" s="64"/>
      <c r="T153" s="64"/>
      <c r="U153" s="64"/>
      <c r="V153" s="64"/>
      <c r="W153" s="64"/>
      <c r="X153" s="64"/>
      <c r="Y153" s="64"/>
      <c r="Z153" s="64"/>
      <c r="AA153" s="64"/>
      <c r="AB153" s="64"/>
      <c r="AC153" s="64"/>
      <c r="AD153" s="64"/>
      <c r="AE153" s="64"/>
      <c r="AF153" s="64"/>
      <c r="AG153" s="64"/>
      <c r="AH153" s="64"/>
      <c r="AI153" s="64"/>
      <c r="AJ153" s="64"/>
      <c r="AK153" s="64"/>
      <c r="AL153" s="64"/>
      <c r="AM153" s="64"/>
      <c r="AN153" s="64"/>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c r="BU153" s="64"/>
      <c r="BV153" s="64"/>
      <c r="BW153" s="64"/>
      <c r="BX153" s="64"/>
      <c r="BY153" s="64"/>
      <c r="BZ153" s="64"/>
      <c r="CA153" s="64"/>
      <c r="CB153" s="64"/>
      <c r="CC153" s="64"/>
      <c r="CD153" s="64"/>
      <c r="CE153" s="64"/>
      <c r="CF153" s="64"/>
      <c r="CG153" s="64"/>
      <c r="CH153" s="64"/>
      <c r="CI153" s="64"/>
      <c r="CJ153" s="64"/>
      <c r="CK153" s="64"/>
      <c r="CL153" s="64"/>
      <c r="CM153" s="64"/>
      <c r="CN153" s="64"/>
      <c r="CO153" s="64"/>
      <c r="CP153" s="64"/>
      <c r="CQ153" s="64"/>
      <c r="CR153" s="64"/>
      <c r="CS153" s="64"/>
      <c r="CT153" s="64"/>
      <c r="CU153" s="64"/>
      <c r="CV153" s="64"/>
      <c r="CW153" s="64"/>
      <c r="CX153" s="64"/>
    </row>
    <row r="154" spans="1:102" x14ac:dyDescent="0.2">
      <c r="A154" s="64"/>
      <c r="B154" s="64"/>
      <c r="C154" s="102"/>
      <c r="D154" s="102"/>
      <c r="E154" s="102"/>
      <c r="F154" s="102"/>
      <c r="G154" s="102"/>
      <c r="H154" s="102"/>
      <c r="I154" s="64"/>
      <c r="J154" s="64"/>
      <c r="K154" s="64"/>
      <c r="L154" s="64"/>
      <c r="M154" s="64"/>
      <c r="N154" s="64"/>
      <c r="O154" s="64"/>
      <c r="P154" s="64"/>
      <c r="Q154" s="64"/>
      <c r="R154" s="64"/>
      <c r="S154" s="64"/>
      <c r="T154" s="64"/>
      <c r="U154" s="64"/>
      <c r="V154" s="64"/>
      <c r="W154" s="64"/>
      <c r="X154" s="64"/>
      <c r="Y154" s="64"/>
      <c r="Z154" s="64"/>
      <c r="AA154" s="64"/>
      <c r="AB154" s="64"/>
      <c r="AC154" s="64"/>
      <c r="AD154" s="64"/>
      <c r="AE154" s="64"/>
      <c r="AF154" s="64"/>
      <c r="AG154" s="64"/>
      <c r="AH154" s="64"/>
      <c r="AI154" s="64"/>
      <c r="AJ154" s="64"/>
      <c r="AK154" s="64"/>
      <c r="AL154" s="64"/>
      <c r="AM154" s="64"/>
      <c r="AN154" s="64"/>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c r="BU154" s="64"/>
      <c r="BV154" s="64"/>
      <c r="BW154" s="64"/>
      <c r="BX154" s="64"/>
      <c r="BY154" s="64"/>
      <c r="BZ154" s="64"/>
      <c r="CA154" s="64"/>
      <c r="CB154" s="64"/>
      <c r="CC154" s="64"/>
      <c r="CD154" s="64"/>
      <c r="CE154" s="64"/>
      <c r="CF154" s="64"/>
      <c r="CG154" s="64"/>
      <c r="CH154" s="64"/>
      <c r="CI154" s="64"/>
      <c r="CJ154" s="64"/>
      <c r="CK154" s="64"/>
      <c r="CL154" s="64"/>
      <c r="CM154" s="64"/>
      <c r="CN154" s="64"/>
      <c r="CO154" s="64"/>
      <c r="CP154" s="64"/>
      <c r="CQ154" s="64"/>
      <c r="CR154" s="64"/>
      <c r="CS154" s="64"/>
      <c r="CT154" s="64"/>
      <c r="CU154" s="64"/>
      <c r="CV154" s="64"/>
      <c r="CW154" s="64"/>
      <c r="CX154" s="64"/>
    </row>
    <row r="155" spans="1:102" x14ac:dyDescent="0.2">
      <c r="A155" s="64"/>
      <c r="B155" s="64"/>
      <c r="C155" s="102"/>
      <c r="D155" s="102"/>
      <c r="E155" s="102"/>
      <c r="F155" s="102"/>
      <c r="G155" s="102"/>
      <c r="H155" s="102"/>
      <c r="I155" s="64"/>
      <c r="J155" s="64"/>
      <c r="K155" s="64"/>
      <c r="L155" s="64"/>
      <c r="M155" s="64"/>
      <c r="N155" s="64"/>
      <c r="O155" s="64"/>
      <c r="P155" s="64"/>
      <c r="Q155" s="64"/>
      <c r="R155" s="64"/>
      <c r="S155" s="64"/>
      <c r="T155" s="64"/>
      <c r="U155" s="64"/>
      <c r="V155" s="64"/>
      <c r="W155" s="64"/>
      <c r="X155" s="64"/>
      <c r="Y155" s="64"/>
      <c r="Z155" s="64"/>
      <c r="AA155" s="64"/>
      <c r="AB155" s="64"/>
      <c r="AC155" s="64"/>
      <c r="AD155" s="64"/>
      <c r="AE155" s="64"/>
      <c r="AF155" s="64"/>
      <c r="AG155" s="64"/>
      <c r="AH155" s="64"/>
      <c r="AI155" s="64"/>
      <c r="AJ155" s="64"/>
      <c r="AK155" s="64"/>
      <c r="AL155" s="64"/>
      <c r="AM155" s="64"/>
      <c r="AN155" s="64"/>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c r="BU155" s="64"/>
      <c r="BV155" s="64"/>
      <c r="BW155" s="64"/>
      <c r="BX155" s="64"/>
      <c r="BY155" s="64"/>
      <c r="BZ155" s="64"/>
      <c r="CA155" s="64"/>
      <c r="CB155" s="64"/>
      <c r="CC155" s="64"/>
      <c r="CD155" s="64"/>
      <c r="CE155" s="64"/>
      <c r="CF155" s="64"/>
      <c r="CG155" s="64"/>
      <c r="CH155" s="64"/>
      <c r="CI155" s="64"/>
      <c r="CJ155" s="64"/>
      <c r="CK155" s="64"/>
      <c r="CL155" s="64"/>
      <c r="CM155" s="64"/>
      <c r="CN155" s="64"/>
      <c r="CO155" s="64"/>
      <c r="CP155" s="64"/>
      <c r="CQ155" s="64"/>
      <c r="CR155" s="64"/>
      <c r="CS155" s="64"/>
      <c r="CT155" s="64"/>
      <c r="CU155" s="64"/>
      <c r="CV155" s="64"/>
      <c r="CW155" s="64"/>
      <c r="CX155" s="64"/>
    </row>
    <row r="156" spans="1:102" x14ac:dyDescent="0.2">
      <c r="A156" s="64"/>
      <c r="B156" s="64"/>
      <c r="C156" s="102"/>
      <c r="D156" s="102"/>
      <c r="E156" s="102"/>
      <c r="F156" s="102"/>
      <c r="G156" s="102"/>
      <c r="H156" s="102"/>
      <c r="I156" s="64"/>
      <c r="J156" s="64"/>
      <c r="K156" s="64"/>
      <c r="L156" s="64"/>
      <c r="M156" s="64"/>
      <c r="N156" s="64"/>
      <c r="O156" s="64"/>
      <c r="P156" s="64"/>
      <c r="Q156" s="64"/>
      <c r="R156" s="64"/>
      <c r="S156" s="64"/>
      <c r="T156" s="64"/>
      <c r="U156" s="64"/>
      <c r="V156" s="64"/>
      <c r="W156" s="64"/>
      <c r="X156" s="64"/>
      <c r="Y156" s="64"/>
      <c r="Z156" s="64"/>
      <c r="AA156" s="64"/>
      <c r="AB156" s="64"/>
      <c r="AC156" s="64"/>
      <c r="AD156" s="64"/>
      <c r="AE156" s="64"/>
      <c r="AF156" s="64"/>
      <c r="AG156" s="64"/>
      <c r="AH156" s="64"/>
      <c r="AI156" s="64"/>
      <c r="AJ156" s="64"/>
      <c r="AK156" s="64"/>
      <c r="AL156" s="64"/>
      <c r="AM156" s="64"/>
      <c r="AN156" s="64"/>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c r="BU156" s="64"/>
      <c r="BV156" s="64"/>
      <c r="BW156" s="64"/>
      <c r="BX156" s="64"/>
      <c r="BY156" s="64"/>
      <c r="BZ156" s="64"/>
      <c r="CA156" s="64"/>
      <c r="CB156" s="64"/>
      <c r="CC156" s="64"/>
      <c r="CD156" s="64"/>
      <c r="CE156" s="64"/>
      <c r="CF156" s="64"/>
      <c r="CG156" s="64"/>
      <c r="CH156" s="64"/>
      <c r="CI156" s="64"/>
      <c r="CJ156" s="64"/>
      <c r="CK156" s="64"/>
      <c r="CL156" s="64"/>
      <c r="CM156" s="64"/>
      <c r="CN156" s="64"/>
      <c r="CO156" s="64"/>
      <c r="CP156" s="64"/>
      <c r="CQ156" s="64"/>
      <c r="CR156" s="64"/>
      <c r="CS156" s="64"/>
      <c r="CT156" s="64"/>
      <c r="CU156" s="64"/>
      <c r="CV156" s="64"/>
      <c r="CW156" s="64"/>
      <c r="CX156" s="64"/>
    </row>
    <row r="157" spans="1:102" x14ac:dyDescent="0.2">
      <c r="A157" s="64"/>
      <c r="B157" s="64"/>
      <c r="C157" s="102"/>
      <c r="D157" s="102"/>
      <c r="E157" s="102"/>
      <c r="F157" s="102"/>
      <c r="G157" s="102"/>
      <c r="H157" s="102"/>
      <c r="I157" s="64"/>
      <c r="J157" s="64"/>
      <c r="K157" s="64"/>
      <c r="L157" s="64"/>
      <c r="M157" s="64"/>
      <c r="N157" s="64"/>
      <c r="O157" s="64"/>
      <c r="P157" s="64"/>
      <c r="Q157" s="64"/>
      <c r="R157" s="64"/>
      <c r="S157" s="64"/>
      <c r="T157" s="64"/>
      <c r="U157" s="64"/>
      <c r="V157" s="64"/>
      <c r="W157" s="64"/>
      <c r="X157" s="64"/>
      <c r="Y157" s="64"/>
      <c r="Z157" s="64"/>
      <c r="AA157" s="64"/>
      <c r="AB157" s="64"/>
      <c r="AC157" s="64"/>
      <c r="AD157" s="64"/>
      <c r="AE157" s="64"/>
      <c r="AF157" s="64"/>
      <c r="AG157" s="64"/>
      <c r="AH157" s="64"/>
      <c r="AI157" s="64"/>
      <c r="AJ157" s="64"/>
      <c r="AK157" s="64"/>
      <c r="AL157" s="64"/>
      <c r="AM157" s="64"/>
      <c r="AN157" s="64"/>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c r="BU157" s="64"/>
      <c r="BV157" s="64"/>
      <c r="BW157" s="64"/>
      <c r="BX157" s="64"/>
      <c r="BY157" s="64"/>
      <c r="BZ157" s="64"/>
      <c r="CA157" s="64"/>
      <c r="CB157" s="64"/>
      <c r="CC157" s="64"/>
      <c r="CD157" s="64"/>
      <c r="CE157" s="64"/>
      <c r="CF157" s="64"/>
      <c r="CG157" s="64"/>
      <c r="CH157" s="64"/>
      <c r="CI157" s="64"/>
      <c r="CJ157" s="64"/>
      <c r="CK157" s="64"/>
      <c r="CL157" s="64"/>
      <c r="CM157" s="64"/>
      <c r="CN157" s="64"/>
      <c r="CO157" s="64"/>
      <c r="CP157" s="64"/>
      <c r="CQ157" s="64"/>
      <c r="CR157" s="64"/>
      <c r="CS157" s="64"/>
      <c r="CT157" s="64"/>
      <c r="CU157" s="64"/>
      <c r="CV157" s="64"/>
      <c r="CW157" s="64"/>
      <c r="CX157" s="64"/>
    </row>
    <row r="158" spans="1:102" x14ac:dyDescent="0.2">
      <c r="A158" s="64"/>
      <c r="B158" s="64"/>
      <c r="C158" s="102"/>
      <c r="D158" s="102"/>
      <c r="E158" s="102"/>
      <c r="F158" s="102"/>
      <c r="G158" s="102"/>
      <c r="H158" s="102"/>
      <c r="I158" s="64"/>
      <c r="J158" s="64"/>
      <c r="K158" s="64"/>
      <c r="L158" s="64"/>
      <c r="M158" s="64"/>
      <c r="N158" s="64"/>
      <c r="O158" s="64"/>
      <c r="P158" s="64"/>
      <c r="Q158" s="64"/>
      <c r="R158" s="64"/>
      <c r="S158" s="64"/>
      <c r="T158" s="64"/>
      <c r="U158" s="64"/>
      <c r="V158" s="64"/>
      <c r="W158" s="64"/>
      <c r="X158" s="64"/>
      <c r="Y158" s="64"/>
      <c r="Z158" s="64"/>
      <c r="AA158" s="64"/>
      <c r="AB158" s="64"/>
      <c r="AC158" s="64"/>
      <c r="AD158" s="64"/>
      <c r="AE158" s="64"/>
      <c r="AF158" s="64"/>
      <c r="AG158" s="64"/>
      <c r="AH158" s="64"/>
      <c r="AI158" s="64"/>
      <c r="AJ158" s="64"/>
      <c r="AK158" s="64"/>
      <c r="AL158" s="64"/>
      <c r="AM158" s="64"/>
      <c r="AN158" s="64"/>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c r="BU158" s="64"/>
      <c r="BV158" s="64"/>
      <c r="BW158" s="64"/>
      <c r="BX158" s="64"/>
      <c r="BY158" s="64"/>
      <c r="BZ158" s="64"/>
      <c r="CA158" s="64"/>
      <c r="CB158" s="64"/>
      <c r="CC158" s="64"/>
      <c r="CD158" s="64"/>
      <c r="CE158" s="64"/>
      <c r="CF158" s="64"/>
      <c r="CG158" s="64"/>
      <c r="CH158" s="64"/>
      <c r="CI158" s="64"/>
      <c r="CJ158" s="64"/>
      <c r="CK158" s="64"/>
      <c r="CL158" s="64"/>
      <c r="CM158" s="64"/>
      <c r="CN158" s="64"/>
      <c r="CO158" s="64"/>
      <c r="CP158" s="64"/>
      <c r="CQ158" s="64"/>
      <c r="CR158" s="64"/>
      <c r="CS158" s="64"/>
      <c r="CT158" s="64"/>
      <c r="CU158" s="64"/>
      <c r="CV158" s="64"/>
      <c r="CW158" s="64"/>
      <c r="CX158" s="64"/>
    </row>
    <row r="159" spans="1:102" x14ac:dyDescent="0.2">
      <c r="A159" s="64"/>
      <c r="B159" s="64"/>
      <c r="C159" s="102"/>
      <c r="D159" s="102"/>
      <c r="E159" s="102"/>
      <c r="F159" s="102"/>
      <c r="G159" s="102"/>
      <c r="H159" s="102"/>
      <c r="I159" s="64"/>
      <c r="J159" s="64"/>
      <c r="K159" s="64"/>
      <c r="L159" s="64"/>
      <c r="M159" s="64"/>
      <c r="N159" s="64"/>
      <c r="O159" s="64"/>
      <c r="P159" s="64"/>
      <c r="Q159" s="64"/>
      <c r="R159" s="64"/>
      <c r="S159" s="64"/>
      <c r="T159" s="64"/>
      <c r="U159" s="64"/>
      <c r="V159" s="64"/>
      <c r="W159" s="64"/>
      <c r="X159" s="64"/>
      <c r="Y159" s="64"/>
      <c r="Z159" s="64"/>
      <c r="AA159" s="64"/>
      <c r="AB159" s="64"/>
      <c r="AC159" s="64"/>
      <c r="AD159" s="64"/>
      <c r="AE159" s="64"/>
      <c r="AF159" s="64"/>
      <c r="AG159" s="64"/>
      <c r="AH159" s="64"/>
      <c r="AI159" s="64"/>
      <c r="AJ159" s="64"/>
      <c r="AK159" s="64"/>
      <c r="AL159" s="64"/>
      <c r="AM159" s="64"/>
      <c r="AN159" s="64"/>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c r="BU159" s="64"/>
      <c r="BV159" s="64"/>
      <c r="BW159" s="64"/>
      <c r="BX159" s="64"/>
      <c r="BY159" s="64"/>
      <c r="BZ159" s="64"/>
      <c r="CA159" s="64"/>
      <c r="CB159" s="64"/>
      <c r="CC159" s="64"/>
      <c r="CD159" s="64"/>
      <c r="CE159" s="64"/>
      <c r="CF159" s="64"/>
      <c r="CG159" s="64"/>
      <c r="CH159" s="64"/>
      <c r="CI159" s="64"/>
      <c r="CJ159" s="64"/>
      <c r="CK159" s="64"/>
      <c r="CL159" s="64"/>
      <c r="CM159" s="64"/>
      <c r="CN159" s="64"/>
      <c r="CO159" s="64"/>
      <c r="CP159" s="64"/>
      <c r="CQ159" s="64"/>
      <c r="CR159" s="64"/>
      <c r="CS159" s="64"/>
      <c r="CT159" s="64"/>
      <c r="CU159" s="64"/>
      <c r="CV159" s="64"/>
      <c r="CW159" s="64"/>
      <c r="CX159" s="64"/>
    </row>
    <row r="160" spans="1:102" x14ac:dyDescent="0.2">
      <c r="A160" s="64"/>
      <c r="B160" s="64"/>
      <c r="C160" s="102"/>
      <c r="D160" s="102"/>
      <c r="E160" s="102"/>
      <c r="F160" s="102"/>
      <c r="G160" s="102"/>
      <c r="H160" s="102"/>
      <c r="I160" s="64"/>
      <c r="J160" s="64"/>
      <c r="K160" s="64"/>
      <c r="L160" s="64"/>
      <c r="M160" s="64"/>
      <c r="N160" s="64"/>
      <c r="O160" s="64"/>
      <c r="P160" s="64"/>
      <c r="Q160" s="64"/>
      <c r="R160" s="64"/>
      <c r="S160" s="64"/>
      <c r="T160" s="64"/>
      <c r="U160" s="64"/>
      <c r="V160" s="64"/>
      <c r="W160" s="64"/>
      <c r="X160" s="64"/>
      <c r="Y160" s="64"/>
      <c r="Z160" s="64"/>
      <c r="AA160" s="64"/>
      <c r="AB160" s="64"/>
      <c r="AC160" s="64"/>
      <c r="AD160" s="64"/>
      <c r="AE160" s="64"/>
      <c r="AF160" s="64"/>
      <c r="AG160" s="64"/>
      <c r="AH160" s="64"/>
      <c r="AI160" s="64"/>
      <c r="AJ160" s="64"/>
      <c r="AK160" s="64"/>
      <c r="AL160" s="64"/>
      <c r="AM160" s="64"/>
      <c r="AN160" s="64"/>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c r="BU160" s="64"/>
      <c r="BV160" s="64"/>
      <c r="BW160" s="64"/>
      <c r="BX160" s="64"/>
      <c r="BY160" s="64"/>
      <c r="BZ160" s="64"/>
      <c r="CA160" s="64"/>
      <c r="CB160" s="64"/>
      <c r="CC160" s="64"/>
      <c r="CD160" s="64"/>
      <c r="CE160" s="64"/>
      <c r="CF160" s="64"/>
      <c r="CG160" s="64"/>
      <c r="CH160" s="64"/>
      <c r="CI160" s="64"/>
      <c r="CJ160" s="64"/>
      <c r="CK160" s="64"/>
      <c r="CL160" s="64"/>
      <c r="CM160" s="64"/>
      <c r="CN160" s="64"/>
      <c r="CO160" s="64"/>
      <c r="CP160" s="64"/>
      <c r="CQ160" s="64"/>
      <c r="CR160" s="64"/>
      <c r="CS160" s="64"/>
      <c r="CT160" s="64"/>
      <c r="CU160" s="64"/>
      <c r="CV160" s="64"/>
      <c r="CW160" s="64"/>
      <c r="CX160" s="64"/>
    </row>
    <row r="161" spans="1:102" x14ac:dyDescent="0.2">
      <c r="A161" s="64"/>
      <c r="B161" s="64"/>
      <c r="C161" s="102"/>
      <c r="D161" s="102"/>
      <c r="E161" s="102"/>
      <c r="F161" s="102"/>
      <c r="G161" s="102"/>
      <c r="H161" s="102"/>
      <c r="I161" s="64"/>
      <c r="J161" s="64"/>
      <c r="K161" s="64"/>
      <c r="L161" s="64"/>
      <c r="M161" s="64"/>
      <c r="N161" s="64"/>
      <c r="O161" s="64"/>
      <c r="P161" s="64"/>
      <c r="Q161" s="64"/>
      <c r="R161" s="64"/>
      <c r="S161" s="64"/>
      <c r="T161" s="64"/>
      <c r="U161" s="64"/>
      <c r="V161" s="64"/>
      <c r="W161" s="64"/>
      <c r="X161" s="64"/>
      <c r="Y161" s="64"/>
      <c r="Z161" s="64"/>
      <c r="AA161" s="64"/>
      <c r="AB161" s="64"/>
      <c r="AC161" s="64"/>
      <c r="AD161" s="64"/>
      <c r="AE161" s="64"/>
      <c r="AF161" s="64"/>
      <c r="AG161" s="64"/>
      <c r="AH161" s="64"/>
      <c r="AI161" s="64"/>
      <c r="AJ161" s="64"/>
      <c r="AK161" s="64"/>
      <c r="AL161" s="64"/>
      <c r="AM161" s="64"/>
      <c r="AN161" s="64"/>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c r="BU161" s="64"/>
      <c r="BV161" s="64"/>
      <c r="BW161" s="64"/>
      <c r="BX161" s="64"/>
      <c r="BY161" s="64"/>
      <c r="BZ161" s="64"/>
      <c r="CA161" s="64"/>
      <c r="CB161" s="64"/>
      <c r="CC161" s="64"/>
      <c r="CD161" s="64"/>
      <c r="CE161" s="64"/>
      <c r="CF161" s="64"/>
      <c r="CG161" s="64"/>
      <c r="CH161" s="64"/>
      <c r="CI161" s="64"/>
      <c r="CJ161" s="64"/>
      <c r="CK161" s="64"/>
      <c r="CL161" s="64"/>
      <c r="CM161" s="64"/>
      <c r="CN161" s="64"/>
      <c r="CO161" s="64"/>
      <c r="CP161" s="64"/>
      <c r="CQ161" s="64"/>
      <c r="CR161" s="64"/>
      <c r="CS161" s="64"/>
      <c r="CT161" s="64"/>
      <c r="CU161" s="64"/>
      <c r="CV161" s="64"/>
      <c r="CW161" s="64"/>
      <c r="CX161" s="64"/>
    </row>
    <row r="162" spans="1:102" x14ac:dyDescent="0.2">
      <c r="A162" s="64"/>
      <c r="B162" s="64"/>
      <c r="C162" s="102"/>
      <c r="D162" s="102"/>
      <c r="E162" s="102"/>
      <c r="F162" s="102"/>
      <c r="G162" s="102"/>
      <c r="H162" s="102"/>
      <c r="I162" s="64"/>
      <c r="J162" s="64"/>
      <c r="K162" s="64"/>
      <c r="L162" s="64"/>
      <c r="M162" s="64"/>
      <c r="N162" s="64"/>
      <c r="O162" s="64"/>
      <c r="P162" s="64"/>
      <c r="Q162" s="64"/>
      <c r="R162" s="64"/>
      <c r="S162" s="64"/>
      <c r="T162" s="64"/>
      <c r="U162" s="64"/>
      <c r="V162" s="64"/>
      <c r="W162" s="64"/>
      <c r="X162" s="64"/>
      <c r="Y162" s="64"/>
      <c r="Z162" s="64"/>
      <c r="AA162" s="64"/>
      <c r="AB162" s="64"/>
      <c r="AC162" s="64"/>
      <c r="AD162" s="64"/>
      <c r="AE162" s="64"/>
      <c r="AF162" s="64"/>
      <c r="AG162" s="64"/>
      <c r="AH162" s="64"/>
      <c r="AI162" s="64"/>
      <c r="AJ162" s="64"/>
      <c r="AK162" s="64"/>
      <c r="AL162" s="64"/>
      <c r="AM162" s="64"/>
      <c r="AN162" s="64"/>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c r="BU162" s="64"/>
      <c r="BV162" s="64"/>
      <c r="BW162" s="64"/>
      <c r="BX162" s="64"/>
      <c r="BY162" s="64"/>
      <c r="BZ162" s="64"/>
      <c r="CA162" s="64"/>
      <c r="CB162" s="64"/>
      <c r="CC162" s="64"/>
      <c r="CD162" s="64"/>
      <c r="CE162" s="64"/>
      <c r="CF162" s="64"/>
      <c r="CG162" s="64"/>
      <c r="CH162" s="64"/>
      <c r="CI162" s="64"/>
      <c r="CJ162" s="64"/>
      <c r="CK162" s="64"/>
      <c r="CL162" s="64"/>
      <c r="CM162" s="64"/>
      <c r="CN162" s="64"/>
      <c r="CO162" s="64"/>
      <c r="CP162" s="64"/>
      <c r="CQ162" s="64"/>
      <c r="CR162" s="64"/>
      <c r="CS162" s="64"/>
      <c r="CT162" s="64"/>
      <c r="CU162" s="64"/>
      <c r="CV162" s="64"/>
      <c r="CW162" s="64"/>
      <c r="CX162" s="64"/>
    </row>
    <row r="163" spans="1:102" x14ac:dyDescent="0.2">
      <c r="A163" s="64"/>
      <c r="B163" s="64"/>
      <c r="C163" s="102"/>
      <c r="D163" s="102"/>
      <c r="E163" s="102"/>
      <c r="F163" s="102"/>
      <c r="G163" s="102"/>
      <c r="H163" s="102"/>
      <c r="I163" s="64"/>
      <c r="J163" s="64"/>
      <c r="K163" s="64"/>
      <c r="L163" s="64"/>
      <c r="M163" s="64"/>
      <c r="N163" s="64"/>
      <c r="O163" s="64"/>
      <c r="P163" s="64"/>
      <c r="Q163" s="64"/>
      <c r="R163" s="64"/>
      <c r="S163" s="64"/>
      <c r="T163" s="64"/>
      <c r="U163" s="64"/>
      <c r="V163" s="64"/>
      <c r="W163" s="64"/>
      <c r="X163" s="64"/>
      <c r="Y163" s="64"/>
      <c r="Z163" s="64"/>
      <c r="AA163" s="64"/>
      <c r="AB163" s="64"/>
      <c r="AC163" s="64"/>
      <c r="AD163" s="64"/>
      <c r="AE163" s="64"/>
      <c r="AF163" s="64"/>
      <c r="AG163" s="64"/>
      <c r="AH163" s="64"/>
      <c r="AI163" s="64"/>
      <c r="AJ163" s="64"/>
      <c r="AK163" s="64"/>
      <c r="AL163" s="64"/>
      <c r="AM163" s="64"/>
      <c r="AN163" s="64"/>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c r="BU163" s="64"/>
      <c r="BV163" s="64"/>
      <c r="BW163" s="64"/>
      <c r="BX163" s="64"/>
      <c r="BY163" s="64"/>
      <c r="BZ163" s="64"/>
      <c r="CA163" s="64"/>
      <c r="CB163" s="64"/>
      <c r="CC163" s="64"/>
      <c r="CD163" s="64"/>
      <c r="CE163" s="64"/>
      <c r="CF163" s="64"/>
      <c r="CG163" s="64"/>
      <c r="CH163" s="64"/>
      <c r="CI163" s="64"/>
      <c r="CJ163" s="64"/>
      <c r="CK163" s="64"/>
      <c r="CL163" s="64"/>
      <c r="CM163" s="64"/>
      <c r="CN163" s="64"/>
      <c r="CO163" s="64"/>
      <c r="CP163" s="64"/>
      <c r="CQ163" s="64"/>
      <c r="CR163" s="64"/>
      <c r="CS163" s="64"/>
      <c r="CT163" s="64"/>
      <c r="CU163" s="64"/>
      <c r="CV163" s="64"/>
      <c r="CW163" s="64"/>
      <c r="CX163" s="64"/>
    </row>
    <row r="164" spans="1:102" x14ac:dyDescent="0.2">
      <c r="A164" s="64"/>
      <c r="B164" s="64"/>
      <c r="C164" s="102"/>
      <c r="D164" s="102"/>
      <c r="E164" s="102"/>
      <c r="F164" s="102"/>
      <c r="G164" s="102"/>
      <c r="H164" s="102"/>
      <c r="I164" s="64"/>
      <c r="J164" s="64"/>
      <c r="K164" s="64"/>
      <c r="L164" s="64"/>
      <c r="M164" s="64"/>
      <c r="N164" s="64"/>
      <c r="O164" s="64"/>
      <c r="P164" s="64"/>
      <c r="Q164" s="64"/>
      <c r="R164" s="64"/>
      <c r="S164" s="64"/>
      <c r="T164" s="64"/>
      <c r="U164" s="64"/>
      <c r="V164" s="64"/>
      <c r="W164" s="64"/>
      <c r="X164" s="64"/>
      <c r="Y164" s="64"/>
      <c r="Z164" s="64"/>
      <c r="AA164" s="64"/>
      <c r="AB164" s="64"/>
      <c r="AC164" s="64"/>
      <c r="AD164" s="64"/>
      <c r="AE164" s="64"/>
      <c r="AF164" s="64"/>
      <c r="AG164" s="64"/>
      <c r="AH164" s="64"/>
      <c r="AI164" s="64"/>
      <c r="AJ164" s="64"/>
      <c r="AK164" s="64"/>
      <c r="AL164" s="64"/>
      <c r="AM164" s="64"/>
      <c r="AN164" s="64"/>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c r="BU164" s="64"/>
      <c r="BV164" s="64"/>
      <c r="BW164" s="64"/>
      <c r="BX164" s="64"/>
      <c r="BY164" s="64"/>
      <c r="BZ164" s="64"/>
      <c r="CA164" s="64"/>
      <c r="CB164" s="64"/>
      <c r="CC164" s="64"/>
      <c r="CD164" s="64"/>
      <c r="CE164" s="64"/>
      <c r="CF164" s="64"/>
      <c r="CG164" s="64"/>
      <c r="CH164" s="64"/>
      <c r="CI164" s="64"/>
      <c r="CJ164" s="64"/>
      <c r="CK164" s="64"/>
      <c r="CL164" s="64"/>
      <c r="CM164" s="64"/>
      <c r="CN164" s="64"/>
      <c r="CO164" s="64"/>
      <c r="CP164" s="64"/>
      <c r="CQ164" s="64"/>
      <c r="CR164" s="64"/>
      <c r="CS164" s="64"/>
      <c r="CT164" s="64"/>
      <c r="CU164" s="64"/>
      <c r="CV164" s="64"/>
      <c r="CW164" s="64"/>
      <c r="CX164" s="64"/>
    </row>
    <row r="165" spans="1:102" x14ac:dyDescent="0.2">
      <c r="A165" s="64"/>
      <c r="B165" s="64"/>
      <c r="C165" s="102"/>
      <c r="D165" s="102"/>
      <c r="E165" s="102"/>
      <c r="F165" s="102"/>
      <c r="G165" s="102"/>
      <c r="H165" s="102"/>
      <c r="I165" s="64"/>
      <c r="J165" s="64"/>
      <c r="K165" s="64"/>
      <c r="L165" s="64"/>
      <c r="M165" s="64"/>
      <c r="N165" s="64"/>
      <c r="O165" s="64"/>
      <c r="P165" s="64"/>
      <c r="Q165" s="64"/>
      <c r="R165" s="64"/>
      <c r="S165" s="64"/>
      <c r="T165" s="64"/>
      <c r="U165" s="64"/>
      <c r="V165" s="64"/>
      <c r="W165" s="64"/>
      <c r="X165" s="64"/>
      <c r="Y165" s="64"/>
      <c r="Z165" s="64"/>
      <c r="AA165" s="64"/>
      <c r="AB165" s="64"/>
      <c r="AC165" s="64"/>
      <c r="AD165" s="64"/>
      <c r="AE165" s="64"/>
      <c r="AF165" s="64"/>
      <c r="AG165" s="64"/>
      <c r="AH165" s="64"/>
      <c r="AI165" s="64"/>
      <c r="AJ165" s="64"/>
      <c r="AK165" s="64"/>
      <c r="AL165" s="64"/>
      <c r="AM165" s="64"/>
      <c r="AN165" s="64"/>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c r="BU165" s="64"/>
      <c r="BV165" s="64"/>
      <c r="BW165" s="64"/>
      <c r="BX165" s="64"/>
      <c r="BY165" s="64"/>
      <c r="BZ165" s="64"/>
      <c r="CA165" s="64"/>
      <c r="CB165" s="64"/>
      <c r="CC165" s="64"/>
      <c r="CD165" s="64"/>
      <c r="CE165" s="64"/>
      <c r="CF165" s="64"/>
      <c r="CG165" s="64"/>
      <c r="CH165" s="64"/>
      <c r="CI165" s="64"/>
      <c r="CJ165" s="64"/>
      <c r="CK165" s="64"/>
      <c r="CL165" s="64"/>
      <c r="CM165" s="64"/>
      <c r="CN165" s="64"/>
      <c r="CO165" s="64"/>
      <c r="CP165" s="64"/>
      <c r="CQ165" s="64"/>
      <c r="CR165" s="64"/>
      <c r="CS165" s="64"/>
      <c r="CT165" s="64"/>
      <c r="CU165" s="64"/>
      <c r="CV165" s="64"/>
      <c r="CW165" s="64"/>
      <c r="CX165" s="64"/>
    </row>
    <row r="166" spans="1:102" x14ac:dyDescent="0.2">
      <c r="A166" s="64"/>
      <c r="B166" s="64"/>
      <c r="C166" s="102"/>
      <c r="D166" s="102"/>
      <c r="E166" s="102"/>
      <c r="F166" s="102"/>
      <c r="G166" s="102"/>
      <c r="H166" s="102"/>
      <c r="I166" s="64"/>
      <c r="J166" s="64"/>
      <c r="K166" s="64"/>
      <c r="L166" s="64"/>
      <c r="M166" s="64"/>
      <c r="N166" s="64"/>
      <c r="O166" s="64"/>
      <c r="P166" s="64"/>
      <c r="Q166" s="64"/>
      <c r="R166" s="64"/>
      <c r="S166" s="64"/>
      <c r="T166" s="64"/>
      <c r="U166" s="64"/>
      <c r="V166" s="64"/>
      <c r="W166" s="64"/>
      <c r="X166" s="64"/>
      <c r="Y166" s="64"/>
      <c r="Z166" s="64"/>
      <c r="AA166" s="64"/>
      <c r="AB166" s="64"/>
      <c r="AC166" s="64"/>
      <c r="AD166" s="64"/>
      <c r="AE166" s="64"/>
      <c r="AF166" s="64"/>
      <c r="AG166" s="64"/>
      <c r="AH166" s="64"/>
      <c r="AI166" s="64"/>
      <c r="AJ166" s="64"/>
      <c r="AK166" s="64"/>
      <c r="AL166" s="64"/>
      <c r="AM166" s="64"/>
      <c r="AN166" s="64"/>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c r="BU166" s="64"/>
      <c r="BV166" s="64"/>
      <c r="BW166" s="64"/>
      <c r="BX166" s="64"/>
      <c r="BY166" s="64"/>
      <c r="BZ166" s="64"/>
      <c r="CA166" s="64"/>
      <c r="CB166" s="64"/>
      <c r="CC166" s="64"/>
      <c r="CD166" s="64"/>
      <c r="CE166" s="64"/>
      <c r="CF166" s="64"/>
      <c r="CG166" s="64"/>
      <c r="CH166" s="64"/>
      <c r="CI166" s="64"/>
      <c r="CJ166" s="64"/>
      <c r="CK166" s="64"/>
      <c r="CL166" s="64"/>
      <c r="CM166" s="64"/>
      <c r="CN166" s="64"/>
      <c r="CO166" s="64"/>
      <c r="CP166" s="64"/>
      <c r="CQ166" s="64"/>
      <c r="CR166" s="64"/>
      <c r="CS166" s="64"/>
      <c r="CT166" s="64"/>
      <c r="CU166" s="64"/>
      <c r="CV166" s="64"/>
      <c r="CW166" s="64"/>
      <c r="CX166" s="64"/>
    </row>
    <row r="167" spans="1:102" x14ac:dyDescent="0.2">
      <c r="A167" s="64"/>
      <c r="B167" s="64"/>
      <c r="C167" s="102"/>
      <c r="D167" s="102"/>
      <c r="E167" s="102"/>
      <c r="F167" s="102"/>
      <c r="G167" s="102"/>
      <c r="H167" s="102"/>
      <c r="I167" s="64"/>
      <c r="J167" s="64"/>
      <c r="K167" s="64"/>
      <c r="L167" s="64"/>
      <c r="M167" s="64"/>
      <c r="N167" s="64"/>
      <c r="O167" s="64"/>
      <c r="P167" s="64"/>
      <c r="Q167" s="64"/>
      <c r="R167" s="64"/>
      <c r="S167" s="64"/>
      <c r="T167" s="64"/>
      <c r="U167" s="64"/>
      <c r="V167" s="64"/>
      <c r="W167" s="64"/>
      <c r="X167" s="64"/>
      <c r="Y167" s="64"/>
      <c r="Z167" s="64"/>
      <c r="AA167" s="64"/>
      <c r="AB167" s="64"/>
      <c r="AC167" s="64"/>
      <c r="AD167" s="64"/>
      <c r="AE167" s="64"/>
      <c r="AF167" s="64"/>
      <c r="AG167" s="64"/>
      <c r="AH167" s="64"/>
      <c r="AI167" s="64"/>
      <c r="AJ167" s="64"/>
      <c r="AK167" s="64"/>
      <c r="AL167" s="64"/>
      <c r="AM167" s="64"/>
      <c r="AN167" s="64"/>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c r="BU167" s="64"/>
      <c r="BV167" s="64"/>
      <c r="BW167" s="64"/>
      <c r="BX167" s="64"/>
      <c r="BY167" s="64"/>
      <c r="BZ167" s="64"/>
      <c r="CA167" s="64"/>
      <c r="CB167" s="64"/>
      <c r="CC167" s="64"/>
      <c r="CD167" s="64"/>
      <c r="CE167" s="64"/>
      <c r="CF167" s="64"/>
      <c r="CG167" s="64"/>
      <c r="CH167" s="64"/>
      <c r="CI167" s="64"/>
      <c r="CJ167" s="64"/>
      <c r="CK167" s="64"/>
      <c r="CL167" s="64"/>
      <c r="CM167" s="64"/>
      <c r="CN167" s="64"/>
      <c r="CO167" s="64"/>
      <c r="CP167" s="64"/>
      <c r="CQ167" s="64"/>
      <c r="CR167" s="64"/>
      <c r="CS167" s="64"/>
      <c r="CT167" s="64"/>
      <c r="CU167" s="64"/>
      <c r="CV167" s="64"/>
      <c r="CW167" s="64"/>
      <c r="CX167" s="64"/>
    </row>
    <row r="168" spans="1:102" x14ac:dyDescent="0.2">
      <c r="A168" s="64"/>
      <c r="B168" s="64"/>
      <c r="C168" s="102"/>
      <c r="D168" s="102"/>
      <c r="E168" s="102"/>
      <c r="F168" s="102"/>
      <c r="G168" s="102"/>
      <c r="H168" s="102"/>
      <c r="I168" s="64"/>
      <c r="J168" s="64"/>
      <c r="K168" s="64"/>
      <c r="L168" s="64"/>
      <c r="M168" s="64"/>
      <c r="N168" s="64"/>
      <c r="O168" s="64"/>
      <c r="P168" s="64"/>
      <c r="Q168" s="64"/>
      <c r="R168" s="64"/>
      <c r="S168" s="64"/>
      <c r="T168" s="64"/>
      <c r="U168" s="64"/>
      <c r="V168" s="64"/>
      <c r="W168" s="64"/>
      <c r="X168" s="64"/>
      <c r="Y168" s="64"/>
      <c r="Z168" s="64"/>
      <c r="AA168" s="64"/>
      <c r="AB168" s="64"/>
      <c r="AC168" s="64"/>
      <c r="AD168" s="64"/>
      <c r="AE168" s="64"/>
      <c r="AF168" s="64"/>
      <c r="AG168" s="64"/>
      <c r="AH168" s="64"/>
      <c r="AI168" s="64"/>
      <c r="AJ168" s="64"/>
      <c r="AK168" s="64"/>
      <c r="AL168" s="64"/>
      <c r="AM168" s="64"/>
      <c r="AN168" s="64"/>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c r="BU168" s="64"/>
      <c r="BV168" s="64"/>
      <c r="BW168" s="64"/>
      <c r="BX168" s="64"/>
      <c r="BY168" s="64"/>
      <c r="BZ168" s="64"/>
      <c r="CA168" s="64"/>
      <c r="CB168" s="64"/>
      <c r="CC168" s="64"/>
      <c r="CD168" s="64"/>
      <c r="CE168" s="64"/>
      <c r="CF168" s="64"/>
      <c r="CG168" s="64"/>
      <c r="CH168" s="64"/>
      <c r="CI168" s="64"/>
      <c r="CJ168" s="64"/>
      <c r="CK168" s="64"/>
      <c r="CL168" s="64"/>
      <c r="CM168" s="64"/>
      <c r="CN168" s="64"/>
      <c r="CO168" s="64"/>
      <c r="CP168" s="64"/>
      <c r="CQ168" s="64"/>
      <c r="CR168" s="64"/>
      <c r="CS168" s="64"/>
      <c r="CT168" s="64"/>
      <c r="CU168" s="64"/>
      <c r="CV168" s="64"/>
      <c r="CW168" s="64"/>
      <c r="CX168" s="64"/>
    </row>
    <row r="169" spans="1:102" x14ac:dyDescent="0.2">
      <c r="A169" s="64"/>
      <c r="B169" s="64"/>
      <c r="C169" s="102"/>
      <c r="D169" s="102"/>
      <c r="E169" s="102"/>
      <c r="F169" s="102"/>
      <c r="G169" s="102"/>
      <c r="H169" s="102"/>
      <c r="I169" s="64"/>
      <c r="J169" s="64"/>
      <c r="K169" s="64"/>
      <c r="L169" s="64"/>
      <c r="M169" s="64"/>
      <c r="N169" s="64"/>
      <c r="O169" s="64"/>
      <c r="P169" s="64"/>
      <c r="Q169" s="64"/>
      <c r="R169" s="64"/>
      <c r="S169" s="64"/>
      <c r="T169" s="64"/>
      <c r="U169" s="64"/>
      <c r="V169" s="64"/>
      <c r="W169" s="64"/>
      <c r="X169" s="64"/>
      <c r="Y169" s="64"/>
      <c r="Z169" s="64"/>
      <c r="AA169" s="64"/>
      <c r="AB169" s="64"/>
      <c r="AC169" s="64"/>
      <c r="AD169" s="64"/>
      <c r="AE169" s="64"/>
      <c r="AF169" s="64"/>
      <c r="AG169" s="64"/>
      <c r="AH169" s="64"/>
      <c r="AI169" s="64"/>
      <c r="AJ169" s="64"/>
      <c r="AK169" s="64"/>
      <c r="AL169" s="64"/>
      <c r="AM169" s="64"/>
      <c r="AN169" s="64"/>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c r="BU169" s="64"/>
      <c r="BV169" s="64"/>
      <c r="BW169" s="64"/>
      <c r="BX169" s="64"/>
      <c r="BY169" s="64"/>
      <c r="BZ169" s="64"/>
      <c r="CA169" s="64"/>
      <c r="CB169" s="64"/>
      <c r="CC169" s="64"/>
      <c r="CD169" s="64"/>
      <c r="CE169" s="64"/>
      <c r="CF169" s="64"/>
      <c r="CG169" s="64"/>
      <c r="CH169" s="64"/>
      <c r="CI169" s="64"/>
      <c r="CJ169" s="64"/>
      <c r="CK169" s="64"/>
      <c r="CL169" s="64"/>
      <c r="CM169" s="64"/>
      <c r="CN169" s="64"/>
      <c r="CO169" s="64"/>
      <c r="CP169" s="64"/>
      <c r="CQ169" s="64"/>
      <c r="CR169" s="64"/>
      <c r="CS169" s="64"/>
      <c r="CT169" s="64"/>
      <c r="CU169" s="64"/>
      <c r="CV169" s="64"/>
      <c r="CW169" s="64"/>
      <c r="CX169" s="64"/>
    </row>
    <row r="170" spans="1:102" x14ac:dyDescent="0.2">
      <c r="A170" s="64"/>
      <c r="B170" s="64"/>
      <c r="C170" s="102"/>
      <c r="D170" s="102"/>
      <c r="E170" s="102"/>
      <c r="F170" s="102"/>
      <c r="G170" s="102"/>
      <c r="H170" s="102"/>
      <c r="I170" s="64"/>
      <c r="J170" s="64"/>
      <c r="K170" s="64"/>
      <c r="L170" s="64"/>
      <c r="M170" s="64"/>
      <c r="N170" s="64"/>
      <c r="O170" s="64"/>
      <c r="P170" s="64"/>
      <c r="Q170" s="64"/>
      <c r="R170" s="64"/>
      <c r="S170" s="64"/>
      <c r="T170" s="64"/>
      <c r="U170" s="64"/>
      <c r="V170" s="64"/>
      <c r="W170" s="64"/>
      <c r="X170" s="64"/>
      <c r="Y170" s="64"/>
      <c r="Z170" s="64"/>
      <c r="AA170" s="64"/>
      <c r="AB170" s="64"/>
      <c r="AC170" s="64"/>
      <c r="AD170" s="64"/>
      <c r="AE170" s="64"/>
      <c r="AF170" s="64"/>
      <c r="AG170" s="64"/>
      <c r="AH170" s="64"/>
      <c r="AI170" s="64"/>
      <c r="AJ170" s="64"/>
      <c r="AK170" s="64"/>
      <c r="AL170" s="64"/>
      <c r="AM170" s="64"/>
      <c r="AN170" s="64"/>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c r="BU170" s="64"/>
      <c r="BV170" s="64"/>
      <c r="BW170" s="64"/>
      <c r="BX170" s="64"/>
      <c r="BY170" s="64"/>
      <c r="BZ170" s="64"/>
      <c r="CA170" s="64"/>
      <c r="CB170" s="64"/>
      <c r="CC170" s="64"/>
      <c r="CD170" s="64"/>
      <c r="CE170" s="64"/>
      <c r="CF170" s="64"/>
      <c r="CG170" s="64"/>
      <c r="CH170" s="64"/>
      <c r="CI170" s="64"/>
      <c r="CJ170" s="64"/>
      <c r="CK170" s="64"/>
      <c r="CL170" s="64"/>
      <c r="CM170" s="64"/>
      <c r="CN170" s="64"/>
      <c r="CO170" s="64"/>
      <c r="CP170" s="64"/>
      <c r="CQ170" s="64"/>
      <c r="CR170" s="64"/>
      <c r="CS170" s="64"/>
      <c r="CT170" s="64"/>
      <c r="CU170" s="64"/>
      <c r="CV170" s="64"/>
      <c r="CW170" s="64"/>
      <c r="CX170" s="64"/>
    </row>
    <row r="171" spans="1:102" x14ac:dyDescent="0.2">
      <c r="A171" s="64"/>
      <c r="B171" s="64"/>
      <c r="C171" s="102"/>
      <c r="D171" s="102"/>
      <c r="E171" s="102"/>
      <c r="F171" s="102"/>
      <c r="G171" s="102"/>
      <c r="H171" s="102"/>
      <c r="I171" s="64"/>
      <c r="J171" s="64"/>
      <c r="K171" s="64"/>
      <c r="L171" s="64"/>
      <c r="M171" s="64"/>
      <c r="N171" s="64"/>
      <c r="O171" s="64"/>
      <c r="P171" s="64"/>
      <c r="Q171" s="64"/>
      <c r="R171" s="64"/>
      <c r="S171" s="64"/>
      <c r="T171" s="64"/>
      <c r="U171" s="64"/>
      <c r="V171" s="64"/>
      <c r="W171" s="64"/>
      <c r="X171" s="64"/>
      <c r="Y171" s="64"/>
      <c r="Z171" s="64"/>
      <c r="AA171" s="64"/>
      <c r="AB171" s="64"/>
      <c r="AC171" s="64"/>
      <c r="AD171" s="64"/>
      <c r="AE171" s="64"/>
      <c r="AF171" s="64"/>
      <c r="AG171" s="64"/>
      <c r="AH171" s="64"/>
      <c r="AI171" s="64"/>
      <c r="AJ171" s="64"/>
      <c r="AK171" s="64"/>
      <c r="AL171" s="64"/>
      <c r="AM171" s="64"/>
      <c r="AN171" s="64"/>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c r="BU171" s="64"/>
      <c r="BV171" s="64"/>
      <c r="BW171" s="64"/>
      <c r="BX171" s="64"/>
      <c r="BY171" s="64"/>
      <c r="BZ171" s="64"/>
      <c r="CA171" s="64"/>
      <c r="CB171" s="64"/>
      <c r="CC171" s="64"/>
      <c r="CD171" s="64"/>
      <c r="CE171" s="64"/>
      <c r="CF171" s="64"/>
      <c r="CG171" s="64"/>
      <c r="CH171" s="64"/>
      <c r="CI171" s="64"/>
      <c r="CJ171" s="64"/>
      <c r="CK171" s="64"/>
      <c r="CL171" s="64"/>
      <c r="CM171" s="64"/>
      <c r="CN171" s="64"/>
      <c r="CO171" s="64"/>
      <c r="CP171" s="64"/>
      <c r="CQ171" s="64"/>
      <c r="CR171" s="64"/>
      <c r="CS171" s="64"/>
      <c r="CT171" s="64"/>
      <c r="CU171" s="64"/>
      <c r="CV171" s="64"/>
      <c r="CW171" s="64"/>
      <c r="CX171" s="64"/>
    </row>
    <row r="172" spans="1:102" x14ac:dyDescent="0.2">
      <c r="A172" s="64"/>
      <c r="B172" s="64"/>
      <c r="C172" s="102"/>
      <c r="D172" s="102"/>
      <c r="E172" s="102"/>
      <c r="F172" s="102"/>
      <c r="G172" s="102"/>
      <c r="H172" s="102"/>
      <c r="I172" s="64"/>
      <c r="J172" s="64"/>
      <c r="K172" s="64"/>
      <c r="L172" s="64"/>
      <c r="M172" s="64"/>
      <c r="N172" s="64"/>
      <c r="O172" s="64"/>
      <c r="P172" s="64"/>
      <c r="Q172" s="64"/>
      <c r="R172" s="64"/>
      <c r="S172" s="64"/>
      <c r="T172" s="64"/>
      <c r="U172" s="64"/>
      <c r="V172" s="64"/>
      <c r="W172" s="64"/>
      <c r="X172" s="64"/>
      <c r="Y172" s="64"/>
      <c r="Z172" s="64"/>
      <c r="AA172" s="64"/>
      <c r="AB172" s="64"/>
      <c r="AC172" s="64"/>
      <c r="AD172" s="64"/>
      <c r="AE172" s="64"/>
      <c r="AF172" s="64"/>
      <c r="AG172" s="64"/>
      <c r="AH172" s="64"/>
      <c r="AI172" s="64"/>
      <c r="AJ172" s="64"/>
      <c r="AK172" s="64"/>
      <c r="AL172" s="64"/>
      <c r="AM172" s="64"/>
      <c r="AN172" s="64"/>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c r="BU172" s="64"/>
      <c r="BV172" s="64"/>
      <c r="BW172" s="64"/>
      <c r="BX172" s="64"/>
      <c r="BY172" s="64"/>
      <c r="BZ172" s="64"/>
      <c r="CA172" s="64"/>
      <c r="CB172" s="64"/>
      <c r="CC172" s="64"/>
      <c r="CD172" s="64"/>
      <c r="CE172" s="64"/>
      <c r="CF172" s="64"/>
      <c r="CG172" s="64"/>
      <c r="CH172" s="64"/>
      <c r="CI172" s="64"/>
      <c r="CJ172" s="64"/>
      <c r="CK172" s="64"/>
      <c r="CL172" s="64"/>
      <c r="CM172" s="64"/>
      <c r="CN172" s="64"/>
      <c r="CO172" s="64"/>
      <c r="CP172" s="64"/>
      <c r="CQ172" s="64"/>
      <c r="CR172" s="64"/>
      <c r="CS172" s="64"/>
      <c r="CT172" s="64"/>
      <c r="CU172" s="64"/>
      <c r="CV172" s="64"/>
      <c r="CW172" s="64"/>
      <c r="CX172" s="64"/>
    </row>
    <row r="173" spans="1:102" x14ac:dyDescent="0.2">
      <c r="A173" s="64"/>
      <c r="B173" s="64"/>
      <c r="C173" s="102"/>
      <c r="D173" s="102"/>
      <c r="E173" s="102"/>
      <c r="F173" s="102"/>
      <c r="G173" s="102"/>
      <c r="H173" s="102"/>
      <c r="I173" s="64"/>
      <c r="J173" s="64"/>
      <c r="K173" s="64"/>
      <c r="L173" s="64"/>
      <c r="M173" s="64"/>
      <c r="N173" s="64"/>
      <c r="O173" s="64"/>
      <c r="P173" s="64"/>
      <c r="Q173" s="64"/>
      <c r="R173" s="64"/>
      <c r="S173" s="64"/>
      <c r="T173" s="64"/>
      <c r="U173" s="64"/>
      <c r="V173" s="64"/>
      <c r="W173" s="64"/>
      <c r="X173" s="64"/>
      <c r="Y173" s="64"/>
      <c r="Z173" s="64"/>
      <c r="AA173" s="64"/>
      <c r="AB173" s="64"/>
      <c r="AC173" s="64"/>
      <c r="AD173" s="64"/>
      <c r="AE173" s="64"/>
      <c r="AF173" s="64"/>
      <c r="AG173" s="64"/>
      <c r="AH173" s="64"/>
      <c r="AI173" s="64"/>
      <c r="AJ173" s="64"/>
      <c r="AK173" s="64"/>
      <c r="AL173" s="64"/>
      <c r="AM173" s="64"/>
      <c r="AN173" s="64"/>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c r="BU173" s="64"/>
      <c r="BV173" s="64"/>
      <c r="BW173" s="64"/>
      <c r="BX173" s="64"/>
      <c r="BY173" s="64"/>
      <c r="BZ173" s="64"/>
      <c r="CA173" s="64"/>
      <c r="CB173" s="64"/>
      <c r="CC173" s="64"/>
      <c r="CD173" s="64"/>
      <c r="CE173" s="64"/>
      <c r="CF173" s="64"/>
      <c r="CG173" s="64"/>
      <c r="CH173" s="64"/>
      <c r="CI173" s="64"/>
      <c r="CJ173" s="64"/>
      <c r="CK173" s="64"/>
      <c r="CL173" s="64"/>
      <c r="CM173" s="64"/>
      <c r="CN173" s="64"/>
      <c r="CO173" s="64"/>
      <c r="CP173" s="64"/>
      <c r="CQ173" s="64"/>
      <c r="CR173" s="64"/>
      <c r="CS173" s="64"/>
      <c r="CT173" s="64"/>
      <c r="CU173" s="64"/>
      <c r="CV173" s="64"/>
      <c r="CW173" s="64"/>
      <c r="CX173" s="64"/>
    </row>
    <row r="174" spans="1:102" x14ac:dyDescent="0.2">
      <c r="A174" s="64"/>
      <c r="B174" s="64"/>
      <c r="C174" s="102"/>
      <c r="D174" s="102"/>
      <c r="E174" s="102"/>
      <c r="F174" s="102"/>
      <c r="G174" s="102"/>
      <c r="H174" s="102"/>
      <c r="I174" s="64"/>
      <c r="J174" s="64"/>
      <c r="K174" s="64"/>
      <c r="L174" s="64"/>
      <c r="M174" s="64"/>
      <c r="N174" s="64"/>
      <c r="O174" s="64"/>
      <c r="P174" s="64"/>
      <c r="Q174" s="64"/>
      <c r="R174" s="64"/>
      <c r="S174" s="64"/>
      <c r="T174" s="64"/>
      <c r="U174" s="64"/>
      <c r="V174" s="64"/>
      <c r="W174" s="64"/>
      <c r="X174" s="64"/>
      <c r="Y174" s="64"/>
      <c r="Z174" s="64"/>
      <c r="AA174" s="64"/>
      <c r="AB174" s="64"/>
      <c r="AC174" s="64"/>
      <c r="AD174" s="64"/>
      <c r="AE174" s="64"/>
      <c r="AF174" s="64"/>
      <c r="AG174" s="64"/>
      <c r="AH174" s="64"/>
      <c r="AI174" s="64"/>
      <c r="AJ174" s="64"/>
      <c r="AK174" s="64"/>
      <c r="AL174" s="64"/>
      <c r="AM174" s="64"/>
      <c r="AN174" s="64"/>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c r="BU174" s="64"/>
      <c r="BV174" s="64"/>
      <c r="BW174" s="64"/>
      <c r="BX174" s="64"/>
      <c r="BY174" s="64"/>
      <c r="BZ174" s="64"/>
      <c r="CA174" s="64"/>
      <c r="CB174" s="64"/>
      <c r="CC174" s="64"/>
      <c r="CD174" s="64"/>
      <c r="CE174" s="64"/>
      <c r="CF174" s="64"/>
      <c r="CG174" s="64"/>
      <c r="CH174" s="64"/>
      <c r="CI174" s="64"/>
      <c r="CJ174" s="64"/>
      <c r="CK174" s="64"/>
      <c r="CL174" s="64"/>
      <c r="CM174" s="64"/>
      <c r="CN174" s="64"/>
      <c r="CO174" s="64"/>
      <c r="CP174" s="64"/>
      <c r="CQ174" s="64"/>
      <c r="CR174" s="64"/>
      <c r="CS174" s="64"/>
      <c r="CT174" s="64"/>
      <c r="CU174" s="64"/>
      <c r="CV174" s="64"/>
      <c r="CW174" s="64"/>
      <c r="CX174" s="64"/>
    </row>
    <row r="175" spans="1:102" x14ac:dyDescent="0.2">
      <c r="A175" s="64"/>
      <c r="B175" s="64"/>
      <c r="C175" s="102"/>
      <c r="D175" s="102"/>
      <c r="E175" s="102"/>
      <c r="F175" s="102"/>
      <c r="G175" s="102"/>
      <c r="H175" s="102"/>
      <c r="I175" s="64"/>
      <c r="J175" s="64"/>
      <c r="K175" s="64"/>
      <c r="L175" s="64"/>
      <c r="M175" s="64"/>
      <c r="N175" s="64"/>
      <c r="O175" s="64"/>
      <c r="P175" s="64"/>
      <c r="Q175" s="64"/>
      <c r="R175" s="64"/>
      <c r="S175" s="64"/>
      <c r="T175" s="64"/>
      <c r="U175" s="64"/>
      <c r="V175" s="64"/>
      <c r="W175" s="64"/>
      <c r="X175" s="64"/>
      <c r="Y175" s="64"/>
      <c r="Z175" s="64"/>
      <c r="AA175" s="64"/>
      <c r="AB175" s="64"/>
      <c r="AC175" s="64"/>
      <c r="AD175" s="64"/>
      <c r="AE175" s="64"/>
      <c r="AF175" s="64"/>
      <c r="AG175" s="64"/>
      <c r="AH175" s="64"/>
      <c r="AI175" s="64"/>
      <c r="AJ175" s="64"/>
      <c r="AK175" s="64"/>
      <c r="AL175" s="64"/>
      <c r="AM175" s="64"/>
      <c r="AN175" s="64"/>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c r="BU175" s="64"/>
      <c r="BV175" s="64"/>
      <c r="BW175" s="64"/>
      <c r="BX175" s="64"/>
      <c r="BY175" s="64"/>
      <c r="BZ175" s="64"/>
      <c r="CA175" s="64"/>
      <c r="CB175" s="64"/>
      <c r="CC175" s="64"/>
      <c r="CD175" s="64"/>
      <c r="CE175" s="64"/>
      <c r="CF175" s="64"/>
      <c r="CG175" s="64"/>
      <c r="CH175" s="64"/>
      <c r="CI175" s="64"/>
      <c r="CJ175" s="64"/>
      <c r="CK175" s="64"/>
      <c r="CL175" s="64"/>
      <c r="CM175" s="64"/>
      <c r="CN175" s="64"/>
      <c r="CO175" s="64"/>
      <c r="CP175" s="64"/>
      <c r="CQ175" s="64"/>
      <c r="CR175" s="64"/>
      <c r="CS175" s="64"/>
      <c r="CT175" s="64"/>
      <c r="CU175" s="64"/>
      <c r="CV175" s="64"/>
      <c r="CW175" s="64"/>
      <c r="CX175" s="64"/>
    </row>
    <row r="176" spans="1:102" x14ac:dyDescent="0.2">
      <c r="A176" s="64"/>
      <c r="B176" s="64"/>
      <c r="C176" s="102"/>
      <c r="D176" s="102"/>
      <c r="E176" s="102"/>
      <c r="F176" s="102"/>
      <c r="G176" s="102"/>
      <c r="H176" s="102"/>
      <c r="I176" s="64"/>
      <c r="J176" s="64"/>
      <c r="K176" s="64"/>
      <c r="L176" s="64"/>
      <c r="M176" s="64"/>
      <c r="N176" s="64"/>
      <c r="O176" s="64"/>
      <c r="P176" s="64"/>
      <c r="Q176" s="64"/>
      <c r="R176" s="64"/>
      <c r="S176" s="64"/>
      <c r="T176" s="64"/>
      <c r="U176" s="64"/>
      <c r="V176" s="64"/>
      <c r="W176" s="64"/>
      <c r="X176" s="64"/>
      <c r="Y176" s="64"/>
      <c r="Z176" s="64"/>
      <c r="AA176" s="64"/>
      <c r="AB176" s="64"/>
      <c r="AC176" s="64"/>
      <c r="AD176" s="64"/>
      <c r="AE176" s="64"/>
      <c r="AF176" s="64"/>
      <c r="AG176" s="64"/>
      <c r="AH176" s="64"/>
      <c r="AI176" s="64"/>
      <c r="AJ176" s="64"/>
      <c r="AK176" s="64"/>
      <c r="AL176" s="64"/>
      <c r="AM176" s="64"/>
      <c r="AN176" s="64"/>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c r="BU176" s="64"/>
      <c r="BV176" s="64"/>
      <c r="BW176" s="64"/>
      <c r="BX176" s="64"/>
      <c r="BY176" s="64"/>
      <c r="BZ176" s="64"/>
      <c r="CA176" s="64"/>
      <c r="CB176" s="64"/>
      <c r="CC176" s="64"/>
      <c r="CD176" s="64"/>
      <c r="CE176" s="64"/>
      <c r="CF176" s="64"/>
      <c r="CG176" s="64"/>
      <c r="CH176" s="64"/>
      <c r="CI176" s="64"/>
      <c r="CJ176" s="64"/>
      <c r="CK176" s="64"/>
      <c r="CL176" s="64"/>
      <c r="CM176" s="64"/>
      <c r="CN176" s="64"/>
      <c r="CO176" s="64"/>
      <c r="CP176" s="64"/>
      <c r="CQ176" s="64"/>
      <c r="CR176" s="64"/>
      <c r="CS176" s="64"/>
      <c r="CT176" s="64"/>
      <c r="CU176" s="64"/>
      <c r="CV176" s="64"/>
      <c r="CW176" s="64"/>
      <c r="CX176" s="64"/>
    </row>
    <row r="177" spans="1:102" x14ac:dyDescent="0.2">
      <c r="A177" s="64"/>
      <c r="B177" s="64"/>
      <c r="C177" s="102"/>
      <c r="D177" s="102"/>
      <c r="E177" s="102"/>
      <c r="F177" s="102"/>
      <c r="G177" s="102"/>
      <c r="H177" s="102"/>
      <c r="I177" s="64"/>
      <c r="J177" s="64"/>
      <c r="K177" s="64"/>
      <c r="L177" s="64"/>
      <c r="M177" s="64"/>
      <c r="N177" s="64"/>
      <c r="O177" s="64"/>
      <c r="P177" s="64"/>
      <c r="Q177" s="64"/>
      <c r="R177" s="64"/>
      <c r="S177" s="64"/>
      <c r="T177" s="64"/>
      <c r="U177" s="64"/>
      <c r="V177" s="64"/>
      <c r="W177" s="64"/>
      <c r="X177" s="64"/>
      <c r="Y177" s="64"/>
      <c r="Z177" s="64"/>
      <c r="AA177" s="64"/>
      <c r="AB177" s="64"/>
      <c r="AC177" s="64"/>
      <c r="AD177" s="64"/>
      <c r="AE177" s="64"/>
      <c r="AF177" s="64"/>
      <c r="AG177" s="64"/>
      <c r="AH177" s="64"/>
      <c r="AI177" s="64"/>
      <c r="AJ177" s="64"/>
      <c r="AK177" s="64"/>
      <c r="AL177" s="64"/>
      <c r="AM177" s="64"/>
      <c r="AN177" s="64"/>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c r="BU177" s="64"/>
      <c r="BV177" s="64"/>
      <c r="BW177" s="64"/>
      <c r="BX177" s="64"/>
      <c r="BY177" s="64"/>
      <c r="BZ177" s="64"/>
      <c r="CA177" s="64"/>
      <c r="CB177" s="64"/>
      <c r="CC177" s="64"/>
      <c r="CD177" s="64"/>
      <c r="CE177" s="64"/>
      <c r="CF177" s="64"/>
      <c r="CG177" s="64"/>
      <c r="CH177" s="64"/>
      <c r="CI177" s="64"/>
      <c r="CJ177" s="64"/>
      <c r="CK177" s="64"/>
      <c r="CL177" s="64"/>
      <c r="CM177" s="64"/>
      <c r="CN177" s="64"/>
      <c r="CO177" s="64"/>
      <c r="CP177" s="64"/>
      <c r="CQ177" s="64"/>
      <c r="CR177" s="64"/>
      <c r="CS177" s="64"/>
      <c r="CT177" s="64"/>
      <c r="CU177" s="64"/>
      <c r="CV177" s="64"/>
      <c r="CW177" s="64"/>
      <c r="CX177" s="64"/>
    </row>
    <row r="178" spans="1:102" x14ac:dyDescent="0.2">
      <c r="A178" s="64"/>
      <c r="B178" s="64"/>
      <c r="C178" s="102"/>
      <c r="D178" s="102"/>
      <c r="E178" s="102"/>
      <c r="F178" s="102"/>
      <c r="G178" s="102"/>
      <c r="H178" s="102"/>
      <c r="I178" s="64"/>
      <c r="J178" s="64"/>
      <c r="K178" s="64"/>
      <c r="L178" s="64"/>
      <c r="M178" s="64"/>
      <c r="N178" s="64"/>
      <c r="O178" s="64"/>
      <c r="P178" s="64"/>
      <c r="Q178" s="64"/>
      <c r="R178" s="64"/>
      <c r="S178" s="64"/>
      <c r="T178" s="64"/>
      <c r="U178" s="64"/>
      <c r="V178" s="64"/>
      <c r="W178" s="64"/>
      <c r="X178" s="64"/>
      <c r="Y178" s="64"/>
      <c r="Z178" s="64"/>
      <c r="AA178" s="64"/>
      <c r="AB178" s="64"/>
      <c r="AC178" s="64"/>
      <c r="AD178" s="64"/>
      <c r="AE178" s="64"/>
      <c r="AF178" s="64"/>
      <c r="AG178" s="64"/>
      <c r="AH178" s="64"/>
      <c r="AI178" s="64"/>
      <c r="AJ178" s="64"/>
      <c r="AK178" s="64"/>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c r="BU178" s="64"/>
      <c r="BV178" s="64"/>
      <c r="BW178" s="64"/>
      <c r="BX178" s="64"/>
      <c r="BY178" s="64"/>
      <c r="BZ178" s="64"/>
      <c r="CA178" s="64"/>
      <c r="CB178" s="64"/>
      <c r="CC178" s="64"/>
      <c r="CD178" s="64"/>
      <c r="CE178" s="64"/>
      <c r="CF178" s="64"/>
      <c r="CG178" s="64"/>
      <c r="CH178" s="64"/>
      <c r="CI178" s="64"/>
      <c r="CJ178" s="64"/>
      <c r="CK178" s="64"/>
      <c r="CL178" s="64"/>
      <c r="CM178" s="64"/>
      <c r="CN178" s="64"/>
      <c r="CO178" s="64"/>
      <c r="CP178" s="64"/>
      <c r="CQ178" s="64"/>
      <c r="CR178" s="64"/>
      <c r="CS178" s="64"/>
      <c r="CT178" s="64"/>
      <c r="CU178" s="64"/>
      <c r="CV178" s="64"/>
      <c r="CW178" s="64"/>
      <c r="CX178" s="64"/>
    </row>
    <row r="179" spans="1:102" x14ac:dyDescent="0.2">
      <c r="A179" s="64"/>
      <c r="B179" s="64"/>
      <c r="C179" s="102"/>
      <c r="D179" s="102"/>
      <c r="E179" s="102"/>
      <c r="F179" s="102"/>
      <c r="G179" s="102"/>
      <c r="H179" s="102"/>
      <c r="I179" s="64"/>
      <c r="J179" s="64"/>
      <c r="K179" s="64"/>
      <c r="L179" s="64"/>
      <c r="M179" s="64"/>
      <c r="N179" s="64"/>
      <c r="O179" s="64"/>
      <c r="P179" s="64"/>
      <c r="Q179" s="64"/>
      <c r="R179" s="64"/>
      <c r="S179" s="64"/>
      <c r="T179" s="64"/>
      <c r="U179" s="64"/>
      <c r="V179" s="64"/>
      <c r="W179" s="64"/>
      <c r="X179" s="64"/>
      <c r="Y179" s="64"/>
      <c r="Z179" s="64"/>
      <c r="AA179" s="64"/>
      <c r="AB179" s="64"/>
      <c r="AC179" s="64"/>
      <c r="AD179" s="64"/>
      <c r="AE179" s="64"/>
      <c r="AF179" s="64"/>
      <c r="AG179" s="64"/>
      <c r="AH179" s="64"/>
      <c r="AI179" s="64"/>
      <c r="AJ179" s="64"/>
      <c r="AK179" s="64"/>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c r="BU179" s="64"/>
      <c r="BV179" s="64"/>
      <c r="BW179" s="64"/>
      <c r="BX179" s="64"/>
      <c r="BY179" s="64"/>
      <c r="BZ179" s="64"/>
      <c r="CA179" s="64"/>
      <c r="CB179" s="64"/>
      <c r="CC179" s="64"/>
      <c r="CD179" s="64"/>
      <c r="CE179" s="64"/>
      <c r="CF179" s="64"/>
      <c r="CG179" s="64"/>
      <c r="CH179" s="64"/>
      <c r="CI179" s="64"/>
      <c r="CJ179" s="64"/>
      <c r="CK179" s="64"/>
      <c r="CL179" s="64"/>
      <c r="CM179" s="64"/>
      <c r="CN179" s="64"/>
      <c r="CO179" s="64"/>
      <c r="CP179" s="64"/>
      <c r="CQ179" s="64"/>
      <c r="CR179" s="64"/>
      <c r="CS179" s="64"/>
      <c r="CT179" s="64"/>
      <c r="CU179" s="64"/>
      <c r="CV179" s="64"/>
      <c r="CW179" s="64"/>
      <c r="CX179" s="64"/>
    </row>
    <row r="180" spans="1:102" x14ac:dyDescent="0.2">
      <c r="A180" s="64"/>
      <c r="B180" s="64"/>
      <c r="C180" s="102"/>
      <c r="D180" s="102"/>
      <c r="E180" s="102"/>
      <c r="F180" s="102"/>
      <c r="G180" s="102"/>
      <c r="H180" s="102"/>
      <c r="I180" s="64"/>
      <c r="J180" s="64"/>
      <c r="K180" s="64"/>
      <c r="L180" s="64"/>
      <c r="M180" s="64"/>
      <c r="N180" s="64"/>
      <c r="O180" s="64"/>
      <c r="P180" s="64"/>
      <c r="Q180" s="64"/>
      <c r="R180" s="64"/>
      <c r="S180" s="64"/>
      <c r="T180" s="64"/>
      <c r="U180" s="64"/>
      <c r="V180" s="64"/>
      <c r="W180" s="64"/>
      <c r="X180" s="64"/>
      <c r="Y180" s="64"/>
      <c r="Z180" s="64"/>
      <c r="AA180" s="64"/>
      <c r="AB180" s="64"/>
      <c r="AC180" s="64"/>
      <c r="AD180" s="64"/>
      <c r="AE180" s="64"/>
      <c r="AF180" s="64"/>
      <c r="AG180" s="64"/>
      <c r="AH180" s="64"/>
      <c r="AI180" s="64"/>
      <c r="AJ180" s="64"/>
      <c r="AK180" s="64"/>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c r="BU180" s="64"/>
      <c r="BV180" s="64"/>
      <c r="BW180" s="64"/>
      <c r="BX180" s="64"/>
      <c r="BY180" s="64"/>
      <c r="BZ180" s="64"/>
      <c r="CA180" s="64"/>
      <c r="CB180" s="64"/>
      <c r="CC180" s="64"/>
      <c r="CD180" s="64"/>
      <c r="CE180" s="64"/>
      <c r="CF180" s="64"/>
      <c r="CG180" s="64"/>
      <c r="CH180" s="64"/>
      <c r="CI180" s="64"/>
      <c r="CJ180" s="64"/>
      <c r="CK180" s="64"/>
      <c r="CL180" s="64"/>
      <c r="CM180" s="64"/>
      <c r="CN180" s="64"/>
      <c r="CO180" s="64"/>
      <c r="CP180" s="64"/>
      <c r="CQ180" s="64"/>
      <c r="CR180" s="64"/>
      <c r="CS180" s="64"/>
      <c r="CT180" s="64"/>
      <c r="CU180" s="64"/>
      <c r="CV180" s="64"/>
      <c r="CW180" s="64"/>
      <c r="CX180" s="64"/>
    </row>
    <row r="181" spans="1:102" x14ac:dyDescent="0.2">
      <c r="A181" s="64"/>
      <c r="B181" s="64"/>
      <c r="C181" s="102"/>
      <c r="D181" s="102"/>
      <c r="E181" s="102"/>
      <c r="F181" s="102"/>
      <c r="G181" s="102"/>
      <c r="H181" s="102"/>
      <c r="I181" s="64"/>
      <c r="J181" s="64"/>
      <c r="K181" s="64"/>
      <c r="L181" s="64"/>
      <c r="M181" s="64"/>
      <c r="N181" s="64"/>
      <c r="O181" s="64"/>
      <c r="P181" s="64"/>
      <c r="Q181" s="64"/>
      <c r="R181" s="64"/>
      <c r="S181" s="64"/>
      <c r="T181" s="64"/>
      <c r="U181" s="64"/>
      <c r="V181" s="64"/>
      <c r="W181" s="64"/>
      <c r="X181" s="64"/>
      <c r="Y181" s="64"/>
      <c r="Z181" s="64"/>
      <c r="AA181" s="64"/>
      <c r="AB181" s="64"/>
      <c r="AC181" s="64"/>
      <c r="AD181" s="64"/>
      <c r="AE181" s="64"/>
      <c r="AF181" s="64"/>
      <c r="AG181" s="64"/>
      <c r="AH181" s="64"/>
      <c r="AI181" s="64"/>
      <c r="AJ181" s="64"/>
      <c r="AK181" s="64"/>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c r="BU181" s="64"/>
      <c r="BV181" s="64"/>
      <c r="BW181" s="64"/>
      <c r="BX181" s="64"/>
      <c r="BY181" s="64"/>
      <c r="BZ181" s="64"/>
      <c r="CA181" s="64"/>
      <c r="CB181" s="64"/>
      <c r="CC181" s="64"/>
      <c r="CD181" s="64"/>
      <c r="CE181" s="64"/>
      <c r="CF181" s="64"/>
      <c r="CG181" s="64"/>
      <c r="CH181" s="64"/>
      <c r="CI181" s="64"/>
      <c r="CJ181" s="64"/>
      <c r="CK181" s="64"/>
      <c r="CL181" s="64"/>
      <c r="CM181" s="64"/>
      <c r="CN181" s="64"/>
      <c r="CO181" s="64"/>
      <c r="CP181" s="64"/>
      <c r="CQ181" s="64"/>
      <c r="CR181" s="64"/>
      <c r="CS181" s="64"/>
      <c r="CT181" s="64"/>
      <c r="CU181" s="64"/>
      <c r="CV181" s="64"/>
      <c r="CW181" s="64"/>
      <c r="CX181" s="64"/>
    </row>
    <row r="182" spans="1:102" x14ac:dyDescent="0.2">
      <c r="A182" s="64"/>
      <c r="B182" s="64"/>
      <c r="C182" s="102"/>
      <c r="D182" s="102"/>
      <c r="E182" s="102"/>
      <c r="F182" s="102"/>
      <c r="G182" s="102"/>
      <c r="H182" s="102"/>
      <c r="I182" s="64"/>
      <c r="J182" s="64"/>
      <c r="K182" s="64"/>
      <c r="L182" s="64"/>
      <c r="M182" s="64"/>
      <c r="N182" s="64"/>
      <c r="O182" s="64"/>
      <c r="P182" s="64"/>
      <c r="Q182" s="64"/>
      <c r="R182" s="64"/>
      <c r="S182" s="64"/>
      <c r="T182" s="64"/>
      <c r="U182" s="64"/>
      <c r="V182" s="64"/>
      <c r="W182" s="64"/>
      <c r="X182" s="64"/>
      <c r="Y182" s="64"/>
      <c r="Z182" s="64"/>
      <c r="AA182" s="64"/>
      <c r="AB182" s="64"/>
      <c r="AC182" s="64"/>
      <c r="AD182" s="64"/>
      <c r="AE182" s="64"/>
      <c r="AF182" s="64"/>
      <c r="AG182" s="64"/>
      <c r="AH182" s="64"/>
      <c r="AI182" s="64"/>
      <c r="AJ182" s="64"/>
      <c r="AK182" s="64"/>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c r="BU182" s="64"/>
      <c r="BV182" s="64"/>
      <c r="BW182" s="64"/>
      <c r="BX182" s="64"/>
      <c r="BY182" s="64"/>
      <c r="BZ182" s="64"/>
      <c r="CA182" s="64"/>
      <c r="CB182" s="64"/>
      <c r="CC182" s="64"/>
      <c r="CD182" s="64"/>
      <c r="CE182" s="64"/>
      <c r="CF182" s="64"/>
      <c r="CG182" s="64"/>
      <c r="CH182" s="64"/>
      <c r="CI182" s="64"/>
      <c r="CJ182" s="64"/>
      <c r="CK182" s="64"/>
      <c r="CL182" s="64"/>
      <c r="CM182" s="64"/>
      <c r="CN182" s="64"/>
      <c r="CO182" s="64"/>
      <c r="CP182" s="64"/>
      <c r="CQ182" s="64"/>
      <c r="CR182" s="64"/>
      <c r="CS182" s="64"/>
      <c r="CT182" s="64"/>
      <c r="CU182" s="64"/>
      <c r="CV182" s="64"/>
      <c r="CW182" s="64"/>
      <c r="CX182" s="64"/>
    </row>
    <row r="183" spans="1:102" x14ac:dyDescent="0.2">
      <c r="A183" s="64"/>
      <c r="B183" s="64"/>
      <c r="C183" s="102"/>
      <c r="D183" s="102"/>
      <c r="E183" s="102"/>
      <c r="F183" s="102"/>
      <c r="G183" s="102"/>
      <c r="H183" s="102"/>
      <c r="I183" s="64"/>
      <c r="J183" s="64"/>
      <c r="K183" s="64"/>
      <c r="L183" s="64"/>
      <c r="M183" s="64"/>
      <c r="N183" s="64"/>
      <c r="O183" s="64"/>
      <c r="P183" s="64"/>
      <c r="Q183" s="64"/>
      <c r="R183" s="64"/>
      <c r="S183" s="64"/>
      <c r="T183" s="64"/>
      <c r="U183" s="64"/>
      <c r="V183" s="64"/>
      <c r="W183" s="64"/>
      <c r="X183" s="64"/>
      <c r="Y183" s="64"/>
      <c r="Z183" s="64"/>
      <c r="AA183" s="64"/>
      <c r="AB183" s="64"/>
      <c r="AC183" s="64"/>
      <c r="AD183" s="64"/>
      <c r="AE183" s="64"/>
      <c r="AF183" s="64"/>
      <c r="AG183" s="64"/>
      <c r="AH183" s="64"/>
      <c r="AI183" s="64"/>
      <c r="AJ183" s="64"/>
      <c r="AK183" s="64"/>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c r="BU183" s="64"/>
      <c r="BV183" s="64"/>
      <c r="BW183" s="64"/>
      <c r="BX183" s="64"/>
      <c r="BY183" s="64"/>
      <c r="BZ183" s="64"/>
      <c r="CA183" s="64"/>
      <c r="CB183" s="64"/>
      <c r="CC183" s="64"/>
      <c r="CD183" s="64"/>
      <c r="CE183" s="64"/>
      <c r="CF183" s="64"/>
      <c r="CG183" s="64"/>
      <c r="CH183" s="64"/>
      <c r="CI183" s="64"/>
      <c r="CJ183" s="64"/>
      <c r="CK183" s="64"/>
      <c r="CL183" s="64"/>
      <c r="CM183" s="64"/>
      <c r="CN183" s="64"/>
      <c r="CO183" s="64"/>
      <c r="CP183" s="64"/>
      <c r="CQ183" s="64"/>
      <c r="CR183" s="64"/>
      <c r="CS183" s="64"/>
      <c r="CT183" s="64"/>
      <c r="CU183" s="64"/>
      <c r="CV183" s="64"/>
      <c r="CW183" s="64"/>
      <c r="CX183" s="64"/>
    </row>
    <row r="184" spans="1:102" x14ac:dyDescent="0.2">
      <c r="A184" s="64"/>
      <c r="B184" s="64"/>
      <c r="C184" s="102"/>
      <c r="D184" s="102"/>
      <c r="E184" s="102"/>
      <c r="F184" s="102"/>
      <c r="G184" s="102"/>
      <c r="H184" s="102"/>
      <c r="I184" s="64"/>
      <c r="J184" s="64"/>
      <c r="K184" s="64"/>
      <c r="L184" s="64"/>
      <c r="M184" s="64"/>
      <c r="N184" s="64"/>
      <c r="O184" s="64"/>
      <c r="P184" s="64"/>
      <c r="Q184" s="64"/>
      <c r="R184" s="64"/>
      <c r="S184" s="64"/>
      <c r="T184" s="64"/>
      <c r="U184" s="64"/>
      <c r="V184" s="64"/>
      <c r="W184" s="64"/>
      <c r="X184" s="64"/>
      <c r="Y184" s="64"/>
      <c r="Z184" s="64"/>
      <c r="AA184" s="64"/>
      <c r="AB184" s="64"/>
      <c r="AC184" s="64"/>
      <c r="AD184" s="64"/>
      <c r="AE184" s="64"/>
      <c r="AF184" s="64"/>
      <c r="AG184" s="64"/>
      <c r="AH184" s="64"/>
      <c r="AI184" s="64"/>
      <c r="AJ184" s="64"/>
      <c r="AK184" s="64"/>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c r="BU184" s="64"/>
      <c r="BV184" s="64"/>
      <c r="BW184" s="64"/>
      <c r="BX184" s="64"/>
      <c r="BY184" s="64"/>
      <c r="BZ184" s="64"/>
      <c r="CA184" s="64"/>
      <c r="CB184" s="64"/>
      <c r="CC184" s="64"/>
      <c r="CD184" s="64"/>
      <c r="CE184" s="64"/>
      <c r="CF184" s="64"/>
      <c r="CG184" s="64"/>
      <c r="CH184" s="64"/>
      <c r="CI184" s="64"/>
      <c r="CJ184" s="64"/>
      <c r="CK184" s="64"/>
      <c r="CL184" s="64"/>
      <c r="CM184" s="64"/>
      <c r="CN184" s="64"/>
      <c r="CO184" s="64"/>
      <c r="CP184" s="64"/>
      <c r="CQ184" s="64"/>
      <c r="CR184" s="64"/>
      <c r="CS184" s="64"/>
      <c r="CT184" s="64"/>
      <c r="CU184" s="64"/>
      <c r="CV184" s="64"/>
      <c r="CW184" s="64"/>
      <c r="CX184" s="64"/>
    </row>
    <row r="185" spans="1:102" x14ac:dyDescent="0.2">
      <c r="A185" s="64"/>
      <c r="B185" s="64"/>
      <c r="C185" s="102"/>
      <c r="D185" s="102"/>
      <c r="E185" s="102"/>
      <c r="F185" s="102"/>
      <c r="G185" s="102"/>
      <c r="H185" s="102"/>
      <c r="I185" s="64"/>
      <c r="J185" s="64"/>
      <c r="K185" s="64"/>
      <c r="L185" s="64"/>
      <c r="M185" s="64"/>
      <c r="N185" s="64"/>
      <c r="O185" s="64"/>
      <c r="P185" s="64"/>
      <c r="Q185" s="64"/>
      <c r="R185" s="64"/>
      <c r="S185" s="64"/>
      <c r="T185" s="64"/>
      <c r="U185" s="64"/>
      <c r="V185" s="64"/>
      <c r="W185" s="64"/>
      <c r="X185" s="64"/>
      <c r="Y185" s="64"/>
      <c r="Z185" s="64"/>
      <c r="AA185" s="64"/>
      <c r="AB185" s="64"/>
      <c r="AC185" s="64"/>
      <c r="AD185" s="64"/>
      <c r="AE185" s="64"/>
      <c r="AF185" s="64"/>
      <c r="AG185" s="64"/>
      <c r="AH185" s="64"/>
      <c r="AI185" s="64"/>
      <c r="AJ185" s="64"/>
      <c r="AK185" s="64"/>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c r="BU185" s="64"/>
      <c r="BV185" s="64"/>
      <c r="BW185" s="64"/>
      <c r="BX185" s="64"/>
      <c r="BY185" s="64"/>
      <c r="BZ185" s="64"/>
      <c r="CA185" s="64"/>
      <c r="CB185" s="64"/>
      <c r="CC185" s="64"/>
      <c r="CD185" s="64"/>
      <c r="CE185" s="64"/>
      <c r="CF185" s="64"/>
      <c r="CG185" s="64"/>
      <c r="CH185" s="64"/>
      <c r="CI185" s="64"/>
      <c r="CJ185" s="64"/>
      <c r="CK185" s="64"/>
      <c r="CL185" s="64"/>
      <c r="CM185" s="64"/>
      <c r="CN185" s="64"/>
      <c r="CO185" s="64"/>
      <c r="CP185" s="64"/>
      <c r="CQ185" s="64"/>
      <c r="CR185" s="64"/>
      <c r="CS185" s="64"/>
      <c r="CT185" s="64"/>
      <c r="CU185" s="64"/>
      <c r="CV185" s="64"/>
      <c r="CW185" s="64"/>
      <c r="CX185" s="64"/>
    </row>
    <row r="186" spans="1:102" x14ac:dyDescent="0.2">
      <c r="A186" s="64"/>
      <c r="B186" s="64"/>
      <c r="C186" s="102"/>
      <c r="D186" s="102"/>
      <c r="E186" s="102"/>
      <c r="F186" s="102"/>
      <c r="G186" s="102"/>
      <c r="H186" s="102"/>
      <c r="I186" s="64"/>
      <c r="J186" s="64"/>
      <c r="K186" s="64"/>
      <c r="L186" s="64"/>
      <c r="M186" s="64"/>
      <c r="N186" s="64"/>
      <c r="O186" s="64"/>
      <c r="P186" s="64"/>
      <c r="Q186" s="64"/>
      <c r="R186" s="64"/>
      <c r="S186" s="64"/>
      <c r="T186" s="64"/>
      <c r="U186" s="64"/>
      <c r="V186" s="64"/>
      <c r="W186" s="64"/>
      <c r="X186" s="64"/>
      <c r="Y186" s="64"/>
      <c r="Z186" s="64"/>
      <c r="AA186" s="64"/>
      <c r="AB186" s="64"/>
      <c r="AC186" s="64"/>
      <c r="AD186" s="64"/>
      <c r="AE186" s="64"/>
      <c r="AF186" s="64"/>
      <c r="AG186" s="64"/>
      <c r="AH186" s="64"/>
      <c r="AI186" s="64"/>
      <c r="AJ186" s="64"/>
      <c r="AK186" s="64"/>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c r="BU186" s="64"/>
      <c r="BV186" s="64"/>
      <c r="BW186" s="64"/>
      <c r="BX186" s="64"/>
      <c r="BY186" s="64"/>
      <c r="BZ186" s="64"/>
      <c r="CA186" s="64"/>
      <c r="CB186" s="64"/>
      <c r="CC186" s="64"/>
      <c r="CD186" s="64"/>
      <c r="CE186" s="64"/>
      <c r="CF186" s="64"/>
      <c r="CG186" s="64"/>
      <c r="CH186" s="64"/>
      <c r="CI186" s="64"/>
      <c r="CJ186" s="64"/>
      <c r="CK186" s="64"/>
      <c r="CL186" s="64"/>
      <c r="CM186" s="64"/>
      <c r="CN186" s="64"/>
      <c r="CO186" s="64"/>
      <c r="CP186" s="64"/>
      <c r="CQ186" s="64"/>
      <c r="CR186" s="64"/>
      <c r="CS186" s="64"/>
      <c r="CT186" s="64"/>
      <c r="CU186" s="64"/>
      <c r="CV186" s="64"/>
      <c r="CW186" s="64"/>
      <c r="CX186" s="64"/>
    </row>
    <row r="187" spans="1:102" x14ac:dyDescent="0.2">
      <c r="A187" s="64"/>
      <c r="B187" s="64"/>
      <c r="C187" s="102"/>
      <c r="D187" s="102"/>
      <c r="E187" s="102"/>
      <c r="F187" s="102"/>
      <c r="G187" s="102"/>
      <c r="H187" s="102"/>
      <c r="I187" s="64"/>
      <c r="J187" s="64"/>
      <c r="K187" s="64"/>
      <c r="L187" s="64"/>
      <c r="M187" s="64"/>
      <c r="N187" s="64"/>
      <c r="O187" s="64"/>
      <c r="P187" s="64"/>
      <c r="Q187" s="64"/>
      <c r="R187" s="64"/>
      <c r="S187" s="64"/>
      <c r="T187" s="64"/>
      <c r="U187" s="64"/>
      <c r="V187" s="64"/>
      <c r="W187" s="64"/>
      <c r="X187" s="64"/>
      <c r="Y187" s="64"/>
      <c r="Z187" s="64"/>
      <c r="AA187" s="64"/>
      <c r="AB187" s="64"/>
      <c r="AC187" s="64"/>
      <c r="AD187" s="64"/>
      <c r="AE187" s="64"/>
      <c r="AF187" s="64"/>
      <c r="AG187" s="64"/>
      <c r="AH187" s="64"/>
      <c r="AI187" s="64"/>
      <c r="AJ187" s="64"/>
      <c r="AK187" s="64"/>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c r="BU187" s="64"/>
      <c r="BV187" s="64"/>
      <c r="BW187" s="64"/>
      <c r="BX187" s="64"/>
      <c r="BY187" s="64"/>
      <c r="BZ187" s="64"/>
      <c r="CA187" s="64"/>
      <c r="CB187" s="64"/>
      <c r="CC187" s="64"/>
      <c r="CD187" s="64"/>
      <c r="CE187" s="64"/>
      <c r="CF187" s="64"/>
      <c r="CG187" s="64"/>
      <c r="CH187" s="64"/>
      <c r="CI187" s="64"/>
      <c r="CJ187" s="64"/>
      <c r="CK187" s="64"/>
      <c r="CL187" s="64"/>
      <c r="CM187" s="64"/>
      <c r="CN187" s="64"/>
      <c r="CO187" s="64"/>
      <c r="CP187" s="64"/>
      <c r="CQ187" s="64"/>
      <c r="CR187" s="64"/>
      <c r="CS187" s="64"/>
      <c r="CT187" s="64"/>
      <c r="CU187" s="64"/>
      <c r="CV187" s="64"/>
      <c r="CW187" s="64"/>
      <c r="CX187" s="64"/>
    </row>
    <row r="188" spans="1:102" x14ac:dyDescent="0.2">
      <c r="A188" s="64"/>
      <c r="B188" s="64"/>
      <c r="C188" s="102"/>
      <c r="D188" s="102"/>
      <c r="E188" s="102"/>
      <c r="F188" s="102"/>
      <c r="G188" s="102"/>
      <c r="H188" s="102"/>
      <c r="I188" s="64"/>
      <c r="J188" s="64"/>
      <c r="K188" s="64"/>
      <c r="L188" s="64"/>
      <c r="M188" s="64"/>
      <c r="N188" s="64"/>
      <c r="O188" s="64"/>
      <c r="P188" s="64"/>
      <c r="Q188" s="64"/>
      <c r="R188" s="64"/>
      <c r="S188" s="64"/>
      <c r="T188" s="64"/>
      <c r="U188" s="64"/>
      <c r="V188" s="64"/>
      <c r="W188" s="64"/>
      <c r="X188" s="64"/>
      <c r="Y188" s="64"/>
      <c r="Z188" s="64"/>
      <c r="AA188" s="64"/>
      <c r="AB188" s="64"/>
      <c r="AC188" s="64"/>
      <c r="AD188" s="64"/>
      <c r="AE188" s="64"/>
      <c r="AF188" s="64"/>
      <c r="AG188" s="64"/>
      <c r="AH188" s="64"/>
      <c r="AI188" s="64"/>
      <c r="AJ188" s="64"/>
      <c r="AK188" s="64"/>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c r="BU188" s="64"/>
      <c r="BV188" s="64"/>
      <c r="BW188" s="64"/>
      <c r="BX188" s="64"/>
      <c r="BY188" s="64"/>
      <c r="BZ188" s="64"/>
      <c r="CA188" s="64"/>
      <c r="CB188" s="64"/>
      <c r="CC188" s="64"/>
      <c r="CD188" s="64"/>
      <c r="CE188" s="64"/>
      <c r="CF188" s="64"/>
      <c r="CG188" s="64"/>
      <c r="CH188" s="64"/>
      <c r="CI188" s="64"/>
      <c r="CJ188" s="64"/>
      <c r="CK188" s="64"/>
      <c r="CL188" s="64"/>
      <c r="CM188" s="64"/>
      <c r="CN188" s="64"/>
      <c r="CO188" s="64"/>
      <c r="CP188" s="64"/>
      <c r="CQ188" s="64"/>
      <c r="CR188" s="64"/>
      <c r="CS188" s="64"/>
      <c r="CT188" s="64"/>
      <c r="CU188" s="64"/>
      <c r="CV188" s="64"/>
      <c r="CW188" s="64"/>
      <c r="CX188" s="64"/>
    </row>
    <row r="189" spans="1:102" x14ac:dyDescent="0.2">
      <c r="A189" s="64"/>
      <c r="B189" s="64"/>
      <c r="C189" s="102"/>
      <c r="D189" s="102"/>
      <c r="E189" s="102"/>
      <c r="F189" s="102"/>
      <c r="G189" s="102"/>
      <c r="H189" s="102"/>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c r="BU189" s="64"/>
      <c r="BV189" s="64"/>
      <c r="BW189" s="64"/>
      <c r="BX189" s="64"/>
      <c r="BY189" s="64"/>
      <c r="BZ189" s="64"/>
      <c r="CA189" s="64"/>
      <c r="CB189" s="64"/>
      <c r="CC189" s="64"/>
      <c r="CD189" s="64"/>
      <c r="CE189" s="64"/>
      <c r="CF189" s="64"/>
      <c r="CG189" s="64"/>
      <c r="CH189" s="64"/>
      <c r="CI189" s="64"/>
      <c r="CJ189" s="64"/>
      <c r="CK189" s="64"/>
      <c r="CL189" s="64"/>
      <c r="CM189" s="64"/>
      <c r="CN189" s="64"/>
      <c r="CO189" s="64"/>
      <c r="CP189" s="64"/>
      <c r="CQ189" s="64"/>
      <c r="CR189" s="64"/>
      <c r="CS189" s="64"/>
      <c r="CT189" s="64"/>
      <c r="CU189" s="64"/>
      <c r="CV189" s="64"/>
      <c r="CW189" s="64"/>
      <c r="CX189" s="64"/>
    </row>
    <row r="190" spans="1:102" x14ac:dyDescent="0.2">
      <c r="A190" s="64"/>
      <c r="B190" s="64"/>
      <c r="C190" s="102"/>
      <c r="D190" s="102"/>
      <c r="E190" s="102"/>
      <c r="F190" s="102"/>
      <c r="G190" s="102"/>
      <c r="H190" s="102"/>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c r="BU190" s="64"/>
      <c r="BV190" s="64"/>
      <c r="BW190" s="64"/>
      <c r="BX190" s="64"/>
      <c r="BY190" s="64"/>
      <c r="BZ190" s="64"/>
      <c r="CA190" s="64"/>
      <c r="CB190" s="64"/>
      <c r="CC190" s="64"/>
      <c r="CD190" s="64"/>
      <c r="CE190" s="64"/>
      <c r="CF190" s="64"/>
      <c r="CG190" s="64"/>
      <c r="CH190" s="64"/>
      <c r="CI190" s="64"/>
      <c r="CJ190" s="64"/>
      <c r="CK190" s="64"/>
      <c r="CL190" s="64"/>
      <c r="CM190" s="64"/>
      <c r="CN190" s="64"/>
      <c r="CO190" s="64"/>
      <c r="CP190" s="64"/>
      <c r="CQ190" s="64"/>
      <c r="CR190" s="64"/>
      <c r="CS190" s="64"/>
      <c r="CT190" s="64"/>
      <c r="CU190" s="64"/>
      <c r="CV190" s="64"/>
      <c r="CW190" s="64"/>
      <c r="CX190" s="64"/>
    </row>
    <row r="191" spans="1:102" x14ac:dyDescent="0.2">
      <c r="A191" s="64"/>
      <c r="B191" s="64"/>
      <c r="C191" s="102"/>
      <c r="D191" s="102"/>
      <c r="E191" s="102"/>
      <c r="F191" s="102"/>
      <c r="G191" s="102"/>
      <c r="H191" s="102"/>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c r="BU191" s="64"/>
      <c r="BV191" s="64"/>
      <c r="BW191" s="64"/>
      <c r="BX191" s="64"/>
      <c r="BY191" s="64"/>
      <c r="BZ191" s="64"/>
      <c r="CA191" s="64"/>
      <c r="CB191" s="64"/>
      <c r="CC191" s="64"/>
      <c r="CD191" s="64"/>
      <c r="CE191" s="64"/>
      <c r="CF191" s="64"/>
      <c r="CG191" s="64"/>
      <c r="CH191" s="64"/>
      <c r="CI191" s="64"/>
      <c r="CJ191" s="64"/>
      <c r="CK191" s="64"/>
      <c r="CL191" s="64"/>
      <c r="CM191" s="64"/>
      <c r="CN191" s="64"/>
      <c r="CO191" s="64"/>
      <c r="CP191" s="64"/>
      <c r="CQ191" s="64"/>
      <c r="CR191" s="64"/>
      <c r="CS191" s="64"/>
      <c r="CT191" s="64"/>
      <c r="CU191" s="64"/>
      <c r="CV191" s="64"/>
      <c r="CW191" s="64"/>
      <c r="CX191" s="64"/>
    </row>
    <row r="192" spans="1:102" x14ac:dyDescent="0.2">
      <c r="A192" s="64"/>
      <c r="B192" s="64"/>
      <c r="C192" s="102"/>
      <c r="D192" s="102"/>
      <c r="E192" s="102"/>
      <c r="F192" s="102"/>
      <c r="G192" s="102"/>
      <c r="H192" s="102"/>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c r="BU192" s="64"/>
      <c r="BV192" s="64"/>
      <c r="BW192" s="64"/>
      <c r="BX192" s="64"/>
      <c r="BY192" s="64"/>
      <c r="BZ192" s="64"/>
      <c r="CA192" s="64"/>
      <c r="CB192" s="64"/>
      <c r="CC192" s="64"/>
      <c r="CD192" s="64"/>
      <c r="CE192" s="64"/>
      <c r="CF192" s="64"/>
      <c r="CG192" s="64"/>
      <c r="CH192" s="64"/>
      <c r="CI192" s="64"/>
      <c r="CJ192" s="64"/>
      <c r="CK192" s="64"/>
      <c r="CL192" s="64"/>
      <c r="CM192" s="64"/>
      <c r="CN192" s="64"/>
      <c r="CO192" s="64"/>
      <c r="CP192" s="64"/>
      <c r="CQ192" s="64"/>
      <c r="CR192" s="64"/>
      <c r="CS192" s="64"/>
      <c r="CT192" s="64"/>
      <c r="CU192" s="64"/>
      <c r="CV192" s="64"/>
      <c r="CW192" s="64"/>
      <c r="CX192" s="64"/>
    </row>
    <row r="193" spans="1:102" x14ac:dyDescent="0.2">
      <c r="A193" s="64"/>
      <c r="B193" s="64"/>
      <c r="C193" s="102"/>
      <c r="D193" s="102"/>
      <c r="E193" s="102"/>
      <c r="F193" s="102"/>
      <c r="G193" s="102"/>
      <c r="H193" s="102"/>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c r="BU193" s="64"/>
      <c r="BV193" s="64"/>
      <c r="BW193" s="64"/>
      <c r="BX193" s="64"/>
      <c r="BY193" s="64"/>
      <c r="BZ193" s="64"/>
      <c r="CA193" s="64"/>
      <c r="CB193" s="64"/>
      <c r="CC193" s="64"/>
      <c r="CD193" s="64"/>
      <c r="CE193" s="64"/>
      <c r="CF193" s="64"/>
      <c r="CG193" s="64"/>
      <c r="CH193" s="64"/>
      <c r="CI193" s="64"/>
      <c r="CJ193" s="64"/>
      <c r="CK193" s="64"/>
      <c r="CL193" s="64"/>
      <c r="CM193" s="64"/>
      <c r="CN193" s="64"/>
      <c r="CO193" s="64"/>
      <c r="CP193" s="64"/>
      <c r="CQ193" s="64"/>
      <c r="CR193" s="64"/>
      <c r="CS193" s="64"/>
      <c r="CT193" s="64"/>
      <c r="CU193" s="64"/>
      <c r="CV193" s="64"/>
      <c r="CW193" s="64"/>
      <c r="CX193" s="64"/>
    </row>
    <row r="194" spans="1:102" x14ac:dyDescent="0.2">
      <c r="A194" s="64"/>
      <c r="B194" s="64"/>
      <c r="C194" s="102"/>
      <c r="D194" s="102"/>
      <c r="E194" s="102"/>
      <c r="F194" s="102"/>
      <c r="G194" s="102"/>
      <c r="H194" s="102"/>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c r="BU194" s="64"/>
      <c r="BV194" s="64"/>
      <c r="BW194" s="64"/>
      <c r="BX194" s="64"/>
      <c r="BY194" s="64"/>
      <c r="BZ194" s="64"/>
      <c r="CA194" s="64"/>
      <c r="CB194" s="64"/>
      <c r="CC194" s="64"/>
      <c r="CD194" s="64"/>
      <c r="CE194" s="64"/>
      <c r="CF194" s="64"/>
      <c r="CG194" s="64"/>
      <c r="CH194" s="64"/>
      <c r="CI194" s="64"/>
      <c r="CJ194" s="64"/>
      <c r="CK194" s="64"/>
      <c r="CL194" s="64"/>
      <c r="CM194" s="64"/>
      <c r="CN194" s="64"/>
      <c r="CO194" s="64"/>
      <c r="CP194" s="64"/>
      <c r="CQ194" s="64"/>
      <c r="CR194" s="64"/>
      <c r="CS194" s="64"/>
      <c r="CT194" s="64"/>
      <c r="CU194" s="64"/>
      <c r="CV194" s="64"/>
      <c r="CW194" s="64"/>
      <c r="CX194" s="64"/>
    </row>
    <row r="195" spans="1:102" x14ac:dyDescent="0.2">
      <c r="A195" s="64"/>
      <c r="B195" s="64"/>
      <c r="C195" s="102"/>
      <c r="D195" s="102"/>
      <c r="E195" s="102"/>
      <c r="F195" s="102"/>
      <c r="G195" s="102"/>
      <c r="H195" s="102"/>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c r="BU195" s="64"/>
      <c r="BV195" s="64"/>
      <c r="BW195" s="64"/>
      <c r="BX195" s="64"/>
      <c r="BY195" s="64"/>
      <c r="BZ195" s="64"/>
      <c r="CA195" s="64"/>
      <c r="CB195" s="64"/>
      <c r="CC195" s="64"/>
      <c r="CD195" s="64"/>
      <c r="CE195" s="64"/>
      <c r="CF195" s="64"/>
      <c r="CG195" s="64"/>
      <c r="CH195" s="64"/>
      <c r="CI195" s="64"/>
      <c r="CJ195" s="64"/>
      <c r="CK195" s="64"/>
      <c r="CL195" s="64"/>
      <c r="CM195" s="64"/>
      <c r="CN195" s="64"/>
      <c r="CO195" s="64"/>
      <c r="CP195" s="64"/>
      <c r="CQ195" s="64"/>
      <c r="CR195" s="64"/>
      <c r="CS195" s="64"/>
      <c r="CT195" s="64"/>
      <c r="CU195" s="64"/>
      <c r="CV195" s="64"/>
      <c r="CW195" s="64"/>
      <c r="CX195" s="64"/>
    </row>
    <row r="196" spans="1:102" x14ac:dyDescent="0.2">
      <c r="A196" s="64"/>
      <c r="B196" s="64"/>
      <c r="C196" s="102"/>
      <c r="D196" s="102"/>
      <c r="E196" s="102"/>
      <c r="F196" s="102"/>
      <c r="G196" s="102"/>
      <c r="H196" s="102"/>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c r="BU196" s="64"/>
      <c r="BV196" s="64"/>
      <c r="BW196" s="64"/>
      <c r="BX196" s="64"/>
      <c r="BY196" s="64"/>
      <c r="BZ196" s="64"/>
      <c r="CA196" s="64"/>
      <c r="CB196" s="64"/>
      <c r="CC196" s="64"/>
      <c r="CD196" s="64"/>
      <c r="CE196" s="64"/>
      <c r="CF196" s="64"/>
      <c r="CG196" s="64"/>
      <c r="CH196" s="64"/>
      <c r="CI196" s="64"/>
      <c r="CJ196" s="64"/>
      <c r="CK196" s="64"/>
      <c r="CL196" s="64"/>
      <c r="CM196" s="64"/>
      <c r="CN196" s="64"/>
      <c r="CO196" s="64"/>
      <c r="CP196" s="64"/>
      <c r="CQ196" s="64"/>
      <c r="CR196" s="64"/>
      <c r="CS196" s="64"/>
      <c r="CT196" s="64"/>
      <c r="CU196" s="64"/>
      <c r="CV196" s="64"/>
      <c r="CW196" s="64"/>
      <c r="CX196" s="64"/>
    </row>
    <row r="197" spans="1:102" x14ac:dyDescent="0.2">
      <c r="A197" s="64"/>
      <c r="B197" s="64"/>
      <c r="C197" s="102"/>
      <c r="D197" s="102"/>
      <c r="E197" s="102"/>
      <c r="F197" s="102"/>
      <c r="G197" s="102"/>
      <c r="H197" s="102"/>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c r="BU197" s="64"/>
      <c r="BV197" s="64"/>
      <c r="BW197" s="64"/>
      <c r="BX197" s="64"/>
      <c r="BY197" s="64"/>
      <c r="BZ197" s="64"/>
      <c r="CA197" s="64"/>
      <c r="CB197" s="64"/>
      <c r="CC197" s="64"/>
      <c r="CD197" s="64"/>
      <c r="CE197" s="64"/>
      <c r="CF197" s="64"/>
      <c r="CG197" s="64"/>
      <c r="CH197" s="64"/>
      <c r="CI197" s="64"/>
      <c r="CJ197" s="64"/>
      <c r="CK197" s="64"/>
      <c r="CL197" s="64"/>
      <c r="CM197" s="64"/>
      <c r="CN197" s="64"/>
      <c r="CO197" s="64"/>
      <c r="CP197" s="64"/>
      <c r="CQ197" s="64"/>
      <c r="CR197" s="64"/>
      <c r="CS197" s="64"/>
      <c r="CT197" s="64"/>
      <c r="CU197" s="64"/>
      <c r="CV197" s="64"/>
      <c r="CW197" s="64"/>
      <c r="CX197" s="64"/>
    </row>
    <row r="198" spans="1:102" x14ac:dyDescent="0.2">
      <c r="A198" s="64"/>
      <c r="B198" s="64"/>
      <c r="C198" s="102"/>
      <c r="D198" s="102"/>
      <c r="E198" s="102"/>
      <c r="F198" s="102"/>
      <c r="G198" s="102"/>
      <c r="H198" s="102"/>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c r="BU198" s="64"/>
      <c r="BV198" s="64"/>
      <c r="BW198" s="64"/>
      <c r="BX198" s="64"/>
      <c r="BY198" s="64"/>
      <c r="BZ198" s="64"/>
      <c r="CA198" s="64"/>
      <c r="CB198" s="64"/>
      <c r="CC198" s="64"/>
      <c r="CD198" s="64"/>
      <c r="CE198" s="64"/>
      <c r="CF198" s="64"/>
      <c r="CG198" s="64"/>
      <c r="CH198" s="64"/>
      <c r="CI198" s="64"/>
      <c r="CJ198" s="64"/>
      <c r="CK198" s="64"/>
      <c r="CL198" s="64"/>
      <c r="CM198" s="64"/>
      <c r="CN198" s="64"/>
      <c r="CO198" s="64"/>
      <c r="CP198" s="64"/>
      <c r="CQ198" s="64"/>
      <c r="CR198" s="64"/>
      <c r="CS198" s="64"/>
      <c r="CT198" s="64"/>
      <c r="CU198" s="64"/>
      <c r="CV198" s="64"/>
      <c r="CW198" s="64"/>
      <c r="CX198" s="64"/>
    </row>
    <row r="199" spans="1:102" x14ac:dyDescent="0.2">
      <c r="A199" s="64"/>
      <c r="B199" s="64"/>
      <c r="C199" s="102"/>
      <c r="D199" s="102"/>
      <c r="E199" s="102"/>
      <c r="F199" s="102"/>
      <c r="G199" s="102"/>
      <c r="H199" s="102"/>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c r="BU199" s="64"/>
      <c r="BV199" s="64"/>
      <c r="BW199" s="64"/>
      <c r="BX199" s="64"/>
      <c r="BY199" s="64"/>
      <c r="BZ199" s="64"/>
      <c r="CA199" s="64"/>
      <c r="CB199" s="64"/>
      <c r="CC199" s="64"/>
      <c r="CD199" s="64"/>
      <c r="CE199" s="64"/>
      <c r="CF199" s="64"/>
      <c r="CG199" s="64"/>
      <c r="CH199" s="64"/>
      <c r="CI199" s="64"/>
      <c r="CJ199" s="64"/>
      <c r="CK199" s="64"/>
      <c r="CL199" s="64"/>
      <c r="CM199" s="64"/>
      <c r="CN199" s="64"/>
      <c r="CO199" s="64"/>
      <c r="CP199" s="64"/>
      <c r="CQ199" s="64"/>
      <c r="CR199" s="64"/>
      <c r="CS199" s="64"/>
      <c r="CT199" s="64"/>
      <c r="CU199" s="64"/>
      <c r="CV199" s="64"/>
      <c r="CW199" s="64"/>
      <c r="CX199" s="64"/>
    </row>
    <row r="200" spans="1:102" x14ac:dyDescent="0.2">
      <c r="A200" s="64"/>
      <c r="B200" s="64"/>
      <c r="C200" s="102"/>
      <c r="D200" s="102"/>
      <c r="E200" s="102"/>
      <c r="F200" s="102"/>
      <c r="G200" s="102"/>
      <c r="H200" s="102"/>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c r="BU200" s="64"/>
      <c r="BV200" s="64"/>
      <c r="BW200" s="64"/>
      <c r="BX200" s="64"/>
      <c r="BY200" s="64"/>
      <c r="BZ200" s="64"/>
      <c r="CA200" s="64"/>
      <c r="CB200" s="64"/>
      <c r="CC200" s="64"/>
      <c r="CD200" s="64"/>
      <c r="CE200" s="64"/>
      <c r="CF200" s="64"/>
      <c r="CG200" s="64"/>
      <c r="CH200" s="64"/>
      <c r="CI200" s="64"/>
      <c r="CJ200" s="64"/>
      <c r="CK200" s="64"/>
      <c r="CL200" s="64"/>
      <c r="CM200" s="64"/>
      <c r="CN200" s="64"/>
      <c r="CO200" s="64"/>
      <c r="CP200" s="64"/>
      <c r="CQ200" s="64"/>
      <c r="CR200" s="64"/>
      <c r="CS200" s="64"/>
      <c r="CT200" s="64"/>
      <c r="CU200" s="64"/>
      <c r="CV200" s="64"/>
      <c r="CW200" s="64"/>
      <c r="CX200" s="64"/>
    </row>
    <row r="201" spans="1:102" x14ac:dyDescent="0.2">
      <c r="A201" s="64"/>
      <c r="B201" s="64"/>
      <c r="C201" s="102"/>
      <c r="D201" s="102"/>
      <c r="E201" s="102"/>
      <c r="F201" s="102"/>
      <c r="G201" s="102"/>
      <c r="H201" s="102"/>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c r="BU201" s="64"/>
      <c r="BV201" s="64"/>
      <c r="BW201" s="64"/>
      <c r="BX201" s="64"/>
      <c r="BY201" s="64"/>
      <c r="BZ201" s="64"/>
      <c r="CA201" s="64"/>
      <c r="CB201" s="64"/>
      <c r="CC201" s="64"/>
      <c r="CD201" s="64"/>
      <c r="CE201" s="64"/>
      <c r="CF201" s="64"/>
      <c r="CG201" s="64"/>
      <c r="CH201" s="64"/>
      <c r="CI201" s="64"/>
      <c r="CJ201" s="64"/>
      <c r="CK201" s="64"/>
      <c r="CL201" s="64"/>
      <c r="CM201" s="64"/>
      <c r="CN201" s="64"/>
      <c r="CO201" s="64"/>
      <c r="CP201" s="64"/>
      <c r="CQ201" s="64"/>
      <c r="CR201" s="64"/>
      <c r="CS201" s="64"/>
      <c r="CT201" s="64"/>
      <c r="CU201" s="64"/>
      <c r="CV201" s="64"/>
      <c r="CW201" s="64"/>
      <c r="CX201" s="64"/>
    </row>
    <row r="202" spans="1:102" x14ac:dyDescent="0.2">
      <c r="A202" s="64"/>
      <c r="B202" s="64"/>
      <c r="C202" s="102"/>
      <c r="D202" s="102"/>
      <c r="E202" s="102"/>
      <c r="F202" s="102"/>
      <c r="G202" s="102"/>
      <c r="H202" s="102"/>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c r="BU202" s="64"/>
      <c r="BV202" s="64"/>
      <c r="BW202" s="64"/>
      <c r="BX202" s="64"/>
      <c r="BY202" s="64"/>
      <c r="BZ202" s="64"/>
      <c r="CA202" s="64"/>
      <c r="CB202" s="64"/>
      <c r="CC202" s="64"/>
      <c r="CD202" s="64"/>
      <c r="CE202" s="64"/>
      <c r="CF202" s="64"/>
      <c r="CG202" s="64"/>
      <c r="CH202" s="64"/>
      <c r="CI202" s="64"/>
      <c r="CJ202" s="64"/>
      <c r="CK202" s="64"/>
      <c r="CL202" s="64"/>
      <c r="CM202" s="64"/>
      <c r="CN202" s="64"/>
      <c r="CO202" s="64"/>
      <c r="CP202" s="64"/>
      <c r="CQ202" s="64"/>
      <c r="CR202" s="64"/>
      <c r="CS202" s="64"/>
      <c r="CT202" s="64"/>
      <c r="CU202" s="64"/>
      <c r="CV202" s="64"/>
      <c r="CW202" s="64"/>
      <c r="CX202" s="64"/>
    </row>
    <row r="203" spans="1:102" x14ac:dyDescent="0.2">
      <c r="A203" s="64"/>
      <c r="B203" s="64"/>
      <c r="C203" s="102"/>
      <c r="D203" s="102"/>
      <c r="E203" s="102"/>
      <c r="F203" s="102"/>
      <c r="G203" s="102"/>
      <c r="H203" s="102"/>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c r="BU203" s="64"/>
      <c r="BV203" s="64"/>
      <c r="BW203" s="64"/>
      <c r="BX203" s="64"/>
      <c r="BY203" s="64"/>
      <c r="BZ203" s="64"/>
      <c r="CA203" s="64"/>
      <c r="CB203" s="64"/>
      <c r="CC203" s="64"/>
      <c r="CD203" s="64"/>
      <c r="CE203" s="64"/>
      <c r="CF203" s="64"/>
      <c r="CG203" s="64"/>
      <c r="CH203" s="64"/>
      <c r="CI203" s="64"/>
      <c r="CJ203" s="64"/>
      <c r="CK203" s="64"/>
      <c r="CL203" s="64"/>
      <c r="CM203" s="64"/>
      <c r="CN203" s="64"/>
      <c r="CO203" s="64"/>
      <c r="CP203" s="64"/>
      <c r="CQ203" s="64"/>
      <c r="CR203" s="64"/>
      <c r="CS203" s="64"/>
      <c r="CT203" s="64"/>
      <c r="CU203" s="64"/>
      <c r="CV203" s="64"/>
      <c r="CW203" s="64"/>
      <c r="CX203" s="64"/>
    </row>
    <row r="204" spans="1:102" x14ac:dyDescent="0.2">
      <c r="A204" s="64"/>
      <c r="B204" s="64"/>
      <c r="C204" s="102"/>
      <c r="D204" s="102"/>
      <c r="E204" s="102"/>
      <c r="F204" s="102"/>
      <c r="G204" s="102"/>
      <c r="H204" s="102"/>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c r="BU204" s="64"/>
      <c r="BV204" s="64"/>
      <c r="BW204" s="64"/>
      <c r="BX204" s="64"/>
      <c r="BY204" s="64"/>
      <c r="BZ204" s="64"/>
      <c r="CA204" s="64"/>
      <c r="CB204" s="64"/>
      <c r="CC204" s="64"/>
      <c r="CD204" s="64"/>
      <c r="CE204" s="64"/>
      <c r="CF204" s="64"/>
      <c r="CG204" s="64"/>
      <c r="CH204" s="64"/>
      <c r="CI204" s="64"/>
      <c r="CJ204" s="64"/>
      <c r="CK204" s="64"/>
      <c r="CL204" s="64"/>
      <c r="CM204" s="64"/>
      <c r="CN204" s="64"/>
      <c r="CO204" s="64"/>
      <c r="CP204" s="64"/>
      <c r="CQ204" s="64"/>
      <c r="CR204" s="64"/>
      <c r="CS204" s="64"/>
      <c r="CT204" s="64"/>
      <c r="CU204" s="64"/>
      <c r="CV204" s="64"/>
      <c r="CW204" s="64"/>
      <c r="CX204" s="64"/>
    </row>
    <row r="205" spans="1:102" x14ac:dyDescent="0.2">
      <c r="A205" s="64"/>
      <c r="B205" s="64"/>
      <c r="C205" s="102"/>
      <c r="D205" s="102"/>
      <c r="E205" s="102"/>
      <c r="F205" s="102"/>
      <c r="G205" s="102"/>
      <c r="H205" s="102"/>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c r="BU205" s="64"/>
      <c r="BV205" s="64"/>
      <c r="BW205" s="64"/>
      <c r="BX205" s="64"/>
      <c r="BY205" s="64"/>
      <c r="BZ205" s="64"/>
      <c r="CA205" s="64"/>
      <c r="CB205" s="64"/>
      <c r="CC205" s="64"/>
      <c r="CD205" s="64"/>
      <c r="CE205" s="64"/>
      <c r="CF205" s="64"/>
      <c r="CG205" s="64"/>
      <c r="CH205" s="64"/>
      <c r="CI205" s="64"/>
      <c r="CJ205" s="64"/>
      <c r="CK205" s="64"/>
      <c r="CL205" s="64"/>
      <c r="CM205" s="64"/>
      <c r="CN205" s="64"/>
      <c r="CO205" s="64"/>
      <c r="CP205" s="64"/>
      <c r="CQ205" s="64"/>
      <c r="CR205" s="64"/>
      <c r="CS205" s="64"/>
      <c r="CT205" s="64"/>
      <c r="CU205" s="64"/>
      <c r="CV205" s="64"/>
      <c r="CW205" s="64"/>
      <c r="CX205" s="64"/>
    </row>
    <row r="206" spans="1:102" x14ac:dyDescent="0.2">
      <c r="A206" s="64"/>
      <c r="B206" s="64"/>
      <c r="C206" s="102"/>
      <c r="D206" s="102"/>
      <c r="E206" s="102"/>
      <c r="F206" s="102"/>
      <c r="G206" s="102"/>
      <c r="H206" s="102"/>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c r="BU206" s="64"/>
      <c r="BV206" s="64"/>
      <c r="BW206" s="64"/>
      <c r="BX206" s="64"/>
      <c r="BY206" s="64"/>
      <c r="BZ206" s="64"/>
      <c r="CA206" s="64"/>
      <c r="CB206" s="64"/>
      <c r="CC206" s="64"/>
      <c r="CD206" s="64"/>
      <c r="CE206" s="64"/>
      <c r="CF206" s="64"/>
      <c r="CG206" s="64"/>
      <c r="CH206" s="64"/>
      <c r="CI206" s="64"/>
      <c r="CJ206" s="64"/>
      <c r="CK206" s="64"/>
      <c r="CL206" s="64"/>
      <c r="CM206" s="64"/>
      <c r="CN206" s="64"/>
      <c r="CO206" s="64"/>
      <c r="CP206" s="64"/>
      <c r="CQ206" s="64"/>
      <c r="CR206" s="64"/>
      <c r="CS206" s="64"/>
      <c r="CT206" s="64"/>
      <c r="CU206" s="64"/>
      <c r="CV206" s="64"/>
      <c r="CW206" s="64"/>
      <c r="CX206" s="64"/>
    </row>
    <row r="207" spans="1:102" x14ac:dyDescent="0.2">
      <c r="A207" s="64"/>
      <c r="B207" s="64"/>
      <c r="C207" s="102"/>
      <c r="D207" s="102"/>
      <c r="E207" s="102"/>
      <c r="F207" s="102"/>
      <c r="G207" s="102"/>
      <c r="H207" s="102"/>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c r="BU207" s="64"/>
      <c r="BV207" s="64"/>
      <c r="BW207" s="64"/>
      <c r="BX207" s="64"/>
      <c r="BY207" s="64"/>
      <c r="BZ207" s="64"/>
      <c r="CA207" s="64"/>
      <c r="CB207" s="64"/>
      <c r="CC207" s="64"/>
      <c r="CD207" s="64"/>
      <c r="CE207" s="64"/>
      <c r="CF207" s="64"/>
      <c r="CG207" s="64"/>
      <c r="CH207" s="64"/>
      <c r="CI207" s="64"/>
      <c r="CJ207" s="64"/>
      <c r="CK207" s="64"/>
      <c r="CL207" s="64"/>
      <c r="CM207" s="64"/>
      <c r="CN207" s="64"/>
      <c r="CO207" s="64"/>
      <c r="CP207" s="64"/>
      <c r="CQ207" s="64"/>
      <c r="CR207" s="64"/>
      <c r="CS207" s="64"/>
      <c r="CT207" s="64"/>
      <c r="CU207" s="64"/>
      <c r="CV207" s="64"/>
      <c r="CW207" s="64"/>
      <c r="CX207" s="64"/>
    </row>
    <row r="208" spans="1:102" x14ac:dyDescent="0.2">
      <c r="A208" s="64"/>
      <c r="B208" s="64"/>
      <c r="C208" s="102"/>
      <c r="D208" s="102"/>
      <c r="E208" s="102"/>
      <c r="F208" s="102"/>
      <c r="G208" s="102"/>
      <c r="H208" s="102"/>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c r="BU208" s="64"/>
      <c r="BV208" s="64"/>
      <c r="BW208" s="64"/>
      <c r="BX208" s="64"/>
      <c r="BY208" s="64"/>
      <c r="BZ208" s="64"/>
      <c r="CA208" s="64"/>
      <c r="CB208" s="64"/>
      <c r="CC208" s="64"/>
      <c r="CD208" s="64"/>
      <c r="CE208" s="64"/>
      <c r="CF208" s="64"/>
      <c r="CG208" s="64"/>
      <c r="CH208" s="64"/>
      <c r="CI208" s="64"/>
      <c r="CJ208" s="64"/>
      <c r="CK208" s="64"/>
      <c r="CL208" s="64"/>
      <c r="CM208" s="64"/>
      <c r="CN208" s="64"/>
      <c r="CO208" s="64"/>
      <c r="CP208" s="64"/>
      <c r="CQ208" s="64"/>
      <c r="CR208" s="64"/>
      <c r="CS208" s="64"/>
      <c r="CT208" s="64"/>
      <c r="CU208" s="64"/>
      <c r="CV208" s="64"/>
      <c r="CW208" s="64"/>
      <c r="CX208" s="64"/>
    </row>
    <row r="209" spans="1:102" x14ac:dyDescent="0.2">
      <c r="A209" s="64"/>
      <c r="B209" s="64"/>
      <c r="C209" s="102"/>
      <c r="D209" s="102"/>
      <c r="E209" s="102"/>
      <c r="F209" s="102"/>
      <c r="G209" s="102"/>
      <c r="H209" s="102"/>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c r="BU209" s="64"/>
      <c r="BV209" s="64"/>
      <c r="BW209" s="64"/>
      <c r="BX209" s="64"/>
      <c r="BY209" s="64"/>
      <c r="BZ209" s="64"/>
      <c r="CA209" s="64"/>
      <c r="CB209" s="64"/>
      <c r="CC209" s="64"/>
      <c r="CD209" s="64"/>
      <c r="CE209" s="64"/>
      <c r="CF209" s="64"/>
      <c r="CG209" s="64"/>
      <c r="CH209" s="64"/>
      <c r="CI209" s="64"/>
      <c r="CJ209" s="64"/>
      <c r="CK209" s="64"/>
      <c r="CL209" s="64"/>
      <c r="CM209" s="64"/>
      <c r="CN209" s="64"/>
      <c r="CO209" s="64"/>
      <c r="CP209" s="64"/>
      <c r="CQ209" s="64"/>
      <c r="CR209" s="64"/>
      <c r="CS209" s="64"/>
      <c r="CT209" s="64"/>
      <c r="CU209" s="64"/>
      <c r="CV209" s="64"/>
      <c r="CW209" s="64"/>
      <c r="CX209" s="64"/>
    </row>
    <row r="210" spans="1:102" x14ac:dyDescent="0.2">
      <c r="A210" s="64"/>
      <c r="B210" s="64"/>
      <c r="C210" s="102"/>
      <c r="D210" s="102"/>
      <c r="E210" s="102"/>
      <c r="F210" s="102"/>
      <c r="G210" s="102"/>
      <c r="H210" s="102"/>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c r="BU210" s="64"/>
      <c r="BV210" s="64"/>
      <c r="BW210" s="64"/>
      <c r="BX210" s="64"/>
      <c r="BY210" s="64"/>
      <c r="BZ210" s="64"/>
      <c r="CA210" s="64"/>
      <c r="CB210" s="64"/>
      <c r="CC210" s="64"/>
      <c r="CD210" s="64"/>
      <c r="CE210" s="64"/>
      <c r="CF210" s="64"/>
      <c r="CG210" s="64"/>
      <c r="CH210" s="64"/>
      <c r="CI210" s="64"/>
      <c r="CJ210" s="64"/>
      <c r="CK210" s="64"/>
      <c r="CL210" s="64"/>
      <c r="CM210" s="64"/>
      <c r="CN210" s="64"/>
      <c r="CO210" s="64"/>
      <c r="CP210" s="64"/>
      <c r="CQ210" s="64"/>
      <c r="CR210" s="64"/>
      <c r="CS210" s="64"/>
      <c r="CT210" s="64"/>
      <c r="CU210" s="64"/>
      <c r="CV210" s="64"/>
      <c r="CW210" s="64"/>
      <c r="CX210" s="64"/>
    </row>
    <row r="211" spans="1:102" x14ac:dyDescent="0.2">
      <c r="A211" s="64"/>
      <c r="B211" s="64"/>
      <c r="C211" s="102"/>
      <c r="D211" s="102"/>
      <c r="E211" s="102"/>
      <c r="F211" s="102"/>
      <c r="G211" s="102"/>
      <c r="H211" s="102"/>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c r="BU211" s="64"/>
      <c r="BV211" s="64"/>
      <c r="BW211" s="64"/>
      <c r="BX211" s="64"/>
      <c r="BY211" s="64"/>
      <c r="BZ211" s="64"/>
      <c r="CA211" s="64"/>
      <c r="CB211" s="64"/>
      <c r="CC211" s="64"/>
      <c r="CD211" s="64"/>
      <c r="CE211" s="64"/>
      <c r="CF211" s="64"/>
      <c r="CG211" s="64"/>
      <c r="CH211" s="64"/>
      <c r="CI211" s="64"/>
      <c r="CJ211" s="64"/>
      <c r="CK211" s="64"/>
      <c r="CL211" s="64"/>
      <c r="CM211" s="64"/>
      <c r="CN211" s="64"/>
      <c r="CO211" s="64"/>
      <c r="CP211" s="64"/>
      <c r="CQ211" s="64"/>
      <c r="CR211" s="64"/>
      <c r="CS211" s="64"/>
      <c r="CT211" s="64"/>
      <c r="CU211" s="64"/>
      <c r="CV211" s="64"/>
      <c r="CW211" s="64"/>
      <c r="CX211" s="64"/>
    </row>
    <row r="212" spans="1:102" x14ac:dyDescent="0.2">
      <c r="A212" s="64"/>
      <c r="B212" s="64"/>
      <c r="C212" s="102"/>
      <c r="D212" s="102"/>
      <c r="E212" s="102"/>
      <c r="F212" s="102"/>
      <c r="G212" s="102"/>
      <c r="H212" s="102"/>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c r="BU212" s="64"/>
      <c r="BV212" s="64"/>
      <c r="BW212" s="64"/>
      <c r="BX212" s="64"/>
      <c r="BY212" s="64"/>
      <c r="BZ212" s="64"/>
      <c r="CA212" s="64"/>
      <c r="CB212" s="64"/>
      <c r="CC212" s="64"/>
      <c r="CD212" s="64"/>
      <c r="CE212" s="64"/>
      <c r="CF212" s="64"/>
      <c r="CG212" s="64"/>
      <c r="CH212" s="64"/>
      <c r="CI212" s="64"/>
      <c r="CJ212" s="64"/>
      <c r="CK212" s="64"/>
      <c r="CL212" s="64"/>
      <c r="CM212" s="64"/>
      <c r="CN212" s="64"/>
      <c r="CO212" s="64"/>
      <c r="CP212" s="64"/>
      <c r="CQ212" s="64"/>
      <c r="CR212" s="64"/>
      <c r="CS212" s="64"/>
      <c r="CT212" s="64"/>
      <c r="CU212" s="64"/>
      <c r="CV212" s="64"/>
      <c r="CW212" s="64"/>
      <c r="CX212" s="64"/>
    </row>
    <row r="213" spans="1:102" x14ac:dyDescent="0.2">
      <c r="A213" s="64"/>
      <c r="B213" s="64"/>
      <c r="C213" s="102"/>
      <c r="D213" s="102"/>
      <c r="E213" s="102"/>
      <c r="F213" s="102"/>
      <c r="G213" s="102"/>
      <c r="H213" s="102"/>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c r="BU213" s="64"/>
      <c r="BV213" s="64"/>
      <c r="BW213" s="64"/>
      <c r="BX213" s="64"/>
      <c r="BY213" s="64"/>
      <c r="BZ213" s="64"/>
      <c r="CA213" s="64"/>
      <c r="CB213" s="64"/>
      <c r="CC213" s="64"/>
      <c r="CD213" s="64"/>
      <c r="CE213" s="64"/>
      <c r="CF213" s="64"/>
      <c r="CG213" s="64"/>
      <c r="CH213" s="64"/>
      <c r="CI213" s="64"/>
      <c r="CJ213" s="64"/>
      <c r="CK213" s="64"/>
      <c r="CL213" s="64"/>
      <c r="CM213" s="64"/>
      <c r="CN213" s="64"/>
      <c r="CO213" s="64"/>
      <c r="CP213" s="64"/>
      <c r="CQ213" s="64"/>
      <c r="CR213" s="64"/>
      <c r="CS213" s="64"/>
      <c r="CT213" s="64"/>
      <c r="CU213" s="64"/>
      <c r="CV213" s="64"/>
      <c r="CW213" s="64"/>
      <c r="CX213" s="64"/>
    </row>
    <row r="214" spans="1:102" x14ac:dyDescent="0.2">
      <c r="A214" s="64"/>
      <c r="B214" s="64"/>
      <c r="C214" s="102"/>
      <c r="D214" s="102"/>
      <c r="E214" s="102"/>
      <c r="F214" s="102"/>
      <c r="G214" s="102"/>
      <c r="H214" s="102"/>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c r="BU214" s="64"/>
      <c r="BV214" s="64"/>
      <c r="BW214" s="64"/>
      <c r="BX214" s="64"/>
      <c r="BY214" s="64"/>
      <c r="BZ214" s="64"/>
      <c r="CA214" s="64"/>
      <c r="CB214" s="64"/>
      <c r="CC214" s="64"/>
      <c r="CD214" s="64"/>
      <c r="CE214" s="64"/>
      <c r="CF214" s="64"/>
      <c r="CG214" s="64"/>
      <c r="CH214" s="64"/>
      <c r="CI214" s="64"/>
      <c r="CJ214" s="64"/>
      <c r="CK214" s="64"/>
      <c r="CL214" s="64"/>
      <c r="CM214" s="64"/>
      <c r="CN214" s="64"/>
      <c r="CO214" s="64"/>
      <c r="CP214" s="64"/>
      <c r="CQ214" s="64"/>
      <c r="CR214" s="64"/>
      <c r="CS214" s="64"/>
      <c r="CT214" s="64"/>
      <c r="CU214" s="64"/>
      <c r="CV214" s="64"/>
      <c r="CW214" s="64"/>
      <c r="CX214" s="64"/>
    </row>
    <row r="215" spans="1:102" x14ac:dyDescent="0.2">
      <c r="A215" s="64"/>
      <c r="B215" s="64"/>
      <c r="C215" s="102"/>
      <c r="D215" s="102"/>
      <c r="E215" s="102"/>
      <c r="F215" s="102"/>
      <c r="G215" s="102"/>
      <c r="H215" s="102"/>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c r="BU215" s="64"/>
      <c r="BV215" s="64"/>
      <c r="BW215" s="64"/>
      <c r="BX215" s="64"/>
      <c r="BY215" s="64"/>
      <c r="BZ215" s="64"/>
      <c r="CA215" s="64"/>
      <c r="CB215" s="64"/>
      <c r="CC215" s="64"/>
      <c r="CD215" s="64"/>
      <c r="CE215" s="64"/>
      <c r="CF215" s="64"/>
      <c r="CG215" s="64"/>
      <c r="CH215" s="64"/>
      <c r="CI215" s="64"/>
      <c r="CJ215" s="64"/>
      <c r="CK215" s="64"/>
      <c r="CL215" s="64"/>
      <c r="CM215" s="64"/>
      <c r="CN215" s="64"/>
      <c r="CO215" s="64"/>
      <c r="CP215" s="64"/>
      <c r="CQ215" s="64"/>
      <c r="CR215" s="64"/>
      <c r="CS215" s="64"/>
      <c r="CT215" s="64"/>
      <c r="CU215" s="64"/>
      <c r="CV215" s="64"/>
      <c r="CW215" s="64"/>
      <c r="CX215" s="64"/>
    </row>
    <row r="216" spans="1:102" x14ac:dyDescent="0.2">
      <c r="A216" s="64"/>
      <c r="B216" s="64"/>
      <c r="C216" s="102"/>
      <c r="D216" s="102"/>
      <c r="E216" s="102"/>
      <c r="F216" s="102"/>
      <c r="G216" s="102"/>
      <c r="H216" s="102"/>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c r="BU216" s="64"/>
      <c r="BV216" s="64"/>
      <c r="BW216" s="64"/>
      <c r="BX216" s="64"/>
      <c r="BY216" s="64"/>
      <c r="BZ216" s="64"/>
      <c r="CA216" s="64"/>
      <c r="CB216" s="64"/>
      <c r="CC216" s="64"/>
      <c r="CD216" s="64"/>
      <c r="CE216" s="64"/>
      <c r="CF216" s="64"/>
      <c r="CG216" s="64"/>
      <c r="CH216" s="64"/>
      <c r="CI216" s="64"/>
      <c r="CJ216" s="64"/>
      <c r="CK216" s="64"/>
      <c r="CL216" s="64"/>
      <c r="CM216" s="64"/>
      <c r="CN216" s="64"/>
      <c r="CO216" s="64"/>
      <c r="CP216" s="64"/>
      <c r="CQ216" s="64"/>
      <c r="CR216" s="64"/>
      <c r="CS216" s="64"/>
      <c r="CT216" s="64"/>
      <c r="CU216" s="64"/>
      <c r="CV216" s="64"/>
      <c r="CW216" s="64"/>
      <c r="CX216" s="64"/>
    </row>
    <row r="217" spans="1:102" x14ac:dyDescent="0.2">
      <c r="A217" s="64"/>
      <c r="B217" s="64"/>
      <c r="C217" s="102"/>
      <c r="D217" s="102"/>
      <c r="E217" s="102"/>
      <c r="F217" s="102"/>
      <c r="G217" s="102"/>
      <c r="H217" s="102"/>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c r="BU217" s="64"/>
      <c r="BV217" s="64"/>
      <c r="BW217" s="64"/>
      <c r="BX217" s="64"/>
      <c r="BY217" s="64"/>
      <c r="BZ217" s="64"/>
      <c r="CA217" s="64"/>
      <c r="CB217" s="64"/>
      <c r="CC217" s="64"/>
      <c r="CD217" s="64"/>
      <c r="CE217" s="64"/>
      <c r="CF217" s="64"/>
      <c r="CG217" s="64"/>
      <c r="CH217" s="64"/>
      <c r="CI217" s="64"/>
      <c r="CJ217" s="64"/>
      <c r="CK217" s="64"/>
      <c r="CL217" s="64"/>
      <c r="CM217" s="64"/>
      <c r="CN217" s="64"/>
      <c r="CO217" s="64"/>
      <c r="CP217" s="64"/>
      <c r="CQ217" s="64"/>
      <c r="CR217" s="64"/>
      <c r="CS217" s="64"/>
      <c r="CT217" s="64"/>
      <c r="CU217" s="64"/>
      <c r="CV217" s="64"/>
      <c r="CW217" s="64"/>
      <c r="CX217" s="64"/>
    </row>
    <row r="218" spans="1:102" x14ac:dyDescent="0.2">
      <c r="A218" s="64"/>
      <c r="B218" s="64"/>
      <c r="C218" s="102"/>
      <c r="D218" s="102"/>
      <c r="E218" s="102"/>
      <c r="F218" s="102"/>
      <c r="G218" s="102"/>
      <c r="H218" s="102"/>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c r="BU218" s="64"/>
      <c r="BV218" s="64"/>
      <c r="BW218" s="64"/>
      <c r="BX218" s="64"/>
      <c r="BY218" s="64"/>
      <c r="BZ218" s="64"/>
      <c r="CA218" s="64"/>
      <c r="CB218" s="64"/>
      <c r="CC218" s="64"/>
      <c r="CD218" s="64"/>
      <c r="CE218" s="64"/>
      <c r="CF218" s="64"/>
      <c r="CG218" s="64"/>
      <c r="CH218" s="64"/>
      <c r="CI218" s="64"/>
      <c r="CJ218" s="64"/>
      <c r="CK218" s="64"/>
      <c r="CL218" s="64"/>
      <c r="CM218" s="64"/>
      <c r="CN218" s="64"/>
      <c r="CO218" s="64"/>
      <c r="CP218" s="64"/>
      <c r="CQ218" s="64"/>
      <c r="CR218" s="64"/>
      <c r="CS218" s="64"/>
      <c r="CT218" s="64"/>
      <c r="CU218" s="64"/>
      <c r="CV218" s="64"/>
      <c r="CW218" s="64"/>
      <c r="CX218" s="64"/>
    </row>
    <row r="219" spans="1:102" x14ac:dyDescent="0.2">
      <c r="A219" s="64"/>
      <c r="B219" s="64"/>
      <c r="C219" s="102"/>
      <c r="D219" s="102"/>
      <c r="E219" s="102"/>
      <c r="F219" s="102"/>
      <c r="G219" s="102"/>
      <c r="H219" s="102"/>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c r="BU219" s="64"/>
      <c r="BV219" s="64"/>
      <c r="BW219" s="64"/>
      <c r="BX219" s="64"/>
      <c r="BY219" s="64"/>
      <c r="BZ219" s="64"/>
      <c r="CA219" s="64"/>
      <c r="CB219" s="64"/>
      <c r="CC219" s="64"/>
      <c r="CD219" s="64"/>
      <c r="CE219" s="64"/>
      <c r="CF219" s="64"/>
      <c r="CG219" s="64"/>
      <c r="CH219" s="64"/>
      <c r="CI219" s="64"/>
      <c r="CJ219" s="64"/>
      <c r="CK219" s="64"/>
      <c r="CL219" s="64"/>
      <c r="CM219" s="64"/>
      <c r="CN219" s="64"/>
      <c r="CO219" s="64"/>
      <c r="CP219" s="64"/>
      <c r="CQ219" s="64"/>
      <c r="CR219" s="64"/>
      <c r="CS219" s="64"/>
      <c r="CT219" s="64"/>
      <c r="CU219" s="64"/>
      <c r="CV219" s="64"/>
      <c r="CW219" s="64"/>
      <c r="CX219" s="64"/>
    </row>
    <row r="220" spans="1:102" x14ac:dyDescent="0.2">
      <c r="A220" s="64"/>
      <c r="B220" s="64"/>
      <c r="C220" s="102"/>
      <c r="D220" s="102"/>
      <c r="E220" s="102"/>
      <c r="F220" s="102"/>
      <c r="G220" s="102"/>
      <c r="H220" s="102"/>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c r="BU220" s="64"/>
      <c r="BV220" s="64"/>
      <c r="BW220" s="64"/>
      <c r="BX220" s="64"/>
      <c r="BY220" s="64"/>
      <c r="BZ220" s="64"/>
      <c r="CA220" s="64"/>
      <c r="CB220" s="64"/>
      <c r="CC220" s="64"/>
      <c r="CD220" s="64"/>
      <c r="CE220" s="64"/>
      <c r="CF220" s="64"/>
      <c r="CG220" s="64"/>
      <c r="CH220" s="64"/>
      <c r="CI220" s="64"/>
      <c r="CJ220" s="64"/>
      <c r="CK220" s="64"/>
      <c r="CL220" s="64"/>
      <c r="CM220" s="64"/>
      <c r="CN220" s="64"/>
      <c r="CO220" s="64"/>
      <c r="CP220" s="64"/>
      <c r="CQ220" s="64"/>
      <c r="CR220" s="64"/>
      <c r="CS220" s="64"/>
      <c r="CT220" s="64"/>
      <c r="CU220" s="64"/>
      <c r="CV220" s="64"/>
      <c r="CW220" s="64"/>
      <c r="CX220" s="64"/>
    </row>
    <row r="221" spans="1:102" x14ac:dyDescent="0.2">
      <c r="A221" s="64"/>
      <c r="B221" s="64"/>
      <c r="C221" s="102"/>
      <c r="D221" s="102"/>
      <c r="E221" s="102"/>
      <c r="F221" s="102"/>
      <c r="G221" s="102"/>
      <c r="H221" s="102"/>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c r="BU221" s="64"/>
      <c r="BV221" s="64"/>
      <c r="BW221" s="64"/>
      <c r="BX221" s="64"/>
      <c r="BY221" s="64"/>
      <c r="BZ221" s="64"/>
      <c r="CA221" s="64"/>
      <c r="CB221" s="64"/>
      <c r="CC221" s="64"/>
      <c r="CD221" s="64"/>
      <c r="CE221" s="64"/>
      <c r="CF221" s="64"/>
      <c r="CG221" s="64"/>
      <c r="CH221" s="64"/>
      <c r="CI221" s="64"/>
      <c r="CJ221" s="64"/>
      <c r="CK221" s="64"/>
      <c r="CL221" s="64"/>
      <c r="CM221" s="64"/>
      <c r="CN221" s="64"/>
      <c r="CO221" s="64"/>
      <c r="CP221" s="64"/>
      <c r="CQ221" s="64"/>
      <c r="CR221" s="64"/>
      <c r="CS221" s="64"/>
      <c r="CT221" s="64"/>
      <c r="CU221" s="64"/>
      <c r="CV221" s="64"/>
      <c r="CW221" s="64"/>
      <c r="CX221" s="64"/>
    </row>
    <row r="222" spans="1:102" x14ac:dyDescent="0.2">
      <c r="A222" s="64"/>
      <c r="B222" s="64"/>
      <c r="C222" s="102"/>
      <c r="D222" s="102"/>
      <c r="E222" s="102"/>
      <c r="F222" s="102"/>
      <c r="G222" s="102"/>
      <c r="H222" s="102"/>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c r="BU222" s="64"/>
      <c r="BV222" s="64"/>
      <c r="BW222" s="64"/>
      <c r="BX222" s="64"/>
      <c r="BY222" s="64"/>
      <c r="BZ222" s="64"/>
      <c r="CA222" s="64"/>
      <c r="CB222" s="64"/>
      <c r="CC222" s="64"/>
      <c r="CD222" s="64"/>
      <c r="CE222" s="64"/>
      <c r="CF222" s="64"/>
      <c r="CG222" s="64"/>
      <c r="CH222" s="64"/>
      <c r="CI222" s="64"/>
      <c r="CJ222" s="64"/>
      <c r="CK222" s="64"/>
      <c r="CL222" s="64"/>
      <c r="CM222" s="64"/>
      <c r="CN222" s="64"/>
      <c r="CO222" s="64"/>
      <c r="CP222" s="64"/>
      <c r="CQ222" s="64"/>
      <c r="CR222" s="64"/>
      <c r="CS222" s="64"/>
      <c r="CT222" s="64"/>
      <c r="CU222" s="64"/>
      <c r="CV222" s="64"/>
      <c r="CW222" s="64"/>
      <c r="CX222" s="64"/>
    </row>
    <row r="223" spans="1:102" x14ac:dyDescent="0.2">
      <c r="A223" s="64"/>
      <c r="B223" s="64"/>
      <c r="C223" s="102"/>
      <c r="D223" s="102"/>
      <c r="E223" s="102"/>
      <c r="F223" s="102"/>
      <c r="G223" s="102"/>
      <c r="H223" s="102"/>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c r="BU223" s="64"/>
      <c r="BV223" s="64"/>
      <c r="BW223" s="64"/>
      <c r="BX223" s="64"/>
      <c r="BY223" s="64"/>
      <c r="BZ223" s="64"/>
      <c r="CA223" s="64"/>
      <c r="CB223" s="64"/>
      <c r="CC223" s="64"/>
      <c r="CD223" s="64"/>
      <c r="CE223" s="64"/>
      <c r="CF223" s="64"/>
      <c r="CG223" s="64"/>
      <c r="CH223" s="64"/>
      <c r="CI223" s="64"/>
      <c r="CJ223" s="64"/>
      <c r="CK223" s="64"/>
      <c r="CL223" s="64"/>
      <c r="CM223" s="64"/>
      <c r="CN223" s="64"/>
      <c r="CO223" s="64"/>
      <c r="CP223" s="64"/>
      <c r="CQ223" s="64"/>
      <c r="CR223" s="64"/>
      <c r="CS223" s="64"/>
      <c r="CT223" s="64"/>
      <c r="CU223" s="64"/>
      <c r="CV223" s="64"/>
      <c r="CW223" s="64"/>
      <c r="CX223" s="64"/>
    </row>
    <row r="224" spans="1:102" x14ac:dyDescent="0.2">
      <c r="A224" s="64"/>
      <c r="B224" s="64"/>
      <c r="C224" s="102"/>
      <c r="D224" s="102"/>
      <c r="E224" s="102"/>
      <c r="F224" s="102"/>
      <c r="G224" s="102"/>
      <c r="H224" s="102"/>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c r="BU224" s="64"/>
      <c r="BV224" s="64"/>
      <c r="BW224" s="64"/>
      <c r="BX224" s="64"/>
      <c r="BY224" s="64"/>
      <c r="BZ224" s="64"/>
      <c r="CA224" s="64"/>
      <c r="CB224" s="64"/>
      <c r="CC224" s="64"/>
      <c r="CD224" s="64"/>
      <c r="CE224" s="64"/>
      <c r="CF224" s="64"/>
      <c r="CG224" s="64"/>
      <c r="CH224" s="64"/>
      <c r="CI224" s="64"/>
      <c r="CJ224" s="64"/>
      <c r="CK224" s="64"/>
      <c r="CL224" s="64"/>
      <c r="CM224" s="64"/>
      <c r="CN224" s="64"/>
      <c r="CO224" s="64"/>
      <c r="CP224" s="64"/>
      <c r="CQ224" s="64"/>
      <c r="CR224" s="64"/>
      <c r="CS224" s="64"/>
      <c r="CT224" s="64"/>
      <c r="CU224" s="64"/>
      <c r="CV224" s="64"/>
      <c r="CW224" s="64"/>
      <c r="CX224" s="64"/>
    </row>
    <row r="225" spans="1:102" x14ac:dyDescent="0.2">
      <c r="A225" s="64"/>
      <c r="B225" s="64"/>
      <c r="C225" s="102"/>
      <c r="D225" s="102"/>
      <c r="E225" s="102"/>
      <c r="F225" s="102"/>
      <c r="G225" s="102"/>
      <c r="H225" s="102"/>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c r="BU225" s="64"/>
      <c r="BV225" s="64"/>
      <c r="BW225" s="64"/>
      <c r="BX225" s="64"/>
      <c r="BY225" s="64"/>
      <c r="BZ225" s="64"/>
      <c r="CA225" s="64"/>
      <c r="CB225" s="64"/>
      <c r="CC225" s="64"/>
      <c r="CD225" s="64"/>
      <c r="CE225" s="64"/>
      <c r="CF225" s="64"/>
      <c r="CG225" s="64"/>
      <c r="CH225" s="64"/>
      <c r="CI225" s="64"/>
      <c r="CJ225" s="64"/>
      <c r="CK225" s="64"/>
      <c r="CL225" s="64"/>
      <c r="CM225" s="64"/>
      <c r="CN225" s="64"/>
      <c r="CO225" s="64"/>
      <c r="CP225" s="64"/>
      <c r="CQ225" s="64"/>
      <c r="CR225" s="64"/>
      <c r="CS225" s="64"/>
      <c r="CT225" s="64"/>
      <c r="CU225" s="64"/>
      <c r="CV225" s="64"/>
      <c r="CW225" s="64"/>
      <c r="CX225" s="64"/>
    </row>
    <row r="226" spans="1:102" x14ac:dyDescent="0.2">
      <c r="A226" s="64"/>
      <c r="B226" s="64"/>
      <c r="C226" s="102"/>
      <c r="D226" s="102"/>
      <c r="E226" s="102"/>
      <c r="F226" s="102"/>
      <c r="G226" s="102"/>
      <c r="H226" s="102"/>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c r="BU226" s="64"/>
      <c r="BV226" s="64"/>
      <c r="BW226" s="64"/>
      <c r="BX226" s="64"/>
      <c r="BY226" s="64"/>
      <c r="BZ226" s="64"/>
      <c r="CA226" s="64"/>
      <c r="CB226" s="64"/>
      <c r="CC226" s="64"/>
      <c r="CD226" s="64"/>
      <c r="CE226" s="64"/>
      <c r="CF226" s="64"/>
      <c r="CG226" s="64"/>
      <c r="CH226" s="64"/>
      <c r="CI226" s="64"/>
      <c r="CJ226" s="64"/>
      <c r="CK226" s="64"/>
      <c r="CL226" s="64"/>
      <c r="CM226" s="64"/>
      <c r="CN226" s="64"/>
      <c r="CO226" s="64"/>
      <c r="CP226" s="64"/>
      <c r="CQ226" s="64"/>
      <c r="CR226" s="64"/>
      <c r="CS226" s="64"/>
      <c r="CT226" s="64"/>
      <c r="CU226" s="64"/>
      <c r="CV226" s="64"/>
      <c r="CW226" s="64"/>
      <c r="CX226" s="64"/>
    </row>
    <row r="227" spans="1:102" x14ac:dyDescent="0.2">
      <c r="A227" s="64"/>
      <c r="B227" s="64"/>
      <c r="C227" s="102"/>
      <c r="D227" s="102"/>
      <c r="E227" s="102"/>
      <c r="F227" s="102"/>
      <c r="G227" s="102"/>
      <c r="H227" s="102"/>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c r="BU227" s="64"/>
      <c r="BV227" s="64"/>
      <c r="BW227" s="64"/>
      <c r="BX227" s="64"/>
      <c r="BY227" s="64"/>
      <c r="BZ227" s="64"/>
      <c r="CA227" s="64"/>
      <c r="CB227" s="64"/>
      <c r="CC227" s="64"/>
      <c r="CD227" s="64"/>
      <c r="CE227" s="64"/>
      <c r="CF227" s="64"/>
      <c r="CG227" s="64"/>
      <c r="CH227" s="64"/>
      <c r="CI227" s="64"/>
      <c r="CJ227" s="64"/>
      <c r="CK227" s="64"/>
      <c r="CL227" s="64"/>
      <c r="CM227" s="64"/>
      <c r="CN227" s="64"/>
      <c r="CO227" s="64"/>
      <c r="CP227" s="64"/>
      <c r="CQ227" s="64"/>
      <c r="CR227" s="64"/>
      <c r="CS227" s="64"/>
      <c r="CT227" s="64"/>
      <c r="CU227" s="64"/>
      <c r="CV227" s="64"/>
      <c r="CW227" s="64"/>
      <c r="CX227" s="64"/>
    </row>
    <row r="228" spans="1:102" x14ac:dyDescent="0.2">
      <c r="A228" s="64"/>
      <c r="B228" s="64"/>
      <c r="C228" s="102"/>
      <c r="D228" s="102"/>
      <c r="E228" s="102"/>
      <c r="F228" s="102"/>
      <c r="G228" s="102"/>
      <c r="H228" s="102"/>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c r="BU228" s="64"/>
      <c r="BV228" s="64"/>
      <c r="BW228" s="64"/>
      <c r="BX228" s="64"/>
      <c r="BY228" s="64"/>
      <c r="BZ228" s="64"/>
      <c r="CA228" s="64"/>
      <c r="CB228" s="64"/>
      <c r="CC228" s="64"/>
      <c r="CD228" s="64"/>
      <c r="CE228" s="64"/>
      <c r="CF228" s="64"/>
      <c r="CG228" s="64"/>
      <c r="CH228" s="64"/>
      <c r="CI228" s="64"/>
      <c r="CJ228" s="64"/>
      <c r="CK228" s="64"/>
      <c r="CL228" s="64"/>
      <c r="CM228" s="64"/>
      <c r="CN228" s="64"/>
      <c r="CO228" s="64"/>
      <c r="CP228" s="64"/>
      <c r="CQ228" s="64"/>
      <c r="CR228" s="64"/>
      <c r="CS228" s="64"/>
      <c r="CT228" s="64"/>
      <c r="CU228" s="64"/>
      <c r="CV228" s="64"/>
      <c r="CW228" s="64"/>
      <c r="CX228" s="64"/>
    </row>
    <row r="229" spans="1:102" x14ac:dyDescent="0.2">
      <c r="A229" s="64"/>
      <c r="B229" s="64"/>
      <c r="C229" s="102"/>
      <c r="D229" s="102"/>
      <c r="E229" s="102"/>
      <c r="F229" s="102"/>
      <c r="G229" s="102"/>
      <c r="H229" s="102"/>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c r="BU229" s="64"/>
      <c r="BV229" s="64"/>
      <c r="BW229" s="64"/>
      <c r="BX229" s="64"/>
      <c r="BY229" s="64"/>
      <c r="BZ229" s="64"/>
      <c r="CA229" s="64"/>
      <c r="CB229" s="64"/>
      <c r="CC229" s="64"/>
      <c r="CD229" s="64"/>
      <c r="CE229" s="64"/>
      <c r="CF229" s="64"/>
      <c r="CG229" s="64"/>
      <c r="CH229" s="64"/>
      <c r="CI229" s="64"/>
      <c r="CJ229" s="64"/>
      <c r="CK229" s="64"/>
      <c r="CL229" s="64"/>
      <c r="CM229" s="64"/>
      <c r="CN229" s="64"/>
      <c r="CO229" s="64"/>
      <c r="CP229" s="64"/>
      <c r="CQ229" s="64"/>
      <c r="CR229" s="64"/>
      <c r="CS229" s="64"/>
      <c r="CT229" s="64"/>
      <c r="CU229" s="64"/>
      <c r="CV229" s="64"/>
      <c r="CW229" s="64"/>
      <c r="CX229" s="64"/>
    </row>
    <row r="230" spans="1:102" x14ac:dyDescent="0.2">
      <c r="A230" s="64"/>
      <c r="B230" s="64"/>
      <c r="C230" s="102"/>
      <c r="D230" s="102"/>
      <c r="E230" s="102"/>
      <c r="F230" s="102"/>
      <c r="G230" s="102"/>
      <c r="H230" s="102"/>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c r="BU230" s="64"/>
      <c r="BV230" s="64"/>
      <c r="BW230" s="64"/>
      <c r="BX230" s="64"/>
      <c r="BY230" s="64"/>
      <c r="BZ230" s="64"/>
      <c r="CA230" s="64"/>
      <c r="CB230" s="64"/>
      <c r="CC230" s="64"/>
      <c r="CD230" s="64"/>
      <c r="CE230" s="64"/>
      <c r="CF230" s="64"/>
      <c r="CG230" s="64"/>
      <c r="CH230" s="64"/>
      <c r="CI230" s="64"/>
      <c r="CJ230" s="64"/>
      <c r="CK230" s="64"/>
      <c r="CL230" s="64"/>
      <c r="CM230" s="64"/>
      <c r="CN230" s="64"/>
      <c r="CO230" s="64"/>
      <c r="CP230" s="64"/>
      <c r="CQ230" s="64"/>
      <c r="CR230" s="64"/>
      <c r="CS230" s="64"/>
      <c r="CT230" s="64"/>
      <c r="CU230" s="64"/>
      <c r="CV230" s="64"/>
      <c r="CW230" s="64"/>
      <c r="CX230" s="64"/>
    </row>
    <row r="231" spans="1:102" x14ac:dyDescent="0.2">
      <c r="A231" s="64"/>
      <c r="B231" s="64"/>
      <c r="C231" s="102"/>
      <c r="D231" s="102"/>
      <c r="E231" s="102"/>
      <c r="F231" s="102"/>
      <c r="G231" s="102"/>
      <c r="H231" s="102"/>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c r="BU231" s="64"/>
      <c r="BV231" s="64"/>
      <c r="BW231" s="64"/>
      <c r="BX231" s="64"/>
      <c r="BY231" s="64"/>
      <c r="BZ231" s="64"/>
      <c r="CA231" s="64"/>
      <c r="CB231" s="64"/>
      <c r="CC231" s="64"/>
      <c r="CD231" s="64"/>
      <c r="CE231" s="64"/>
      <c r="CF231" s="64"/>
      <c r="CG231" s="64"/>
      <c r="CH231" s="64"/>
      <c r="CI231" s="64"/>
      <c r="CJ231" s="64"/>
      <c r="CK231" s="64"/>
      <c r="CL231" s="64"/>
      <c r="CM231" s="64"/>
      <c r="CN231" s="64"/>
      <c r="CO231" s="64"/>
      <c r="CP231" s="64"/>
      <c r="CQ231" s="64"/>
      <c r="CR231" s="64"/>
      <c r="CS231" s="64"/>
      <c r="CT231" s="64"/>
      <c r="CU231" s="64"/>
      <c r="CV231" s="64"/>
      <c r="CW231" s="64"/>
      <c r="CX231" s="64"/>
    </row>
    <row r="232" spans="1:102" x14ac:dyDescent="0.2">
      <c r="A232" s="64"/>
      <c r="B232" s="64"/>
      <c r="C232" s="102"/>
      <c r="D232" s="102"/>
      <c r="E232" s="102"/>
      <c r="F232" s="102"/>
      <c r="G232" s="102"/>
      <c r="H232" s="102"/>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c r="BU232" s="64"/>
      <c r="BV232" s="64"/>
      <c r="BW232" s="64"/>
      <c r="BX232" s="64"/>
      <c r="BY232" s="64"/>
      <c r="BZ232" s="64"/>
      <c r="CA232" s="64"/>
      <c r="CB232" s="64"/>
      <c r="CC232" s="64"/>
      <c r="CD232" s="64"/>
      <c r="CE232" s="64"/>
      <c r="CF232" s="64"/>
      <c r="CG232" s="64"/>
      <c r="CH232" s="64"/>
      <c r="CI232" s="64"/>
      <c r="CJ232" s="64"/>
      <c r="CK232" s="64"/>
      <c r="CL232" s="64"/>
      <c r="CM232" s="64"/>
      <c r="CN232" s="64"/>
      <c r="CO232" s="64"/>
      <c r="CP232" s="64"/>
      <c r="CQ232" s="64"/>
      <c r="CR232" s="64"/>
      <c r="CS232" s="64"/>
      <c r="CT232" s="64"/>
      <c r="CU232" s="64"/>
      <c r="CV232" s="64"/>
      <c r="CW232" s="64"/>
      <c r="CX232" s="64"/>
    </row>
    <row r="233" spans="1:102" x14ac:dyDescent="0.2">
      <c r="A233" s="64"/>
      <c r="B233" s="64"/>
      <c r="C233" s="102"/>
      <c r="D233" s="102"/>
      <c r="E233" s="102"/>
      <c r="F233" s="102"/>
      <c r="G233" s="102"/>
      <c r="H233" s="102"/>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c r="BU233" s="64"/>
      <c r="BV233" s="64"/>
      <c r="BW233" s="64"/>
      <c r="BX233" s="64"/>
      <c r="BY233" s="64"/>
      <c r="BZ233" s="64"/>
      <c r="CA233" s="64"/>
      <c r="CB233" s="64"/>
      <c r="CC233" s="64"/>
      <c r="CD233" s="64"/>
      <c r="CE233" s="64"/>
      <c r="CF233" s="64"/>
      <c r="CG233" s="64"/>
      <c r="CH233" s="64"/>
      <c r="CI233" s="64"/>
      <c r="CJ233" s="64"/>
      <c r="CK233" s="64"/>
      <c r="CL233" s="64"/>
      <c r="CM233" s="64"/>
      <c r="CN233" s="64"/>
      <c r="CO233" s="64"/>
      <c r="CP233" s="64"/>
      <c r="CQ233" s="64"/>
      <c r="CR233" s="64"/>
      <c r="CS233" s="64"/>
      <c r="CT233" s="64"/>
      <c r="CU233" s="64"/>
      <c r="CV233" s="64"/>
      <c r="CW233" s="64"/>
      <c r="CX233" s="64"/>
    </row>
    <row r="234" spans="1:102" x14ac:dyDescent="0.2">
      <c r="A234" s="64"/>
      <c r="B234" s="64"/>
      <c r="C234" s="102"/>
      <c r="D234" s="102"/>
      <c r="E234" s="102"/>
      <c r="F234" s="102"/>
      <c r="G234" s="102"/>
      <c r="H234" s="102"/>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c r="BU234" s="64"/>
      <c r="BV234" s="64"/>
      <c r="BW234" s="64"/>
      <c r="BX234" s="64"/>
      <c r="BY234" s="64"/>
      <c r="BZ234" s="64"/>
      <c r="CA234" s="64"/>
      <c r="CB234" s="64"/>
      <c r="CC234" s="64"/>
      <c r="CD234" s="64"/>
      <c r="CE234" s="64"/>
      <c r="CF234" s="64"/>
      <c r="CG234" s="64"/>
      <c r="CH234" s="64"/>
      <c r="CI234" s="64"/>
      <c r="CJ234" s="64"/>
      <c r="CK234" s="64"/>
      <c r="CL234" s="64"/>
      <c r="CM234" s="64"/>
      <c r="CN234" s="64"/>
      <c r="CO234" s="64"/>
      <c r="CP234" s="64"/>
      <c r="CQ234" s="64"/>
      <c r="CR234" s="64"/>
      <c r="CS234" s="64"/>
      <c r="CT234" s="64"/>
      <c r="CU234" s="64"/>
      <c r="CV234" s="64"/>
      <c r="CW234" s="64"/>
      <c r="CX234" s="64"/>
    </row>
    <row r="235" spans="1:102" x14ac:dyDescent="0.2">
      <c r="A235" s="64"/>
      <c r="B235" s="64"/>
      <c r="C235" s="102"/>
      <c r="D235" s="102"/>
      <c r="E235" s="102"/>
      <c r="F235" s="102"/>
      <c r="G235" s="102"/>
      <c r="H235" s="102"/>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c r="BU235" s="64"/>
      <c r="BV235" s="64"/>
      <c r="BW235" s="64"/>
      <c r="BX235" s="64"/>
      <c r="BY235" s="64"/>
      <c r="BZ235" s="64"/>
      <c r="CA235" s="64"/>
      <c r="CB235" s="64"/>
      <c r="CC235" s="64"/>
      <c r="CD235" s="64"/>
      <c r="CE235" s="64"/>
      <c r="CF235" s="64"/>
      <c r="CG235" s="64"/>
      <c r="CH235" s="64"/>
      <c r="CI235" s="64"/>
      <c r="CJ235" s="64"/>
      <c r="CK235" s="64"/>
      <c r="CL235" s="64"/>
      <c r="CM235" s="64"/>
      <c r="CN235" s="64"/>
      <c r="CO235" s="64"/>
      <c r="CP235" s="64"/>
      <c r="CQ235" s="64"/>
      <c r="CR235" s="64"/>
      <c r="CS235" s="64"/>
      <c r="CT235" s="64"/>
      <c r="CU235" s="64"/>
      <c r="CV235" s="64"/>
      <c r="CW235" s="64"/>
      <c r="CX235" s="64"/>
    </row>
    <row r="236" spans="1:102" x14ac:dyDescent="0.2">
      <c r="A236" s="64"/>
      <c r="B236" s="64"/>
      <c r="C236" s="102"/>
      <c r="D236" s="102"/>
      <c r="E236" s="102"/>
      <c r="F236" s="102"/>
      <c r="G236" s="102"/>
      <c r="H236" s="102"/>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c r="BU236" s="64"/>
      <c r="BV236" s="64"/>
      <c r="BW236" s="64"/>
      <c r="BX236" s="64"/>
      <c r="BY236" s="64"/>
      <c r="BZ236" s="64"/>
      <c r="CA236" s="64"/>
      <c r="CB236" s="64"/>
      <c r="CC236" s="64"/>
      <c r="CD236" s="64"/>
      <c r="CE236" s="64"/>
      <c r="CF236" s="64"/>
      <c r="CG236" s="64"/>
      <c r="CH236" s="64"/>
      <c r="CI236" s="64"/>
      <c r="CJ236" s="64"/>
      <c r="CK236" s="64"/>
      <c r="CL236" s="64"/>
      <c r="CM236" s="64"/>
      <c r="CN236" s="64"/>
      <c r="CO236" s="64"/>
      <c r="CP236" s="64"/>
      <c r="CQ236" s="64"/>
      <c r="CR236" s="64"/>
      <c r="CS236" s="64"/>
      <c r="CT236" s="64"/>
      <c r="CU236" s="64"/>
      <c r="CV236" s="64"/>
      <c r="CW236" s="64"/>
      <c r="CX236" s="64"/>
    </row>
    <row r="237" spans="1:102" x14ac:dyDescent="0.2">
      <c r="A237" s="64"/>
      <c r="B237" s="64"/>
      <c r="C237" s="102"/>
      <c r="D237" s="102"/>
      <c r="E237" s="102"/>
      <c r="F237" s="102"/>
      <c r="G237" s="102"/>
      <c r="H237" s="102"/>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c r="BU237" s="64"/>
      <c r="BV237" s="64"/>
      <c r="BW237" s="64"/>
      <c r="BX237" s="64"/>
      <c r="BY237" s="64"/>
      <c r="BZ237" s="64"/>
      <c r="CA237" s="64"/>
      <c r="CB237" s="64"/>
      <c r="CC237" s="64"/>
      <c r="CD237" s="64"/>
      <c r="CE237" s="64"/>
      <c r="CF237" s="64"/>
      <c r="CG237" s="64"/>
      <c r="CH237" s="64"/>
      <c r="CI237" s="64"/>
      <c r="CJ237" s="64"/>
      <c r="CK237" s="64"/>
      <c r="CL237" s="64"/>
      <c r="CM237" s="64"/>
      <c r="CN237" s="64"/>
      <c r="CO237" s="64"/>
      <c r="CP237" s="64"/>
      <c r="CQ237" s="64"/>
      <c r="CR237" s="64"/>
      <c r="CS237" s="64"/>
      <c r="CT237" s="64"/>
      <c r="CU237" s="64"/>
      <c r="CV237" s="64"/>
      <c r="CW237" s="64"/>
      <c r="CX237" s="64"/>
    </row>
    <row r="238" spans="1:102" x14ac:dyDescent="0.2">
      <c r="A238" s="64"/>
      <c r="B238" s="64"/>
      <c r="C238" s="102"/>
      <c r="D238" s="102"/>
      <c r="E238" s="102"/>
      <c r="F238" s="102"/>
      <c r="G238" s="102"/>
      <c r="H238" s="102"/>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c r="BU238" s="64"/>
      <c r="BV238" s="64"/>
      <c r="BW238" s="64"/>
      <c r="BX238" s="64"/>
      <c r="BY238" s="64"/>
      <c r="BZ238" s="64"/>
      <c r="CA238" s="64"/>
      <c r="CB238" s="64"/>
      <c r="CC238" s="64"/>
      <c r="CD238" s="64"/>
      <c r="CE238" s="64"/>
      <c r="CF238" s="64"/>
      <c r="CG238" s="64"/>
      <c r="CH238" s="64"/>
      <c r="CI238" s="64"/>
      <c r="CJ238" s="64"/>
      <c r="CK238" s="64"/>
      <c r="CL238" s="64"/>
      <c r="CM238" s="64"/>
      <c r="CN238" s="64"/>
      <c r="CO238" s="64"/>
      <c r="CP238" s="64"/>
      <c r="CQ238" s="64"/>
      <c r="CR238" s="64"/>
      <c r="CS238" s="64"/>
      <c r="CT238" s="64"/>
      <c r="CU238" s="64"/>
      <c r="CV238" s="64"/>
      <c r="CW238" s="64"/>
      <c r="CX238" s="64"/>
    </row>
    <row r="239" spans="1:102" x14ac:dyDescent="0.2">
      <c r="A239" s="64"/>
      <c r="B239" s="64"/>
      <c r="C239" s="102"/>
      <c r="D239" s="102"/>
      <c r="E239" s="102"/>
      <c r="F239" s="102"/>
      <c r="G239" s="102"/>
      <c r="H239" s="102"/>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c r="BU239" s="64"/>
      <c r="BV239" s="64"/>
      <c r="BW239" s="64"/>
      <c r="BX239" s="64"/>
      <c r="BY239" s="64"/>
      <c r="BZ239" s="64"/>
      <c r="CA239" s="64"/>
      <c r="CB239" s="64"/>
      <c r="CC239" s="64"/>
      <c r="CD239" s="64"/>
      <c r="CE239" s="64"/>
      <c r="CF239" s="64"/>
      <c r="CG239" s="64"/>
      <c r="CH239" s="64"/>
      <c r="CI239" s="64"/>
      <c r="CJ239" s="64"/>
      <c r="CK239" s="64"/>
      <c r="CL239" s="64"/>
      <c r="CM239" s="64"/>
      <c r="CN239" s="64"/>
      <c r="CO239" s="64"/>
      <c r="CP239" s="64"/>
      <c r="CQ239" s="64"/>
      <c r="CR239" s="64"/>
      <c r="CS239" s="64"/>
      <c r="CT239" s="64"/>
      <c r="CU239" s="64"/>
      <c r="CV239" s="64"/>
      <c r="CW239" s="64"/>
      <c r="CX239" s="64"/>
    </row>
    <row r="240" spans="1:102" x14ac:dyDescent="0.2">
      <c r="A240" s="64"/>
      <c r="B240" s="64"/>
      <c r="C240" s="102"/>
      <c r="D240" s="102"/>
      <c r="E240" s="102"/>
      <c r="F240" s="102"/>
      <c r="G240" s="102"/>
      <c r="H240" s="102"/>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c r="BU240" s="64"/>
      <c r="BV240" s="64"/>
      <c r="BW240" s="64"/>
      <c r="BX240" s="64"/>
      <c r="BY240" s="64"/>
      <c r="BZ240" s="64"/>
      <c r="CA240" s="64"/>
      <c r="CB240" s="64"/>
      <c r="CC240" s="64"/>
      <c r="CD240" s="64"/>
      <c r="CE240" s="64"/>
      <c r="CF240" s="64"/>
      <c r="CG240" s="64"/>
      <c r="CH240" s="64"/>
      <c r="CI240" s="64"/>
      <c r="CJ240" s="64"/>
      <c r="CK240" s="64"/>
      <c r="CL240" s="64"/>
      <c r="CM240" s="64"/>
      <c r="CN240" s="64"/>
      <c r="CO240" s="64"/>
      <c r="CP240" s="64"/>
      <c r="CQ240" s="64"/>
      <c r="CR240" s="64"/>
      <c r="CS240" s="64"/>
      <c r="CT240" s="64"/>
      <c r="CU240" s="64"/>
      <c r="CV240" s="64"/>
      <c r="CW240" s="64"/>
      <c r="CX240" s="64"/>
    </row>
    <row r="241" spans="1:102" x14ac:dyDescent="0.2">
      <c r="A241" s="64"/>
      <c r="B241" s="64"/>
      <c r="C241" s="102"/>
      <c r="D241" s="102"/>
      <c r="E241" s="102"/>
      <c r="F241" s="102"/>
      <c r="G241" s="102"/>
      <c r="H241" s="102"/>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c r="BU241" s="64"/>
      <c r="BV241" s="64"/>
      <c r="BW241" s="64"/>
      <c r="BX241" s="64"/>
      <c r="BY241" s="64"/>
      <c r="BZ241" s="64"/>
      <c r="CA241" s="64"/>
      <c r="CB241" s="64"/>
      <c r="CC241" s="64"/>
      <c r="CD241" s="64"/>
      <c r="CE241" s="64"/>
      <c r="CF241" s="64"/>
      <c r="CG241" s="64"/>
      <c r="CH241" s="64"/>
      <c r="CI241" s="64"/>
      <c r="CJ241" s="64"/>
      <c r="CK241" s="64"/>
      <c r="CL241" s="64"/>
      <c r="CM241" s="64"/>
      <c r="CN241" s="64"/>
      <c r="CO241" s="64"/>
      <c r="CP241" s="64"/>
      <c r="CQ241" s="64"/>
      <c r="CR241" s="64"/>
      <c r="CS241" s="64"/>
      <c r="CT241" s="64"/>
      <c r="CU241" s="64"/>
      <c r="CV241" s="64"/>
      <c r="CW241" s="64"/>
      <c r="CX241" s="64"/>
    </row>
    <row r="242" spans="1:102" x14ac:dyDescent="0.2">
      <c r="A242" s="64"/>
      <c r="B242" s="64"/>
      <c r="C242" s="102"/>
      <c r="D242" s="102"/>
      <c r="E242" s="102"/>
      <c r="F242" s="102"/>
      <c r="G242" s="102"/>
      <c r="H242" s="102"/>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c r="BU242" s="64"/>
      <c r="BV242" s="64"/>
      <c r="BW242" s="64"/>
      <c r="BX242" s="64"/>
      <c r="BY242" s="64"/>
      <c r="BZ242" s="64"/>
      <c r="CA242" s="64"/>
      <c r="CB242" s="64"/>
      <c r="CC242" s="64"/>
      <c r="CD242" s="64"/>
      <c r="CE242" s="64"/>
      <c r="CF242" s="64"/>
      <c r="CG242" s="64"/>
      <c r="CH242" s="64"/>
      <c r="CI242" s="64"/>
      <c r="CJ242" s="64"/>
      <c r="CK242" s="64"/>
      <c r="CL242" s="64"/>
      <c r="CM242" s="64"/>
      <c r="CN242" s="64"/>
      <c r="CO242" s="64"/>
      <c r="CP242" s="64"/>
      <c r="CQ242" s="64"/>
      <c r="CR242" s="64"/>
      <c r="CS242" s="64"/>
      <c r="CT242" s="64"/>
      <c r="CU242" s="64"/>
      <c r="CV242" s="64"/>
      <c r="CW242" s="64"/>
      <c r="CX242" s="64"/>
    </row>
    <row r="243" spans="1:102" x14ac:dyDescent="0.2">
      <c r="A243" s="64"/>
      <c r="B243" s="64"/>
      <c r="C243" s="102"/>
      <c r="D243" s="102"/>
      <c r="E243" s="102"/>
      <c r="F243" s="102"/>
      <c r="G243" s="102"/>
      <c r="H243" s="102"/>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c r="BU243" s="64"/>
      <c r="BV243" s="64"/>
      <c r="BW243" s="64"/>
      <c r="BX243" s="64"/>
      <c r="BY243" s="64"/>
      <c r="BZ243" s="64"/>
      <c r="CA243" s="64"/>
      <c r="CB243" s="64"/>
      <c r="CC243" s="64"/>
      <c r="CD243" s="64"/>
      <c r="CE243" s="64"/>
      <c r="CF243" s="64"/>
      <c r="CG243" s="64"/>
      <c r="CH243" s="64"/>
      <c r="CI243" s="64"/>
      <c r="CJ243" s="64"/>
      <c r="CK243" s="64"/>
      <c r="CL243" s="64"/>
      <c r="CM243" s="64"/>
      <c r="CN243" s="64"/>
      <c r="CO243" s="64"/>
      <c r="CP243" s="64"/>
      <c r="CQ243" s="64"/>
      <c r="CR243" s="64"/>
      <c r="CS243" s="64"/>
      <c r="CT243" s="64"/>
      <c r="CU243" s="64"/>
      <c r="CV243" s="64"/>
      <c r="CW243" s="64"/>
      <c r="CX243" s="64"/>
    </row>
    <row r="244" spans="1:102" x14ac:dyDescent="0.2">
      <c r="A244" s="64"/>
      <c r="B244" s="64"/>
      <c r="C244" s="102"/>
      <c r="D244" s="102"/>
      <c r="E244" s="102"/>
      <c r="F244" s="102"/>
      <c r="G244" s="102"/>
      <c r="H244" s="102"/>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c r="BU244" s="64"/>
      <c r="BV244" s="64"/>
      <c r="BW244" s="64"/>
      <c r="BX244" s="64"/>
      <c r="BY244" s="64"/>
      <c r="BZ244" s="64"/>
      <c r="CA244" s="64"/>
      <c r="CB244" s="64"/>
      <c r="CC244" s="64"/>
      <c r="CD244" s="64"/>
      <c r="CE244" s="64"/>
      <c r="CF244" s="64"/>
      <c r="CG244" s="64"/>
      <c r="CH244" s="64"/>
      <c r="CI244" s="64"/>
      <c r="CJ244" s="64"/>
      <c r="CK244" s="64"/>
      <c r="CL244" s="64"/>
      <c r="CM244" s="64"/>
      <c r="CN244" s="64"/>
      <c r="CO244" s="64"/>
      <c r="CP244" s="64"/>
      <c r="CQ244" s="64"/>
      <c r="CR244" s="64"/>
      <c r="CS244" s="64"/>
      <c r="CT244" s="64"/>
      <c r="CU244" s="64"/>
      <c r="CV244" s="64"/>
      <c r="CW244" s="64"/>
      <c r="CX244" s="64"/>
    </row>
    <row r="245" spans="1:102" x14ac:dyDescent="0.2">
      <c r="A245" s="64"/>
      <c r="B245" s="64"/>
      <c r="C245" s="102"/>
      <c r="D245" s="102"/>
      <c r="E245" s="102"/>
      <c r="F245" s="102"/>
      <c r="G245" s="102"/>
      <c r="H245" s="102"/>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c r="BU245" s="64"/>
      <c r="BV245" s="64"/>
      <c r="BW245" s="64"/>
      <c r="BX245" s="64"/>
      <c r="BY245" s="64"/>
      <c r="BZ245" s="64"/>
      <c r="CA245" s="64"/>
      <c r="CB245" s="64"/>
      <c r="CC245" s="64"/>
      <c r="CD245" s="64"/>
      <c r="CE245" s="64"/>
      <c r="CF245" s="64"/>
      <c r="CG245" s="64"/>
      <c r="CH245" s="64"/>
      <c r="CI245" s="64"/>
      <c r="CJ245" s="64"/>
      <c r="CK245" s="64"/>
      <c r="CL245" s="64"/>
      <c r="CM245" s="64"/>
      <c r="CN245" s="64"/>
      <c r="CO245" s="64"/>
      <c r="CP245" s="64"/>
      <c r="CQ245" s="64"/>
      <c r="CR245" s="64"/>
      <c r="CS245" s="64"/>
      <c r="CT245" s="64"/>
      <c r="CU245" s="64"/>
      <c r="CV245" s="64"/>
      <c r="CW245" s="64"/>
      <c r="CX245" s="64"/>
    </row>
    <row r="246" spans="1:102" x14ac:dyDescent="0.2">
      <c r="A246" s="64"/>
      <c r="B246" s="64"/>
      <c r="C246" s="102"/>
      <c r="D246" s="102"/>
      <c r="E246" s="102"/>
      <c r="F246" s="102"/>
      <c r="G246" s="102"/>
      <c r="H246" s="102"/>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c r="BU246" s="64"/>
      <c r="BV246" s="64"/>
      <c r="BW246" s="64"/>
      <c r="BX246" s="64"/>
      <c r="BY246" s="64"/>
      <c r="BZ246" s="64"/>
      <c r="CA246" s="64"/>
      <c r="CB246" s="64"/>
      <c r="CC246" s="64"/>
      <c r="CD246" s="64"/>
      <c r="CE246" s="64"/>
      <c r="CF246" s="64"/>
      <c r="CG246" s="64"/>
      <c r="CH246" s="64"/>
      <c r="CI246" s="64"/>
      <c r="CJ246" s="64"/>
      <c r="CK246" s="64"/>
      <c r="CL246" s="64"/>
      <c r="CM246" s="64"/>
      <c r="CN246" s="64"/>
      <c r="CO246" s="64"/>
      <c r="CP246" s="64"/>
      <c r="CQ246" s="64"/>
      <c r="CR246" s="64"/>
      <c r="CS246" s="64"/>
      <c r="CT246" s="64"/>
      <c r="CU246" s="64"/>
      <c r="CV246" s="64"/>
      <c r="CW246" s="64"/>
      <c r="CX246" s="64"/>
    </row>
    <row r="247" spans="1:102" x14ac:dyDescent="0.2">
      <c r="A247" s="64"/>
      <c r="B247" s="64"/>
      <c r="C247" s="102"/>
      <c r="D247" s="102"/>
      <c r="E247" s="102"/>
      <c r="F247" s="102"/>
      <c r="G247" s="102"/>
      <c r="H247" s="102"/>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c r="BU247" s="64"/>
      <c r="BV247" s="64"/>
      <c r="BW247" s="64"/>
      <c r="BX247" s="64"/>
      <c r="BY247" s="64"/>
      <c r="BZ247" s="64"/>
      <c r="CA247" s="64"/>
      <c r="CB247" s="64"/>
      <c r="CC247" s="64"/>
      <c r="CD247" s="64"/>
      <c r="CE247" s="64"/>
      <c r="CF247" s="64"/>
      <c r="CG247" s="64"/>
      <c r="CH247" s="64"/>
      <c r="CI247" s="64"/>
      <c r="CJ247" s="64"/>
      <c r="CK247" s="64"/>
      <c r="CL247" s="64"/>
      <c r="CM247" s="64"/>
      <c r="CN247" s="64"/>
      <c r="CO247" s="64"/>
      <c r="CP247" s="64"/>
      <c r="CQ247" s="64"/>
      <c r="CR247" s="64"/>
      <c r="CS247" s="64"/>
      <c r="CT247" s="64"/>
      <c r="CU247" s="64"/>
      <c r="CV247" s="64"/>
      <c r="CW247" s="64"/>
      <c r="CX247" s="64"/>
    </row>
    <row r="248" spans="1:102" x14ac:dyDescent="0.2">
      <c r="A248" s="64"/>
      <c r="B248" s="64"/>
      <c r="C248" s="102"/>
      <c r="D248" s="102"/>
      <c r="E248" s="102"/>
      <c r="F248" s="102"/>
      <c r="G248" s="102"/>
      <c r="H248" s="102"/>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c r="BU248" s="64"/>
      <c r="BV248" s="64"/>
      <c r="BW248" s="64"/>
      <c r="BX248" s="64"/>
      <c r="BY248" s="64"/>
      <c r="BZ248" s="64"/>
      <c r="CA248" s="64"/>
      <c r="CB248" s="64"/>
      <c r="CC248" s="64"/>
      <c r="CD248" s="64"/>
      <c r="CE248" s="64"/>
      <c r="CF248" s="64"/>
      <c r="CG248" s="64"/>
      <c r="CH248" s="64"/>
      <c r="CI248" s="64"/>
      <c r="CJ248" s="64"/>
      <c r="CK248" s="64"/>
      <c r="CL248" s="64"/>
      <c r="CM248" s="64"/>
      <c r="CN248" s="64"/>
      <c r="CO248" s="64"/>
      <c r="CP248" s="64"/>
      <c r="CQ248" s="64"/>
      <c r="CR248" s="64"/>
      <c r="CS248" s="64"/>
      <c r="CT248" s="64"/>
      <c r="CU248" s="64"/>
      <c r="CV248" s="64"/>
      <c r="CW248" s="64"/>
      <c r="CX248" s="64"/>
    </row>
    <row r="249" spans="1:102" x14ac:dyDescent="0.2">
      <c r="A249" s="64"/>
      <c r="B249" s="64"/>
      <c r="C249" s="102"/>
      <c r="D249" s="102"/>
      <c r="E249" s="102"/>
      <c r="F249" s="102"/>
      <c r="G249" s="102"/>
      <c r="H249" s="102"/>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c r="BU249" s="64"/>
      <c r="BV249" s="64"/>
      <c r="BW249" s="64"/>
      <c r="BX249" s="64"/>
      <c r="BY249" s="64"/>
      <c r="BZ249" s="64"/>
      <c r="CA249" s="64"/>
      <c r="CB249" s="64"/>
      <c r="CC249" s="64"/>
      <c r="CD249" s="64"/>
      <c r="CE249" s="64"/>
      <c r="CF249" s="64"/>
      <c r="CG249" s="64"/>
      <c r="CH249" s="64"/>
      <c r="CI249" s="64"/>
      <c r="CJ249" s="64"/>
      <c r="CK249" s="64"/>
      <c r="CL249" s="64"/>
      <c r="CM249" s="64"/>
      <c r="CN249" s="64"/>
      <c r="CO249" s="64"/>
      <c r="CP249" s="64"/>
      <c r="CQ249" s="64"/>
      <c r="CR249" s="64"/>
      <c r="CS249" s="64"/>
      <c r="CT249" s="64"/>
      <c r="CU249" s="64"/>
      <c r="CV249" s="64"/>
      <c r="CW249" s="64"/>
      <c r="CX249" s="64"/>
    </row>
    <row r="250" spans="1:102" x14ac:dyDescent="0.2">
      <c r="A250" s="64"/>
      <c r="B250" s="64"/>
      <c r="C250" s="102"/>
      <c r="D250" s="102"/>
      <c r="E250" s="102"/>
      <c r="F250" s="102"/>
      <c r="G250" s="102"/>
      <c r="H250" s="102"/>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c r="BU250" s="64"/>
      <c r="BV250" s="64"/>
      <c r="BW250" s="64"/>
      <c r="BX250" s="64"/>
      <c r="BY250" s="64"/>
      <c r="BZ250" s="64"/>
      <c r="CA250" s="64"/>
      <c r="CB250" s="64"/>
      <c r="CC250" s="64"/>
      <c r="CD250" s="64"/>
      <c r="CE250" s="64"/>
      <c r="CF250" s="64"/>
      <c r="CG250" s="64"/>
      <c r="CH250" s="64"/>
      <c r="CI250" s="64"/>
      <c r="CJ250" s="64"/>
      <c r="CK250" s="64"/>
      <c r="CL250" s="64"/>
      <c r="CM250" s="64"/>
      <c r="CN250" s="64"/>
      <c r="CO250" s="64"/>
      <c r="CP250" s="64"/>
      <c r="CQ250" s="64"/>
      <c r="CR250" s="64"/>
      <c r="CS250" s="64"/>
      <c r="CT250" s="64"/>
      <c r="CU250" s="64"/>
      <c r="CV250" s="64"/>
      <c r="CW250" s="64"/>
      <c r="CX250" s="64"/>
    </row>
    <row r="251" spans="1:102" x14ac:dyDescent="0.2">
      <c r="A251" s="64"/>
      <c r="B251" s="64"/>
      <c r="C251" s="102"/>
      <c r="D251" s="102"/>
      <c r="E251" s="102"/>
      <c r="F251" s="102"/>
      <c r="G251" s="102"/>
      <c r="H251" s="102"/>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c r="BU251" s="64"/>
      <c r="BV251" s="64"/>
      <c r="BW251" s="64"/>
      <c r="BX251" s="64"/>
      <c r="BY251" s="64"/>
      <c r="BZ251" s="64"/>
      <c r="CA251" s="64"/>
      <c r="CB251" s="64"/>
      <c r="CC251" s="64"/>
      <c r="CD251" s="64"/>
      <c r="CE251" s="64"/>
      <c r="CF251" s="64"/>
      <c r="CG251" s="64"/>
      <c r="CH251" s="64"/>
      <c r="CI251" s="64"/>
      <c r="CJ251" s="64"/>
      <c r="CK251" s="64"/>
      <c r="CL251" s="64"/>
      <c r="CM251" s="64"/>
      <c r="CN251" s="64"/>
      <c r="CO251" s="64"/>
      <c r="CP251" s="64"/>
      <c r="CQ251" s="64"/>
      <c r="CR251" s="64"/>
      <c r="CS251" s="64"/>
      <c r="CT251" s="64"/>
      <c r="CU251" s="64"/>
      <c r="CV251" s="64"/>
      <c r="CW251" s="64"/>
      <c r="CX251" s="64"/>
    </row>
    <row r="252" spans="1:102" x14ac:dyDescent="0.2">
      <c r="A252" s="64"/>
      <c r="B252" s="64"/>
      <c r="C252" s="102"/>
      <c r="D252" s="102"/>
      <c r="E252" s="102"/>
      <c r="F252" s="102"/>
      <c r="G252" s="102"/>
      <c r="H252" s="102"/>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c r="BU252" s="64"/>
      <c r="BV252" s="64"/>
      <c r="BW252" s="64"/>
      <c r="BX252" s="64"/>
      <c r="BY252" s="64"/>
      <c r="BZ252" s="64"/>
      <c r="CA252" s="64"/>
      <c r="CB252" s="64"/>
      <c r="CC252" s="64"/>
      <c r="CD252" s="64"/>
      <c r="CE252" s="64"/>
      <c r="CF252" s="64"/>
      <c r="CG252" s="64"/>
      <c r="CH252" s="64"/>
      <c r="CI252" s="64"/>
      <c r="CJ252" s="64"/>
      <c r="CK252" s="64"/>
      <c r="CL252" s="64"/>
      <c r="CM252" s="64"/>
      <c r="CN252" s="64"/>
      <c r="CO252" s="64"/>
      <c r="CP252" s="64"/>
      <c r="CQ252" s="64"/>
      <c r="CR252" s="64"/>
      <c r="CS252" s="64"/>
      <c r="CT252" s="64"/>
      <c r="CU252" s="64"/>
      <c r="CV252" s="64"/>
      <c r="CW252" s="64"/>
      <c r="CX252" s="64"/>
    </row>
    <row r="253" spans="1:102" x14ac:dyDescent="0.2">
      <c r="A253" s="64"/>
      <c r="B253" s="64"/>
      <c r="C253" s="102"/>
      <c r="D253" s="102"/>
      <c r="E253" s="102"/>
      <c r="F253" s="102"/>
      <c r="G253" s="102"/>
      <c r="H253" s="102"/>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c r="BU253" s="64"/>
      <c r="BV253" s="64"/>
      <c r="BW253" s="64"/>
      <c r="BX253" s="64"/>
      <c r="BY253" s="64"/>
      <c r="BZ253" s="64"/>
      <c r="CA253" s="64"/>
      <c r="CB253" s="64"/>
      <c r="CC253" s="64"/>
      <c r="CD253" s="64"/>
      <c r="CE253" s="64"/>
      <c r="CF253" s="64"/>
      <c r="CG253" s="64"/>
      <c r="CH253" s="64"/>
      <c r="CI253" s="64"/>
      <c r="CJ253" s="64"/>
      <c r="CK253" s="64"/>
      <c r="CL253" s="64"/>
      <c r="CM253" s="64"/>
      <c r="CN253" s="64"/>
      <c r="CO253" s="64"/>
      <c r="CP253" s="64"/>
      <c r="CQ253" s="64"/>
      <c r="CR253" s="64"/>
      <c r="CS253" s="64"/>
      <c r="CT253" s="64"/>
      <c r="CU253" s="64"/>
      <c r="CV253" s="64"/>
      <c r="CW253" s="64"/>
      <c r="CX253" s="64"/>
    </row>
    <row r="254" spans="1:102" x14ac:dyDescent="0.2">
      <c r="A254" s="64"/>
      <c r="B254" s="64"/>
      <c r="C254" s="102"/>
      <c r="D254" s="102"/>
      <c r="E254" s="102"/>
      <c r="F254" s="102"/>
      <c r="G254" s="102"/>
      <c r="H254" s="102"/>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c r="BU254" s="64"/>
      <c r="BV254" s="64"/>
      <c r="BW254" s="64"/>
      <c r="BX254" s="64"/>
      <c r="BY254" s="64"/>
      <c r="BZ254" s="64"/>
      <c r="CA254" s="64"/>
      <c r="CB254" s="64"/>
      <c r="CC254" s="64"/>
      <c r="CD254" s="64"/>
      <c r="CE254" s="64"/>
      <c r="CF254" s="64"/>
      <c r="CG254" s="64"/>
      <c r="CH254" s="64"/>
      <c r="CI254" s="64"/>
      <c r="CJ254" s="64"/>
      <c r="CK254" s="64"/>
      <c r="CL254" s="64"/>
      <c r="CM254" s="64"/>
      <c r="CN254" s="64"/>
      <c r="CO254" s="64"/>
      <c r="CP254" s="64"/>
      <c r="CQ254" s="64"/>
      <c r="CR254" s="64"/>
      <c r="CS254" s="64"/>
      <c r="CT254" s="64"/>
      <c r="CU254" s="64"/>
      <c r="CV254" s="64"/>
      <c r="CW254" s="64"/>
      <c r="CX254" s="64"/>
    </row>
    <row r="255" spans="1:102" x14ac:dyDescent="0.2">
      <c r="A255" s="64"/>
      <c r="B255" s="64"/>
      <c r="C255" s="102"/>
      <c r="D255" s="102"/>
      <c r="E255" s="102"/>
      <c r="F255" s="102"/>
      <c r="G255" s="102"/>
      <c r="H255" s="102"/>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c r="BU255" s="64"/>
      <c r="BV255" s="64"/>
      <c r="BW255" s="64"/>
      <c r="BX255" s="64"/>
      <c r="BY255" s="64"/>
      <c r="BZ255" s="64"/>
      <c r="CA255" s="64"/>
      <c r="CB255" s="64"/>
      <c r="CC255" s="64"/>
      <c r="CD255" s="64"/>
      <c r="CE255" s="64"/>
      <c r="CF255" s="64"/>
      <c r="CG255" s="64"/>
      <c r="CH255" s="64"/>
      <c r="CI255" s="64"/>
      <c r="CJ255" s="64"/>
      <c r="CK255" s="64"/>
      <c r="CL255" s="64"/>
      <c r="CM255" s="64"/>
      <c r="CN255" s="64"/>
      <c r="CO255" s="64"/>
      <c r="CP255" s="64"/>
      <c r="CQ255" s="64"/>
      <c r="CR255" s="64"/>
      <c r="CS255" s="64"/>
      <c r="CT255" s="64"/>
      <c r="CU255" s="64"/>
      <c r="CV255" s="64"/>
      <c r="CW255" s="64"/>
      <c r="CX255" s="64"/>
    </row>
    <row r="256" spans="1:102" x14ac:dyDescent="0.2">
      <c r="A256" s="64"/>
      <c r="B256" s="64"/>
      <c r="C256" s="102"/>
      <c r="D256" s="102"/>
      <c r="E256" s="102"/>
      <c r="F256" s="102"/>
      <c r="G256" s="102"/>
      <c r="H256" s="102"/>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c r="BU256" s="64"/>
      <c r="BV256" s="64"/>
      <c r="BW256" s="64"/>
      <c r="BX256" s="64"/>
      <c r="BY256" s="64"/>
      <c r="BZ256" s="64"/>
      <c r="CA256" s="64"/>
      <c r="CB256" s="64"/>
      <c r="CC256" s="64"/>
      <c r="CD256" s="64"/>
      <c r="CE256" s="64"/>
      <c r="CF256" s="64"/>
      <c r="CG256" s="64"/>
      <c r="CH256" s="64"/>
      <c r="CI256" s="64"/>
      <c r="CJ256" s="64"/>
      <c r="CK256" s="64"/>
      <c r="CL256" s="64"/>
      <c r="CM256" s="64"/>
      <c r="CN256" s="64"/>
      <c r="CO256" s="64"/>
      <c r="CP256" s="64"/>
      <c r="CQ256" s="64"/>
      <c r="CR256" s="64"/>
      <c r="CS256" s="64"/>
      <c r="CT256" s="64"/>
      <c r="CU256" s="64"/>
      <c r="CV256" s="64"/>
      <c r="CW256" s="64"/>
      <c r="CX256" s="64"/>
    </row>
    <row r="257" spans="1:102" x14ac:dyDescent="0.2">
      <c r="A257" s="64"/>
      <c r="B257" s="64"/>
      <c r="C257" s="102"/>
      <c r="D257" s="102"/>
      <c r="E257" s="102"/>
      <c r="F257" s="102"/>
      <c r="G257" s="102"/>
      <c r="H257" s="102"/>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c r="BU257" s="64"/>
      <c r="BV257" s="64"/>
      <c r="BW257" s="64"/>
      <c r="BX257" s="64"/>
      <c r="BY257" s="64"/>
      <c r="BZ257" s="64"/>
      <c r="CA257" s="64"/>
      <c r="CB257" s="64"/>
      <c r="CC257" s="64"/>
      <c r="CD257" s="64"/>
      <c r="CE257" s="64"/>
      <c r="CF257" s="64"/>
      <c r="CG257" s="64"/>
      <c r="CH257" s="64"/>
      <c r="CI257" s="64"/>
      <c r="CJ257" s="64"/>
      <c r="CK257" s="64"/>
      <c r="CL257" s="64"/>
      <c r="CM257" s="64"/>
      <c r="CN257" s="64"/>
      <c r="CO257" s="64"/>
      <c r="CP257" s="64"/>
      <c r="CQ257" s="64"/>
      <c r="CR257" s="64"/>
      <c r="CS257" s="64"/>
      <c r="CT257" s="64"/>
      <c r="CU257" s="64"/>
      <c r="CV257" s="64"/>
      <c r="CW257" s="64"/>
      <c r="CX257" s="64"/>
    </row>
    <row r="258" spans="1:102" x14ac:dyDescent="0.2">
      <c r="A258" s="64"/>
      <c r="B258" s="64"/>
      <c r="C258" s="102"/>
      <c r="D258" s="102"/>
      <c r="E258" s="102"/>
      <c r="F258" s="102"/>
      <c r="G258" s="102"/>
      <c r="H258" s="102"/>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c r="BU258" s="64"/>
      <c r="BV258" s="64"/>
      <c r="BW258" s="64"/>
      <c r="BX258" s="64"/>
      <c r="BY258" s="64"/>
      <c r="BZ258" s="64"/>
      <c r="CA258" s="64"/>
      <c r="CB258" s="64"/>
      <c r="CC258" s="64"/>
      <c r="CD258" s="64"/>
      <c r="CE258" s="64"/>
      <c r="CF258" s="64"/>
      <c r="CG258" s="64"/>
      <c r="CH258" s="64"/>
      <c r="CI258" s="64"/>
      <c r="CJ258" s="64"/>
      <c r="CK258" s="64"/>
      <c r="CL258" s="64"/>
      <c r="CM258" s="64"/>
      <c r="CN258" s="64"/>
      <c r="CO258" s="64"/>
      <c r="CP258" s="64"/>
      <c r="CQ258" s="64"/>
      <c r="CR258" s="64"/>
      <c r="CS258" s="64"/>
      <c r="CT258" s="64"/>
      <c r="CU258" s="64"/>
      <c r="CV258" s="64"/>
      <c r="CW258" s="64"/>
      <c r="CX258" s="64"/>
    </row>
    <row r="259" spans="1:102" x14ac:dyDescent="0.2">
      <c r="A259" s="64"/>
      <c r="B259" s="64"/>
      <c r="C259" s="102"/>
      <c r="D259" s="102"/>
      <c r="E259" s="102"/>
      <c r="F259" s="102"/>
      <c r="G259" s="102"/>
      <c r="H259" s="102"/>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c r="BU259" s="64"/>
      <c r="BV259" s="64"/>
      <c r="BW259" s="64"/>
      <c r="BX259" s="64"/>
      <c r="BY259" s="64"/>
      <c r="BZ259" s="64"/>
      <c r="CA259" s="64"/>
      <c r="CB259" s="64"/>
      <c r="CC259" s="64"/>
      <c r="CD259" s="64"/>
      <c r="CE259" s="64"/>
      <c r="CF259" s="64"/>
      <c r="CG259" s="64"/>
      <c r="CH259" s="64"/>
      <c r="CI259" s="64"/>
      <c r="CJ259" s="64"/>
      <c r="CK259" s="64"/>
      <c r="CL259" s="64"/>
      <c r="CM259" s="64"/>
      <c r="CN259" s="64"/>
      <c r="CO259" s="64"/>
      <c r="CP259" s="64"/>
      <c r="CQ259" s="64"/>
      <c r="CR259" s="64"/>
      <c r="CS259" s="64"/>
      <c r="CT259" s="64"/>
      <c r="CU259" s="64"/>
      <c r="CV259" s="64"/>
      <c r="CW259" s="64"/>
      <c r="CX259" s="64"/>
    </row>
    <row r="260" spans="1:102" x14ac:dyDescent="0.2">
      <c r="A260" s="64"/>
      <c r="B260" s="64"/>
      <c r="C260" s="102"/>
      <c r="D260" s="102"/>
      <c r="E260" s="102"/>
      <c r="F260" s="102"/>
      <c r="G260" s="102"/>
      <c r="H260" s="102"/>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c r="BU260" s="64"/>
      <c r="BV260" s="64"/>
      <c r="BW260" s="64"/>
      <c r="BX260" s="64"/>
      <c r="BY260" s="64"/>
      <c r="BZ260" s="64"/>
      <c r="CA260" s="64"/>
      <c r="CB260" s="64"/>
      <c r="CC260" s="64"/>
      <c r="CD260" s="64"/>
      <c r="CE260" s="64"/>
      <c r="CF260" s="64"/>
      <c r="CG260" s="64"/>
      <c r="CH260" s="64"/>
      <c r="CI260" s="64"/>
      <c r="CJ260" s="64"/>
      <c r="CK260" s="64"/>
      <c r="CL260" s="64"/>
      <c r="CM260" s="64"/>
      <c r="CN260" s="64"/>
      <c r="CO260" s="64"/>
      <c r="CP260" s="64"/>
      <c r="CQ260" s="64"/>
      <c r="CR260" s="64"/>
      <c r="CS260" s="64"/>
      <c r="CT260" s="64"/>
      <c r="CU260" s="64"/>
      <c r="CV260" s="64"/>
      <c r="CW260" s="64"/>
      <c r="CX260" s="64"/>
    </row>
    <row r="261" spans="1:102" x14ac:dyDescent="0.2">
      <c r="A261" s="64"/>
      <c r="B261" s="64"/>
      <c r="C261" s="102"/>
      <c r="D261" s="102"/>
      <c r="E261" s="102"/>
      <c r="F261" s="102"/>
      <c r="G261" s="102"/>
      <c r="H261" s="102"/>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c r="BU261" s="64"/>
      <c r="BV261" s="64"/>
      <c r="BW261" s="64"/>
      <c r="BX261" s="64"/>
      <c r="BY261" s="64"/>
      <c r="BZ261" s="64"/>
      <c r="CA261" s="64"/>
      <c r="CB261" s="64"/>
      <c r="CC261" s="64"/>
      <c r="CD261" s="64"/>
      <c r="CE261" s="64"/>
      <c r="CF261" s="64"/>
      <c r="CG261" s="64"/>
      <c r="CH261" s="64"/>
      <c r="CI261" s="64"/>
      <c r="CJ261" s="64"/>
      <c r="CK261" s="64"/>
      <c r="CL261" s="64"/>
      <c r="CM261" s="64"/>
      <c r="CN261" s="64"/>
      <c r="CO261" s="64"/>
      <c r="CP261" s="64"/>
      <c r="CQ261" s="64"/>
      <c r="CR261" s="64"/>
      <c r="CS261" s="64"/>
      <c r="CT261" s="64"/>
      <c r="CU261" s="64"/>
      <c r="CV261" s="64"/>
      <c r="CW261" s="64"/>
      <c r="CX261" s="64"/>
    </row>
    <row r="262" spans="1:102" x14ac:dyDescent="0.2">
      <c r="A262" s="64"/>
      <c r="B262" s="64"/>
      <c r="C262" s="102"/>
      <c r="D262" s="102"/>
      <c r="E262" s="102"/>
      <c r="F262" s="102"/>
      <c r="G262" s="102"/>
      <c r="H262" s="102"/>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c r="BU262" s="64"/>
      <c r="BV262" s="64"/>
      <c r="BW262" s="64"/>
      <c r="BX262" s="64"/>
      <c r="BY262" s="64"/>
      <c r="BZ262" s="64"/>
      <c r="CA262" s="64"/>
      <c r="CB262" s="64"/>
      <c r="CC262" s="64"/>
      <c r="CD262" s="64"/>
      <c r="CE262" s="64"/>
      <c r="CF262" s="64"/>
      <c r="CG262" s="64"/>
      <c r="CH262" s="64"/>
      <c r="CI262" s="64"/>
      <c r="CJ262" s="64"/>
      <c r="CK262" s="64"/>
      <c r="CL262" s="64"/>
      <c r="CM262" s="64"/>
      <c r="CN262" s="64"/>
      <c r="CO262" s="64"/>
      <c r="CP262" s="64"/>
      <c r="CQ262" s="64"/>
      <c r="CR262" s="64"/>
      <c r="CS262" s="64"/>
      <c r="CT262" s="64"/>
      <c r="CU262" s="64"/>
      <c r="CV262" s="64"/>
      <c r="CW262" s="64"/>
      <c r="CX262" s="64"/>
    </row>
    <row r="263" spans="1:102" x14ac:dyDescent="0.2">
      <c r="A263" s="64"/>
      <c r="B263" s="64"/>
      <c r="C263" s="102"/>
      <c r="D263" s="102"/>
      <c r="E263" s="102"/>
      <c r="F263" s="102"/>
      <c r="G263" s="102"/>
      <c r="H263" s="102"/>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c r="BU263" s="64"/>
      <c r="BV263" s="64"/>
      <c r="BW263" s="64"/>
      <c r="BX263" s="64"/>
      <c r="BY263" s="64"/>
      <c r="BZ263" s="64"/>
      <c r="CA263" s="64"/>
      <c r="CB263" s="64"/>
      <c r="CC263" s="64"/>
      <c r="CD263" s="64"/>
      <c r="CE263" s="64"/>
      <c r="CF263" s="64"/>
      <c r="CG263" s="64"/>
      <c r="CH263" s="64"/>
      <c r="CI263" s="64"/>
      <c r="CJ263" s="64"/>
      <c r="CK263" s="64"/>
      <c r="CL263" s="64"/>
      <c r="CM263" s="64"/>
      <c r="CN263" s="64"/>
      <c r="CO263" s="64"/>
      <c r="CP263" s="64"/>
      <c r="CQ263" s="64"/>
      <c r="CR263" s="64"/>
      <c r="CS263" s="64"/>
      <c r="CT263" s="64"/>
      <c r="CU263" s="64"/>
      <c r="CV263" s="64"/>
      <c r="CW263" s="64"/>
      <c r="CX263" s="64"/>
    </row>
    <row r="264" spans="1:102" x14ac:dyDescent="0.2">
      <c r="A264" s="64"/>
      <c r="B264" s="64"/>
      <c r="C264" s="102"/>
      <c r="D264" s="102"/>
      <c r="E264" s="102"/>
      <c r="F264" s="102"/>
      <c r="G264" s="102"/>
      <c r="H264" s="102"/>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c r="BU264" s="64"/>
      <c r="BV264" s="64"/>
      <c r="BW264" s="64"/>
      <c r="BX264" s="64"/>
      <c r="BY264" s="64"/>
      <c r="BZ264" s="64"/>
      <c r="CA264" s="64"/>
      <c r="CB264" s="64"/>
      <c r="CC264" s="64"/>
      <c r="CD264" s="64"/>
      <c r="CE264" s="64"/>
      <c r="CF264" s="64"/>
      <c r="CG264" s="64"/>
      <c r="CH264" s="64"/>
      <c r="CI264" s="64"/>
      <c r="CJ264" s="64"/>
      <c r="CK264" s="64"/>
      <c r="CL264" s="64"/>
      <c r="CM264" s="64"/>
      <c r="CN264" s="64"/>
      <c r="CO264" s="64"/>
      <c r="CP264" s="64"/>
      <c r="CQ264" s="64"/>
      <c r="CR264" s="64"/>
      <c r="CS264" s="64"/>
      <c r="CT264" s="64"/>
      <c r="CU264" s="64"/>
      <c r="CV264" s="64"/>
      <c r="CW264" s="64"/>
      <c r="CX264" s="64"/>
    </row>
    <row r="265" spans="1:102" x14ac:dyDescent="0.2">
      <c r="A265" s="64"/>
      <c r="B265" s="64"/>
      <c r="C265" s="102"/>
      <c r="D265" s="102"/>
      <c r="E265" s="102"/>
      <c r="F265" s="102"/>
      <c r="G265" s="102"/>
      <c r="H265" s="102"/>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c r="BU265" s="64"/>
      <c r="BV265" s="64"/>
      <c r="BW265" s="64"/>
      <c r="BX265" s="64"/>
      <c r="BY265" s="64"/>
      <c r="BZ265" s="64"/>
      <c r="CA265" s="64"/>
      <c r="CB265" s="64"/>
      <c r="CC265" s="64"/>
      <c r="CD265" s="64"/>
      <c r="CE265" s="64"/>
      <c r="CF265" s="64"/>
      <c r="CG265" s="64"/>
      <c r="CH265" s="64"/>
      <c r="CI265" s="64"/>
      <c r="CJ265" s="64"/>
      <c r="CK265" s="64"/>
      <c r="CL265" s="64"/>
      <c r="CM265" s="64"/>
      <c r="CN265" s="64"/>
      <c r="CO265" s="64"/>
      <c r="CP265" s="64"/>
      <c r="CQ265" s="64"/>
      <c r="CR265" s="64"/>
      <c r="CS265" s="64"/>
      <c r="CT265" s="64"/>
      <c r="CU265" s="64"/>
      <c r="CV265" s="64"/>
      <c r="CW265" s="64"/>
      <c r="CX265" s="64"/>
    </row>
    <row r="266" spans="1:102" x14ac:dyDescent="0.2">
      <c r="A266" s="64"/>
      <c r="B266" s="64"/>
      <c r="C266" s="102"/>
      <c r="D266" s="102"/>
      <c r="E266" s="102"/>
      <c r="F266" s="102"/>
      <c r="G266" s="102"/>
      <c r="H266" s="102"/>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c r="BU266" s="64"/>
      <c r="BV266" s="64"/>
      <c r="BW266" s="64"/>
      <c r="BX266" s="64"/>
      <c r="BY266" s="64"/>
      <c r="BZ266" s="64"/>
      <c r="CA266" s="64"/>
      <c r="CB266" s="64"/>
      <c r="CC266" s="64"/>
      <c r="CD266" s="64"/>
      <c r="CE266" s="64"/>
      <c r="CF266" s="64"/>
      <c r="CG266" s="64"/>
      <c r="CH266" s="64"/>
      <c r="CI266" s="64"/>
      <c r="CJ266" s="64"/>
      <c r="CK266" s="64"/>
      <c r="CL266" s="64"/>
      <c r="CM266" s="64"/>
      <c r="CN266" s="64"/>
      <c r="CO266" s="64"/>
      <c r="CP266" s="64"/>
      <c r="CQ266" s="64"/>
      <c r="CR266" s="64"/>
      <c r="CS266" s="64"/>
      <c r="CT266" s="64"/>
      <c r="CU266" s="64"/>
      <c r="CV266" s="64"/>
      <c r="CW266" s="64"/>
      <c r="CX266" s="64"/>
    </row>
    <row r="267" spans="1:102" x14ac:dyDescent="0.2">
      <c r="A267" s="64"/>
      <c r="B267" s="64"/>
      <c r="C267" s="102"/>
      <c r="D267" s="102"/>
      <c r="E267" s="102"/>
      <c r="F267" s="102"/>
      <c r="G267" s="102"/>
      <c r="H267" s="102"/>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c r="BU267" s="64"/>
      <c r="BV267" s="64"/>
      <c r="BW267" s="64"/>
      <c r="BX267" s="64"/>
      <c r="BY267" s="64"/>
      <c r="BZ267" s="64"/>
      <c r="CA267" s="64"/>
      <c r="CB267" s="64"/>
      <c r="CC267" s="64"/>
      <c r="CD267" s="64"/>
      <c r="CE267" s="64"/>
      <c r="CF267" s="64"/>
      <c r="CG267" s="64"/>
      <c r="CH267" s="64"/>
      <c r="CI267" s="64"/>
      <c r="CJ267" s="64"/>
      <c r="CK267" s="64"/>
      <c r="CL267" s="64"/>
      <c r="CM267" s="64"/>
      <c r="CN267" s="64"/>
      <c r="CO267" s="64"/>
      <c r="CP267" s="64"/>
      <c r="CQ267" s="64"/>
      <c r="CR267" s="64"/>
      <c r="CS267" s="64"/>
      <c r="CT267" s="64"/>
      <c r="CU267" s="64"/>
      <c r="CV267" s="64"/>
      <c r="CW267" s="64"/>
      <c r="CX267" s="64"/>
    </row>
    <row r="268" spans="1:102" x14ac:dyDescent="0.2">
      <c r="A268" s="64"/>
      <c r="B268" s="64"/>
      <c r="C268" s="102"/>
      <c r="D268" s="102"/>
      <c r="E268" s="102"/>
      <c r="F268" s="102"/>
      <c r="G268" s="102"/>
      <c r="H268" s="102"/>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c r="BU268" s="64"/>
      <c r="BV268" s="64"/>
      <c r="BW268" s="64"/>
      <c r="BX268" s="64"/>
      <c r="BY268" s="64"/>
      <c r="BZ268" s="64"/>
      <c r="CA268" s="64"/>
      <c r="CB268" s="64"/>
      <c r="CC268" s="64"/>
      <c r="CD268" s="64"/>
      <c r="CE268" s="64"/>
      <c r="CF268" s="64"/>
      <c r="CG268" s="64"/>
      <c r="CH268" s="64"/>
      <c r="CI268" s="64"/>
      <c r="CJ268" s="64"/>
      <c r="CK268" s="64"/>
      <c r="CL268" s="64"/>
      <c r="CM268" s="64"/>
      <c r="CN268" s="64"/>
      <c r="CO268" s="64"/>
      <c r="CP268" s="64"/>
      <c r="CQ268" s="64"/>
      <c r="CR268" s="64"/>
      <c r="CS268" s="64"/>
      <c r="CT268" s="64"/>
      <c r="CU268" s="64"/>
      <c r="CV268" s="64"/>
      <c r="CW268" s="64"/>
      <c r="CX268" s="64"/>
    </row>
    <row r="269" spans="1:102" x14ac:dyDescent="0.2">
      <c r="A269" s="64"/>
      <c r="B269" s="64"/>
      <c r="C269" s="102"/>
      <c r="D269" s="102"/>
      <c r="E269" s="102"/>
      <c r="F269" s="102"/>
      <c r="G269" s="102"/>
      <c r="H269" s="102"/>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c r="BU269" s="64"/>
      <c r="BV269" s="64"/>
      <c r="BW269" s="64"/>
      <c r="BX269" s="64"/>
      <c r="BY269" s="64"/>
      <c r="BZ269" s="64"/>
      <c r="CA269" s="64"/>
      <c r="CB269" s="64"/>
      <c r="CC269" s="64"/>
      <c r="CD269" s="64"/>
      <c r="CE269" s="64"/>
      <c r="CF269" s="64"/>
      <c r="CG269" s="64"/>
      <c r="CH269" s="64"/>
      <c r="CI269" s="64"/>
      <c r="CJ269" s="64"/>
      <c r="CK269" s="64"/>
      <c r="CL269" s="64"/>
      <c r="CM269" s="64"/>
      <c r="CN269" s="64"/>
      <c r="CO269" s="64"/>
      <c r="CP269" s="64"/>
      <c r="CQ269" s="64"/>
      <c r="CR269" s="64"/>
      <c r="CS269" s="64"/>
      <c r="CT269" s="64"/>
      <c r="CU269" s="64"/>
      <c r="CV269" s="64"/>
      <c r="CW269" s="64"/>
      <c r="CX269" s="64"/>
    </row>
    <row r="270" spans="1:102" x14ac:dyDescent="0.2">
      <c r="A270" s="64"/>
      <c r="B270" s="64"/>
      <c r="C270" s="102"/>
      <c r="D270" s="102"/>
      <c r="E270" s="102"/>
      <c r="F270" s="102"/>
      <c r="G270" s="102"/>
      <c r="H270" s="102"/>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c r="BU270" s="64"/>
      <c r="BV270" s="64"/>
      <c r="BW270" s="64"/>
      <c r="BX270" s="64"/>
      <c r="BY270" s="64"/>
      <c r="BZ270" s="64"/>
      <c r="CA270" s="64"/>
      <c r="CB270" s="64"/>
      <c r="CC270" s="64"/>
      <c r="CD270" s="64"/>
      <c r="CE270" s="64"/>
      <c r="CF270" s="64"/>
      <c r="CG270" s="64"/>
      <c r="CH270" s="64"/>
      <c r="CI270" s="64"/>
      <c r="CJ270" s="64"/>
      <c r="CK270" s="64"/>
      <c r="CL270" s="64"/>
      <c r="CM270" s="64"/>
      <c r="CN270" s="64"/>
      <c r="CO270" s="64"/>
      <c r="CP270" s="64"/>
      <c r="CQ270" s="64"/>
      <c r="CR270" s="64"/>
      <c r="CS270" s="64"/>
      <c r="CT270" s="64"/>
      <c r="CU270" s="64"/>
      <c r="CV270" s="64"/>
      <c r="CW270" s="64"/>
      <c r="CX270" s="64"/>
    </row>
    <row r="271" spans="1:102" x14ac:dyDescent="0.2">
      <c r="A271" s="64"/>
      <c r="B271" s="64"/>
      <c r="C271" s="102"/>
      <c r="D271" s="102"/>
      <c r="E271" s="102"/>
      <c r="F271" s="102"/>
      <c r="G271" s="102"/>
      <c r="H271" s="102"/>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c r="BU271" s="64"/>
      <c r="BV271" s="64"/>
      <c r="BW271" s="64"/>
      <c r="BX271" s="64"/>
      <c r="BY271" s="64"/>
      <c r="BZ271" s="64"/>
      <c r="CA271" s="64"/>
      <c r="CB271" s="64"/>
      <c r="CC271" s="64"/>
      <c r="CD271" s="64"/>
      <c r="CE271" s="64"/>
      <c r="CF271" s="64"/>
      <c r="CG271" s="64"/>
      <c r="CH271" s="64"/>
      <c r="CI271" s="64"/>
      <c r="CJ271" s="64"/>
      <c r="CK271" s="64"/>
      <c r="CL271" s="64"/>
      <c r="CM271" s="64"/>
      <c r="CN271" s="64"/>
      <c r="CO271" s="64"/>
      <c r="CP271" s="64"/>
      <c r="CQ271" s="64"/>
      <c r="CR271" s="64"/>
      <c r="CS271" s="64"/>
      <c r="CT271" s="64"/>
      <c r="CU271" s="64"/>
      <c r="CV271" s="64"/>
      <c r="CW271" s="64"/>
      <c r="CX271" s="64"/>
    </row>
    <row r="272" spans="1:102" x14ac:dyDescent="0.2">
      <c r="A272" s="64"/>
      <c r="B272" s="64"/>
      <c r="C272" s="102"/>
      <c r="D272" s="102"/>
      <c r="E272" s="102"/>
      <c r="F272" s="102"/>
      <c r="G272" s="102"/>
      <c r="H272" s="102"/>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c r="BU272" s="64"/>
      <c r="BV272" s="64"/>
      <c r="BW272" s="64"/>
      <c r="BX272" s="64"/>
      <c r="BY272" s="64"/>
      <c r="BZ272" s="64"/>
      <c r="CA272" s="64"/>
      <c r="CB272" s="64"/>
      <c r="CC272" s="64"/>
      <c r="CD272" s="64"/>
      <c r="CE272" s="64"/>
      <c r="CF272" s="64"/>
      <c r="CG272" s="64"/>
      <c r="CH272" s="64"/>
      <c r="CI272" s="64"/>
      <c r="CJ272" s="64"/>
      <c r="CK272" s="64"/>
      <c r="CL272" s="64"/>
      <c r="CM272" s="64"/>
      <c r="CN272" s="64"/>
      <c r="CO272" s="64"/>
      <c r="CP272" s="64"/>
      <c r="CQ272" s="64"/>
      <c r="CR272" s="64"/>
      <c r="CS272" s="64"/>
      <c r="CT272" s="64"/>
      <c r="CU272" s="64"/>
      <c r="CV272" s="64"/>
      <c r="CW272" s="64"/>
      <c r="CX272" s="64"/>
    </row>
    <row r="273" spans="1:102" x14ac:dyDescent="0.2">
      <c r="A273" s="64"/>
      <c r="B273" s="64"/>
      <c r="C273" s="102"/>
      <c r="D273" s="102"/>
      <c r="E273" s="102"/>
      <c r="F273" s="102"/>
      <c r="G273" s="102"/>
      <c r="H273" s="102"/>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c r="BU273" s="64"/>
      <c r="BV273" s="64"/>
      <c r="BW273" s="64"/>
      <c r="BX273" s="64"/>
      <c r="BY273" s="64"/>
      <c r="BZ273" s="64"/>
      <c r="CA273" s="64"/>
      <c r="CB273" s="64"/>
      <c r="CC273" s="64"/>
      <c r="CD273" s="64"/>
      <c r="CE273" s="64"/>
      <c r="CF273" s="64"/>
      <c r="CG273" s="64"/>
      <c r="CH273" s="64"/>
      <c r="CI273" s="64"/>
      <c r="CJ273" s="64"/>
      <c r="CK273" s="64"/>
      <c r="CL273" s="64"/>
      <c r="CM273" s="64"/>
      <c r="CN273" s="64"/>
      <c r="CO273" s="64"/>
      <c r="CP273" s="64"/>
      <c r="CQ273" s="64"/>
      <c r="CR273" s="64"/>
      <c r="CS273" s="64"/>
      <c r="CT273" s="64"/>
      <c r="CU273" s="64"/>
      <c r="CV273" s="64"/>
      <c r="CW273" s="64"/>
      <c r="CX273" s="64"/>
    </row>
    <row r="274" spans="1:102" x14ac:dyDescent="0.2">
      <c r="A274" s="64"/>
      <c r="B274" s="64"/>
      <c r="C274" s="102"/>
      <c r="D274" s="102"/>
      <c r="E274" s="102"/>
      <c r="F274" s="102"/>
      <c r="G274" s="102"/>
      <c r="H274" s="102"/>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c r="BU274" s="64"/>
      <c r="BV274" s="64"/>
      <c r="BW274" s="64"/>
      <c r="BX274" s="64"/>
      <c r="BY274" s="64"/>
      <c r="BZ274" s="64"/>
      <c r="CA274" s="64"/>
      <c r="CB274" s="64"/>
      <c r="CC274" s="64"/>
      <c r="CD274" s="64"/>
      <c r="CE274" s="64"/>
      <c r="CF274" s="64"/>
      <c r="CG274" s="64"/>
      <c r="CH274" s="64"/>
      <c r="CI274" s="64"/>
      <c r="CJ274" s="64"/>
      <c r="CK274" s="64"/>
      <c r="CL274" s="64"/>
      <c r="CM274" s="64"/>
      <c r="CN274" s="64"/>
      <c r="CO274" s="64"/>
      <c r="CP274" s="64"/>
      <c r="CQ274" s="64"/>
      <c r="CR274" s="64"/>
      <c r="CS274" s="64"/>
      <c r="CT274" s="64"/>
      <c r="CU274" s="64"/>
      <c r="CV274" s="64"/>
      <c r="CW274" s="64"/>
      <c r="CX274" s="64"/>
    </row>
    <row r="275" spans="1:102" x14ac:dyDescent="0.2">
      <c r="A275" s="64"/>
      <c r="B275" s="64"/>
      <c r="C275" s="102"/>
      <c r="D275" s="102"/>
      <c r="E275" s="102"/>
      <c r="F275" s="102"/>
      <c r="G275" s="102"/>
      <c r="H275" s="102"/>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c r="BU275" s="64"/>
      <c r="BV275" s="64"/>
      <c r="BW275" s="64"/>
      <c r="BX275" s="64"/>
      <c r="BY275" s="64"/>
      <c r="BZ275" s="64"/>
      <c r="CA275" s="64"/>
      <c r="CB275" s="64"/>
      <c r="CC275" s="64"/>
      <c r="CD275" s="64"/>
      <c r="CE275" s="64"/>
      <c r="CF275" s="64"/>
      <c r="CG275" s="64"/>
      <c r="CH275" s="64"/>
      <c r="CI275" s="64"/>
      <c r="CJ275" s="64"/>
      <c r="CK275" s="64"/>
      <c r="CL275" s="64"/>
      <c r="CM275" s="64"/>
      <c r="CN275" s="64"/>
      <c r="CO275" s="64"/>
      <c r="CP275" s="64"/>
      <c r="CQ275" s="64"/>
      <c r="CR275" s="64"/>
      <c r="CS275" s="64"/>
      <c r="CT275" s="64"/>
      <c r="CU275" s="64"/>
      <c r="CV275" s="64"/>
      <c r="CW275" s="64"/>
      <c r="CX275" s="64"/>
    </row>
    <row r="276" spans="1:102" x14ac:dyDescent="0.2">
      <c r="A276" s="64"/>
      <c r="B276" s="64"/>
      <c r="C276" s="102"/>
      <c r="D276" s="102"/>
      <c r="E276" s="102"/>
      <c r="F276" s="102"/>
      <c r="G276" s="102"/>
      <c r="H276" s="102"/>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c r="BU276" s="64"/>
      <c r="BV276" s="64"/>
      <c r="BW276" s="64"/>
      <c r="BX276" s="64"/>
      <c r="BY276" s="64"/>
      <c r="BZ276" s="64"/>
      <c r="CA276" s="64"/>
      <c r="CB276" s="64"/>
      <c r="CC276" s="64"/>
      <c r="CD276" s="64"/>
      <c r="CE276" s="64"/>
      <c r="CF276" s="64"/>
      <c r="CG276" s="64"/>
      <c r="CH276" s="64"/>
      <c r="CI276" s="64"/>
      <c r="CJ276" s="64"/>
      <c r="CK276" s="64"/>
      <c r="CL276" s="64"/>
      <c r="CM276" s="64"/>
      <c r="CN276" s="64"/>
      <c r="CO276" s="64"/>
      <c r="CP276" s="64"/>
      <c r="CQ276" s="64"/>
      <c r="CR276" s="64"/>
      <c r="CS276" s="64"/>
      <c r="CT276" s="64"/>
      <c r="CU276" s="64"/>
      <c r="CV276" s="64"/>
      <c r="CW276" s="64"/>
      <c r="CX276" s="64"/>
    </row>
    <row r="277" spans="1:102" x14ac:dyDescent="0.2">
      <c r="A277" s="64"/>
      <c r="B277" s="64"/>
      <c r="C277" s="102"/>
      <c r="D277" s="102"/>
      <c r="E277" s="102"/>
      <c r="F277" s="102"/>
      <c r="G277" s="102"/>
      <c r="H277" s="102"/>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c r="BU277" s="64"/>
      <c r="BV277" s="64"/>
      <c r="BW277" s="64"/>
      <c r="BX277" s="64"/>
      <c r="BY277" s="64"/>
      <c r="BZ277" s="64"/>
      <c r="CA277" s="64"/>
      <c r="CB277" s="64"/>
      <c r="CC277" s="64"/>
      <c r="CD277" s="64"/>
      <c r="CE277" s="64"/>
      <c r="CF277" s="64"/>
      <c r="CG277" s="64"/>
      <c r="CH277" s="64"/>
      <c r="CI277" s="64"/>
      <c r="CJ277" s="64"/>
      <c r="CK277" s="64"/>
      <c r="CL277" s="64"/>
      <c r="CM277" s="64"/>
      <c r="CN277" s="64"/>
      <c r="CO277" s="64"/>
      <c r="CP277" s="64"/>
      <c r="CQ277" s="64"/>
      <c r="CR277" s="64"/>
      <c r="CS277" s="64"/>
      <c r="CT277" s="64"/>
      <c r="CU277" s="64"/>
      <c r="CV277" s="64"/>
      <c r="CW277" s="64"/>
      <c r="CX277" s="64"/>
    </row>
    <row r="278" spans="1:102" x14ac:dyDescent="0.2">
      <c r="A278" s="64"/>
      <c r="B278" s="64"/>
      <c r="C278" s="102"/>
      <c r="D278" s="102"/>
      <c r="E278" s="102"/>
      <c r="F278" s="102"/>
      <c r="G278" s="102"/>
      <c r="H278" s="102"/>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c r="BU278" s="64"/>
      <c r="BV278" s="64"/>
      <c r="BW278" s="64"/>
      <c r="BX278" s="64"/>
      <c r="BY278" s="64"/>
      <c r="BZ278" s="64"/>
      <c r="CA278" s="64"/>
      <c r="CB278" s="64"/>
      <c r="CC278" s="64"/>
      <c r="CD278" s="64"/>
      <c r="CE278" s="64"/>
      <c r="CF278" s="64"/>
      <c r="CG278" s="64"/>
      <c r="CH278" s="64"/>
      <c r="CI278" s="64"/>
      <c r="CJ278" s="64"/>
      <c r="CK278" s="64"/>
      <c r="CL278" s="64"/>
      <c r="CM278" s="64"/>
      <c r="CN278" s="64"/>
      <c r="CO278" s="64"/>
      <c r="CP278" s="64"/>
      <c r="CQ278" s="64"/>
      <c r="CR278" s="64"/>
      <c r="CS278" s="64"/>
      <c r="CT278" s="64"/>
      <c r="CU278" s="64"/>
      <c r="CV278" s="64"/>
      <c r="CW278" s="64"/>
      <c r="CX278" s="64"/>
    </row>
    <row r="279" spans="1:102" x14ac:dyDescent="0.2">
      <c r="A279" s="64"/>
      <c r="B279" s="64"/>
      <c r="C279" s="102"/>
      <c r="D279" s="102"/>
      <c r="E279" s="102"/>
      <c r="F279" s="102"/>
      <c r="G279" s="102"/>
      <c r="H279" s="102"/>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c r="BU279" s="64"/>
      <c r="BV279" s="64"/>
      <c r="BW279" s="64"/>
      <c r="BX279" s="64"/>
      <c r="BY279" s="64"/>
      <c r="BZ279" s="64"/>
      <c r="CA279" s="64"/>
      <c r="CB279" s="64"/>
      <c r="CC279" s="64"/>
      <c r="CD279" s="64"/>
      <c r="CE279" s="64"/>
      <c r="CF279" s="64"/>
      <c r="CG279" s="64"/>
      <c r="CH279" s="64"/>
      <c r="CI279" s="64"/>
      <c r="CJ279" s="64"/>
      <c r="CK279" s="64"/>
      <c r="CL279" s="64"/>
      <c r="CM279" s="64"/>
      <c r="CN279" s="64"/>
      <c r="CO279" s="64"/>
      <c r="CP279" s="64"/>
      <c r="CQ279" s="64"/>
      <c r="CR279" s="64"/>
      <c r="CS279" s="64"/>
      <c r="CT279" s="64"/>
      <c r="CU279" s="64"/>
      <c r="CV279" s="64"/>
      <c r="CW279" s="64"/>
      <c r="CX279" s="64"/>
    </row>
    <row r="280" spans="1:102" x14ac:dyDescent="0.2">
      <c r="A280" s="64"/>
      <c r="B280" s="64"/>
      <c r="C280" s="102"/>
      <c r="D280" s="102"/>
      <c r="E280" s="102"/>
      <c r="F280" s="102"/>
      <c r="G280" s="102"/>
      <c r="H280" s="102"/>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c r="BU280" s="64"/>
      <c r="BV280" s="64"/>
      <c r="BW280" s="64"/>
      <c r="BX280" s="64"/>
      <c r="BY280" s="64"/>
      <c r="BZ280" s="64"/>
      <c r="CA280" s="64"/>
      <c r="CB280" s="64"/>
      <c r="CC280" s="64"/>
      <c r="CD280" s="64"/>
      <c r="CE280" s="64"/>
      <c r="CF280" s="64"/>
      <c r="CG280" s="64"/>
      <c r="CH280" s="64"/>
      <c r="CI280" s="64"/>
      <c r="CJ280" s="64"/>
      <c r="CK280" s="64"/>
      <c r="CL280" s="64"/>
      <c r="CM280" s="64"/>
      <c r="CN280" s="64"/>
      <c r="CO280" s="64"/>
      <c r="CP280" s="64"/>
      <c r="CQ280" s="64"/>
      <c r="CR280" s="64"/>
      <c r="CS280" s="64"/>
      <c r="CT280" s="64"/>
      <c r="CU280" s="64"/>
      <c r="CV280" s="64"/>
      <c r="CW280" s="64"/>
      <c r="CX280" s="64"/>
    </row>
    <row r="281" spans="1:102" x14ac:dyDescent="0.2">
      <c r="A281" s="64"/>
      <c r="B281" s="64"/>
      <c r="C281" s="102"/>
      <c r="D281" s="102"/>
      <c r="E281" s="102"/>
      <c r="F281" s="102"/>
      <c r="G281" s="102"/>
      <c r="H281" s="102"/>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c r="BU281" s="64"/>
      <c r="BV281" s="64"/>
      <c r="BW281" s="64"/>
      <c r="BX281" s="64"/>
      <c r="BY281" s="64"/>
      <c r="BZ281" s="64"/>
      <c r="CA281" s="64"/>
      <c r="CB281" s="64"/>
      <c r="CC281" s="64"/>
      <c r="CD281" s="64"/>
      <c r="CE281" s="64"/>
      <c r="CF281" s="64"/>
      <c r="CG281" s="64"/>
      <c r="CH281" s="64"/>
      <c r="CI281" s="64"/>
      <c r="CJ281" s="64"/>
      <c r="CK281" s="64"/>
      <c r="CL281" s="64"/>
      <c r="CM281" s="64"/>
      <c r="CN281" s="64"/>
      <c r="CO281" s="64"/>
      <c r="CP281" s="64"/>
      <c r="CQ281" s="64"/>
      <c r="CR281" s="64"/>
      <c r="CS281" s="64"/>
      <c r="CT281" s="64"/>
      <c r="CU281" s="64"/>
      <c r="CV281" s="64"/>
      <c r="CW281" s="64"/>
      <c r="CX281" s="64"/>
    </row>
    <row r="282" spans="1:102" x14ac:dyDescent="0.2">
      <c r="A282" s="64"/>
      <c r="B282" s="64"/>
      <c r="C282" s="102"/>
      <c r="D282" s="102"/>
      <c r="E282" s="102"/>
      <c r="F282" s="102"/>
      <c r="G282" s="102"/>
      <c r="H282" s="102"/>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c r="BU282" s="64"/>
      <c r="BV282" s="64"/>
      <c r="BW282" s="64"/>
      <c r="BX282" s="64"/>
      <c r="BY282" s="64"/>
      <c r="BZ282" s="64"/>
      <c r="CA282" s="64"/>
      <c r="CB282" s="64"/>
      <c r="CC282" s="64"/>
      <c r="CD282" s="64"/>
      <c r="CE282" s="64"/>
      <c r="CF282" s="64"/>
      <c r="CG282" s="64"/>
      <c r="CH282" s="64"/>
      <c r="CI282" s="64"/>
      <c r="CJ282" s="64"/>
      <c r="CK282" s="64"/>
      <c r="CL282" s="64"/>
      <c r="CM282" s="64"/>
      <c r="CN282" s="64"/>
      <c r="CO282" s="64"/>
      <c r="CP282" s="64"/>
      <c r="CQ282" s="64"/>
      <c r="CR282" s="64"/>
      <c r="CS282" s="64"/>
      <c r="CT282" s="64"/>
      <c r="CU282" s="64"/>
      <c r="CV282" s="64"/>
      <c r="CW282" s="64"/>
      <c r="CX282" s="64"/>
    </row>
    <row r="283" spans="1:102" x14ac:dyDescent="0.2">
      <c r="A283" s="64"/>
      <c r="B283" s="64"/>
      <c r="C283" s="102"/>
      <c r="D283" s="102"/>
      <c r="E283" s="102"/>
      <c r="F283" s="102"/>
      <c r="G283" s="102"/>
      <c r="H283" s="102"/>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c r="BU283" s="64"/>
      <c r="BV283" s="64"/>
      <c r="BW283" s="64"/>
      <c r="BX283" s="64"/>
      <c r="BY283" s="64"/>
      <c r="BZ283" s="64"/>
      <c r="CA283" s="64"/>
      <c r="CB283" s="64"/>
      <c r="CC283" s="64"/>
      <c r="CD283" s="64"/>
      <c r="CE283" s="64"/>
      <c r="CF283" s="64"/>
      <c r="CG283" s="64"/>
      <c r="CH283" s="64"/>
      <c r="CI283" s="64"/>
      <c r="CJ283" s="64"/>
      <c r="CK283" s="64"/>
      <c r="CL283" s="64"/>
      <c r="CM283" s="64"/>
      <c r="CN283" s="64"/>
      <c r="CO283" s="64"/>
      <c r="CP283" s="64"/>
      <c r="CQ283" s="64"/>
      <c r="CR283" s="64"/>
      <c r="CS283" s="64"/>
      <c r="CT283" s="64"/>
      <c r="CU283" s="64"/>
      <c r="CV283" s="64"/>
      <c r="CW283" s="64"/>
      <c r="CX283" s="64"/>
    </row>
    <row r="284" spans="1:102" x14ac:dyDescent="0.2">
      <c r="A284" s="64"/>
      <c r="B284" s="64"/>
      <c r="C284" s="102"/>
      <c r="D284" s="102"/>
      <c r="E284" s="102"/>
      <c r="F284" s="102"/>
      <c r="G284" s="102"/>
      <c r="H284" s="102"/>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c r="BU284" s="64"/>
      <c r="BV284" s="64"/>
      <c r="BW284" s="64"/>
      <c r="BX284" s="64"/>
      <c r="BY284" s="64"/>
      <c r="BZ284" s="64"/>
      <c r="CA284" s="64"/>
      <c r="CB284" s="64"/>
      <c r="CC284" s="64"/>
      <c r="CD284" s="64"/>
      <c r="CE284" s="64"/>
      <c r="CF284" s="64"/>
      <c r="CG284" s="64"/>
      <c r="CH284" s="64"/>
      <c r="CI284" s="64"/>
      <c r="CJ284" s="64"/>
      <c r="CK284" s="64"/>
      <c r="CL284" s="64"/>
      <c r="CM284" s="64"/>
      <c r="CN284" s="64"/>
      <c r="CO284" s="64"/>
      <c r="CP284" s="64"/>
      <c r="CQ284" s="64"/>
      <c r="CR284" s="64"/>
      <c r="CS284" s="64"/>
      <c r="CT284" s="64"/>
      <c r="CU284" s="64"/>
      <c r="CV284" s="64"/>
      <c r="CW284" s="64"/>
      <c r="CX284" s="64"/>
    </row>
    <row r="285" spans="1:102" x14ac:dyDescent="0.2">
      <c r="A285" s="64"/>
      <c r="B285" s="64"/>
      <c r="C285" s="102"/>
      <c r="D285" s="102"/>
      <c r="E285" s="102"/>
      <c r="F285" s="102"/>
      <c r="G285" s="102"/>
      <c r="H285" s="102"/>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c r="BU285" s="64"/>
      <c r="BV285" s="64"/>
      <c r="BW285" s="64"/>
      <c r="BX285" s="64"/>
      <c r="BY285" s="64"/>
      <c r="BZ285" s="64"/>
      <c r="CA285" s="64"/>
      <c r="CB285" s="64"/>
      <c r="CC285" s="64"/>
      <c r="CD285" s="64"/>
      <c r="CE285" s="64"/>
      <c r="CF285" s="64"/>
      <c r="CG285" s="64"/>
      <c r="CH285" s="64"/>
      <c r="CI285" s="64"/>
      <c r="CJ285" s="64"/>
      <c r="CK285" s="64"/>
      <c r="CL285" s="64"/>
      <c r="CM285" s="64"/>
      <c r="CN285" s="64"/>
      <c r="CO285" s="64"/>
      <c r="CP285" s="64"/>
      <c r="CQ285" s="64"/>
      <c r="CR285" s="64"/>
      <c r="CS285" s="64"/>
      <c r="CT285" s="64"/>
      <c r="CU285" s="64"/>
      <c r="CV285" s="64"/>
      <c r="CW285" s="64"/>
      <c r="CX285" s="64"/>
    </row>
    <row r="286" spans="1:102" x14ac:dyDescent="0.2">
      <c r="A286" s="64"/>
      <c r="B286" s="64"/>
      <c r="C286" s="102"/>
      <c r="D286" s="102"/>
      <c r="E286" s="102"/>
      <c r="F286" s="102"/>
      <c r="G286" s="102"/>
      <c r="H286" s="102"/>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c r="BU286" s="64"/>
      <c r="BV286" s="64"/>
      <c r="BW286" s="64"/>
      <c r="BX286" s="64"/>
      <c r="BY286" s="64"/>
      <c r="BZ286" s="64"/>
      <c r="CA286" s="64"/>
      <c r="CB286" s="64"/>
      <c r="CC286" s="64"/>
      <c r="CD286" s="64"/>
      <c r="CE286" s="64"/>
      <c r="CF286" s="64"/>
      <c r="CG286" s="64"/>
      <c r="CH286" s="64"/>
      <c r="CI286" s="64"/>
      <c r="CJ286" s="64"/>
      <c r="CK286" s="64"/>
      <c r="CL286" s="64"/>
      <c r="CM286" s="64"/>
      <c r="CN286" s="64"/>
      <c r="CO286" s="64"/>
      <c r="CP286" s="64"/>
      <c r="CQ286" s="64"/>
      <c r="CR286" s="64"/>
      <c r="CS286" s="64"/>
      <c r="CT286" s="64"/>
      <c r="CU286" s="64"/>
      <c r="CV286" s="64"/>
      <c r="CW286" s="64"/>
      <c r="CX286" s="64"/>
    </row>
    <row r="287" spans="1:102" x14ac:dyDescent="0.2">
      <c r="A287" s="64"/>
      <c r="B287" s="64"/>
      <c r="C287" s="102"/>
      <c r="D287" s="102"/>
      <c r="E287" s="102"/>
      <c r="F287" s="102"/>
      <c r="G287" s="102"/>
      <c r="H287" s="102"/>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c r="BU287" s="64"/>
      <c r="BV287" s="64"/>
      <c r="BW287" s="64"/>
      <c r="BX287" s="64"/>
      <c r="BY287" s="64"/>
      <c r="BZ287" s="64"/>
      <c r="CA287" s="64"/>
      <c r="CB287" s="64"/>
      <c r="CC287" s="64"/>
      <c r="CD287" s="64"/>
      <c r="CE287" s="64"/>
      <c r="CF287" s="64"/>
      <c r="CG287" s="64"/>
      <c r="CH287" s="64"/>
      <c r="CI287" s="64"/>
      <c r="CJ287" s="64"/>
      <c r="CK287" s="64"/>
      <c r="CL287" s="64"/>
      <c r="CM287" s="64"/>
      <c r="CN287" s="64"/>
      <c r="CO287" s="64"/>
      <c r="CP287" s="64"/>
      <c r="CQ287" s="64"/>
      <c r="CR287" s="64"/>
      <c r="CS287" s="64"/>
      <c r="CT287" s="64"/>
      <c r="CU287" s="64"/>
      <c r="CV287" s="64"/>
      <c r="CW287" s="64"/>
      <c r="CX287" s="64"/>
    </row>
    <row r="288" spans="1:102" x14ac:dyDescent="0.2">
      <c r="A288" s="64"/>
      <c r="B288" s="64"/>
      <c r="C288" s="102"/>
      <c r="D288" s="102"/>
      <c r="E288" s="102"/>
      <c r="F288" s="102"/>
      <c r="G288" s="102"/>
      <c r="H288" s="102"/>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c r="BU288" s="64"/>
      <c r="BV288" s="64"/>
      <c r="BW288" s="64"/>
      <c r="BX288" s="64"/>
      <c r="BY288" s="64"/>
      <c r="BZ288" s="64"/>
      <c r="CA288" s="64"/>
      <c r="CB288" s="64"/>
      <c r="CC288" s="64"/>
      <c r="CD288" s="64"/>
      <c r="CE288" s="64"/>
      <c r="CF288" s="64"/>
      <c r="CG288" s="64"/>
      <c r="CH288" s="64"/>
      <c r="CI288" s="64"/>
      <c r="CJ288" s="64"/>
      <c r="CK288" s="64"/>
      <c r="CL288" s="64"/>
      <c r="CM288" s="64"/>
      <c r="CN288" s="64"/>
      <c r="CO288" s="64"/>
      <c r="CP288" s="64"/>
      <c r="CQ288" s="64"/>
      <c r="CR288" s="64"/>
      <c r="CS288" s="64"/>
      <c r="CT288" s="64"/>
      <c r="CU288" s="64"/>
      <c r="CV288" s="64"/>
      <c r="CW288" s="64"/>
      <c r="CX288" s="64"/>
    </row>
    <row r="289" spans="1:102" x14ac:dyDescent="0.2">
      <c r="A289" s="64"/>
      <c r="B289" s="64"/>
      <c r="C289" s="102"/>
      <c r="D289" s="102"/>
      <c r="E289" s="102"/>
      <c r="F289" s="102"/>
      <c r="G289" s="102"/>
      <c r="H289" s="102"/>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c r="BU289" s="64"/>
      <c r="BV289" s="64"/>
      <c r="BW289" s="64"/>
      <c r="BX289" s="64"/>
      <c r="BY289" s="64"/>
      <c r="BZ289" s="64"/>
      <c r="CA289" s="64"/>
      <c r="CB289" s="64"/>
      <c r="CC289" s="64"/>
      <c r="CD289" s="64"/>
      <c r="CE289" s="64"/>
      <c r="CF289" s="64"/>
      <c r="CG289" s="64"/>
      <c r="CH289" s="64"/>
      <c r="CI289" s="64"/>
      <c r="CJ289" s="64"/>
      <c r="CK289" s="64"/>
      <c r="CL289" s="64"/>
      <c r="CM289" s="64"/>
      <c r="CN289" s="64"/>
      <c r="CO289" s="64"/>
      <c r="CP289" s="64"/>
      <c r="CQ289" s="64"/>
      <c r="CR289" s="64"/>
      <c r="CS289" s="64"/>
      <c r="CT289" s="64"/>
      <c r="CU289" s="64"/>
      <c r="CV289" s="64"/>
      <c r="CW289" s="64"/>
      <c r="CX289" s="64"/>
    </row>
    <row r="290" spans="1:102" x14ac:dyDescent="0.2">
      <c r="A290" s="64"/>
      <c r="B290" s="64"/>
      <c r="C290" s="102"/>
      <c r="D290" s="102"/>
      <c r="E290" s="102"/>
      <c r="F290" s="102"/>
      <c r="G290" s="102"/>
      <c r="H290" s="102"/>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c r="BU290" s="64"/>
      <c r="BV290" s="64"/>
      <c r="BW290" s="64"/>
      <c r="BX290" s="64"/>
      <c r="BY290" s="64"/>
      <c r="BZ290" s="64"/>
      <c r="CA290" s="64"/>
      <c r="CB290" s="64"/>
      <c r="CC290" s="64"/>
      <c r="CD290" s="64"/>
      <c r="CE290" s="64"/>
      <c r="CF290" s="64"/>
      <c r="CG290" s="64"/>
      <c r="CH290" s="64"/>
      <c r="CI290" s="64"/>
      <c r="CJ290" s="64"/>
      <c r="CK290" s="64"/>
      <c r="CL290" s="64"/>
      <c r="CM290" s="64"/>
      <c r="CN290" s="64"/>
      <c r="CO290" s="64"/>
      <c r="CP290" s="64"/>
      <c r="CQ290" s="64"/>
      <c r="CR290" s="64"/>
      <c r="CS290" s="64"/>
      <c r="CT290" s="64"/>
      <c r="CU290" s="64"/>
      <c r="CV290" s="64"/>
      <c r="CW290" s="64"/>
      <c r="CX290" s="64"/>
    </row>
    <row r="291" spans="1:102" x14ac:dyDescent="0.2">
      <c r="A291" s="64"/>
      <c r="B291" s="64"/>
      <c r="C291" s="102"/>
      <c r="D291" s="102"/>
      <c r="E291" s="102"/>
      <c r="F291" s="102"/>
      <c r="G291" s="102"/>
      <c r="H291" s="102"/>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c r="BU291" s="64"/>
      <c r="BV291" s="64"/>
      <c r="BW291" s="64"/>
      <c r="BX291" s="64"/>
      <c r="BY291" s="64"/>
      <c r="BZ291" s="64"/>
      <c r="CA291" s="64"/>
      <c r="CB291" s="64"/>
      <c r="CC291" s="64"/>
      <c r="CD291" s="64"/>
      <c r="CE291" s="64"/>
      <c r="CF291" s="64"/>
      <c r="CG291" s="64"/>
      <c r="CH291" s="64"/>
      <c r="CI291" s="64"/>
      <c r="CJ291" s="64"/>
      <c r="CK291" s="64"/>
      <c r="CL291" s="64"/>
      <c r="CM291" s="64"/>
      <c r="CN291" s="64"/>
      <c r="CO291" s="64"/>
      <c r="CP291" s="64"/>
      <c r="CQ291" s="64"/>
      <c r="CR291" s="64"/>
      <c r="CS291" s="64"/>
      <c r="CT291" s="64"/>
      <c r="CU291" s="64"/>
      <c r="CV291" s="64"/>
      <c r="CW291" s="64"/>
      <c r="CX291" s="64"/>
    </row>
    <row r="292" spans="1:102" x14ac:dyDescent="0.2">
      <c r="A292" s="64"/>
      <c r="B292" s="64"/>
      <c r="C292" s="102"/>
      <c r="D292" s="102"/>
      <c r="E292" s="102"/>
      <c r="F292" s="102"/>
      <c r="G292" s="102"/>
      <c r="H292" s="102"/>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c r="BU292" s="64"/>
      <c r="BV292" s="64"/>
      <c r="BW292" s="64"/>
      <c r="BX292" s="64"/>
      <c r="BY292" s="64"/>
      <c r="BZ292" s="64"/>
      <c r="CA292" s="64"/>
      <c r="CB292" s="64"/>
      <c r="CC292" s="64"/>
      <c r="CD292" s="64"/>
      <c r="CE292" s="64"/>
      <c r="CF292" s="64"/>
      <c r="CG292" s="64"/>
      <c r="CH292" s="64"/>
      <c r="CI292" s="64"/>
      <c r="CJ292" s="64"/>
      <c r="CK292" s="64"/>
      <c r="CL292" s="64"/>
      <c r="CM292" s="64"/>
      <c r="CN292" s="64"/>
      <c r="CO292" s="64"/>
      <c r="CP292" s="64"/>
      <c r="CQ292" s="64"/>
      <c r="CR292" s="64"/>
      <c r="CS292" s="64"/>
      <c r="CT292" s="64"/>
      <c r="CU292" s="64"/>
      <c r="CV292" s="64"/>
      <c r="CW292" s="64"/>
      <c r="CX292" s="64"/>
    </row>
    <row r="293" spans="1:102" x14ac:dyDescent="0.2">
      <c r="A293" s="64"/>
      <c r="B293" s="64"/>
      <c r="C293" s="102"/>
      <c r="D293" s="102"/>
      <c r="E293" s="102"/>
      <c r="F293" s="102"/>
      <c r="G293" s="102"/>
      <c r="H293" s="102"/>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c r="BU293" s="64"/>
      <c r="BV293" s="64"/>
      <c r="BW293" s="64"/>
      <c r="BX293" s="64"/>
      <c r="BY293" s="64"/>
      <c r="BZ293" s="64"/>
      <c r="CA293" s="64"/>
      <c r="CB293" s="64"/>
      <c r="CC293" s="64"/>
      <c r="CD293" s="64"/>
      <c r="CE293" s="64"/>
      <c r="CF293" s="64"/>
      <c r="CG293" s="64"/>
      <c r="CH293" s="64"/>
      <c r="CI293" s="64"/>
      <c r="CJ293" s="64"/>
      <c r="CK293" s="64"/>
      <c r="CL293" s="64"/>
      <c r="CM293" s="64"/>
      <c r="CN293" s="64"/>
      <c r="CO293" s="64"/>
      <c r="CP293" s="64"/>
      <c r="CQ293" s="64"/>
      <c r="CR293" s="64"/>
      <c r="CS293" s="64"/>
      <c r="CT293" s="64"/>
      <c r="CU293" s="64"/>
      <c r="CV293" s="64"/>
      <c r="CW293" s="64"/>
      <c r="CX293" s="64"/>
    </row>
    <row r="294" spans="1:102" x14ac:dyDescent="0.2">
      <c r="A294" s="64"/>
      <c r="B294" s="64"/>
      <c r="C294" s="102"/>
      <c r="D294" s="102"/>
      <c r="E294" s="102"/>
      <c r="F294" s="102"/>
      <c r="G294" s="102"/>
      <c r="H294" s="102"/>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c r="BU294" s="64"/>
      <c r="BV294" s="64"/>
      <c r="BW294" s="64"/>
      <c r="BX294" s="64"/>
      <c r="BY294" s="64"/>
      <c r="BZ294" s="64"/>
      <c r="CA294" s="64"/>
      <c r="CB294" s="64"/>
      <c r="CC294" s="64"/>
      <c r="CD294" s="64"/>
      <c r="CE294" s="64"/>
      <c r="CF294" s="64"/>
      <c r="CG294" s="64"/>
      <c r="CH294" s="64"/>
      <c r="CI294" s="64"/>
      <c r="CJ294" s="64"/>
      <c r="CK294" s="64"/>
      <c r="CL294" s="64"/>
      <c r="CM294" s="64"/>
      <c r="CN294" s="64"/>
      <c r="CO294" s="64"/>
      <c r="CP294" s="64"/>
      <c r="CQ294" s="64"/>
      <c r="CR294" s="64"/>
      <c r="CS294" s="64"/>
      <c r="CT294" s="64"/>
      <c r="CU294" s="64"/>
      <c r="CV294" s="64"/>
      <c r="CW294" s="64"/>
      <c r="CX294" s="64"/>
    </row>
    <row r="295" spans="1:102" x14ac:dyDescent="0.2">
      <c r="A295" s="64"/>
      <c r="B295" s="64"/>
      <c r="C295" s="102"/>
      <c r="D295" s="102"/>
      <c r="E295" s="102"/>
      <c r="F295" s="102"/>
      <c r="G295" s="102"/>
      <c r="H295" s="102"/>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c r="BU295" s="64"/>
      <c r="BV295" s="64"/>
      <c r="BW295" s="64"/>
      <c r="BX295" s="64"/>
      <c r="BY295" s="64"/>
      <c r="BZ295" s="64"/>
      <c r="CA295" s="64"/>
      <c r="CB295" s="64"/>
      <c r="CC295" s="64"/>
      <c r="CD295" s="64"/>
      <c r="CE295" s="64"/>
      <c r="CF295" s="64"/>
      <c r="CG295" s="64"/>
      <c r="CH295" s="64"/>
      <c r="CI295" s="64"/>
      <c r="CJ295" s="64"/>
      <c r="CK295" s="64"/>
      <c r="CL295" s="64"/>
      <c r="CM295" s="64"/>
      <c r="CN295" s="64"/>
      <c r="CO295" s="64"/>
      <c r="CP295" s="64"/>
      <c r="CQ295" s="64"/>
      <c r="CR295" s="64"/>
      <c r="CS295" s="64"/>
      <c r="CT295" s="64"/>
      <c r="CU295" s="64"/>
      <c r="CV295" s="64"/>
      <c r="CW295" s="64"/>
      <c r="CX295" s="64"/>
    </row>
    <row r="296" spans="1:102" x14ac:dyDescent="0.2">
      <c r="A296" s="64"/>
      <c r="B296" s="64"/>
      <c r="C296" s="102"/>
      <c r="D296" s="102"/>
      <c r="E296" s="102"/>
      <c r="F296" s="102"/>
      <c r="G296" s="102"/>
      <c r="H296" s="102"/>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c r="BU296" s="64"/>
      <c r="BV296" s="64"/>
      <c r="BW296" s="64"/>
      <c r="BX296" s="64"/>
      <c r="BY296" s="64"/>
      <c r="BZ296" s="64"/>
      <c r="CA296" s="64"/>
      <c r="CB296" s="64"/>
      <c r="CC296" s="64"/>
      <c r="CD296" s="64"/>
      <c r="CE296" s="64"/>
      <c r="CF296" s="64"/>
      <c r="CG296" s="64"/>
      <c r="CH296" s="64"/>
      <c r="CI296" s="64"/>
      <c r="CJ296" s="64"/>
      <c r="CK296" s="64"/>
      <c r="CL296" s="64"/>
      <c r="CM296" s="64"/>
      <c r="CN296" s="64"/>
      <c r="CO296" s="64"/>
      <c r="CP296" s="64"/>
      <c r="CQ296" s="64"/>
      <c r="CR296" s="64"/>
      <c r="CS296" s="64"/>
      <c r="CT296" s="64"/>
      <c r="CU296" s="64"/>
      <c r="CV296" s="64"/>
      <c r="CW296" s="64"/>
      <c r="CX296" s="64"/>
    </row>
    <row r="297" spans="1:102" x14ac:dyDescent="0.2">
      <c r="A297" s="64"/>
      <c r="B297" s="64"/>
      <c r="C297" s="102"/>
      <c r="D297" s="102"/>
      <c r="E297" s="102"/>
      <c r="F297" s="102"/>
      <c r="G297" s="102"/>
      <c r="H297" s="102"/>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c r="BU297" s="64"/>
      <c r="BV297" s="64"/>
      <c r="BW297" s="64"/>
      <c r="BX297" s="64"/>
      <c r="BY297" s="64"/>
      <c r="BZ297" s="64"/>
      <c r="CA297" s="64"/>
      <c r="CB297" s="64"/>
      <c r="CC297" s="64"/>
      <c r="CD297" s="64"/>
      <c r="CE297" s="64"/>
      <c r="CF297" s="64"/>
      <c r="CG297" s="64"/>
      <c r="CH297" s="64"/>
      <c r="CI297" s="64"/>
      <c r="CJ297" s="64"/>
      <c r="CK297" s="64"/>
      <c r="CL297" s="64"/>
      <c r="CM297" s="64"/>
      <c r="CN297" s="64"/>
      <c r="CO297" s="64"/>
      <c r="CP297" s="64"/>
      <c r="CQ297" s="64"/>
      <c r="CR297" s="64"/>
      <c r="CS297" s="64"/>
      <c r="CT297" s="64"/>
      <c r="CU297" s="64"/>
      <c r="CV297" s="64"/>
      <c r="CW297" s="64"/>
      <c r="CX297" s="64"/>
    </row>
    <row r="298" spans="1:102" x14ac:dyDescent="0.2">
      <c r="A298" s="64"/>
      <c r="B298" s="64"/>
      <c r="C298" s="102"/>
      <c r="D298" s="102"/>
      <c r="E298" s="102"/>
      <c r="F298" s="102"/>
      <c r="G298" s="102"/>
      <c r="H298" s="102"/>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c r="BU298" s="64"/>
      <c r="BV298" s="64"/>
      <c r="BW298" s="64"/>
      <c r="BX298" s="64"/>
      <c r="BY298" s="64"/>
      <c r="BZ298" s="64"/>
      <c r="CA298" s="64"/>
      <c r="CB298" s="64"/>
      <c r="CC298" s="64"/>
      <c r="CD298" s="64"/>
      <c r="CE298" s="64"/>
      <c r="CF298" s="64"/>
      <c r="CG298" s="64"/>
      <c r="CH298" s="64"/>
      <c r="CI298" s="64"/>
      <c r="CJ298" s="64"/>
      <c r="CK298" s="64"/>
      <c r="CL298" s="64"/>
      <c r="CM298" s="64"/>
      <c r="CN298" s="64"/>
      <c r="CO298" s="64"/>
      <c r="CP298" s="64"/>
      <c r="CQ298" s="64"/>
      <c r="CR298" s="64"/>
      <c r="CS298" s="64"/>
      <c r="CT298" s="64"/>
      <c r="CU298" s="64"/>
      <c r="CV298" s="64"/>
      <c r="CW298" s="64"/>
      <c r="CX298" s="64"/>
    </row>
    <row r="299" spans="1:102" x14ac:dyDescent="0.2">
      <c r="A299" s="64"/>
      <c r="B299" s="64"/>
      <c r="C299" s="102"/>
      <c r="D299" s="102"/>
      <c r="E299" s="102"/>
      <c r="F299" s="102"/>
      <c r="G299" s="102"/>
      <c r="H299" s="102"/>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c r="BU299" s="64"/>
      <c r="BV299" s="64"/>
      <c r="BW299" s="64"/>
      <c r="BX299" s="64"/>
      <c r="BY299" s="64"/>
      <c r="BZ299" s="64"/>
      <c r="CA299" s="64"/>
      <c r="CB299" s="64"/>
      <c r="CC299" s="64"/>
      <c r="CD299" s="64"/>
      <c r="CE299" s="64"/>
      <c r="CF299" s="64"/>
      <c r="CG299" s="64"/>
      <c r="CH299" s="64"/>
      <c r="CI299" s="64"/>
      <c r="CJ299" s="64"/>
      <c r="CK299" s="64"/>
      <c r="CL299" s="64"/>
      <c r="CM299" s="64"/>
      <c r="CN299" s="64"/>
      <c r="CO299" s="64"/>
      <c r="CP299" s="64"/>
      <c r="CQ299" s="64"/>
      <c r="CR299" s="64"/>
      <c r="CS299" s="64"/>
      <c r="CT299" s="64"/>
      <c r="CU299" s="64"/>
      <c r="CV299" s="64"/>
      <c r="CW299" s="64"/>
      <c r="CX299" s="64"/>
    </row>
    <row r="300" spans="1:102" x14ac:dyDescent="0.2">
      <c r="A300" s="64"/>
      <c r="B300" s="64"/>
      <c r="C300" s="102"/>
      <c r="D300" s="102"/>
      <c r="E300" s="102"/>
      <c r="F300" s="102"/>
      <c r="G300" s="102"/>
      <c r="H300" s="102"/>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c r="BU300" s="64"/>
      <c r="BV300" s="64"/>
      <c r="BW300" s="64"/>
      <c r="BX300" s="64"/>
      <c r="BY300" s="64"/>
      <c r="BZ300" s="64"/>
      <c r="CA300" s="64"/>
      <c r="CB300" s="64"/>
      <c r="CC300" s="64"/>
      <c r="CD300" s="64"/>
      <c r="CE300" s="64"/>
      <c r="CF300" s="64"/>
      <c r="CG300" s="64"/>
      <c r="CH300" s="64"/>
      <c r="CI300" s="64"/>
      <c r="CJ300" s="64"/>
      <c r="CK300" s="64"/>
      <c r="CL300" s="64"/>
      <c r="CM300" s="64"/>
      <c r="CN300" s="64"/>
      <c r="CO300" s="64"/>
      <c r="CP300" s="64"/>
      <c r="CQ300" s="64"/>
      <c r="CR300" s="64"/>
      <c r="CS300" s="64"/>
      <c r="CT300" s="64"/>
      <c r="CU300" s="64"/>
      <c r="CV300" s="64"/>
      <c r="CW300" s="64"/>
      <c r="CX300" s="64"/>
    </row>
    <row r="301" spans="1:102" x14ac:dyDescent="0.2">
      <c r="A301" s="64"/>
      <c r="B301" s="64"/>
      <c r="C301" s="102"/>
      <c r="D301" s="102"/>
      <c r="E301" s="102"/>
      <c r="F301" s="102"/>
      <c r="G301" s="102"/>
      <c r="H301" s="102"/>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c r="BU301" s="64"/>
      <c r="BV301" s="64"/>
      <c r="BW301" s="64"/>
      <c r="BX301" s="64"/>
      <c r="BY301" s="64"/>
      <c r="BZ301" s="64"/>
      <c r="CA301" s="64"/>
      <c r="CB301" s="64"/>
      <c r="CC301" s="64"/>
      <c r="CD301" s="64"/>
      <c r="CE301" s="64"/>
      <c r="CF301" s="64"/>
      <c r="CG301" s="64"/>
      <c r="CH301" s="64"/>
      <c r="CI301" s="64"/>
      <c r="CJ301" s="64"/>
      <c r="CK301" s="64"/>
      <c r="CL301" s="64"/>
      <c r="CM301" s="64"/>
      <c r="CN301" s="64"/>
      <c r="CO301" s="64"/>
      <c r="CP301" s="64"/>
      <c r="CQ301" s="64"/>
      <c r="CR301" s="64"/>
      <c r="CS301" s="64"/>
      <c r="CT301" s="64"/>
      <c r="CU301" s="64"/>
      <c r="CV301" s="64"/>
      <c r="CW301" s="64"/>
      <c r="CX301" s="64"/>
    </row>
    <row r="302" spans="1:102" x14ac:dyDescent="0.2">
      <c r="A302" s="64"/>
      <c r="B302" s="64"/>
      <c r="C302" s="102"/>
      <c r="D302" s="102"/>
      <c r="E302" s="102"/>
      <c r="F302" s="102"/>
      <c r="G302" s="102"/>
      <c r="H302" s="102"/>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c r="BU302" s="64"/>
      <c r="BV302" s="64"/>
      <c r="BW302" s="64"/>
      <c r="BX302" s="64"/>
      <c r="BY302" s="64"/>
      <c r="BZ302" s="64"/>
      <c r="CA302" s="64"/>
      <c r="CB302" s="64"/>
      <c r="CC302" s="64"/>
      <c r="CD302" s="64"/>
      <c r="CE302" s="64"/>
      <c r="CF302" s="64"/>
      <c r="CG302" s="64"/>
      <c r="CH302" s="64"/>
      <c r="CI302" s="64"/>
      <c r="CJ302" s="64"/>
      <c r="CK302" s="64"/>
      <c r="CL302" s="64"/>
      <c r="CM302" s="64"/>
      <c r="CN302" s="64"/>
      <c r="CO302" s="64"/>
      <c r="CP302" s="64"/>
      <c r="CQ302" s="64"/>
      <c r="CR302" s="64"/>
      <c r="CS302" s="64"/>
      <c r="CT302" s="64"/>
      <c r="CU302" s="64"/>
      <c r="CV302" s="64"/>
      <c r="CW302" s="64"/>
      <c r="CX302" s="64"/>
    </row>
    <row r="303" spans="1:102" x14ac:dyDescent="0.2">
      <c r="A303" s="64"/>
      <c r="B303" s="64"/>
      <c r="C303" s="102"/>
      <c r="D303" s="102"/>
      <c r="E303" s="102"/>
      <c r="F303" s="102"/>
      <c r="G303" s="102"/>
      <c r="H303" s="102"/>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c r="BU303" s="64"/>
      <c r="BV303" s="64"/>
      <c r="BW303" s="64"/>
      <c r="BX303" s="64"/>
      <c r="BY303" s="64"/>
      <c r="BZ303" s="64"/>
      <c r="CA303" s="64"/>
      <c r="CB303" s="64"/>
      <c r="CC303" s="64"/>
      <c r="CD303" s="64"/>
      <c r="CE303" s="64"/>
      <c r="CF303" s="64"/>
      <c r="CG303" s="64"/>
      <c r="CH303" s="64"/>
      <c r="CI303" s="64"/>
      <c r="CJ303" s="64"/>
      <c r="CK303" s="64"/>
      <c r="CL303" s="64"/>
      <c r="CM303" s="64"/>
      <c r="CN303" s="64"/>
      <c r="CO303" s="64"/>
      <c r="CP303" s="64"/>
      <c r="CQ303" s="64"/>
      <c r="CR303" s="64"/>
      <c r="CS303" s="64"/>
      <c r="CT303" s="64"/>
      <c r="CU303" s="64"/>
      <c r="CV303" s="64"/>
      <c r="CW303" s="64"/>
      <c r="CX303" s="64"/>
    </row>
    <row r="304" spans="1:102" x14ac:dyDescent="0.2">
      <c r="A304" s="64"/>
      <c r="B304" s="64"/>
      <c r="C304" s="102"/>
      <c r="D304" s="102"/>
      <c r="E304" s="102"/>
      <c r="F304" s="102"/>
      <c r="G304" s="102"/>
      <c r="H304" s="102"/>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c r="BU304" s="64"/>
      <c r="BV304" s="64"/>
      <c r="BW304" s="64"/>
      <c r="BX304" s="64"/>
      <c r="BY304" s="64"/>
      <c r="BZ304" s="64"/>
      <c r="CA304" s="64"/>
      <c r="CB304" s="64"/>
      <c r="CC304" s="64"/>
      <c r="CD304" s="64"/>
      <c r="CE304" s="64"/>
      <c r="CF304" s="64"/>
      <c r="CG304" s="64"/>
      <c r="CH304" s="64"/>
      <c r="CI304" s="64"/>
      <c r="CJ304" s="64"/>
      <c r="CK304" s="64"/>
      <c r="CL304" s="64"/>
      <c r="CM304" s="64"/>
      <c r="CN304" s="64"/>
      <c r="CO304" s="64"/>
      <c r="CP304" s="64"/>
      <c r="CQ304" s="64"/>
      <c r="CR304" s="64"/>
      <c r="CS304" s="64"/>
      <c r="CT304" s="64"/>
      <c r="CU304" s="64"/>
      <c r="CV304" s="64"/>
      <c r="CW304" s="64"/>
      <c r="CX304" s="64"/>
    </row>
    <row r="305" spans="1:102" x14ac:dyDescent="0.2">
      <c r="A305" s="64"/>
      <c r="B305" s="64"/>
      <c r="C305" s="102"/>
      <c r="D305" s="102"/>
      <c r="E305" s="102"/>
      <c r="F305" s="102"/>
      <c r="G305" s="102"/>
      <c r="H305" s="102"/>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c r="BU305" s="64"/>
      <c r="BV305" s="64"/>
      <c r="BW305" s="64"/>
      <c r="BX305" s="64"/>
      <c r="BY305" s="64"/>
      <c r="BZ305" s="64"/>
      <c r="CA305" s="64"/>
      <c r="CB305" s="64"/>
      <c r="CC305" s="64"/>
      <c r="CD305" s="64"/>
      <c r="CE305" s="64"/>
      <c r="CF305" s="64"/>
      <c r="CG305" s="64"/>
      <c r="CH305" s="64"/>
      <c r="CI305" s="64"/>
      <c r="CJ305" s="64"/>
      <c r="CK305" s="64"/>
      <c r="CL305" s="64"/>
      <c r="CM305" s="64"/>
      <c r="CN305" s="64"/>
      <c r="CO305" s="64"/>
      <c r="CP305" s="64"/>
      <c r="CQ305" s="64"/>
      <c r="CR305" s="64"/>
      <c r="CS305" s="64"/>
      <c r="CT305" s="64"/>
      <c r="CU305" s="64"/>
      <c r="CV305" s="64"/>
      <c r="CW305" s="64"/>
      <c r="CX305" s="64"/>
    </row>
    <row r="306" spans="1:102" x14ac:dyDescent="0.2">
      <c r="A306" s="64"/>
      <c r="B306" s="64"/>
      <c r="C306" s="102"/>
      <c r="D306" s="102"/>
      <c r="E306" s="102"/>
      <c r="F306" s="102"/>
      <c r="G306" s="102"/>
      <c r="H306" s="102"/>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c r="BU306" s="64"/>
      <c r="BV306" s="64"/>
      <c r="BW306" s="64"/>
      <c r="BX306" s="64"/>
      <c r="BY306" s="64"/>
      <c r="BZ306" s="64"/>
      <c r="CA306" s="64"/>
      <c r="CB306" s="64"/>
      <c r="CC306" s="64"/>
      <c r="CD306" s="64"/>
      <c r="CE306" s="64"/>
      <c r="CF306" s="64"/>
      <c r="CG306" s="64"/>
      <c r="CH306" s="64"/>
      <c r="CI306" s="64"/>
      <c r="CJ306" s="64"/>
      <c r="CK306" s="64"/>
      <c r="CL306" s="64"/>
      <c r="CM306" s="64"/>
      <c r="CN306" s="64"/>
      <c r="CO306" s="64"/>
      <c r="CP306" s="64"/>
      <c r="CQ306" s="64"/>
      <c r="CR306" s="64"/>
      <c r="CS306" s="64"/>
      <c r="CT306" s="64"/>
      <c r="CU306" s="64"/>
      <c r="CV306" s="64"/>
      <c r="CW306" s="64"/>
      <c r="CX306" s="64"/>
    </row>
    <row r="307" spans="1:102" x14ac:dyDescent="0.2">
      <c r="A307" s="64"/>
      <c r="B307" s="64"/>
      <c r="C307" s="102"/>
      <c r="D307" s="102"/>
      <c r="E307" s="102"/>
      <c r="F307" s="102"/>
      <c r="G307" s="102"/>
      <c r="H307" s="102"/>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c r="BU307" s="64"/>
      <c r="BV307" s="64"/>
      <c r="BW307" s="64"/>
      <c r="BX307" s="64"/>
      <c r="BY307" s="64"/>
      <c r="BZ307" s="64"/>
      <c r="CA307" s="64"/>
      <c r="CB307" s="64"/>
      <c r="CC307" s="64"/>
      <c r="CD307" s="64"/>
      <c r="CE307" s="64"/>
      <c r="CF307" s="64"/>
      <c r="CG307" s="64"/>
      <c r="CH307" s="64"/>
      <c r="CI307" s="64"/>
      <c r="CJ307" s="64"/>
      <c r="CK307" s="64"/>
      <c r="CL307" s="64"/>
      <c r="CM307" s="64"/>
      <c r="CN307" s="64"/>
      <c r="CO307" s="64"/>
      <c r="CP307" s="64"/>
      <c r="CQ307" s="64"/>
      <c r="CR307" s="64"/>
      <c r="CS307" s="64"/>
      <c r="CT307" s="64"/>
      <c r="CU307" s="64"/>
      <c r="CV307" s="64"/>
      <c r="CW307" s="64"/>
      <c r="CX307" s="64"/>
    </row>
    <row r="308" spans="1:102" x14ac:dyDescent="0.2">
      <c r="A308" s="64"/>
      <c r="B308" s="64"/>
      <c r="C308" s="102"/>
      <c r="D308" s="102"/>
      <c r="E308" s="102"/>
      <c r="F308" s="102"/>
      <c r="G308" s="102"/>
      <c r="H308" s="102"/>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c r="BU308" s="64"/>
      <c r="BV308" s="64"/>
      <c r="BW308" s="64"/>
      <c r="BX308" s="64"/>
      <c r="BY308" s="64"/>
      <c r="BZ308" s="64"/>
      <c r="CA308" s="64"/>
      <c r="CB308" s="64"/>
      <c r="CC308" s="64"/>
      <c r="CD308" s="64"/>
      <c r="CE308" s="64"/>
      <c r="CF308" s="64"/>
      <c r="CG308" s="64"/>
      <c r="CH308" s="64"/>
      <c r="CI308" s="64"/>
      <c r="CJ308" s="64"/>
      <c r="CK308" s="64"/>
      <c r="CL308" s="64"/>
      <c r="CM308" s="64"/>
      <c r="CN308" s="64"/>
      <c r="CO308" s="64"/>
      <c r="CP308" s="64"/>
      <c r="CQ308" s="64"/>
      <c r="CR308" s="64"/>
      <c r="CS308" s="64"/>
      <c r="CT308" s="64"/>
      <c r="CU308" s="64"/>
      <c r="CV308" s="64"/>
      <c r="CW308" s="64"/>
      <c r="CX308" s="64"/>
    </row>
    <row r="309" spans="1:102" x14ac:dyDescent="0.2">
      <c r="A309" s="64"/>
      <c r="B309" s="64"/>
      <c r="C309" s="102"/>
      <c r="D309" s="102"/>
      <c r="E309" s="102"/>
      <c r="F309" s="102"/>
      <c r="G309" s="102"/>
      <c r="H309" s="102"/>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c r="BU309" s="64"/>
      <c r="BV309" s="64"/>
      <c r="BW309" s="64"/>
      <c r="BX309" s="64"/>
      <c r="BY309" s="64"/>
      <c r="BZ309" s="64"/>
      <c r="CA309" s="64"/>
      <c r="CB309" s="64"/>
      <c r="CC309" s="64"/>
      <c r="CD309" s="64"/>
      <c r="CE309" s="64"/>
      <c r="CF309" s="64"/>
      <c r="CG309" s="64"/>
      <c r="CH309" s="64"/>
      <c r="CI309" s="64"/>
      <c r="CJ309" s="64"/>
      <c r="CK309" s="64"/>
      <c r="CL309" s="64"/>
      <c r="CM309" s="64"/>
      <c r="CN309" s="64"/>
      <c r="CO309" s="64"/>
      <c r="CP309" s="64"/>
      <c r="CQ309" s="64"/>
      <c r="CR309" s="64"/>
      <c r="CS309" s="64"/>
      <c r="CT309" s="64"/>
      <c r="CU309" s="64"/>
      <c r="CV309" s="64"/>
      <c r="CW309" s="64"/>
      <c r="CX309" s="64"/>
    </row>
    <row r="310" spans="1:102" x14ac:dyDescent="0.2">
      <c r="A310" s="64"/>
      <c r="B310" s="64"/>
      <c r="C310" s="102"/>
      <c r="D310" s="102"/>
      <c r="E310" s="102"/>
      <c r="F310" s="102"/>
      <c r="G310" s="102"/>
      <c r="H310" s="102"/>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c r="BU310" s="64"/>
      <c r="BV310" s="64"/>
      <c r="BW310" s="64"/>
      <c r="BX310" s="64"/>
      <c r="BY310" s="64"/>
      <c r="BZ310" s="64"/>
      <c r="CA310" s="64"/>
      <c r="CB310" s="64"/>
      <c r="CC310" s="64"/>
      <c r="CD310" s="64"/>
      <c r="CE310" s="64"/>
      <c r="CF310" s="64"/>
      <c r="CG310" s="64"/>
      <c r="CH310" s="64"/>
      <c r="CI310" s="64"/>
      <c r="CJ310" s="64"/>
      <c r="CK310" s="64"/>
      <c r="CL310" s="64"/>
      <c r="CM310" s="64"/>
      <c r="CN310" s="64"/>
      <c r="CO310" s="64"/>
      <c r="CP310" s="64"/>
      <c r="CQ310" s="64"/>
      <c r="CR310" s="64"/>
      <c r="CS310" s="64"/>
      <c r="CT310" s="64"/>
      <c r="CU310" s="64"/>
      <c r="CV310" s="64"/>
      <c r="CW310" s="64"/>
      <c r="CX310" s="64"/>
    </row>
    <row r="311" spans="1:102" x14ac:dyDescent="0.2">
      <c r="A311" s="64"/>
      <c r="B311" s="64"/>
      <c r="C311" s="102"/>
      <c r="D311" s="102"/>
      <c r="E311" s="102"/>
      <c r="F311" s="102"/>
      <c r="G311" s="102"/>
      <c r="H311" s="102"/>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c r="BU311" s="64"/>
      <c r="BV311" s="64"/>
      <c r="BW311" s="64"/>
      <c r="BX311" s="64"/>
      <c r="BY311" s="64"/>
      <c r="BZ311" s="64"/>
      <c r="CA311" s="64"/>
      <c r="CB311" s="64"/>
      <c r="CC311" s="64"/>
      <c r="CD311" s="64"/>
      <c r="CE311" s="64"/>
      <c r="CF311" s="64"/>
      <c r="CG311" s="64"/>
      <c r="CH311" s="64"/>
      <c r="CI311" s="64"/>
      <c r="CJ311" s="64"/>
      <c r="CK311" s="64"/>
      <c r="CL311" s="64"/>
      <c r="CM311" s="64"/>
      <c r="CN311" s="64"/>
      <c r="CO311" s="64"/>
      <c r="CP311" s="64"/>
      <c r="CQ311" s="64"/>
      <c r="CR311" s="64"/>
      <c r="CS311" s="64"/>
      <c r="CT311" s="64"/>
      <c r="CU311" s="64"/>
      <c r="CV311" s="64"/>
      <c r="CW311" s="64"/>
      <c r="CX311" s="64"/>
    </row>
    <row r="312" spans="1:102" x14ac:dyDescent="0.2">
      <c r="A312" s="64"/>
      <c r="B312" s="64"/>
      <c r="C312" s="102"/>
      <c r="D312" s="102"/>
      <c r="E312" s="102"/>
      <c r="F312" s="102"/>
      <c r="G312" s="102"/>
      <c r="H312" s="102"/>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c r="BU312" s="64"/>
      <c r="BV312" s="64"/>
      <c r="BW312" s="64"/>
      <c r="BX312" s="64"/>
      <c r="BY312" s="64"/>
      <c r="BZ312" s="64"/>
      <c r="CA312" s="64"/>
      <c r="CB312" s="64"/>
      <c r="CC312" s="64"/>
      <c r="CD312" s="64"/>
      <c r="CE312" s="64"/>
      <c r="CF312" s="64"/>
      <c r="CG312" s="64"/>
      <c r="CH312" s="64"/>
      <c r="CI312" s="64"/>
      <c r="CJ312" s="64"/>
      <c r="CK312" s="64"/>
      <c r="CL312" s="64"/>
      <c r="CM312" s="64"/>
      <c r="CN312" s="64"/>
      <c r="CO312" s="64"/>
      <c r="CP312" s="64"/>
      <c r="CQ312" s="64"/>
      <c r="CR312" s="64"/>
      <c r="CS312" s="64"/>
      <c r="CT312" s="64"/>
      <c r="CU312" s="64"/>
      <c r="CV312" s="64"/>
      <c r="CW312" s="64"/>
      <c r="CX312" s="64"/>
    </row>
    <row r="313" spans="1:102" x14ac:dyDescent="0.2">
      <c r="A313" s="64"/>
      <c r="B313" s="64"/>
      <c r="C313" s="102"/>
      <c r="D313" s="102"/>
      <c r="E313" s="102"/>
      <c r="F313" s="102"/>
      <c r="G313" s="102"/>
      <c r="H313" s="102"/>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c r="BU313" s="64"/>
      <c r="BV313" s="64"/>
      <c r="BW313" s="64"/>
      <c r="BX313" s="64"/>
      <c r="BY313" s="64"/>
      <c r="BZ313" s="64"/>
      <c r="CA313" s="64"/>
      <c r="CB313" s="64"/>
      <c r="CC313" s="64"/>
      <c r="CD313" s="64"/>
      <c r="CE313" s="64"/>
      <c r="CF313" s="64"/>
      <c r="CG313" s="64"/>
      <c r="CH313" s="64"/>
      <c r="CI313" s="64"/>
      <c r="CJ313" s="64"/>
      <c r="CK313" s="64"/>
      <c r="CL313" s="64"/>
      <c r="CM313" s="64"/>
      <c r="CN313" s="64"/>
      <c r="CO313" s="64"/>
      <c r="CP313" s="64"/>
      <c r="CQ313" s="64"/>
      <c r="CR313" s="64"/>
      <c r="CS313" s="64"/>
      <c r="CT313" s="64"/>
      <c r="CU313" s="64"/>
      <c r="CV313" s="64"/>
      <c r="CW313" s="64"/>
      <c r="CX313" s="64"/>
    </row>
    <row r="314" spans="1:102" x14ac:dyDescent="0.2">
      <c r="A314" s="64"/>
      <c r="B314" s="64"/>
      <c r="C314" s="102"/>
      <c r="D314" s="102"/>
      <c r="E314" s="102"/>
      <c r="F314" s="102"/>
      <c r="G314" s="102"/>
      <c r="H314" s="102"/>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c r="BU314" s="64"/>
      <c r="BV314" s="64"/>
      <c r="BW314" s="64"/>
      <c r="BX314" s="64"/>
      <c r="BY314" s="64"/>
      <c r="BZ314" s="64"/>
      <c r="CA314" s="64"/>
      <c r="CB314" s="64"/>
      <c r="CC314" s="64"/>
      <c r="CD314" s="64"/>
      <c r="CE314" s="64"/>
      <c r="CF314" s="64"/>
      <c r="CG314" s="64"/>
      <c r="CH314" s="64"/>
      <c r="CI314" s="64"/>
      <c r="CJ314" s="64"/>
      <c r="CK314" s="64"/>
      <c r="CL314" s="64"/>
      <c r="CM314" s="64"/>
      <c r="CN314" s="64"/>
      <c r="CO314" s="64"/>
      <c r="CP314" s="64"/>
      <c r="CQ314" s="64"/>
      <c r="CR314" s="64"/>
      <c r="CS314" s="64"/>
      <c r="CT314" s="64"/>
      <c r="CU314" s="64"/>
      <c r="CV314" s="64"/>
      <c r="CW314" s="64"/>
      <c r="CX314" s="64"/>
    </row>
    <row r="315" spans="1:102" x14ac:dyDescent="0.2">
      <c r="A315" s="64"/>
      <c r="B315" s="64"/>
      <c r="C315" s="102"/>
      <c r="D315" s="102"/>
      <c r="E315" s="102"/>
      <c r="F315" s="102"/>
      <c r="G315" s="102"/>
      <c r="H315" s="102"/>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c r="BU315" s="64"/>
      <c r="BV315" s="64"/>
      <c r="BW315" s="64"/>
      <c r="BX315" s="64"/>
      <c r="BY315" s="64"/>
      <c r="BZ315" s="64"/>
      <c r="CA315" s="64"/>
      <c r="CB315" s="64"/>
      <c r="CC315" s="64"/>
      <c r="CD315" s="64"/>
      <c r="CE315" s="64"/>
      <c r="CF315" s="64"/>
      <c r="CG315" s="64"/>
      <c r="CH315" s="64"/>
      <c r="CI315" s="64"/>
      <c r="CJ315" s="64"/>
      <c r="CK315" s="64"/>
      <c r="CL315" s="64"/>
      <c r="CM315" s="64"/>
      <c r="CN315" s="64"/>
      <c r="CO315" s="64"/>
      <c r="CP315" s="64"/>
      <c r="CQ315" s="64"/>
      <c r="CR315" s="64"/>
      <c r="CS315" s="64"/>
      <c r="CT315" s="64"/>
      <c r="CU315" s="64"/>
      <c r="CV315" s="64"/>
      <c r="CW315" s="64"/>
      <c r="CX315" s="64"/>
    </row>
    <row r="316" spans="1:102" x14ac:dyDescent="0.2">
      <c r="A316" s="64"/>
      <c r="B316" s="64"/>
      <c r="C316" s="102"/>
      <c r="D316" s="102"/>
      <c r="E316" s="102"/>
      <c r="F316" s="102"/>
      <c r="G316" s="102"/>
      <c r="H316" s="102"/>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c r="BU316" s="64"/>
      <c r="BV316" s="64"/>
      <c r="BW316" s="64"/>
      <c r="BX316" s="64"/>
      <c r="BY316" s="64"/>
      <c r="BZ316" s="64"/>
      <c r="CA316" s="64"/>
      <c r="CB316" s="64"/>
      <c r="CC316" s="64"/>
      <c r="CD316" s="64"/>
      <c r="CE316" s="64"/>
      <c r="CF316" s="64"/>
      <c r="CG316" s="64"/>
      <c r="CH316" s="64"/>
      <c r="CI316" s="64"/>
      <c r="CJ316" s="64"/>
      <c r="CK316" s="64"/>
      <c r="CL316" s="64"/>
      <c r="CM316" s="64"/>
      <c r="CN316" s="64"/>
      <c r="CO316" s="64"/>
      <c r="CP316" s="64"/>
      <c r="CQ316" s="64"/>
      <c r="CR316" s="64"/>
      <c r="CS316" s="64"/>
      <c r="CT316" s="64"/>
      <c r="CU316" s="64"/>
      <c r="CV316" s="64"/>
      <c r="CW316" s="64"/>
      <c r="CX316" s="64"/>
    </row>
    <row r="317" spans="1:102" x14ac:dyDescent="0.2">
      <c r="A317" s="64"/>
      <c r="B317" s="64"/>
      <c r="C317" s="102"/>
      <c r="D317" s="102"/>
      <c r="E317" s="102"/>
      <c r="F317" s="102"/>
      <c r="G317" s="102"/>
      <c r="H317" s="102"/>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c r="BU317" s="64"/>
      <c r="BV317" s="64"/>
      <c r="BW317" s="64"/>
      <c r="BX317" s="64"/>
      <c r="BY317" s="64"/>
      <c r="BZ317" s="64"/>
      <c r="CA317" s="64"/>
      <c r="CB317" s="64"/>
      <c r="CC317" s="64"/>
      <c r="CD317" s="64"/>
      <c r="CE317" s="64"/>
      <c r="CF317" s="64"/>
      <c r="CG317" s="64"/>
      <c r="CH317" s="64"/>
      <c r="CI317" s="64"/>
      <c r="CJ317" s="64"/>
      <c r="CK317" s="64"/>
      <c r="CL317" s="64"/>
      <c r="CM317" s="64"/>
      <c r="CN317" s="64"/>
      <c r="CO317" s="64"/>
      <c r="CP317" s="64"/>
      <c r="CQ317" s="64"/>
      <c r="CR317" s="64"/>
      <c r="CS317" s="64"/>
      <c r="CT317" s="64"/>
      <c r="CU317" s="64"/>
      <c r="CV317" s="64"/>
      <c r="CW317" s="64"/>
      <c r="CX317" s="64"/>
    </row>
    <row r="318" spans="1:102" x14ac:dyDescent="0.2">
      <c r="A318" s="64"/>
      <c r="B318" s="64"/>
      <c r="C318" s="102"/>
      <c r="D318" s="102"/>
      <c r="E318" s="102"/>
      <c r="F318" s="102"/>
      <c r="G318" s="102"/>
      <c r="H318" s="102"/>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c r="BU318" s="64"/>
      <c r="BV318" s="64"/>
      <c r="BW318" s="64"/>
      <c r="BX318" s="64"/>
      <c r="BY318" s="64"/>
      <c r="BZ318" s="64"/>
      <c r="CA318" s="64"/>
      <c r="CB318" s="64"/>
      <c r="CC318" s="64"/>
      <c r="CD318" s="64"/>
      <c r="CE318" s="64"/>
      <c r="CF318" s="64"/>
      <c r="CG318" s="64"/>
      <c r="CH318" s="64"/>
      <c r="CI318" s="64"/>
      <c r="CJ318" s="64"/>
      <c r="CK318" s="64"/>
      <c r="CL318" s="64"/>
      <c r="CM318" s="64"/>
      <c r="CN318" s="64"/>
      <c r="CO318" s="64"/>
      <c r="CP318" s="64"/>
      <c r="CQ318" s="64"/>
      <c r="CR318" s="64"/>
      <c r="CS318" s="64"/>
      <c r="CT318" s="64"/>
      <c r="CU318" s="64"/>
      <c r="CV318" s="64"/>
      <c r="CW318" s="64"/>
      <c r="CX318" s="64"/>
    </row>
    <row r="319" spans="1:102" x14ac:dyDescent="0.2">
      <c r="A319" s="64"/>
      <c r="B319" s="64"/>
      <c r="C319" s="102"/>
      <c r="D319" s="102"/>
      <c r="E319" s="102"/>
      <c r="F319" s="102"/>
      <c r="G319" s="102"/>
      <c r="H319" s="102"/>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c r="BU319" s="64"/>
      <c r="BV319" s="64"/>
      <c r="BW319" s="64"/>
      <c r="BX319" s="64"/>
      <c r="BY319" s="64"/>
      <c r="BZ319" s="64"/>
      <c r="CA319" s="64"/>
      <c r="CB319" s="64"/>
      <c r="CC319" s="64"/>
      <c r="CD319" s="64"/>
      <c r="CE319" s="64"/>
      <c r="CF319" s="64"/>
      <c r="CG319" s="64"/>
      <c r="CH319" s="64"/>
      <c r="CI319" s="64"/>
      <c r="CJ319" s="64"/>
      <c r="CK319" s="64"/>
      <c r="CL319" s="64"/>
      <c r="CM319" s="64"/>
      <c r="CN319" s="64"/>
      <c r="CO319" s="64"/>
      <c r="CP319" s="64"/>
      <c r="CQ319" s="64"/>
      <c r="CR319" s="64"/>
      <c r="CS319" s="64"/>
      <c r="CT319" s="64"/>
      <c r="CU319" s="64"/>
      <c r="CV319" s="64"/>
      <c r="CW319" s="64"/>
      <c r="CX319" s="64"/>
    </row>
    <row r="320" spans="1:102" x14ac:dyDescent="0.2">
      <c r="A320" s="64"/>
      <c r="B320" s="64"/>
      <c r="C320" s="102"/>
      <c r="D320" s="102"/>
      <c r="E320" s="102"/>
      <c r="F320" s="102"/>
      <c r="G320" s="102"/>
      <c r="H320" s="102"/>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c r="BU320" s="64"/>
      <c r="BV320" s="64"/>
      <c r="BW320" s="64"/>
      <c r="BX320" s="64"/>
      <c r="BY320" s="64"/>
      <c r="BZ320" s="64"/>
      <c r="CA320" s="64"/>
      <c r="CB320" s="64"/>
      <c r="CC320" s="64"/>
      <c r="CD320" s="64"/>
      <c r="CE320" s="64"/>
      <c r="CF320" s="64"/>
      <c r="CG320" s="64"/>
      <c r="CH320" s="64"/>
      <c r="CI320" s="64"/>
      <c r="CJ320" s="64"/>
      <c r="CK320" s="64"/>
      <c r="CL320" s="64"/>
      <c r="CM320" s="64"/>
      <c r="CN320" s="64"/>
      <c r="CO320" s="64"/>
      <c r="CP320" s="64"/>
      <c r="CQ320" s="64"/>
      <c r="CR320" s="64"/>
      <c r="CS320" s="64"/>
      <c r="CT320" s="64"/>
      <c r="CU320" s="64"/>
      <c r="CV320" s="64"/>
      <c r="CW320" s="64"/>
      <c r="CX320" s="64"/>
    </row>
    <row r="321" spans="1:102" x14ac:dyDescent="0.2">
      <c r="A321" s="64"/>
      <c r="B321" s="64"/>
      <c r="C321" s="102"/>
      <c r="D321" s="102"/>
      <c r="E321" s="102"/>
      <c r="F321" s="102"/>
      <c r="G321" s="102"/>
      <c r="H321" s="102"/>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c r="BU321" s="64"/>
      <c r="BV321" s="64"/>
      <c r="BW321" s="64"/>
      <c r="BX321" s="64"/>
      <c r="BY321" s="64"/>
      <c r="BZ321" s="64"/>
      <c r="CA321" s="64"/>
      <c r="CB321" s="64"/>
      <c r="CC321" s="64"/>
      <c r="CD321" s="64"/>
      <c r="CE321" s="64"/>
      <c r="CF321" s="64"/>
      <c r="CG321" s="64"/>
      <c r="CH321" s="64"/>
      <c r="CI321" s="64"/>
      <c r="CJ321" s="64"/>
      <c r="CK321" s="64"/>
      <c r="CL321" s="64"/>
      <c r="CM321" s="64"/>
      <c r="CN321" s="64"/>
      <c r="CO321" s="64"/>
      <c r="CP321" s="64"/>
      <c r="CQ321" s="64"/>
      <c r="CR321" s="64"/>
      <c r="CS321" s="64"/>
      <c r="CT321" s="64"/>
      <c r="CU321" s="64"/>
      <c r="CV321" s="64"/>
      <c r="CW321" s="64"/>
      <c r="CX321" s="64"/>
    </row>
    <row r="322" spans="1:102" x14ac:dyDescent="0.2">
      <c r="A322" s="64"/>
      <c r="B322" s="64"/>
      <c r="C322" s="102"/>
      <c r="D322" s="102"/>
      <c r="E322" s="102"/>
      <c r="F322" s="102"/>
      <c r="G322" s="102"/>
      <c r="H322" s="102"/>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c r="BU322" s="64"/>
      <c r="BV322" s="64"/>
      <c r="BW322" s="64"/>
      <c r="BX322" s="64"/>
      <c r="BY322" s="64"/>
      <c r="BZ322" s="64"/>
      <c r="CA322" s="64"/>
      <c r="CB322" s="64"/>
      <c r="CC322" s="64"/>
      <c r="CD322" s="64"/>
      <c r="CE322" s="64"/>
      <c r="CF322" s="64"/>
      <c r="CG322" s="64"/>
      <c r="CH322" s="64"/>
      <c r="CI322" s="64"/>
      <c r="CJ322" s="64"/>
      <c r="CK322" s="64"/>
      <c r="CL322" s="64"/>
      <c r="CM322" s="64"/>
      <c r="CN322" s="64"/>
      <c r="CO322" s="64"/>
      <c r="CP322" s="64"/>
      <c r="CQ322" s="64"/>
      <c r="CR322" s="64"/>
      <c r="CS322" s="64"/>
      <c r="CT322" s="64"/>
      <c r="CU322" s="64"/>
      <c r="CV322" s="64"/>
      <c r="CW322" s="64"/>
      <c r="CX322" s="64"/>
    </row>
    <row r="323" spans="1:102" x14ac:dyDescent="0.2">
      <c r="A323" s="64"/>
      <c r="B323" s="64"/>
      <c r="C323" s="102"/>
      <c r="D323" s="102"/>
      <c r="E323" s="102"/>
      <c r="F323" s="102"/>
      <c r="G323" s="102"/>
      <c r="H323" s="102"/>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c r="BU323" s="64"/>
      <c r="BV323" s="64"/>
      <c r="BW323" s="64"/>
      <c r="BX323" s="64"/>
      <c r="BY323" s="64"/>
      <c r="BZ323" s="64"/>
      <c r="CA323" s="64"/>
      <c r="CB323" s="64"/>
      <c r="CC323" s="64"/>
      <c r="CD323" s="64"/>
      <c r="CE323" s="64"/>
      <c r="CF323" s="64"/>
      <c r="CG323" s="64"/>
      <c r="CH323" s="64"/>
      <c r="CI323" s="64"/>
      <c r="CJ323" s="64"/>
      <c r="CK323" s="64"/>
      <c r="CL323" s="64"/>
      <c r="CM323" s="64"/>
      <c r="CN323" s="64"/>
      <c r="CO323" s="64"/>
      <c r="CP323" s="64"/>
      <c r="CQ323" s="64"/>
      <c r="CR323" s="64"/>
      <c r="CS323" s="64"/>
      <c r="CT323" s="64"/>
      <c r="CU323" s="64"/>
      <c r="CV323" s="64"/>
      <c r="CW323" s="64"/>
      <c r="CX323" s="64"/>
    </row>
    <row r="324" spans="1:102" x14ac:dyDescent="0.2">
      <c r="A324" s="64"/>
      <c r="B324" s="64"/>
      <c r="C324" s="102"/>
      <c r="D324" s="102"/>
      <c r="E324" s="102"/>
      <c r="F324" s="102"/>
      <c r="G324" s="102"/>
      <c r="H324" s="102"/>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c r="BU324" s="64"/>
      <c r="BV324" s="64"/>
      <c r="BW324" s="64"/>
      <c r="BX324" s="64"/>
      <c r="BY324" s="64"/>
      <c r="BZ324" s="64"/>
      <c r="CA324" s="64"/>
      <c r="CB324" s="64"/>
      <c r="CC324" s="64"/>
      <c r="CD324" s="64"/>
      <c r="CE324" s="64"/>
      <c r="CF324" s="64"/>
      <c r="CG324" s="64"/>
      <c r="CH324" s="64"/>
      <c r="CI324" s="64"/>
      <c r="CJ324" s="64"/>
      <c r="CK324" s="64"/>
      <c r="CL324" s="64"/>
      <c r="CM324" s="64"/>
      <c r="CN324" s="64"/>
      <c r="CO324" s="64"/>
      <c r="CP324" s="64"/>
      <c r="CQ324" s="64"/>
      <c r="CR324" s="64"/>
      <c r="CS324" s="64"/>
      <c r="CT324" s="64"/>
      <c r="CU324" s="64"/>
      <c r="CV324" s="64"/>
      <c r="CW324" s="64"/>
      <c r="CX324" s="64"/>
    </row>
    <row r="325" spans="1:102" x14ac:dyDescent="0.2">
      <c r="A325" s="64"/>
      <c r="B325" s="64"/>
      <c r="C325" s="102"/>
      <c r="D325" s="102"/>
      <c r="E325" s="102"/>
      <c r="F325" s="102"/>
      <c r="G325" s="102"/>
      <c r="H325" s="102"/>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c r="BU325" s="64"/>
      <c r="BV325" s="64"/>
      <c r="BW325" s="64"/>
      <c r="BX325" s="64"/>
      <c r="BY325" s="64"/>
      <c r="BZ325" s="64"/>
      <c r="CA325" s="64"/>
      <c r="CB325" s="64"/>
      <c r="CC325" s="64"/>
      <c r="CD325" s="64"/>
      <c r="CE325" s="64"/>
      <c r="CF325" s="64"/>
      <c r="CG325" s="64"/>
      <c r="CH325" s="64"/>
      <c r="CI325" s="64"/>
      <c r="CJ325" s="64"/>
      <c r="CK325" s="64"/>
      <c r="CL325" s="64"/>
      <c r="CM325" s="64"/>
      <c r="CN325" s="64"/>
      <c r="CO325" s="64"/>
      <c r="CP325" s="64"/>
      <c r="CQ325" s="64"/>
      <c r="CR325" s="64"/>
      <c r="CS325" s="64"/>
      <c r="CT325" s="64"/>
      <c r="CU325" s="64"/>
      <c r="CV325" s="64"/>
      <c r="CW325" s="64"/>
      <c r="CX325" s="64"/>
    </row>
    <row r="326" spans="1:102" x14ac:dyDescent="0.2">
      <c r="A326" s="64"/>
      <c r="B326" s="64"/>
      <c r="C326" s="102"/>
      <c r="D326" s="102"/>
      <c r="E326" s="102"/>
      <c r="F326" s="102"/>
      <c r="G326" s="102"/>
      <c r="H326" s="102"/>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c r="BU326" s="64"/>
      <c r="BV326" s="64"/>
      <c r="BW326" s="64"/>
      <c r="BX326" s="64"/>
      <c r="BY326" s="64"/>
      <c r="BZ326" s="64"/>
      <c r="CA326" s="64"/>
      <c r="CB326" s="64"/>
      <c r="CC326" s="64"/>
      <c r="CD326" s="64"/>
      <c r="CE326" s="64"/>
      <c r="CF326" s="64"/>
      <c r="CG326" s="64"/>
      <c r="CH326" s="64"/>
      <c r="CI326" s="64"/>
      <c r="CJ326" s="64"/>
      <c r="CK326" s="64"/>
      <c r="CL326" s="64"/>
      <c r="CM326" s="64"/>
      <c r="CN326" s="64"/>
      <c r="CO326" s="64"/>
      <c r="CP326" s="64"/>
      <c r="CQ326" s="64"/>
      <c r="CR326" s="64"/>
      <c r="CS326" s="64"/>
      <c r="CT326" s="64"/>
      <c r="CU326" s="64"/>
      <c r="CV326" s="64"/>
      <c r="CW326" s="64"/>
      <c r="CX326" s="64"/>
    </row>
    <row r="327" spans="1:102" x14ac:dyDescent="0.2">
      <c r="A327" s="64"/>
      <c r="B327" s="64"/>
      <c r="C327" s="102"/>
      <c r="D327" s="102"/>
      <c r="E327" s="102"/>
      <c r="F327" s="102"/>
      <c r="G327" s="102"/>
      <c r="H327" s="102"/>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c r="BU327" s="64"/>
      <c r="BV327" s="64"/>
      <c r="BW327" s="64"/>
      <c r="BX327" s="64"/>
      <c r="BY327" s="64"/>
      <c r="BZ327" s="64"/>
      <c r="CA327" s="64"/>
      <c r="CB327" s="64"/>
      <c r="CC327" s="64"/>
      <c r="CD327" s="64"/>
      <c r="CE327" s="64"/>
      <c r="CF327" s="64"/>
      <c r="CG327" s="64"/>
      <c r="CH327" s="64"/>
      <c r="CI327" s="64"/>
      <c r="CJ327" s="64"/>
      <c r="CK327" s="64"/>
      <c r="CL327" s="64"/>
      <c r="CM327" s="64"/>
      <c r="CN327" s="64"/>
      <c r="CO327" s="64"/>
      <c r="CP327" s="64"/>
      <c r="CQ327" s="64"/>
      <c r="CR327" s="64"/>
      <c r="CS327" s="64"/>
      <c r="CT327" s="64"/>
      <c r="CU327" s="64"/>
      <c r="CV327" s="64"/>
      <c r="CW327" s="64"/>
      <c r="CX327" s="64"/>
    </row>
    <row r="328" spans="1:102" x14ac:dyDescent="0.2">
      <c r="A328" s="64"/>
      <c r="B328" s="64"/>
      <c r="C328" s="102"/>
      <c r="D328" s="102"/>
      <c r="E328" s="102"/>
      <c r="F328" s="102"/>
      <c r="G328" s="102"/>
      <c r="H328" s="102"/>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c r="BU328" s="64"/>
      <c r="BV328" s="64"/>
      <c r="BW328" s="64"/>
      <c r="BX328" s="64"/>
      <c r="BY328" s="64"/>
      <c r="BZ328" s="64"/>
      <c r="CA328" s="64"/>
      <c r="CB328" s="64"/>
      <c r="CC328" s="64"/>
      <c r="CD328" s="64"/>
      <c r="CE328" s="64"/>
      <c r="CF328" s="64"/>
      <c r="CG328" s="64"/>
      <c r="CH328" s="64"/>
      <c r="CI328" s="64"/>
      <c r="CJ328" s="64"/>
      <c r="CK328" s="64"/>
      <c r="CL328" s="64"/>
      <c r="CM328" s="64"/>
      <c r="CN328" s="64"/>
      <c r="CO328" s="64"/>
      <c r="CP328" s="64"/>
      <c r="CQ328" s="64"/>
      <c r="CR328" s="64"/>
      <c r="CS328" s="64"/>
      <c r="CT328" s="64"/>
      <c r="CU328" s="64"/>
      <c r="CV328" s="64"/>
      <c r="CW328" s="64"/>
      <c r="CX328" s="64"/>
    </row>
    <row r="329" spans="1:102" x14ac:dyDescent="0.2">
      <c r="A329" s="64"/>
      <c r="B329" s="64"/>
      <c r="C329" s="102"/>
      <c r="D329" s="102"/>
      <c r="E329" s="102"/>
      <c r="F329" s="102"/>
      <c r="G329" s="102"/>
      <c r="H329" s="102"/>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c r="BU329" s="64"/>
      <c r="BV329" s="64"/>
      <c r="BW329" s="64"/>
      <c r="BX329" s="64"/>
      <c r="BY329" s="64"/>
      <c r="BZ329" s="64"/>
      <c r="CA329" s="64"/>
      <c r="CB329" s="64"/>
      <c r="CC329" s="64"/>
      <c r="CD329" s="64"/>
      <c r="CE329" s="64"/>
      <c r="CF329" s="64"/>
      <c r="CG329" s="64"/>
      <c r="CH329" s="64"/>
      <c r="CI329" s="64"/>
      <c r="CJ329" s="64"/>
      <c r="CK329" s="64"/>
      <c r="CL329" s="64"/>
      <c r="CM329" s="64"/>
      <c r="CN329" s="64"/>
      <c r="CO329" s="64"/>
      <c r="CP329" s="64"/>
      <c r="CQ329" s="64"/>
      <c r="CR329" s="64"/>
      <c r="CS329" s="64"/>
      <c r="CT329" s="64"/>
      <c r="CU329" s="64"/>
      <c r="CV329" s="64"/>
      <c r="CW329" s="64"/>
      <c r="CX329" s="64"/>
    </row>
    <row r="330" spans="1:102" x14ac:dyDescent="0.2">
      <c r="A330" s="64"/>
      <c r="B330" s="64"/>
      <c r="C330" s="102"/>
      <c r="D330" s="102"/>
      <c r="E330" s="102"/>
      <c r="F330" s="102"/>
      <c r="G330" s="102"/>
      <c r="H330" s="102"/>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c r="BU330" s="64"/>
      <c r="BV330" s="64"/>
      <c r="BW330" s="64"/>
      <c r="BX330" s="64"/>
      <c r="BY330" s="64"/>
      <c r="BZ330" s="64"/>
      <c r="CA330" s="64"/>
      <c r="CB330" s="64"/>
      <c r="CC330" s="64"/>
      <c r="CD330" s="64"/>
      <c r="CE330" s="64"/>
      <c r="CF330" s="64"/>
      <c r="CG330" s="64"/>
      <c r="CH330" s="64"/>
      <c r="CI330" s="64"/>
      <c r="CJ330" s="64"/>
      <c r="CK330" s="64"/>
      <c r="CL330" s="64"/>
      <c r="CM330" s="64"/>
      <c r="CN330" s="64"/>
      <c r="CO330" s="64"/>
      <c r="CP330" s="64"/>
      <c r="CQ330" s="64"/>
      <c r="CR330" s="64"/>
      <c r="CS330" s="64"/>
      <c r="CT330" s="64"/>
      <c r="CU330" s="64"/>
      <c r="CV330" s="64"/>
      <c r="CW330" s="64"/>
      <c r="CX330" s="64"/>
    </row>
    <row r="331" spans="1:102" x14ac:dyDescent="0.2">
      <c r="A331" s="64"/>
      <c r="B331" s="64"/>
      <c r="C331" s="102"/>
      <c r="D331" s="102"/>
      <c r="E331" s="102"/>
      <c r="F331" s="102"/>
      <c r="G331" s="102"/>
      <c r="H331" s="102"/>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c r="BU331" s="64"/>
      <c r="BV331" s="64"/>
      <c r="BW331" s="64"/>
      <c r="BX331" s="64"/>
      <c r="BY331" s="64"/>
      <c r="BZ331" s="64"/>
      <c r="CA331" s="64"/>
      <c r="CB331" s="64"/>
      <c r="CC331" s="64"/>
      <c r="CD331" s="64"/>
      <c r="CE331" s="64"/>
      <c r="CF331" s="64"/>
      <c r="CG331" s="64"/>
      <c r="CH331" s="64"/>
      <c r="CI331" s="64"/>
      <c r="CJ331" s="64"/>
      <c r="CK331" s="64"/>
      <c r="CL331" s="64"/>
      <c r="CM331" s="64"/>
      <c r="CN331" s="64"/>
      <c r="CO331" s="64"/>
      <c r="CP331" s="64"/>
      <c r="CQ331" s="64"/>
      <c r="CR331" s="64"/>
      <c r="CS331" s="64"/>
      <c r="CT331" s="64"/>
      <c r="CU331" s="64"/>
      <c r="CV331" s="64"/>
      <c r="CW331" s="64"/>
      <c r="CX331" s="64"/>
    </row>
    <row r="332" spans="1:102" x14ac:dyDescent="0.2">
      <c r="A332" s="64"/>
      <c r="B332" s="64"/>
      <c r="C332" s="102"/>
      <c r="D332" s="102"/>
      <c r="E332" s="102"/>
      <c r="F332" s="102"/>
      <c r="G332" s="102"/>
      <c r="H332" s="102"/>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c r="BU332" s="64"/>
      <c r="BV332" s="64"/>
      <c r="BW332" s="64"/>
      <c r="BX332" s="64"/>
      <c r="BY332" s="64"/>
      <c r="BZ332" s="64"/>
      <c r="CA332" s="64"/>
      <c r="CB332" s="64"/>
      <c r="CC332" s="64"/>
      <c r="CD332" s="64"/>
      <c r="CE332" s="64"/>
      <c r="CF332" s="64"/>
      <c r="CG332" s="64"/>
      <c r="CH332" s="64"/>
      <c r="CI332" s="64"/>
      <c r="CJ332" s="64"/>
      <c r="CK332" s="64"/>
      <c r="CL332" s="64"/>
      <c r="CM332" s="64"/>
      <c r="CN332" s="64"/>
      <c r="CO332" s="64"/>
      <c r="CP332" s="64"/>
      <c r="CQ332" s="64"/>
      <c r="CR332" s="64"/>
      <c r="CS332" s="64"/>
      <c r="CT332" s="64"/>
      <c r="CU332" s="64"/>
      <c r="CV332" s="64"/>
      <c r="CW332" s="64"/>
      <c r="CX332" s="64"/>
    </row>
    <row r="333" spans="1:102" x14ac:dyDescent="0.2">
      <c r="A333" s="64"/>
      <c r="B333" s="64"/>
      <c r="C333" s="102"/>
      <c r="D333" s="102"/>
      <c r="E333" s="102"/>
      <c r="F333" s="102"/>
      <c r="G333" s="102"/>
      <c r="H333" s="102"/>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c r="BU333" s="64"/>
      <c r="BV333" s="64"/>
      <c r="BW333" s="64"/>
      <c r="BX333" s="64"/>
      <c r="BY333" s="64"/>
      <c r="BZ333" s="64"/>
      <c r="CA333" s="64"/>
      <c r="CB333" s="64"/>
      <c r="CC333" s="64"/>
      <c r="CD333" s="64"/>
      <c r="CE333" s="64"/>
      <c r="CF333" s="64"/>
      <c r="CG333" s="64"/>
      <c r="CH333" s="64"/>
      <c r="CI333" s="64"/>
      <c r="CJ333" s="64"/>
      <c r="CK333" s="64"/>
      <c r="CL333" s="64"/>
      <c r="CM333" s="64"/>
      <c r="CN333" s="64"/>
      <c r="CO333" s="64"/>
      <c r="CP333" s="64"/>
      <c r="CQ333" s="64"/>
      <c r="CR333" s="64"/>
      <c r="CS333" s="64"/>
      <c r="CT333" s="64"/>
      <c r="CU333" s="64"/>
      <c r="CV333" s="64"/>
      <c r="CW333" s="64"/>
      <c r="CX333" s="64"/>
    </row>
    <row r="334" spans="1:102" x14ac:dyDescent="0.2">
      <c r="A334" s="64"/>
      <c r="B334" s="64"/>
      <c r="C334" s="102"/>
      <c r="D334" s="102"/>
      <c r="E334" s="102"/>
      <c r="F334" s="102"/>
      <c r="G334" s="102"/>
      <c r="H334" s="102"/>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c r="BU334" s="64"/>
      <c r="BV334" s="64"/>
      <c r="BW334" s="64"/>
      <c r="BX334" s="64"/>
      <c r="BY334" s="64"/>
      <c r="BZ334" s="64"/>
      <c r="CA334" s="64"/>
      <c r="CB334" s="64"/>
      <c r="CC334" s="64"/>
      <c r="CD334" s="64"/>
      <c r="CE334" s="64"/>
      <c r="CF334" s="64"/>
      <c r="CG334" s="64"/>
      <c r="CH334" s="64"/>
      <c r="CI334" s="64"/>
      <c r="CJ334" s="64"/>
      <c r="CK334" s="64"/>
      <c r="CL334" s="64"/>
      <c r="CM334" s="64"/>
      <c r="CN334" s="64"/>
      <c r="CO334" s="64"/>
      <c r="CP334" s="64"/>
      <c r="CQ334" s="64"/>
      <c r="CR334" s="64"/>
      <c r="CS334" s="64"/>
      <c r="CT334" s="64"/>
      <c r="CU334" s="64"/>
      <c r="CV334" s="64"/>
      <c r="CW334" s="64"/>
      <c r="CX334" s="64"/>
    </row>
    <row r="335" spans="1:102" x14ac:dyDescent="0.2">
      <c r="A335" s="64"/>
      <c r="B335" s="64"/>
      <c r="C335" s="102"/>
      <c r="D335" s="102"/>
      <c r="E335" s="102"/>
      <c r="F335" s="102"/>
      <c r="G335" s="102"/>
      <c r="H335" s="102"/>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c r="BU335" s="64"/>
      <c r="BV335" s="64"/>
      <c r="BW335" s="64"/>
      <c r="BX335" s="64"/>
      <c r="BY335" s="64"/>
      <c r="BZ335" s="64"/>
      <c r="CA335" s="64"/>
      <c r="CB335" s="64"/>
      <c r="CC335" s="64"/>
      <c r="CD335" s="64"/>
      <c r="CE335" s="64"/>
      <c r="CF335" s="64"/>
      <c r="CG335" s="64"/>
      <c r="CH335" s="64"/>
      <c r="CI335" s="64"/>
      <c r="CJ335" s="64"/>
      <c r="CK335" s="64"/>
      <c r="CL335" s="64"/>
      <c r="CM335" s="64"/>
      <c r="CN335" s="64"/>
      <c r="CO335" s="64"/>
      <c r="CP335" s="64"/>
      <c r="CQ335" s="64"/>
      <c r="CR335" s="64"/>
      <c r="CS335" s="64"/>
      <c r="CT335" s="64"/>
      <c r="CU335" s="64"/>
      <c r="CV335" s="64"/>
      <c r="CW335" s="64"/>
      <c r="CX335" s="64"/>
    </row>
    <row r="336" spans="1:102" x14ac:dyDescent="0.2">
      <c r="A336" s="64"/>
      <c r="B336" s="64"/>
      <c r="C336" s="102"/>
      <c r="D336" s="102"/>
      <c r="E336" s="102"/>
      <c r="F336" s="102"/>
      <c r="G336" s="102"/>
      <c r="H336" s="102"/>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c r="BU336" s="64"/>
      <c r="BV336" s="64"/>
      <c r="BW336" s="64"/>
      <c r="BX336" s="64"/>
      <c r="BY336" s="64"/>
      <c r="BZ336" s="64"/>
      <c r="CA336" s="64"/>
      <c r="CB336" s="64"/>
      <c r="CC336" s="64"/>
      <c r="CD336" s="64"/>
      <c r="CE336" s="64"/>
      <c r="CF336" s="64"/>
      <c r="CG336" s="64"/>
      <c r="CH336" s="64"/>
      <c r="CI336" s="64"/>
      <c r="CJ336" s="64"/>
      <c r="CK336" s="64"/>
      <c r="CL336" s="64"/>
      <c r="CM336" s="64"/>
      <c r="CN336" s="64"/>
      <c r="CO336" s="64"/>
      <c r="CP336" s="64"/>
      <c r="CQ336" s="64"/>
      <c r="CR336" s="64"/>
      <c r="CS336" s="64"/>
      <c r="CT336" s="64"/>
      <c r="CU336" s="64"/>
      <c r="CV336" s="64"/>
      <c r="CW336" s="64"/>
      <c r="CX336" s="64"/>
    </row>
    <row r="337" spans="1:102" x14ac:dyDescent="0.2">
      <c r="A337" s="64"/>
      <c r="B337" s="64"/>
      <c r="C337" s="102"/>
      <c r="D337" s="102"/>
      <c r="E337" s="102"/>
      <c r="F337" s="102"/>
      <c r="G337" s="102"/>
      <c r="H337" s="102"/>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c r="BU337" s="64"/>
      <c r="BV337" s="64"/>
      <c r="BW337" s="64"/>
      <c r="BX337" s="64"/>
      <c r="BY337" s="64"/>
      <c r="BZ337" s="64"/>
      <c r="CA337" s="64"/>
      <c r="CB337" s="64"/>
      <c r="CC337" s="64"/>
      <c r="CD337" s="64"/>
      <c r="CE337" s="64"/>
      <c r="CF337" s="64"/>
      <c r="CG337" s="64"/>
      <c r="CH337" s="64"/>
      <c r="CI337" s="64"/>
      <c r="CJ337" s="64"/>
      <c r="CK337" s="64"/>
      <c r="CL337" s="64"/>
      <c r="CM337" s="64"/>
      <c r="CN337" s="64"/>
      <c r="CO337" s="64"/>
      <c r="CP337" s="64"/>
      <c r="CQ337" s="64"/>
      <c r="CR337" s="64"/>
      <c r="CS337" s="64"/>
      <c r="CT337" s="64"/>
      <c r="CU337" s="64"/>
      <c r="CV337" s="64"/>
      <c r="CW337" s="64"/>
      <c r="CX337" s="64"/>
    </row>
    <row r="338" spans="1:102" x14ac:dyDescent="0.2">
      <c r="A338" s="64"/>
      <c r="B338" s="64"/>
      <c r="C338" s="102"/>
      <c r="D338" s="102"/>
      <c r="E338" s="102"/>
      <c r="F338" s="102"/>
      <c r="G338" s="102"/>
      <c r="H338" s="102"/>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c r="BU338" s="64"/>
      <c r="BV338" s="64"/>
      <c r="BW338" s="64"/>
      <c r="BX338" s="64"/>
      <c r="BY338" s="64"/>
      <c r="BZ338" s="64"/>
      <c r="CA338" s="64"/>
      <c r="CB338" s="64"/>
      <c r="CC338" s="64"/>
      <c r="CD338" s="64"/>
      <c r="CE338" s="64"/>
      <c r="CF338" s="64"/>
      <c r="CG338" s="64"/>
      <c r="CH338" s="64"/>
      <c r="CI338" s="64"/>
      <c r="CJ338" s="64"/>
      <c r="CK338" s="64"/>
      <c r="CL338" s="64"/>
      <c r="CM338" s="64"/>
      <c r="CN338" s="64"/>
      <c r="CO338" s="64"/>
      <c r="CP338" s="64"/>
      <c r="CQ338" s="64"/>
      <c r="CR338" s="64"/>
      <c r="CS338" s="64"/>
      <c r="CT338" s="64"/>
      <c r="CU338" s="64"/>
      <c r="CV338" s="64"/>
      <c r="CW338" s="64"/>
      <c r="CX338" s="64"/>
    </row>
    <row r="339" spans="1:102" x14ac:dyDescent="0.2">
      <c r="A339" s="64"/>
      <c r="B339" s="64"/>
      <c r="C339" s="102"/>
      <c r="D339" s="102"/>
      <c r="E339" s="102"/>
      <c r="F339" s="102"/>
      <c r="G339" s="102"/>
      <c r="H339" s="102"/>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c r="BU339" s="64"/>
      <c r="BV339" s="64"/>
      <c r="BW339" s="64"/>
      <c r="BX339" s="64"/>
      <c r="BY339" s="64"/>
      <c r="BZ339" s="64"/>
      <c r="CA339" s="64"/>
      <c r="CB339" s="64"/>
      <c r="CC339" s="64"/>
      <c r="CD339" s="64"/>
      <c r="CE339" s="64"/>
      <c r="CF339" s="64"/>
      <c r="CG339" s="64"/>
      <c r="CH339" s="64"/>
      <c r="CI339" s="64"/>
      <c r="CJ339" s="64"/>
      <c r="CK339" s="64"/>
      <c r="CL339" s="64"/>
      <c r="CM339" s="64"/>
      <c r="CN339" s="64"/>
      <c r="CO339" s="64"/>
      <c r="CP339" s="64"/>
      <c r="CQ339" s="64"/>
      <c r="CR339" s="64"/>
      <c r="CS339" s="64"/>
      <c r="CT339" s="64"/>
      <c r="CU339" s="64"/>
      <c r="CV339" s="64"/>
      <c r="CW339" s="64"/>
      <c r="CX339" s="64"/>
    </row>
    <row r="340" spans="1:102" x14ac:dyDescent="0.2">
      <c r="A340" s="64"/>
      <c r="B340" s="64"/>
      <c r="C340" s="102"/>
      <c r="D340" s="102"/>
      <c r="E340" s="102"/>
      <c r="F340" s="102"/>
      <c r="G340" s="102"/>
      <c r="H340" s="102"/>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c r="BU340" s="64"/>
      <c r="BV340" s="64"/>
      <c r="BW340" s="64"/>
      <c r="BX340" s="64"/>
      <c r="BY340" s="64"/>
      <c r="BZ340" s="64"/>
      <c r="CA340" s="64"/>
      <c r="CB340" s="64"/>
      <c r="CC340" s="64"/>
      <c r="CD340" s="64"/>
      <c r="CE340" s="64"/>
      <c r="CF340" s="64"/>
      <c r="CG340" s="64"/>
      <c r="CH340" s="64"/>
      <c r="CI340" s="64"/>
      <c r="CJ340" s="64"/>
      <c r="CK340" s="64"/>
      <c r="CL340" s="64"/>
      <c r="CM340" s="64"/>
      <c r="CN340" s="64"/>
      <c r="CO340" s="64"/>
      <c r="CP340" s="64"/>
      <c r="CQ340" s="64"/>
      <c r="CR340" s="64"/>
      <c r="CS340" s="64"/>
      <c r="CT340" s="64"/>
      <c r="CU340" s="64"/>
      <c r="CV340" s="64"/>
      <c r="CW340" s="64"/>
      <c r="CX340" s="64"/>
    </row>
    <row r="341" spans="1:102" x14ac:dyDescent="0.2">
      <c r="A341" s="64"/>
      <c r="B341" s="64"/>
      <c r="C341" s="102"/>
      <c r="D341" s="102"/>
      <c r="E341" s="102"/>
      <c r="F341" s="102"/>
      <c r="G341" s="102"/>
      <c r="H341" s="102"/>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c r="BU341" s="64"/>
      <c r="BV341" s="64"/>
      <c r="BW341" s="64"/>
      <c r="BX341" s="64"/>
      <c r="BY341" s="64"/>
      <c r="BZ341" s="64"/>
      <c r="CA341" s="64"/>
      <c r="CB341" s="64"/>
      <c r="CC341" s="64"/>
      <c r="CD341" s="64"/>
      <c r="CE341" s="64"/>
      <c r="CF341" s="64"/>
      <c r="CG341" s="64"/>
      <c r="CH341" s="64"/>
      <c r="CI341" s="64"/>
      <c r="CJ341" s="64"/>
      <c r="CK341" s="64"/>
      <c r="CL341" s="64"/>
      <c r="CM341" s="64"/>
      <c r="CN341" s="64"/>
      <c r="CO341" s="64"/>
      <c r="CP341" s="64"/>
      <c r="CQ341" s="64"/>
      <c r="CR341" s="64"/>
      <c r="CS341" s="64"/>
      <c r="CT341" s="64"/>
      <c r="CU341" s="64"/>
      <c r="CV341" s="64"/>
      <c r="CW341" s="64"/>
      <c r="CX341" s="64"/>
    </row>
    <row r="342" spans="1:102" x14ac:dyDescent="0.2">
      <c r="A342" s="64"/>
      <c r="B342" s="64"/>
      <c r="C342" s="102"/>
      <c r="D342" s="102"/>
      <c r="E342" s="102"/>
      <c r="F342" s="102"/>
      <c r="G342" s="102"/>
      <c r="H342" s="102"/>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c r="BU342" s="64"/>
      <c r="BV342" s="64"/>
      <c r="BW342" s="64"/>
      <c r="BX342" s="64"/>
      <c r="BY342" s="64"/>
      <c r="BZ342" s="64"/>
      <c r="CA342" s="64"/>
      <c r="CB342" s="64"/>
      <c r="CC342" s="64"/>
      <c r="CD342" s="64"/>
      <c r="CE342" s="64"/>
      <c r="CF342" s="64"/>
      <c r="CG342" s="64"/>
      <c r="CH342" s="64"/>
      <c r="CI342" s="64"/>
      <c r="CJ342" s="64"/>
      <c r="CK342" s="64"/>
      <c r="CL342" s="64"/>
      <c r="CM342" s="64"/>
      <c r="CN342" s="64"/>
      <c r="CO342" s="64"/>
      <c r="CP342" s="64"/>
      <c r="CQ342" s="64"/>
      <c r="CR342" s="64"/>
      <c r="CS342" s="64"/>
      <c r="CT342" s="64"/>
      <c r="CU342" s="64"/>
      <c r="CV342" s="64"/>
      <c r="CW342" s="64"/>
      <c r="CX342" s="64"/>
    </row>
    <row r="343" spans="1:102" x14ac:dyDescent="0.2">
      <c r="A343" s="64"/>
      <c r="B343" s="64"/>
      <c r="C343" s="102"/>
      <c r="D343" s="102"/>
      <c r="E343" s="102"/>
      <c r="F343" s="102"/>
      <c r="G343" s="102"/>
      <c r="H343" s="102"/>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c r="BU343" s="64"/>
      <c r="BV343" s="64"/>
      <c r="BW343" s="64"/>
      <c r="BX343" s="64"/>
      <c r="BY343" s="64"/>
      <c r="BZ343" s="64"/>
      <c r="CA343" s="64"/>
      <c r="CB343" s="64"/>
      <c r="CC343" s="64"/>
      <c r="CD343" s="64"/>
      <c r="CE343" s="64"/>
      <c r="CF343" s="64"/>
      <c r="CG343" s="64"/>
      <c r="CH343" s="64"/>
      <c r="CI343" s="64"/>
      <c r="CJ343" s="64"/>
      <c r="CK343" s="64"/>
      <c r="CL343" s="64"/>
      <c r="CM343" s="64"/>
      <c r="CN343" s="64"/>
      <c r="CO343" s="64"/>
      <c r="CP343" s="64"/>
      <c r="CQ343" s="64"/>
      <c r="CR343" s="64"/>
      <c r="CS343" s="64"/>
      <c r="CT343" s="64"/>
      <c r="CU343" s="64"/>
      <c r="CV343" s="64"/>
      <c r="CW343" s="64"/>
      <c r="CX343" s="64"/>
    </row>
    <row r="344" spans="1:102" x14ac:dyDescent="0.2">
      <c r="A344" s="64"/>
      <c r="B344" s="64"/>
      <c r="C344" s="102"/>
      <c r="D344" s="102"/>
      <c r="E344" s="102"/>
      <c r="F344" s="102"/>
      <c r="G344" s="102"/>
      <c r="H344" s="102"/>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c r="BU344" s="64"/>
      <c r="BV344" s="64"/>
      <c r="BW344" s="64"/>
      <c r="BX344" s="64"/>
      <c r="BY344" s="64"/>
      <c r="BZ344" s="64"/>
      <c r="CA344" s="64"/>
      <c r="CB344" s="64"/>
      <c r="CC344" s="64"/>
      <c r="CD344" s="64"/>
      <c r="CE344" s="64"/>
      <c r="CF344" s="64"/>
      <c r="CG344" s="64"/>
      <c r="CH344" s="64"/>
      <c r="CI344" s="64"/>
      <c r="CJ344" s="64"/>
      <c r="CK344" s="64"/>
      <c r="CL344" s="64"/>
      <c r="CM344" s="64"/>
      <c r="CN344" s="64"/>
      <c r="CO344" s="64"/>
      <c r="CP344" s="64"/>
      <c r="CQ344" s="64"/>
      <c r="CR344" s="64"/>
      <c r="CS344" s="64"/>
      <c r="CT344" s="64"/>
      <c r="CU344" s="64"/>
      <c r="CV344" s="64"/>
      <c r="CW344" s="64"/>
      <c r="CX344" s="64"/>
    </row>
    <row r="345" spans="1:102" x14ac:dyDescent="0.2">
      <c r="A345" s="64"/>
      <c r="B345" s="64"/>
      <c r="C345" s="102"/>
      <c r="D345" s="102"/>
      <c r="E345" s="102"/>
      <c r="F345" s="102"/>
      <c r="G345" s="102"/>
      <c r="H345" s="102"/>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c r="BU345" s="64"/>
      <c r="BV345" s="64"/>
      <c r="BW345" s="64"/>
      <c r="BX345" s="64"/>
      <c r="BY345" s="64"/>
      <c r="BZ345" s="64"/>
      <c r="CA345" s="64"/>
      <c r="CB345" s="64"/>
      <c r="CC345" s="64"/>
      <c r="CD345" s="64"/>
      <c r="CE345" s="64"/>
      <c r="CF345" s="64"/>
      <c r="CG345" s="64"/>
      <c r="CH345" s="64"/>
      <c r="CI345" s="64"/>
      <c r="CJ345" s="64"/>
      <c r="CK345" s="64"/>
      <c r="CL345" s="64"/>
      <c r="CM345" s="64"/>
      <c r="CN345" s="64"/>
      <c r="CO345" s="64"/>
      <c r="CP345" s="64"/>
      <c r="CQ345" s="64"/>
      <c r="CR345" s="64"/>
      <c r="CS345" s="64"/>
      <c r="CT345" s="64"/>
      <c r="CU345" s="64"/>
      <c r="CV345" s="64"/>
      <c r="CW345" s="64"/>
      <c r="CX345" s="64"/>
    </row>
    <row r="346" spans="1:102" x14ac:dyDescent="0.2">
      <c r="A346" s="64"/>
      <c r="B346" s="64"/>
      <c r="C346" s="102"/>
      <c r="D346" s="102"/>
      <c r="E346" s="102"/>
      <c r="F346" s="102"/>
      <c r="G346" s="102"/>
      <c r="H346" s="102"/>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c r="BU346" s="64"/>
      <c r="BV346" s="64"/>
      <c r="BW346" s="64"/>
      <c r="BX346" s="64"/>
      <c r="BY346" s="64"/>
      <c r="BZ346" s="64"/>
      <c r="CA346" s="64"/>
      <c r="CB346" s="64"/>
      <c r="CC346" s="64"/>
      <c r="CD346" s="64"/>
      <c r="CE346" s="64"/>
      <c r="CF346" s="64"/>
      <c r="CG346" s="64"/>
      <c r="CH346" s="64"/>
      <c r="CI346" s="64"/>
      <c r="CJ346" s="64"/>
      <c r="CK346" s="64"/>
      <c r="CL346" s="64"/>
      <c r="CM346" s="64"/>
      <c r="CN346" s="64"/>
      <c r="CO346" s="64"/>
      <c r="CP346" s="64"/>
      <c r="CQ346" s="64"/>
      <c r="CR346" s="64"/>
      <c r="CS346" s="64"/>
      <c r="CT346" s="64"/>
      <c r="CU346" s="64"/>
      <c r="CV346" s="64"/>
      <c r="CW346" s="64"/>
      <c r="CX346" s="64"/>
    </row>
    <row r="347" spans="1:102" x14ac:dyDescent="0.2">
      <c r="A347" s="64"/>
      <c r="B347" s="64"/>
      <c r="C347" s="102"/>
      <c r="D347" s="102"/>
      <c r="E347" s="102"/>
      <c r="F347" s="102"/>
      <c r="G347" s="102"/>
      <c r="H347" s="102"/>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c r="BU347" s="64"/>
      <c r="BV347" s="64"/>
      <c r="BW347" s="64"/>
      <c r="BX347" s="64"/>
      <c r="BY347" s="64"/>
      <c r="BZ347" s="64"/>
      <c r="CA347" s="64"/>
      <c r="CB347" s="64"/>
      <c r="CC347" s="64"/>
      <c r="CD347" s="64"/>
      <c r="CE347" s="64"/>
      <c r="CF347" s="64"/>
      <c r="CG347" s="64"/>
      <c r="CH347" s="64"/>
      <c r="CI347" s="64"/>
      <c r="CJ347" s="64"/>
      <c r="CK347" s="64"/>
      <c r="CL347" s="64"/>
      <c r="CM347" s="64"/>
      <c r="CN347" s="64"/>
      <c r="CO347" s="64"/>
      <c r="CP347" s="64"/>
      <c r="CQ347" s="64"/>
      <c r="CR347" s="64"/>
      <c r="CS347" s="64"/>
      <c r="CT347" s="64"/>
      <c r="CU347" s="64"/>
      <c r="CV347" s="64"/>
      <c r="CW347" s="64"/>
      <c r="CX347" s="64"/>
    </row>
    <row r="348" spans="1:102" x14ac:dyDescent="0.2">
      <c r="A348" s="64"/>
      <c r="B348" s="64"/>
      <c r="C348" s="102"/>
      <c r="D348" s="102"/>
      <c r="E348" s="102"/>
      <c r="F348" s="102"/>
      <c r="G348" s="102"/>
      <c r="H348" s="102"/>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c r="BU348" s="64"/>
      <c r="BV348" s="64"/>
      <c r="BW348" s="64"/>
      <c r="BX348" s="64"/>
      <c r="BY348" s="64"/>
      <c r="BZ348" s="64"/>
      <c r="CA348" s="64"/>
      <c r="CB348" s="64"/>
      <c r="CC348" s="64"/>
      <c r="CD348" s="64"/>
      <c r="CE348" s="64"/>
      <c r="CF348" s="64"/>
      <c r="CG348" s="64"/>
      <c r="CH348" s="64"/>
      <c r="CI348" s="64"/>
      <c r="CJ348" s="64"/>
      <c r="CK348" s="64"/>
      <c r="CL348" s="64"/>
      <c r="CM348" s="64"/>
      <c r="CN348" s="64"/>
      <c r="CO348" s="64"/>
      <c r="CP348" s="64"/>
      <c r="CQ348" s="64"/>
      <c r="CR348" s="64"/>
      <c r="CS348" s="64"/>
      <c r="CT348" s="64"/>
      <c r="CU348" s="64"/>
      <c r="CV348" s="64"/>
      <c r="CW348" s="64"/>
      <c r="CX348" s="64"/>
    </row>
    <row r="349" spans="1:102" x14ac:dyDescent="0.2">
      <c r="A349" s="64"/>
      <c r="B349" s="64"/>
      <c r="C349" s="102"/>
      <c r="D349" s="102"/>
      <c r="E349" s="102"/>
      <c r="F349" s="102"/>
      <c r="G349" s="102"/>
      <c r="H349" s="102"/>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c r="BU349" s="64"/>
      <c r="BV349" s="64"/>
      <c r="BW349" s="64"/>
      <c r="BX349" s="64"/>
      <c r="BY349" s="64"/>
      <c r="BZ349" s="64"/>
      <c r="CA349" s="64"/>
      <c r="CB349" s="64"/>
      <c r="CC349" s="64"/>
      <c r="CD349" s="64"/>
      <c r="CE349" s="64"/>
      <c r="CF349" s="64"/>
      <c r="CG349" s="64"/>
      <c r="CH349" s="64"/>
      <c r="CI349" s="64"/>
      <c r="CJ349" s="64"/>
      <c r="CK349" s="64"/>
      <c r="CL349" s="64"/>
      <c r="CM349" s="64"/>
      <c r="CN349" s="64"/>
      <c r="CO349" s="64"/>
      <c r="CP349" s="64"/>
      <c r="CQ349" s="64"/>
      <c r="CR349" s="64"/>
      <c r="CS349" s="64"/>
      <c r="CT349" s="64"/>
      <c r="CU349" s="64"/>
      <c r="CV349" s="64"/>
      <c r="CW349" s="64"/>
      <c r="CX349" s="64"/>
    </row>
    <row r="350" spans="1:102" x14ac:dyDescent="0.2">
      <c r="A350" s="64"/>
      <c r="B350" s="64"/>
      <c r="C350" s="102"/>
      <c r="D350" s="102"/>
      <c r="E350" s="102"/>
      <c r="F350" s="102"/>
      <c r="G350" s="102"/>
      <c r="H350" s="102"/>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c r="BU350" s="64"/>
      <c r="BV350" s="64"/>
      <c r="BW350" s="64"/>
      <c r="BX350" s="64"/>
      <c r="BY350" s="64"/>
      <c r="BZ350" s="64"/>
      <c r="CA350" s="64"/>
      <c r="CB350" s="64"/>
      <c r="CC350" s="64"/>
      <c r="CD350" s="64"/>
      <c r="CE350" s="64"/>
      <c r="CF350" s="64"/>
      <c r="CG350" s="64"/>
      <c r="CH350" s="64"/>
      <c r="CI350" s="64"/>
      <c r="CJ350" s="64"/>
      <c r="CK350" s="64"/>
      <c r="CL350" s="64"/>
      <c r="CM350" s="64"/>
      <c r="CN350" s="64"/>
      <c r="CO350" s="64"/>
      <c r="CP350" s="64"/>
      <c r="CQ350" s="64"/>
      <c r="CR350" s="64"/>
      <c r="CS350" s="64"/>
      <c r="CT350" s="64"/>
      <c r="CU350" s="64"/>
      <c r="CV350" s="64"/>
      <c r="CW350" s="64"/>
      <c r="CX350" s="64"/>
    </row>
    <row r="351" spans="1:102" x14ac:dyDescent="0.2">
      <c r="A351" s="64"/>
      <c r="B351" s="64"/>
      <c r="C351" s="102"/>
      <c r="D351" s="102"/>
      <c r="E351" s="102"/>
      <c r="F351" s="102"/>
      <c r="G351" s="102"/>
      <c r="H351" s="102"/>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c r="BU351" s="64"/>
      <c r="BV351" s="64"/>
      <c r="BW351" s="64"/>
      <c r="BX351" s="64"/>
      <c r="BY351" s="64"/>
      <c r="BZ351" s="64"/>
      <c r="CA351" s="64"/>
      <c r="CB351" s="64"/>
      <c r="CC351" s="64"/>
      <c r="CD351" s="64"/>
      <c r="CE351" s="64"/>
      <c r="CF351" s="64"/>
      <c r="CG351" s="64"/>
      <c r="CH351" s="64"/>
      <c r="CI351" s="64"/>
      <c r="CJ351" s="64"/>
      <c r="CK351" s="64"/>
      <c r="CL351" s="64"/>
      <c r="CM351" s="64"/>
      <c r="CN351" s="64"/>
      <c r="CO351" s="64"/>
      <c r="CP351" s="64"/>
      <c r="CQ351" s="64"/>
      <c r="CR351" s="64"/>
      <c r="CS351" s="64"/>
      <c r="CT351" s="64"/>
      <c r="CU351" s="64"/>
      <c r="CV351" s="64"/>
      <c r="CW351" s="64"/>
      <c r="CX351" s="64"/>
    </row>
    <row r="352" spans="1:102" x14ac:dyDescent="0.2">
      <c r="A352" s="64"/>
      <c r="B352" s="64"/>
      <c r="C352" s="102"/>
      <c r="D352" s="102"/>
      <c r="E352" s="102"/>
      <c r="F352" s="102"/>
      <c r="G352" s="102"/>
      <c r="H352" s="102"/>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c r="BU352" s="64"/>
      <c r="BV352" s="64"/>
      <c r="BW352" s="64"/>
      <c r="BX352" s="64"/>
      <c r="BY352" s="64"/>
      <c r="BZ352" s="64"/>
      <c r="CA352" s="64"/>
      <c r="CB352" s="64"/>
      <c r="CC352" s="64"/>
      <c r="CD352" s="64"/>
      <c r="CE352" s="64"/>
      <c r="CF352" s="64"/>
      <c r="CG352" s="64"/>
      <c r="CH352" s="64"/>
      <c r="CI352" s="64"/>
      <c r="CJ352" s="64"/>
      <c r="CK352" s="64"/>
      <c r="CL352" s="64"/>
      <c r="CM352" s="64"/>
      <c r="CN352" s="64"/>
      <c r="CO352" s="64"/>
      <c r="CP352" s="64"/>
      <c r="CQ352" s="64"/>
      <c r="CR352" s="64"/>
      <c r="CS352" s="64"/>
      <c r="CT352" s="64"/>
      <c r="CU352" s="64"/>
      <c r="CV352" s="64"/>
      <c r="CW352" s="64"/>
      <c r="CX352" s="64"/>
    </row>
    <row r="353" spans="1:102" x14ac:dyDescent="0.2">
      <c r="A353" s="64"/>
      <c r="B353" s="64"/>
      <c r="C353" s="102"/>
      <c r="D353" s="102"/>
      <c r="E353" s="102"/>
      <c r="F353" s="102"/>
      <c r="G353" s="102"/>
      <c r="H353" s="102"/>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c r="BU353" s="64"/>
      <c r="BV353" s="64"/>
      <c r="BW353" s="64"/>
      <c r="BX353" s="64"/>
      <c r="BY353" s="64"/>
      <c r="BZ353" s="64"/>
      <c r="CA353" s="64"/>
      <c r="CB353" s="64"/>
      <c r="CC353" s="64"/>
      <c r="CD353" s="64"/>
      <c r="CE353" s="64"/>
      <c r="CF353" s="64"/>
      <c r="CG353" s="64"/>
      <c r="CH353" s="64"/>
      <c r="CI353" s="64"/>
      <c r="CJ353" s="64"/>
      <c r="CK353" s="64"/>
      <c r="CL353" s="64"/>
      <c r="CM353" s="64"/>
      <c r="CN353" s="64"/>
      <c r="CO353" s="64"/>
      <c r="CP353" s="64"/>
      <c r="CQ353" s="64"/>
      <c r="CR353" s="64"/>
      <c r="CS353" s="64"/>
      <c r="CT353" s="64"/>
      <c r="CU353" s="64"/>
      <c r="CV353" s="64"/>
      <c r="CW353" s="64"/>
      <c r="CX353" s="64"/>
    </row>
    <row r="354" spans="1:102" x14ac:dyDescent="0.2">
      <c r="A354" s="64"/>
      <c r="B354" s="64"/>
      <c r="C354" s="102"/>
      <c r="D354" s="102"/>
      <c r="E354" s="102"/>
      <c r="F354" s="102"/>
      <c r="G354" s="102"/>
      <c r="H354" s="102"/>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c r="BU354" s="64"/>
      <c r="BV354" s="64"/>
      <c r="BW354" s="64"/>
      <c r="BX354" s="64"/>
      <c r="BY354" s="64"/>
      <c r="BZ354" s="64"/>
      <c r="CA354" s="64"/>
      <c r="CB354" s="64"/>
      <c r="CC354" s="64"/>
      <c r="CD354" s="64"/>
      <c r="CE354" s="64"/>
      <c r="CF354" s="64"/>
      <c r="CG354" s="64"/>
      <c r="CH354" s="64"/>
      <c r="CI354" s="64"/>
      <c r="CJ354" s="64"/>
      <c r="CK354" s="64"/>
      <c r="CL354" s="64"/>
      <c r="CM354" s="64"/>
      <c r="CN354" s="64"/>
      <c r="CO354" s="64"/>
      <c r="CP354" s="64"/>
      <c r="CQ354" s="64"/>
      <c r="CR354" s="64"/>
      <c r="CS354" s="64"/>
      <c r="CT354" s="64"/>
      <c r="CU354" s="64"/>
      <c r="CV354" s="64"/>
      <c r="CW354" s="64"/>
      <c r="CX354" s="64"/>
    </row>
    <row r="355" spans="1:102" x14ac:dyDescent="0.2">
      <c r="A355" s="64"/>
      <c r="B355" s="64"/>
      <c r="C355" s="102"/>
      <c r="D355" s="102"/>
      <c r="E355" s="102"/>
      <c r="F355" s="102"/>
      <c r="G355" s="102"/>
      <c r="H355" s="102"/>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c r="BU355" s="64"/>
      <c r="BV355" s="64"/>
      <c r="BW355" s="64"/>
      <c r="BX355" s="64"/>
      <c r="BY355" s="64"/>
      <c r="BZ355" s="64"/>
      <c r="CA355" s="64"/>
      <c r="CB355" s="64"/>
      <c r="CC355" s="64"/>
      <c r="CD355" s="64"/>
      <c r="CE355" s="64"/>
      <c r="CF355" s="64"/>
      <c r="CG355" s="64"/>
      <c r="CH355" s="64"/>
      <c r="CI355" s="64"/>
      <c r="CJ355" s="64"/>
      <c r="CK355" s="64"/>
      <c r="CL355" s="64"/>
      <c r="CM355" s="64"/>
      <c r="CN355" s="64"/>
      <c r="CO355" s="64"/>
      <c r="CP355" s="64"/>
      <c r="CQ355" s="64"/>
      <c r="CR355" s="64"/>
      <c r="CS355" s="64"/>
      <c r="CT355" s="64"/>
      <c r="CU355" s="64"/>
      <c r="CV355" s="64"/>
      <c r="CW355" s="64"/>
      <c r="CX355" s="64"/>
    </row>
    <row r="356" spans="1:102" x14ac:dyDescent="0.2">
      <c r="A356" s="64"/>
      <c r="B356" s="64"/>
      <c r="C356" s="102"/>
      <c r="D356" s="102"/>
      <c r="E356" s="102"/>
      <c r="F356" s="102"/>
      <c r="G356" s="102"/>
      <c r="H356" s="102"/>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c r="BU356" s="64"/>
      <c r="BV356" s="64"/>
      <c r="BW356" s="64"/>
      <c r="BX356" s="64"/>
      <c r="BY356" s="64"/>
      <c r="BZ356" s="64"/>
      <c r="CA356" s="64"/>
      <c r="CB356" s="64"/>
      <c r="CC356" s="64"/>
      <c r="CD356" s="64"/>
      <c r="CE356" s="64"/>
      <c r="CF356" s="64"/>
      <c r="CG356" s="64"/>
      <c r="CH356" s="64"/>
      <c r="CI356" s="64"/>
      <c r="CJ356" s="64"/>
      <c r="CK356" s="64"/>
      <c r="CL356" s="64"/>
      <c r="CM356" s="64"/>
      <c r="CN356" s="64"/>
      <c r="CO356" s="64"/>
      <c r="CP356" s="64"/>
      <c r="CQ356" s="64"/>
      <c r="CR356" s="64"/>
      <c r="CS356" s="64"/>
      <c r="CT356" s="64"/>
      <c r="CU356" s="64"/>
      <c r="CV356" s="64"/>
      <c r="CW356" s="64"/>
      <c r="CX356" s="64"/>
    </row>
    <row r="357" spans="1:102" x14ac:dyDescent="0.2">
      <c r="A357" s="64"/>
      <c r="B357" s="64"/>
      <c r="C357" s="102"/>
      <c r="D357" s="102"/>
      <c r="E357" s="102"/>
      <c r="F357" s="102"/>
      <c r="G357" s="102"/>
      <c r="H357" s="102"/>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c r="BU357" s="64"/>
      <c r="BV357" s="64"/>
      <c r="BW357" s="64"/>
      <c r="BX357" s="64"/>
      <c r="BY357" s="64"/>
      <c r="BZ357" s="64"/>
      <c r="CA357" s="64"/>
      <c r="CB357" s="64"/>
      <c r="CC357" s="64"/>
      <c r="CD357" s="64"/>
      <c r="CE357" s="64"/>
      <c r="CF357" s="64"/>
      <c r="CG357" s="64"/>
      <c r="CH357" s="64"/>
      <c r="CI357" s="64"/>
      <c r="CJ357" s="64"/>
      <c r="CK357" s="64"/>
      <c r="CL357" s="64"/>
      <c r="CM357" s="64"/>
      <c r="CN357" s="64"/>
      <c r="CO357" s="64"/>
      <c r="CP357" s="64"/>
      <c r="CQ357" s="64"/>
      <c r="CR357" s="64"/>
      <c r="CS357" s="64"/>
      <c r="CT357" s="64"/>
      <c r="CU357" s="64"/>
      <c r="CV357" s="64"/>
      <c r="CW357" s="64"/>
      <c r="CX357" s="64"/>
    </row>
    <row r="358" spans="1:102" x14ac:dyDescent="0.2">
      <c r="A358" s="64"/>
      <c r="B358" s="64"/>
      <c r="C358" s="102"/>
      <c r="D358" s="102"/>
      <c r="E358" s="102"/>
      <c r="F358" s="102"/>
      <c r="G358" s="102"/>
      <c r="H358" s="102"/>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c r="BU358" s="64"/>
      <c r="BV358" s="64"/>
      <c r="BW358" s="64"/>
      <c r="BX358" s="64"/>
      <c r="BY358" s="64"/>
      <c r="BZ358" s="64"/>
      <c r="CA358" s="64"/>
      <c r="CB358" s="64"/>
      <c r="CC358" s="64"/>
      <c r="CD358" s="64"/>
      <c r="CE358" s="64"/>
      <c r="CF358" s="64"/>
      <c r="CG358" s="64"/>
      <c r="CH358" s="64"/>
      <c r="CI358" s="64"/>
      <c r="CJ358" s="64"/>
      <c r="CK358" s="64"/>
      <c r="CL358" s="64"/>
      <c r="CM358" s="64"/>
      <c r="CN358" s="64"/>
      <c r="CO358" s="64"/>
      <c r="CP358" s="64"/>
      <c r="CQ358" s="64"/>
      <c r="CR358" s="64"/>
      <c r="CS358" s="64"/>
      <c r="CT358" s="64"/>
      <c r="CU358" s="64"/>
      <c r="CV358" s="64"/>
      <c r="CW358" s="64"/>
      <c r="CX358" s="64"/>
    </row>
    <row r="359" spans="1:102" x14ac:dyDescent="0.2">
      <c r="A359" s="64"/>
      <c r="B359" s="64"/>
      <c r="C359" s="102"/>
      <c r="D359" s="102"/>
      <c r="E359" s="102"/>
      <c r="F359" s="102"/>
      <c r="G359" s="102"/>
      <c r="H359" s="102"/>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c r="BU359" s="64"/>
      <c r="BV359" s="64"/>
      <c r="BW359" s="64"/>
      <c r="BX359" s="64"/>
      <c r="BY359" s="64"/>
      <c r="BZ359" s="64"/>
      <c r="CA359" s="64"/>
      <c r="CB359" s="64"/>
      <c r="CC359" s="64"/>
      <c r="CD359" s="64"/>
      <c r="CE359" s="64"/>
      <c r="CF359" s="64"/>
      <c r="CG359" s="64"/>
      <c r="CH359" s="64"/>
      <c r="CI359" s="64"/>
      <c r="CJ359" s="64"/>
      <c r="CK359" s="64"/>
      <c r="CL359" s="64"/>
      <c r="CM359" s="64"/>
      <c r="CN359" s="64"/>
      <c r="CO359" s="64"/>
      <c r="CP359" s="64"/>
      <c r="CQ359" s="64"/>
      <c r="CR359" s="64"/>
      <c r="CS359" s="64"/>
      <c r="CT359" s="64"/>
      <c r="CU359" s="64"/>
      <c r="CV359" s="64"/>
      <c r="CW359" s="64"/>
      <c r="CX359" s="64"/>
    </row>
    <row r="360" spans="1:102" x14ac:dyDescent="0.2">
      <c r="A360" s="64"/>
      <c r="B360" s="64"/>
      <c r="C360" s="102"/>
      <c r="D360" s="102"/>
      <c r="E360" s="102"/>
      <c r="F360" s="102"/>
      <c r="G360" s="102"/>
      <c r="H360" s="102"/>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c r="BU360" s="64"/>
      <c r="BV360" s="64"/>
      <c r="BW360" s="64"/>
      <c r="BX360" s="64"/>
      <c r="BY360" s="64"/>
      <c r="BZ360" s="64"/>
      <c r="CA360" s="64"/>
      <c r="CB360" s="64"/>
      <c r="CC360" s="64"/>
      <c r="CD360" s="64"/>
      <c r="CE360" s="64"/>
      <c r="CF360" s="64"/>
      <c r="CG360" s="64"/>
      <c r="CH360" s="64"/>
      <c r="CI360" s="64"/>
      <c r="CJ360" s="64"/>
      <c r="CK360" s="64"/>
      <c r="CL360" s="64"/>
      <c r="CM360" s="64"/>
      <c r="CN360" s="64"/>
      <c r="CO360" s="64"/>
      <c r="CP360" s="64"/>
      <c r="CQ360" s="64"/>
      <c r="CR360" s="64"/>
      <c r="CS360" s="64"/>
      <c r="CT360" s="64"/>
      <c r="CU360" s="64"/>
      <c r="CV360" s="64"/>
      <c r="CW360" s="64"/>
      <c r="CX360" s="64"/>
    </row>
    <row r="361" spans="1:102" x14ac:dyDescent="0.2">
      <c r="A361" s="64"/>
      <c r="B361" s="64"/>
      <c r="C361" s="102"/>
      <c r="D361" s="102"/>
      <c r="E361" s="102"/>
      <c r="F361" s="102"/>
      <c r="G361" s="102"/>
      <c r="H361" s="102"/>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c r="BU361" s="64"/>
      <c r="BV361" s="64"/>
      <c r="BW361" s="64"/>
      <c r="BX361" s="64"/>
      <c r="BY361" s="64"/>
      <c r="BZ361" s="64"/>
      <c r="CA361" s="64"/>
      <c r="CB361" s="64"/>
      <c r="CC361" s="64"/>
      <c r="CD361" s="64"/>
      <c r="CE361" s="64"/>
      <c r="CF361" s="64"/>
      <c r="CG361" s="64"/>
      <c r="CH361" s="64"/>
      <c r="CI361" s="64"/>
      <c r="CJ361" s="64"/>
      <c r="CK361" s="64"/>
      <c r="CL361" s="64"/>
      <c r="CM361" s="64"/>
      <c r="CN361" s="64"/>
      <c r="CO361" s="64"/>
      <c r="CP361" s="64"/>
      <c r="CQ361" s="64"/>
      <c r="CR361" s="64"/>
      <c r="CS361" s="64"/>
      <c r="CT361" s="64"/>
      <c r="CU361" s="64"/>
      <c r="CV361" s="64"/>
      <c r="CW361" s="64"/>
      <c r="CX361" s="64"/>
    </row>
    <row r="362" spans="1:102" x14ac:dyDescent="0.2">
      <c r="A362" s="64"/>
      <c r="B362" s="64"/>
      <c r="C362" s="102"/>
      <c r="D362" s="102"/>
      <c r="E362" s="102"/>
      <c r="F362" s="102"/>
      <c r="G362" s="102"/>
      <c r="H362" s="102"/>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c r="BU362" s="64"/>
      <c r="BV362" s="64"/>
      <c r="BW362" s="64"/>
      <c r="BX362" s="64"/>
      <c r="BY362" s="64"/>
      <c r="BZ362" s="64"/>
      <c r="CA362" s="64"/>
      <c r="CB362" s="64"/>
      <c r="CC362" s="64"/>
      <c r="CD362" s="64"/>
      <c r="CE362" s="64"/>
      <c r="CF362" s="64"/>
      <c r="CG362" s="64"/>
      <c r="CH362" s="64"/>
      <c r="CI362" s="64"/>
      <c r="CJ362" s="64"/>
      <c r="CK362" s="64"/>
      <c r="CL362" s="64"/>
      <c r="CM362" s="64"/>
      <c r="CN362" s="64"/>
      <c r="CO362" s="64"/>
      <c r="CP362" s="64"/>
      <c r="CQ362" s="64"/>
      <c r="CR362" s="64"/>
      <c r="CS362" s="64"/>
      <c r="CT362" s="64"/>
      <c r="CU362" s="64"/>
      <c r="CV362" s="64"/>
      <c r="CW362" s="64"/>
      <c r="CX362" s="64"/>
    </row>
    <row r="363" spans="1:102" x14ac:dyDescent="0.2">
      <c r="A363" s="64"/>
      <c r="B363" s="64"/>
      <c r="C363" s="102"/>
      <c r="D363" s="102"/>
      <c r="E363" s="102"/>
      <c r="F363" s="102"/>
      <c r="G363" s="102"/>
      <c r="H363" s="102"/>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c r="BU363" s="64"/>
      <c r="BV363" s="64"/>
      <c r="BW363" s="64"/>
      <c r="BX363" s="64"/>
      <c r="BY363" s="64"/>
      <c r="BZ363" s="64"/>
      <c r="CA363" s="64"/>
      <c r="CB363" s="64"/>
      <c r="CC363" s="64"/>
      <c r="CD363" s="64"/>
      <c r="CE363" s="64"/>
      <c r="CF363" s="64"/>
      <c r="CG363" s="64"/>
      <c r="CH363" s="64"/>
      <c r="CI363" s="64"/>
      <c r="CJ363" s="64"/>
      <c r="CK363" s="64"/>
      <c r="CL363" s="64"/>
      <c r="CM363" s="64"/>
      <c r="CN363" s="64"/>
      <c r="CO363" s="64"/>
      <c r="CP363" s="64"/>
      <c r="CQ363" s="64"/>
      <c r="CR363" s="64"/>
      <c r="CS363" s="64"/>
      <c r="CT363" s="64"/>
      <c r="CU363" s="64"/>
      <c r="CV363" s="64"/>
      <c r="CW363" s="64"/>
      <c r="CX363" s="64"/>
    </row>
    <row r="364" spans="1:102" x14ac:dyDescent="0.2">
      <c r="A364" s="64"/>
      <c r="B364" s="64"/>
      <c r="C364" s="102"/>
      <c r="D364" s="102"/>
      <c r="E364" s="102"/>
      <c r="F364" s="102"/>
      <c r="G364" s="102"/>
      <c r="H364" s="102"/>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c r="BU364" s="64"/>
      <c r="BV364" s="64"/>
      <c r="BW364" s="64"/>
      <c r="BX364" s="64"/>
      <c r="BY364" s="64"/>
      <c r="BZ364" s="64"/>
      <c r="CA364" s="64"/>
      <c r="CB364" s="64"/>
      <c r="CC364" s="64"/>
      <c r="CD364" s="64"/>
      <c r="CE364" s="64"/>
      <c r="CF364" s="64"/>
      <c r="CG364" s="64"/>
      <c r="CH364" s="64"/>
      <c r="CI364" s="64"/>
      <c r="CJ364" s="64"/>
      <c r="CK364" s="64"/>
      <c r="CL364" s="64"/>
      <c r="CM364" s="64"/>
      <c r="CN364" s="64"/>
      <c r="CO364" s="64"/>
      <c r="CP364" s="64"/>
      <c r="CQ364" s="64"/>
      <c r="CR364" s="64"/>
      <c r="CS364" s="64"/>
      <c r="CT364" s="64"/>
      <c r="CU364" s="64"/>
      <c r="CV364" s="64"/>
      <c r="CW364" s="64"/>
      <c r="CX364" s="64"/>
    </row>
    <row r="365" spans="1:102" x14ac:dyDescent="0.2">
      <c r="A365" s="64"/>
      <c r="B365" s="64"/>
      <c r="C365" s="102"/>
      <c r="D365" s="102"/>
      <c r="E365" s="102"/>
      <c r="F365" s="102"/>
      <c r="G365" s="102"/>
      <c r="H365" s="102"/>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c r="BU365" s="64"/>
      <c r="BV365" s="64"/>
      <c r="BW365" s="64"/>
      <c r="BX365" s="64"/>
      <c r="BY365" s="64"/>
      <c r="BZ365" s="64"/>
      <c r="CA365" s="64"/>
      <c r="CB365" s="64"/>
      <c r="CC365" s="64"/>
      <c r="CD365" s="64"/>
      <c r="CE365" s="64"/>
      <c r="CF365" s="64"/>
      <c r="CG365" s="64"/>
      <c r="CH365" s="64"/>
      <c r="CI365" s="64"/>
      <c r="CJ365" s="64"/>
      <c r="CK365" s="64"/>
      <c r="CL365" s="64"/>
      <c r="CM365" s="64"/>
      <c r="CN365" s="64"/>
      <c r="CO365" s="64"/>
      <c r="CP365" s="64"/>
      <c r="CQ365" s="64"/>
      <c r="CR365" s="64"/>
      <c r="CS365" s="64"/>
      <c r="CT365" s="64"/>
      <c r="CU365" s="64"/>
      <c r="CV365" s="64"/>
      <c r="CW365" s="64"/>
      <c r="CX365" s="64"/>
    </row>
    <row r="366" spans="1:102" x14ac:dyDescent="0.2">
      <c r="A366" s="64"/>
      <c r="B366" s="64"/>
      <c r="C366" s="102"/>
      <c r="D366" s="102"/>
      <c r="E366" s="102"/>
      <c r="F366" s="102"/>
      <c r="G366" s="102"/>
      <c r="H366" s="102"/>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c r="BU366" s="64"/>
      <c r="BV366" s="64"/>
      <c r="BW366" s="64"/>
      <c r="BX366" s="64"/>
      <c r="BY366" s="64"/>
      <c r="BZ366" s="64"/>
      <c r="CA366" s="64"/>
      <c r="CB366" s="64"/>
      <c r="CC366" s="64"/>
      <c r="CD366" s="64"/>
      <c r="CE366" s="64"/>
      <c r="CF366" s="64"/>
      <c r="CG366" s="64"/>
      <c r="CH366" s="64"/>
      <c r="CI366" s="64"/>
      <c r="CJ366" s="64"/>
      <c r="CK366" s="64"/>
      <c r="CL366" s="64"/>
      <c r="CM366" s="64"/>
      <c r="CN366" s="64"/>
      <c r="CO366" s="64"/>
      <c r="CP366" s="64"/>
      <c r="CQ366" s="64"/>
      <c r="CR366" s="64"/>
      <c r="CS366" s="64"/>
      <c r="CT366" s="64"/>
      <c r="CU366" s="64"/>
      <c r="CV366" s="64"/>
      <c r="CW366" s="64"/>
      <c r="CX366" s="64"/>
    </row>
    <row r="367" spans="1:102" x14ac:dyDescent="0.2">
      <c r="A367" s="64"/>
      <c r="B367" s="64"/>
      <c r="C367" s="102"/>
      <c r="D367" s="102"/>
      <c r="E367" s="102"/>
      <c r="F367" s="102"/>
      <c r="G367" s="102"/>
      <c r="H367" s="102"/>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c r="BU367" s="64"/>
      <c r="BV367" s="64"/>
      <c r="BW367" s="64"/>
      <c r="BX367" s="64"/>
      <c r="BY367" s="64"/>
      <c r="BZ367" s="64"/>
      <c r="CA367" s="64"/>
      <c r="CB367" s="64"/>
      <c r="CC367" s="64"/>
      <c r="CD367" s="64"/>
      <c r="CE367" s="64"/>
      <c r="CF367" s="64"/>
      <c r="CG367" s="64"/>
      <c r="CH367" s="64"/>
      <c r="CI367" s="64"/>
      <c r="CJ367" s="64"/>
      <c r="CK367" s="64"/>
      <c r="CL367" s="64"/>
      <c r="CM367" s="64"/>
      <c r="CN367" s="64"/>
      <c r="CO367" s="64"/>
      <c r="CP367" s="64"/>
      <c r="CQ367" s="64"/>
      <c r="CR367" s="64"/>
      <c r="CS367" s="64"/>
      <c r="CT367" s="64"/>
      <c r="CU367" s="64"/>
      <c r="CV367" s="64"/>
      <c r="CW367" s="64"/>
      <c r="CX367" s="64"/>
    </row>
    <row r="368" spans="1:102" x14ac:dyDescent="0.2">
      <c r="A368" s="64"/>
      <c r="B368" s="64"/>
      <c r="C368" s="102"/>
      <c r="D368" s="102"/>
      <c r="E368" s="102"/>
      <c r="F368" s="102"/>
      <c r="G368" s="102"/>
      <c r="H368" s="102"/>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c r="BU368" s="64"/>
      <c r="BV368" s="64"/>
      <c r="BW368" s="64"/>
      <c r="BX368" s="64"/>
      <c r="BY368" s="64"/>
      <c r="BZ368" s="64"/>
      <c r="CA368" s="64"/>
      <c r="CB368" s="64"/>
      <c r="CC368" s="64"/>
      <c r="CD368" s="64"/>
      <c r="CE368" s="64"/>
      <c r="CF368" s="64"/>
      <c r="CG368" s="64"/>
      <c r="CH368" s="64"/>
      <c r="CI368" s="64"/>
      <c r="CJ368" s="64"/>
      <c r="CK368" s="64"/>
      <c r="CL368" s="64"/>
      <c r="CM368" s="64"/>
      <c r="CN368" s="64"/>
      <c r="CO368" s="64"/>
      <c r="CP368" s="64"/>
      <c r="CQ368" s="64"/>
      <c r="CR368" s="64"/>
      <c r="CS368" s="64"/>
      <c r="CT368" s="64"/>
      <c r="CU368" s="64"/>
      <c r="CV368" s="64"/>
      <c r="CW368" s="64"/>
      <c r="CX368" s="64"/>
    </row>
    <row r="369" spans="1:102" x14ac:dyDescent="0.2">
      <c r="A369" s="64"/>
      <c r="B369" s="64"/>
      <c r="C369" s="102"/>
      <c r="D369" s="102"/>
      <c r="E369" s="102"/>
      <c r="F369" s="102"/>
      <c r="G369" s="102"/>
      <c r="H369" s="102"/>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c r="BU369" s="64"/>
      <c r="BV369" s="64"/>
      <c r="BW369" s="64"/>
      <c r="BX369" s="64"/>
      <c r="BY369" s="64"/>
      <c r="BZ369" s="64"/>
      <c r="CA369" s="64"/>
      <c r="CB369" s="64"/>
      <c r="CC369" s="64"/>
      <c r="CD369" s="64"/>
      <c r="CE369" s="64"/>
      <c r="CF369" s="64"/>
      <c r="CG369" s="64"/>
      <c r="CH369" s="64"/>
      <c r="CI369" s="64"/>
      <c r="CJ369" s="64"/>
      <c r="CK369" s="64"/>
      <c r="CL369" s="64"/>
      <c r="CM369" s="64"/>
      <c r="CN369" s="64"/>
      <c r="CO369" s="64"/>
      <c r="CP369" s="64"/>
      <c r="CQ369" s="64"/>
      <c r="CR369" s="64"/>
      <c r="CS369" s="64"/>
      <c r="CT369" s="64"/>
      <c r="CU369" s="64"/>
      <c r="CV369" s="64"/>
      <c r="CW369" s="64"/>
      <c r="CX369" s="64"/>
    </row>
    <row r="370" spans="1:102" x14ac:dyDescent="0.2">
      <c r="A370" s="64"/>
      <c r="B370" s="64"/>
      <c r="C370" s="102"/>
      <c r="D370" s="102"/>
      <c r="E370" s="102"/>
      <c r="F370" s="102"/>
      <c r="G370" s="102"/>
      <c r="H370" s="102"/>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c r="BU370" s="64"/>
      <c r="BV370" s="64"/>
      <c r="BW370" s="64"/>
      <c r="BX370" s="64"/>
      <c r="BY370" s="64"/>
      <c r="BZ370" s="64"/>
      <c r="CA370" s="64"/>
      <c r="CB370" s="64"/>
      <c r="CC370" s="64"/>
      <c r="CD370" s="64"/>
      <c r="CE370" s="64"/>
      <c r="CF370" s="64"/>
      <c r="CG370" s="64"/>
      <c r="CH370" s="64"/>
      <c r="CI370" s="64"/>
      <c r="CJ370" s="64"/>
      <c r="CK370" s="64"/>
      <c r="CL370" s="64"/>
      <c r="CM370" s="64"/>
      <c r="CN370" s="64"/>
      <c r="CO370" s="64"/>
      <c r="CP370" s="64"/>
      <c r="CQ370" s="64"/>
      <c r="CR370" s="64"/>
      <c r="CS370" s="64"/>
      <c r="CT370" s="64"/>
      <c r="CU370" s="64"/>
      <c r="CV370" s="64"/>
      <c r="CW370" s="64"/>
      <c r="CX370" s="64"/>
    </row>
    <row r="371" spans="1:102" x14ac:dyDescent="0.2">
      <c r="A371" s="64"/>
      <c r="B371" s="64"/>
      <c r="C371" s="102"/>
      <c r="D371" s="102"/>
      <c r="E371" s="102"/>
      <c r="F371" s="102"/>
      <c r="G371" s="102"/>
      <c r="H371" s="102"/>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c r="BU371" s="64"/>
      <c r="BV371" s="64"/>
      <c r="BW371" s="64"/>
      <c r="BX371" s="64"/>
      <c r="BY371" s="64"/>
      <c r="BZ371" s="64"/>
      <c r="CA371" s="64"/>
      <c r="CB371" s="64"/>
      <c r="CC371" s="64"/>
      <c r="CD371" s="64"/>
      <c r="CE371" s="64"/>
      <c r="CF371" s="64"/>
      <c r="CG371" s="64"/>
      <c r="CH371" s="64"/>
      <c r="CI371" s="64"/>
      <c r="CJ371" s="64"/>
      <c r="CK371" s="64"/>
      <c r="CL371" s="64"/>
      <c r="CM371" s="64"/>
      <c r="CN371" s="64"/>
      <c r="CO371" s="64"/>
      <c r="CP371" s="64"/>
      <c r="CQ371" s="64"/>
      <c r="CR371" s="64"/>
      <c r="CS371" s="64"/>
      <c r="CT371" s="64"/>
      <c r="CU371" s="64"/>
      <c r="CV371" s="64"/>
      <c r="CW371" s="64"/>
      <c r="CX371" s="64"/>
    </row>
    <row r="372" spans="1:102" x14ac:dyDescent="0.2">
      <c r="A372" s="64"/>
      <c r="B372" s="64"/>
      <c r="C372" s="102"/>
      <c r="D372" s="102"/>
      <c r="E372" s="102"/>
      <c r="F372" s="102"/>
      <c r="G372" s="102"/>
      <c r="H372" s="102"/>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c r="BU372" s="64"/>
      <c r="BV372" s="64"/>
      <c r="BW372" s="64"/>
      <c r="BX372" s="64"/>
      <c r="BY372" s="64"/>
      <c r="BZ372" s="64"/>
      <c r="CA372" s="64"/>
      <c r="CB372" s="64"/>
      <c r="CC372" s="64"/>
      <c r="CD372" s="64"/>
      <c r="CE372" s="64"/>
      <c r="CF372" s="64"/>
      <c r="CG372" s="64"/>
      <c r="CH372" s="64"/>
      <c r="CI372" s="64"/>
      <c r="CJ372" s="64"/>
      <c r="CK372" s="64"/>
      <c r="CL372" s="64"/>
      <c r="CM372" s="64"/>
      <c r="CN372" s="64"/>
      <c r="CO372" s="64"/>
      <c r="CP372" s="64"/>
      <c r="CQ372" s="64"/>
      <c r="CR372" s="64"/>
      <c r="CS372" s="64"/>
      <c r="CT372" s="64"/>
      <c r="CU372" s="64"/>
      <c r="CV372" s="64"/>
      <c r="CW372" s="64"/>
      <c r="CX372" s="64"/>
    </row>
    <row r="373" spans="1:102" x14ac:dyDescent="0.2">
      <c r="A373" s="64"/>
      <c r="B373" s="64"/>
      <c r="C373" s="102"/>
      <c r="D373" s="102"/>
      <c r="E373" s="102"/>
      <c r="F373" s="102"/>
      <c r="G373" s="102"/>
      <c r="H373" s="102"/>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c r="BU373" s="64"/>
      <c r="BV373" s="64"/>
      <c r="BW373" s="64"/>
      <c r="BX373" s="64"/>
      <c r="BY373" s="64"/>
      <c r="BZ373" s="64"/>
      <c r="CA373" s="64"/>
      <c r="CB373" s="64"/>
      <c r="CC373" s="64"/>
      <c r="CD373" s="64"/>
      <c r="CE373" s="64"/>
      <c r="CF373" s="64"/>
      <c r="CG373" s="64"/>
      <c r="CH373" s="64"/>
      <c r="CI373" s="64"/>
      <c r="CJ373" s="64"/>
      <c r="CK373" s="64"/>
      <c r="CL373" s="64"/>
      <c r="CM373" s="64"/>
      <c r="CN373" s="64"/>
      <c r="CO373" s="64"/>
      <c r="CP373" s="64"/>
      <c r="CQ373" s="64"/>
      <c r="CR373" s="64"/>
      <c r="CS373" s="64"/>
      <c r="CT373" s="64"/>
      <c r="CU373" s="64"/>
      <c r="CV373" s="64"/>
      <c r="CW373" s="64"/>
      <c r="CX373" s="64"/>
    </row>
    <row r="374" spans="1:102" x14ac:dyDescent="0.2">
      <c r="A374" s="64"/>
      <c r="B374" s="64"/>
      <c r="C374" s="102"/>
      <c r="D374" s="102"/>
      <c r="E374" s="102"/>
      <c r="F374" s="102"/>
      <c r="G374" s="102"/>
      <c r="H374" s="102"/>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c r="BU374" s="64"/>
      <c r="BV374" s="64"/>
      <c r="BW374" s="64"/>
      <c r="BX374" s="64"/>
      <c r="BY374" s="64"/>
      <c r="BZ374" s="64"/>
      <c r="CA374" s="64"/>
      <c r="CB374" s="64"/>
      <c r="CC374" s="64"/>
      <c r="CD374" s="64"/>
      <c r="CE374" s="64"/>
      <c r="CF374" s="64"/>
      <c r="CG374" s="64"/>
      <c r="CH374" s="64"/>
      <c r="CI374" s="64"/>
      <c r="CJ374" s="64"/>
      <c r="CK374" s="64"/>
      <c r="CL374" s="64"/>
      <c r="CM374" s="64"/>
      <c r="CN374" s="64"/>
      <c r="CO374" s="64"/>
      <c r="CP374" s="64"/>
      <c r="CQ374" s="64"/>
      <c r="CR374" s="64"/>
      <c r="CS374" s="64"/>
      <c r="CT374" s="64"/>
      <c r="CU374" s="64"/>
      <c r="CV374" s="64"/>
      <c r="CW374" s="64"/>
      <c r="CX374" s="64"/>
    </row>
    <row r="375" spans="1:102" x14ac:dyDescent="0.2">
      <c r="A375" s="64"/>
      <c r="B375" s="64"/>
      <c r="C375" s="102"/>
      <c r="D375" s="102"/>
      <c r="E375" s="102"/>
      <c r="F375" s="102"/>
      <c r="G375" s="102"/>
      <c r="H375" s="102"/>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c r="BU375" s="64"/>
      <c r="BV375" s="64"/>
      <c r="BW375" s="64"/>
      <c r="BX375" s="64"/>
      <c r="BY375" s="64"/>
      <c r="BZ375" s="64"/>
      <c r="CA375" s="64"/>
      <c r="CB375" s="64"/>
      <c r="CC375" s="64"/>
      <c r="CD375" s="64"/>
      <c r="CE375" s="64"/>
      <c r="CF375" s="64"/>
      <c r="CG375" s="64"/>
      <c r="CH375" s="64"/>
      <c r="CI375" s="64"/>
      <c r="CJ375" s="64"/>
      <c r="CK375" s="64"/>
      <c r="CL375" s="64"/>
      <c r="CM375" s="64"/>
      <c r="CN375" s="64"/>
      <c r="CO375" s="64"/>
      <c r="CP375" s="64"/>
      <c r="CQ375" s="64"/>
      <c r="CR375" s="64"/>
      <c r="CS375" s="64"/>
      <c r="CT375" s="64"/>
      <c r="CU375" s="64"/>
      <c r="CV375" s="64"/>
      <c r="CW375" s="64"/>
      <c r="CX375" s="64"/>
    </row>
    <row r="376" spans="1:102" x14ac:dyDescent="0.2">
      <c r="A376" s="64"/>
      <c r="B376" s="64"/>
      <c r="C376" s="102"/>
      <c r="D376" s="102"/>
      <c r="E376" s="102"/>
      <c r="F376" s="102"/>
      <c r="G376" s="102"/>
      <c r="H376" s="102"/>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c r="BU376" s="64"/>
      <c r="BV376" s="64"/>
      <c r="BW376" s="64"/>
      <c r="BX376" s="64"/>
      <c r="BY376" s="64"/>
      <c r="BZ376" s="64"/>
      <c r="CA376" s="64"/>
      <c r="CB376" s="64"/>
      <c r="CC376" s="64"/>
      <c r="CD376" s="64"/>
      <c r="CE376" s="64"/>
      <c r="CF376" s="64"/>
      <c r="CG376" s="64"/>
      <c r="CH376" s="64"/>
      <c r="CI376" s="64"/>
      <c r="CJ376" s="64"/>
      <c r="CK376" s="64"/>
      <c r="CL376" s="64"/>
      <c r="CM376" s="64"/>
      <c r="CN376" s="64"/>
      <c r="CO376" s="64"/>
      <c r="CP376" s="64"/>
      <c r="CQ376" s="64"/>
      <c r="CR376" s="64"/>
      <c r="CS376" s="64"/>
      <c r="CT376" s="64"/>
      <c r="CU376" s="64"/>
      <c r="CV376" s="64"/>
      <c r="CW376" s="64"/>
      <c r="CX376" s="64"/>
    </row>
    <row r="377" spans="1:102" x14ac:dyDescent="0.2">
      <c r="A377" s="64"/>
      <c r="B377" s="64"/>
      <c r="C377" s="102"/>
      <c r="D377" s="102"/>
      <c r="E377" s="102"/>
      <c r="F377" s="102"/>
      <c r="G377" s="102"/>
      <c r="H377" s="102"/>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c r="BU377" s="64"/>
      <c r="BV377" s="64"/>
      <c r="BW377" s="64"/>
      <c r="BX377" s="64"/>
      <c r="BY377" s="64"/>
      <c r="BZ377" s="64"/>
      <c r="CA377" s="64"/>
      <c r="CB377" s="64"/>
      <c r="CC377" s="64"/>
      <c r="CD377" s="64"/>
      <c r="CE377" s="64"/>
      <c r="CF377" s="64"/>
      <c r="CG377" s="64"/>
      <c r="CH377" s="64"/>
      <c r="CI377" s="64"/>
      <c r="CJ377" s="64"/>
      <c r="CK377" s="64"/>
      <c r="CL377" s="64"/>
      <c r="CM377" s="64"/>
      <c r="CN377" s="64"/>
      <c r="CO377" s="64"/>
      <c r="CP377" s="64"/>
      <c r="CQ377" s="64"/>
      <c r="CR377" s="64"/>
      <c r="CS377" s="64"/>
      <c r="CT377" s="64"/>
      <c r="CU377" s="64"/>
      <c r="CV377" s="64"/>
      <c r="CW377" s="64"/>
      <c r="CX377" s="64"/>
    </row>
    <row r="378" spans="1:102" x14ac:dyDescent="0.2">
      <c r="A378" s="64"/>
      <c r="B378" s="64"/>
      <c r="C378" s="102"/>
      <c r="D378" s="102"/>
      <c r="E378" s="102"/>
      <c r="F378" s="102"/>
      <c r="G378" s="102"/>
      <c r="H378" s="102"/>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c r="BU378" s="64"/>
      <c r="BV378" s="64"/>
      <c r="BW378" s="64"/>
      <c r="BX378" s="64"/>
      <c r="BY378" s="64"/>
      <c r="BZ378" s="64"/>
      <c r="CA378" s="64"/>
      <c r="CB378" s="64"/>
      <c r="CC378" s="64"/>
      <c r="CD378" s="64"/>
      <c r="CE378" s="64"/>
      <c r="CF378" s="64"/>
      <c r="CG378" s="64"/>
      <c r="CH378" s="64"/>
      <c r="CI378" s="64"/>
      <c r="CJ378" s="64"/>
      <c r="CK378" s="64"/>
      <c r="CL378" s="64"/>
      <c r="CM378" s="64"/>
      <c r="CN378" s="64"/>
      <c r="CO378" s="64"/>
      <c r="CP378" s="64"/>
      <c r="CQ378" s="64"/>
      <c r="CR378" s="64"/>
      <c r="CS378" s="64"/>
      <c r="CT378" s="64"/>
      <c r="CU378" s="64"/>
      <c r="CV378" s="64"/>
      <c r="CW378" s="64"/>
      <c r="CX378" s="64"/>
    </row>
    <row r="379" spans="1:102" x14ac:dyDescent="0.2">
      <c r="A379" s="64"/>
      <c r="B379" s="64"/>
      <c r="C379" s="102"/>
      <c r="D379" s="102"/>
      <c r="E379" s="102"/>
      <c r="F379" s="102"/>
      <c r="G379" s="102"/>
      <c r="H379" s="102"/>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c r="BU379" s="64"/>
      <c r="BV379" s="64"/>
      <c r="BW379" s="64"/>
      <c r="BX379" s="64"/>
      <c r="BY379" s="64"/>
      <c r="BZ379" s="64"/>
      <c r="CA379" s="64"/>
      <c r="CB379" s="64"/>
      <c r="CC379" s="64"/>
      <c r="CD379" s="64"/>
      <c r="CE379" s="64"/>
      <c r="CF379" s="64"/>
      <c r="CG379" s="64"/>
      <c r="CH379" s="64"/>
      <c r="CI379" s="64"/>
      <c r="CJ379" s="64"/>
      <c r="CK379" s="64"/>
      <c r="CL379" s="64"/>
      <c r="CM379" s="64"/>
      <c r="CN379" s="64"/>
      <c r="CO379" s="64"/>
      <c r="CP379" s="64"/>
      <c r="CQ379" s="64"/>
      <c r="CR379" s="64"/>
      <c r="CS379" s="64"/>
      <c r="CT379" s="64"/>
      <c r="CU379" s="64"/>
      <c r="CV379" s="64"/>
      <c r="CW379" s="64"/>
      <c r="CX379" s="64"/>
    </row>
    <row r="380" spans="1:102" x14ac:dyDescent="0.2">
      <c r="A380" s="64"/>
      <c r="B380" s="64"/>
      <c r="C380" s="102"/>
      <c r="D380" s="102"/>
      <c r="E380" s="102"/>
      <c r="F380" s="102"/>
      <c r="G380" s="102"/>
      <c r="H380" s="102"/>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c r="BU380" s="64"/>
      <c r="BV380" s="64"/>
      <c r="BW380" s="64"/>
      <c r="BX380" s="64"/>
      <c r="BY380" s="64"/>
      <c r="BZ380" s="64"/>
      <c r="CA380" s="64"/>
      <c r="CB380" s="64"/>
      <c r="CC380" s="64"/>
      <c r="CD380" s="64"/>
      <c r="CE380" s="64"/>
      <c r="CF380" s="64"/>
      <c r="CG380" s="64"/>
      <c r="CH380" s="64"/>
      <c r="CI380" s="64"/>
      <c r="CJ380" s="64"/>
      <c r="CK380" s="64"/>
      <c r="CL380" s="64"/>
      <c r="CM380" s="64"/>
      <c r="CN380" s="64"/>
      <c r="CO380" s="64"/>
      <c r="CP380" s="64"/>
      <c r="CQ380" s="64"/>
      <c r="CR380" s="64"/>
      <c r="CS380" s="64"/>
      <c r="CT380" s="64"/>
      <c r="CU380" s="64"/>
      <c r="CV380" s="64"/>
      <c r="CW380" s="64"/>
      <c r="CX380" s="64"/>
    </row>
    <row r="381" spans="1:102" x14ac:dyDescent="0.2">
      <c r="A381" s="64"/>
      <c r="B381" s="64"/>
      <c r="C381" s="102"/>
      <c r="D381" s="102"/>
      <c r="E381" s="102"/>
      <c r="F381" s="102"/>
      <c r="G381" s="102"/>
      <c r="H381" s="102"/>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c r="BU381" s="64"/>
      <c r="BV381" s="64"/>
      <c r="BW381" s="64"/>
      <c r="BX381" s="64"/>
      <c r="BY381" s="64"/>
      <c r="BZ381" s="64"/>
      <c r="CA381" s="64"/>
      <c r="CB381" s="64"/>
      <c r="CC381" s="64"/>
      <c r="CD381" s="64"/>
      <c r="CE381" s="64"/>
      <c r="CF381" s="64"/>
      <c r="CG381" s="64"/>
      <c r="CH381" s="64"/>
      <c r="CI381" s="64"/>
      <c r="CJ381" s="64"/>
      <c r="CK381" s="64"/>
      <c r="CL381" s="64"/>
      <c r="CM381" s="64"/>
      <c r="CN381" s="64"/>
      <c r="CO381" s="64"/>
      <c r="CP381" s="64"/>
      <c r="CQ381" s="64"/>
      <c r="CR381" s="64"/>
      <c r="CS381" s="64"/>
      <c r="CT381" s="64"/>
      <c r="CU381" s="64"/>
      <c r="CV381" s="64"/>
      <c r="CW381" s="64"/>
      <c r="CX381" s="64"/>
    </row>
    <row r="382" spans="1:102" x14ac:dyDescent="0.2">
      <c r="A382" s="64"/>
      <c r="B382" s="64"/>
      <c r="C382" s="102"/>
      <c r="D382" s="102"/>
      <c r="E382" s="102"/>
      <c r="F382" s="102"/>
      <c r="G382" s="102"/>
      <c r="H382" s="102"/>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c r="BU382" s="64"/>
      <c r="BV382" s="64"/>
      <c r="BW382" s="64"/>
      <c r="BX382" s="64"/>
      <c r="BY382" s="64"/>
      <c r="BZ382" s="64"/>
      <c r="CA382" s="64"/>
      <c r="CB382" s="64"/>
      <c r="CC382" s="64"/>
      <c r="CD382" s="64"/>
      <c r="CE382" s="64"/>
      <c r="CF382" s="64"/>
      <c r="CG382" s="64"/>
      <c r="CH382" s="64"/>
      <c r="CI382" s="64"/>
      <c r="CJ382" s="64"/>
      <c r="CK382" s="64"/>
      <c r="CL382" s="64"/>
      <c r="CM382" s="64"/>
      <c r="CN382" s="64"/>
      <c r="CO382" s="64"/>
      <c r="CP382" s="64"/>
      <c r="CQ382" s="64"/>
      <c r="CR382" s="64"/>
      <c r="CS382" s="64"/>
      <c r="CT382" s="64"/>
      <c r="CU382" s="64"/>
      <c r="CV382" s="64"/>
      <c r="CW382" s="64"/>
      <c r="CX382" s="64"/>
    </row>
    <row r="383" spans="1:102" x14ac:dyDescent="0.2">
      <c r="A383" s="64"/>
      <c r="B383" s="64"/>
      <c r="C383" s="102"/>
      <c r="D383" s="102"/>
      <c r="E383" s="102"/>
      <c r="F383" s="102"/>
      <c r="G383" s="102"/>
      <c r="H383" s="102"/>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c r="BU383" s="64"/>
      <c r="BV383" s="64"/>
      <c r="BW383" s="64"/>
      <c r="BX383" s="64"/>
      <c r="BY383" s="64"/>
      <c r="BZ383" s="64"/>
      <c r="CA383" s="64"/>
      <c r="CB383" s="64"/>
      <c r="CC383" s="64"/>
      <c r="CD383" s="64"/>
      <c r="CE383" s="64"/>
      <c r="CF383" s="64"/>
      <c r="CG383" s="64"/>
      <c r="CH383" s="64"/>
      <c r="CI383" s="64"/>
      <c r="CJ383" s="64"/>
      <c r="CK383" s="64"/>
      <c r="CL383" s="64"/>
      <c r="CM383" s="64"/>
      <c r="CN383" s="64"/>
      <c r="CO383" s="64"/>
      <c r="CP383" s="64"/>
      <c r="CQ383" s="64"/>
      <c r="CR383" s="64"/>
      <c r="CS383" s="64"/>
      <c r="CT383" s="64"/>
      <c r="CU383" s="64"/>
      <c r="CV383" s="64"/>
      <c r="CW383" s="64"/>
      <c r="CX383" s="64"/>
    </row>
    <row r="384" spans="1:102" x14ac:dyDescent="0.2">
      <c r="A384" s="64"/>
      <c r="B384" s="64"/>
      <c r="C384" s="102"/>
      <c r="D384" s="102"/>
      <c r="E384" s="102"/>
      <c r="F384" s="102"/>
      <c r="G384" s="102"/>
      <c r="H384" s="102"/>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c r="BU384" s="64"/>
      <c r="BV384" s="64"/>
      <c r="BW384" s="64"/>
      <c r="BX384" s="64"/>
      <c r="BY384" s="64"/>
      <c r="BZ384" s="64"/>
      <c r="CA384" s="64"/>
      <c r="CB384" s="64"/>
      <c r="CC384" s="64"/>
      <c r="CD384" s="64"/>
      <c r="CE384" s="64"/>
      <c r="CF384" s="64"/>
      <c r="CG384" s="64"/>
      <c r="CH384" s="64"/>
      <c r="CI384" s="64"/>
      <c r="CJ384" s="64"/>
      <c r="CK384" s="64"/>
      <c r="CL384" s="64"/>
      <c r="CM384" s="64"/>
      <c r="CN384" s="64"/>
      <c r="CO384" s="64"/>
      <c r="CP384" s="64"/>
      <c r="CQ384" s="64"/>
      <c r="CR384" s="64"/>
      <c r="CS384" s="64"/>
      <c r="CT384" s="64"/>
      <c r="CU384" s="64"/>
      <c r="CV384" s="64"/>
      <c r="CW384" s="64"/>
      <c r="CX384" s="64"/>
    </row>
    <row r="385" spans="1:102" x14ac:dyDescent="0.2">
      <c r="A385" s="64"/>
      <c r="B385" s="64"/>
      <c r="C385" s="102"/>
      <c r="D385" s="102"/>
      <c r="E385" s="102"/>
      <c r="F385" s="102"/>
      <c r="G385" s="102"/>
      <c r="H385" s="102"/>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c r="BU385" s="64"/>
      <c r="BV385" s="64"/>
      <c r="BW385" s="64"/>
      <c r="BX385" s="64"/>
      <c r="BY385" s="64"/>
      <c r="BZ385" s="64"/>
      <c r="CA385" s="64"/>
      <c r="CB385" s="64"/>
      <c r="CC385" s="64"/>
      <c r="CD385" s="64"/>
      <c r="CE385" s="64"/>
      <c r="CF385" s="64"/>
      <c r="CG385" s="64"/>
      <c r="CH385" s="64"/>
      <c r="CI385" s="64"/>
      <c r="CJ385" s="64"/>
      <c r="CK385" s="64"/>
      <c r="CL385" s="64"/>
      <c r="CM385" s="64"/>
      <c r="CN385" s="64"/>
      <c r="CO385" s="64"/>
      <c r="CP385" s="64"/>
      <c r="CQ385" s="64"/>
      <c r="CR385" s="64"/>
      <c r="CS385" s="64"/>
      <c r="CT385" s="64"/>
      <c r="CU385" s="64"/>
      <c r="CV385" s="64"/>
      <c r="CW385" s="64"/>
      <c r="CX385" s="64"/>
    </row>
    <row r="386" spans="1:102" x14ac:dyDescent="0.2">
      <c r="A386" s="64"/>
      <c r="B386" s="64"/>
      <c r="C386" s="102"/>
      <c r="D386" s="102"/>
      <c r="E386" s="102"/>
      <c r="F386" s="102"/>
      <c r="G386" s="102"/>
      <c r="H386" s="102"/>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c r="BU386" s="64"/>
      <c r="BV386" s="64"/>
      <c r="BW386" s="64"/>
      <c r="BX386" s="64"/>
      <c r="BY386" s="64"/>
      <c r="BZ386" s="64"/>
      <c r="CA386" s="64"/>
      <c r="CB386" s="64"/>
      <c r="CC386" s="64"/>
      <c r="CD386" s="64"/>
      <c r="CE386" s="64"/>
      <c r="CF386" s="64"/>
      <c r="CG386" s="64"/>
      <c r="CH386" s="64"/>
      <c r="CI386" s="64"/>
      <c r="CJ386" s="64"/>
      <c r="CK386" s="64"/>
      <c r="CL386" s="64"/>
      <c r="CM386" s="64"/>
      <c r="CN386" s="64"/>
      <c r="CO386" s="64"/>
      <c r="CP386" s="64"/>
      <c r="CQ386" s="64"/>
      <c r="CR386" s="64"/>
      <c r="CS386" s="64"/>
      <c r="CT386" s="64"/>
      <c r="CU386" s="64"/>
      <c r="CV386" s="64"/>
      <c r="CW386" s="64"/>
      <c r="CX386" s="64"/>
    </row>
    <row r="387" spans="1:102" x14ac:dyDescent="0.2">
      <c r="A387" s="64"/>
      <c r="B387" s="64"/>
      <c r="C387" s="102"/>
      <c r="D387" s="102"/>
      <c r="E387" s="102"/>
      <c r="F387" s="102"/>
      <c r="G387" s="102"/>
      <c r="H387" s="102"/>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c r="BU387" s="64"/>
      <c r="BV387" s="64"/>
      <c r="BW387" s="64"/>
      <c r="BX387" s="64"/>
      <c r="BY387" s="64"/>
      <c r="BZ387" s="64"/>
      <c r="CA387" s="64"/>
      <c r="CB387" s="64"/>
      <c r="CC387" s="64"/>
      <c r="CD387" s="64"/>
      <c r="CE387" s="64"/>
      <c r="CF387" s="64"/>
      <c r="CG387" s="64"/>
      <c r="CH387" s="64"/>
      <c r="CI387" s="64"/>
      <c r="CJ387" s="64"/>
      <c r="CK387" s="64"/>
      <c r="CL387" s="64"/>
      <c r="CM387" s="64"/>
      <c r="CN387" s="64"/>
      <c r="CO387" s="64"/>
      <c r="CP387" s="64"/>
      <c r="CQ387" s="64"/>
      <c r="CR387" s="64"/>
      <c r="CS387" s="64"/>
      <c r="CT387" s="64"/>
      <c r="CU387" s="64"/>
      <c r="CV387" s="64"/>
      <c r="CW387" s="64"/>
      <c r="CX387" s="64"/>
    </row>
    <row r="388" spans="1:102" x14ac:dyDescent="0.2">
      <c r="A388" s="64"/>
      <c r="B388" s="64"/>
      <c r="C388" s="102"/>
      <c r="D388" s="102"/>
      <c r="E388" s="102"/>
      <c r="F388" s="102"/>
      <c r="G388" s="102"/>
      <c r="H388" s="102"/>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c r="BU388" s="64"/>
      <c r="BV388" s="64"/>
      <c r="BW388" s="64"/>
      <c r="BX388" s="64"/>
      <c r="BY388" s="64"/>
      <c r="BZ388" s="64"/>
      <c r="CA388" s="64"/>
      <c r="CB388" s="64"/>
      <c r="CC388" s="64"/>
      <c r="CD388" s="64"/>
      <c r="CE388" s="64"/>
      <c r="CF388" s="64"/>
      <c r="CG388" s="64"/>
      <c r="CH388" s="64"/>
      <c r="CI388" s="64"/>
      <c r="CJ388" s="64"/>
      <c r="CK388" s="64"/>
      <c r="CL388" s="64"/>
      <c r="CM388" s="64"/>
      <c r="CN388" s="64"/>
      <c r="CO388" s="64"/>
      <c r="CP388" s="64"/>
      <c r="CQ388" s="64"/>
      <c r="CR388" s="64"/>
      <c r="CS388" s="64"/>
      <c r="CT388" s="64"/>
      <c r="CU388" s="64"/>
      <c r="CV388" s="64"/>
      <c r="CW388" s="64"/>
      <c r="CX388" s="64"/>
    </row>
    <row r="389" spans="1:102" x14ac:dyDescent="0.2">
      <c r="A389" s="64"/>
      <c r="B389" s="64"/>
      <c r="C389" s="102"/>
      <c r="D389" s="102"/>
      <c r="E389" s="102"/>
      <c r="F389" s="102"/>
      <c r="G389" s="102"/>
      <c r="H389" s="102"/>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row>
    <row r="390" spans="1:102" x14ac:dyDescent="0.2">
      <c r="A390" s="64"/>
      <c r="B390" s="64"/>
      <c r="C390" s="102"/>
      <c r="D390" s="102"/>
      <c r="E390" s="102"/>
      <c r="F390" s="102"/>
      <c r="G390" s="102"/>
      <c r="H390" s="102"/>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row>
    <row r="391" spans="1:102" x14ac:dyDescent="0.2">
      <c r="A391" s="64"/>
      <c r="B391" s="64"/>
      <c r="C391" s="102"/>
      <c r="D391" s="102"/>
      <c r="E391" s="102"/>
      <c r="F391" s="102"/>
      <c r="G391" s="102"/>
      <c r="H391" s="102"/>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row>
    <row r="392" spans="1:102" x14ac:dyDescent="0.2">
      <c r="A392" s="64"/>
      <c r="B392" s="64"/>
      <c r="C392" s="102"/>
      <c r="D392" s="102"/>
      <c r="E392" s="102"/>
      <c r="F392" s="102"/>
      <c r="G392" s="102"/>
      <c r="H392" s="102"/>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row>
    <row r="393" spans="1:102" x14ac:dyDescent="0.2">
      <c r="A393" s="64"/>
      <c r="B393" s="64"/>
      <c r="C393" s="102"/>
      <c r="D393" s="102"/>
      <c r="E393" s="102"/>
      <c r="F393" s="102"/>
      <c r="G393" s="102"/>
      <c r="H393" s="102"/>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row>
    <row r="394" spans="1:102" x14ac:dyDescent="0.2">
      <c r="A394" s="64"/>
      <c r="B394" s="64"/>
      <c r="C394" s="102"/>
      <c r="D394" s="102"/>
      <c r="E394" s="102"/>
      <c r="F394" s="102"/>
      <c r="G394" s="102"/>
      <c r="H394" s="102"/>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row>
    <row r="395" spans="1:102" x14ac:dyDescent="0.2">
      <c r="A395" s="64"/>
      <c r="B395" s="64"/>
      <c r="C395" s="102"/>
      <c r="D395" s="102"/>
      <c r="E395" s="102"/>
      <c r="F395" s="102"/>
      <c r="G395" s="102"/>
      <c r="H395" s="102"/>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row>
    <row r="396" spans="1:102" x14ac:dyDescent="0.2">
      <c r="A396" s="64"/>
      <c r="B396" s="64"/>
      <c r="C396" s="102"/>
      <c r="D396" s="102"/>
      <c r="E396" s="102"/>
      <c r="F396" s="102"/>
      <c r="G396" s="102"/>
      <c r="H396" s="102"/>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row>
    <row r="397" spans="1:102" x14ac:dyDescent="0.2">
      <c r="A397" s="64"/>
      <c r="B397" s="64"/>
      <c r="C397" s="102"/>
      <c r="D397" s="102"/>
      <c r="E397" s="102"/>
      <c r="F397" s="102"/>
      <c r="G397" s="102"/>
      <c r="H397" s="102"/>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row>
    <row r="398" spans="1:102" x14ac:dyDescent="0.2">
      <c r="A398" s="64"/>
      <c r="B398" s="64"/>
      <c r="C398" s="102"/>
      <c r="D398" s="102"/>
      <c r="E398" s="102"/>
      <c r="F398" s="102"/>
      <c r="G398" s="102"/>
      <c r="H398" s="102"/>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row>
    <row r="399" spans="1:102" x14ac:dyDescent="0.2">
      <c r="A399" s="64"/>
      <c r="B399" s="64"/>
      <c r="C399" s="102"/>
      <c r="D399" s="102"/>
      <c r="E399" s="102"/>
      <c r="F399" s="102"/>
      <c r="G399" s="102"/>
      <c r="H399" s="102"/>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row>
    <row r="400" spans="1:102" x14ac:dyDescent="0.2">
      <c r="A400" s="64"/>
      <c r="B400" s="64"/>
      <c r="C400" s="102"/>
      <c r="D400" s="102"/>
      <c r="E400" s="102"/>
      <c r="F400" s="102"/>
      <c r="G400" s="102"/>
      <c r="H400" s="102"/>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row>
    <row r="401" spans="1:102" x14ac:dyDescent="0.2">
      <c r="A401" s="64"/>
      <c r="B401" s="64"/>
      <c r="C401" s="102"/>
      <c r="D401" s="102"/>
      <c r="E401" s="102"/>
      <c r="F401" s="102"/>
      <c r="G401" s="102"/>
      <c r="H401" s="102"/>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row>
    <row r="402" spans="1:102" x14ac:dyDescent="0.2">
      <c r="A402" s="64"/>
      <c r="B402" s="64"/>
      <c r="C402" s="102"/>
      <c r="D402" s="102"/>
      <c r="E402" s="102"/>
      <c r="F402" s="102"/>
      <c r="G402" s="102"/>
      <c r="H402" s="102"/>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row>
    <row r="403" spans="1:102" x14ac:dyDescent="0.2">
      <c r="A403" s="64"/>
      <c r="B403" s="64"/>
      <c r="C403" s="102"/>
      <c r="D403" s="102"/>
      <c r="E403" s="102"/>
      <c r="F403" s="102"/>
      <c r="G403" s="102"/>
      <c r="H403" s="102"/>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row>
    <row r="404" spans="1:102" x14ac:dyDescent="0.2">
      <c r="A404" s="64"/>
      <c r="B404" s="64"/>
      <c r="C404" s="102"/>
      <c r="D404" s="102"/>
      <c r="E404" s="102"/>
      <c r="F404" s="102"/>
      <c r="G404" s="102"/>
      <c r="H404" s="102"/>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row>
    <row r="405" spans="1:102" x14ac:dyDescent="0.2">
      <c r="A405" s="64"/>
      <c r="B405" s="64"/>
      <c r="C405" s="102"/>
      <c r="D405" s="102"/>
      <c r="E405" s="102"/>
      <c r="F405" s="102"/>
      <c r="G405" s="102"/>
      <c r="H405" s="102"/>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row>
    <row r="406" spans="1:102" x14ac:dyDescent="0.2">
      <c r="A406" s="64"/>
      <c r="B406" s="64"/>
      <c r="C406" s="102"/>
      <c r="D406" s="102"/>
      <c r="E406" s="102"/>
      <c r="F406" s="102"/>
      <c r="G406" s="102"/>
      <c r="H406" s="102"/>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row>
    <row r="407" spans="1:102" x14ac:dyDescent="0.2">
      <c r="A407" s="64"/>
      <c r="B407" s="64"/>
      <c r="C407" s="102"/>
      <c r="D407" s="102"/>
      <c r="E407" s="102"/>
      <c r="F407" s="102"/>
      <c r="G407" s="102"/>
      <c r="H407" s="102"/>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row>
    <row r="408" spans="1:102" x14ac:dyDescent="0.2">
      <c r="A408" s="64"/>
      <c r="B408" s="64"/>
      <c r="C408" s="102"/>
      <c r="D408" s="102"/>
      <c r="E408" s="102"/>
      <c r="F408" s="102"/>
      <c r="G408" s="102"/>
      <c r="H408" s="102"/>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row>
    <row r="409" spans="1:102" x14ac:dyDescent="0.2">
      <c r="A409" s="64"/>
      <c r="B409" s="64"/>
      <c r="C409" s="102"/>
      <c r="D409" s="102"/>
      <c r="E409" s="102"/>
      <c r="F409" s="102"/>
      <c r="G409" s="102"/>
      <c r="H409" s="102"/>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row>
    <row r="410" spans="1:102" x14ac:dyDescent="0.2">
      <c r="A410" s="64"/>
      <c r="B410" s="64"/>
      <c r="C410" s="102"/>
      <c r="D410" s="102"/>
      <c r="E410" s="102"/>
      <c r="F410" s="102"/>
      <c r="G410" s="102"/>
      <c r="H410" s="102"/>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row>
    <row r="411" spans="1:102" x14ac:dyDescent="0.2">
      <c r="A411" s="64"/>
      <c r="B411" s="64"/>
      <c r="C411" s="102"/>
      <c r="D411" s="102"/>
      <c r="E411" s="102"/>
      <c r="F411" s="102"/>
      <c r="G411" s="102"/>
      <c r="H411" s="102"/>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row>
    <row r="412" spans="1:102" x14ac:dyDescent="0.2">
      <c r="A412" s="64"/>
      <c r="B412" s="64"/>
      <c r="C412" s="102"/>
      <c r="D412" s="102"/>
      <c r="E412" s="102"/>
      <c r="F412" s="102"/>
      <c r="G412" s="102"/>
      <c r="H412" s="102"/>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row>
    <row r="413" spans="1:102" x14ac:dyDescent="0.2">
      <c r="A413" s="64"/>
      <c r="B413" s="64"/>
      <c r="C413" s="102"/>
      <c r="D413" s="102"/>
      <c r="E413" s="102"/>
      <c r="F413" s="102"/>
      <c r="G413" s="102"/>
      <c r="H413" s="102"/>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row>
    <row r="414" spans="1:102" x14ac:dyDescent="0.2">
      <c r="A414" s="64"/>
      <c r="B414" s="64"/>
      <c r="C414" s="102"/>
      <c r="D414" s="102"/>
      <c r="E414" s="102"/>
      <c r="F414" s="102"/>
      <c r="G414" s="102"/>
      <c r="H414" s="102"/>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row>
    <row r="415" spans="1:102" x14ac:dyDescent="0.2">
      <c r="A415" s="64"/>
      <c r="B415" s="64"/>
      <c r="C415" s="102"/>
      <c r="D415" s="102"/>
      <c r="E415" s="102"/>
      <c r="F415" s="102"/>
      <c r="G415" s="102"/>
      <c r="H415" s="102"/>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row>
    <row r="416" spans="1:102" x14ac:dyDescent="0.2">
      <c r="A416" s="64"/>
      <c r="B416" s="64"/>
      <c r="C416" s="102"/>
      <c r="D416" s="102"/>
      <c r="E416" s="102"/>
      <c r="F416" s="102"/>
      <c r="G416" s="102"/>
      <c r="H416" s="102"/>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row>
    <row r="417" spans="1:102" x14ac:dyDescent="0.2">
      <c r="A417" s="64"/>
      <c r="B417" s="64"/>
      <c r="C417" s="102"/>
      <c r="D417" s="102"/>
      <c r="E417" s="102"/>
      <c r="F417" s="102"/>
      <c r="G417" s="102"/>
      <c r="H417" s="102"/>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row>
    <row r="418" spans="1:102" x14ac:dyDescent="0.2">
      <c r="A418" s="64"/>
      <c r="B418" s="64"/>
      <c r="C418" s="102"/>
      <c r="D418" s="102"/>
      <c r="E418" s="102"/>
      <c r="F418" s="102"/>
      <c r="G418" s="102"/>
      <c r="H418" s="102"/>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row>
    <row r="419" spans="1:102" x14ac:dyDescent="0.2">
      <c r="A419" s="64"/>
      <c r="B419" s="64"/>
      <c r="C419" s="102"/>
      <c r="D419" s="102"/>
      <c r="E419" s="102"/>
      <c r="F419" s="102"/>
      <c r="G419" s="102"/>
      <c r="H419" s="102"/>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row>
    <row r="420" spans="1:102" x14ac:dyDescent="0.2">
      <c r="A420" s="64"/>
      <c r="B420" s="64"/>
      <c r="C420" s="102"/>
      <c r="D420" s="102"/>
      <c r="E420" s="102"/>
      <c r="F420" s="102"/>
      <c r="G420" s="102"/>
      <c r="H420" s="102"/>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row>
    <row r="421" spans="1:102" x14ac:dyDescent="0.2">
      <c r="A421" s="64"/>
      <c r="B421" s="64"/>
      <c r="C421" s="102"/>
      <c r="D421" s="102"/>
      <c r="E421" s="102"/>
      <c r="F421" s="102"/>
      <c r="G421" s="102"/>
      <c r="H421" s="102"/>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row>
    <row r="422" spans="1:102" x14ac:dyDescent="0.2">
      <c r="A422" s="64"/>
      <c r="B422" s="64"/>
      <c r="C422" s="102"/>
      <c r="D422" s="102"/>
      <c r="E422" s="102"/>
      <c r="F422" s="102"/>
      <c r="G422" s="102"/>
      <c r="H422" s="102"/>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row>
    <row r="423" spans="1:102" x14ac:dyDescent="0.2">
      <c r="A423" s="64"/>
      <c r="B423" s="64"/>
      <c r="C423" s="102"/>
      <c r="D423" s="102"/>
      <c r="E423" s="102"/>
      <c r="F423" s="102"/>
      <c r="G423" s="102"/>
      <c r="H423" s="102"/>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row>
    <row r="424" spans="1:102" x14ac:dyDescent="0.2">
      <c r="A424" s="64"/>
      <c r="B424" s="64"/>
      <c r="C424" s="102"/>
      <c r="D424" s="102"/>
      <c r="E424" s="102"/>
      <c r="F424" s="102"/>
      <c r="G424" s="102"/>
      <c r="H424" s="102"/>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row>
    <row r="425" spans="1:102" x14ac:dyDescent="0.2">
      <c r="A425" s="64"/>
      <c r="B425" s="64"/>
      <c r="C425" s="102"/>
      <c r="D425" s="102"/>
      <c r="E425" s="102"/>
      <c r="F425" s="102"/>
      <c r="G425" s="102"/>
      <c r="H425" s="102"/>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row>
    <row r="426" spans="1:102" x14ac:dyDescent="0.2">
      <c r="A426" s="64"/>
      <c r="B426" s="64"/>
      <c r="C426" s="102"/>
      <c r="D426" s="102"/>
      <c r="E426" s="102"/>
      <c r="F426" s="102"/>
      <c r="G426" s="102"/>
      <c r="H426" s="102"/>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row>
    <row r="427" spans="1:102" x14ac:dyDescent="0.2">
      <c r="A427" s="64"/>
      <c r="B427" s="64"/>
      <c r="C427" s="102"/>
      <c r="D427" s="102"/>
      <c r="E427" s="102"/>
      <c r="F427" s="102"/>
      <c r="G427" s="102"/>
      <c r="H427" s="102"/>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row>
    <row r="428" spans="1:102" x14ac:dyDescent="0.2">
      <c r="A428" s="64"/>
      <c r="B428" s="64"/>
      <c r="C428" s="102"/>
      <c r="D428" s="102"/>
      <c r="E428" s="102"/>
      <c r="F428" s="102"/>
      <c r="G428" s="102"/>
      <c r="H428" s="102"/>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row>
    <row r="429" spans="1:102" x14ac:dyDescent="0.2">
      <c r="A429" s="64"/>
      <c r="B429" s="64"/>
      <c r="C429" s="102"/>
      <c r="D429" s="102"/>
      <c r="E429" s="102"/>
      <c r="F429" s="102"/>
      <c r="G429" s="102"/>
      <c r="H429" s="102"/>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row>
    <row r="430" spans="1:102" x14ac:dyDescent="0.2">
      <c r="A430" s="64"/>
      <c r="B430" s="64"/>
      <c r="C430" s="102"/>
      <c r="D430" s="102"/>
      <c r="E430" s="102"/>
      <c r="F430" s="102"/>
      <c r="G430" s="102"/>
      <c r="H430" s="102"/>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row>
    <row r="431" spans="1:102" x14ac:dyDescent="0.2">
      <c r="A431" s="64"/>
      <c r="B431" s="64"/>
      <c r="C431" s="102"/>
      <c r="D431" s="102"/>
      <c r="E431" s="102"/>
      <c r="F431" s="102"/>
      <c r="G431" s="102"/>
      <c r="H431" s="102"/>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row>
    <row r="432" spans="1:102" x14ac:dyDescent="0.2">
      <c r="A432" s="64"/>
      <c r="B432" s="64"/>
      <c r="C432" s="102"/>
      <c r="D432" s="102"/>
      <c r="E432" s="102"/>
      <c r="F432" s="102"/>
      <c r="G432" s="102"/>
      <c r="H432" s="102"/>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row>
    <row r="433" spans="1:102" x14ac:dyDescent="0.2">
      <c r="A433" s="64"/>
      <c r="B433" s="64"/>
      <c r="C433" s="102"/>
      <c r="D433" s="102"/>
      <c r="E433" s="102"/>
      <c r="F433" s="102"/>
      <c r="G433" s="102"/>
      <c r="H433" s="102"/>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row>
    <row r="434" spans="1:102" x14ac:dyDescent="0.2">
      <c r="A434" s="64"/>
      <c r="B434" s="64"/>
      <c r="C434" s="102"/>
      <c r="D434" s="102"/>
      <c r="E434" s="102"/>
      <c r="F434" s="102"/>
      <c r="G434" s="102"/>
      <c r="H434" s="102"/>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row>
    <row r="435" spans="1:102" x14ac:dyDescent="0.2">
      <c r="A435" s="64"/>
      <c r="B435" s="64"/>
      <c r="C435" s="102"/>
      <c r="D435" s="102"/>
      <c r="E435" s="102"/>
      <c r="F435" s="102"/>
      <c r="G435" s="102"/>
      <c r="H435" s="102"/>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row>
    <row r="436" spans="1:102" x14ac:dyDescent="0.2">
      <c r="A436" s="64"/>
      <c r="B436" s="64"/>
      <c r="C436" s="102"/>
      <c r="D436" s="102"/>
      <c r="E436" s="102"/>
      <c r="F436" s="102"/>
      <c r="G436" s="102"/>
      <c r="H436" s="102"/>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row>
    <row r="437" spans="1:102" x14ac:dyDescent="0.2">
      <c r="A437" s="64"/>
      <c r="B437" s="64"/>
      <c r="C437" s="102"/>
      <c r="D437" s="102"/>
      <c r="E437" s="102"/>
      <c r="F437" s="102"/>
      <c r="G437" s="102"/>
      <c r="H437" s="102"/>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row>
    <row r="438" spans="1:102" x14ac:dyDescent="0.2">
      <c r="A438" s="64"/>
      <c r="B438" s="64"/>
      <c r="C438" s="102"/>
      <c r="D438" s="102"/>
      <c r="E438" s="102"/>
      <c r="F438" s="102"/>
      <c r="G438" s="102"/>
      <c r="H438" s="102"/>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row>
    <row r="439" spans="1:102" x14ac:dyDescent="0.2">
      <c r="A439" s="64"/>
      <c r="B439" s="64"/>
      <c r="C439" s="102"/>
      <c r="D439" s="102"/>
      <c r="E439" s="102"/>
      <c r="F439" s="102"/>
      <c r="G439" s="102"/>
      <c r="H439" s="102"/>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row>
    <row r="440" spans="1:102" x14ac:dyDescent="0.2">
      <c r="A440" s="64"/>
      <c r="B440" s="64"/>
      <c r="C440" s="102"/>
      <c r="D440" s="102"/>
      <c r="E440" s="102"/>
      <c r="F440" s="102"/>
      <c r="G440" s="102"/>
      <c r="H440" s="102"/>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row>
    <row r="441" spans="1:102" x14ac:dyDescent="0.2">
      <c r="A441" s="64"/>
      <c r="B441" s="64"/>
      <c r="C441" s="102"/>
      <c r="D441" s="102"/>
      <c r="E441" s="102"/>
      <c r="F441" s="102"/>
      <c r="G441" s="102"/>
      <c r="H441" s="102"/>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row>
    <row r="442" spans="1:102" x14ac:dyDescent="0.2">
      <c r="A442" s="64"/>
      <c r="B442" s="64"/>
      <c r="C442" s="102"/>
      <c r="D442" s="102"/>
      <c r="E442" s="102"/>
      <c r="F442" s="102"/>
      <c r="G442" s="102"/>
      <c r="H442" s="102"/>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row>
    <row r="443" spans="1:102" x14ac:dyDescent="0.2">
      <c r="A443" s="64"/>
      <c r="B443" s="64"/>
      <c r="C443" s="102"/>
      <c r="D443" s="102"/>
      <c r="E443" s="102"/>
      <c r="F443" s="102"/>
      <c r="G443" s="102"/>
      <c r="H443" s="102"/>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row>
    <row r="444" spans="1:102" x14ac:dyDescent="0.2">
      <c r="A444" s="64"/>
      <c r="B444" s="64"/>
      <c r="C444" s="102"/>
      <c r="D444" s="102"/>
      <c r="E444" s="102"/>
      <c r="F444" s="102"/>
      <c r="G444" s="102"/>
      <c r="H444" s="102"/>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row>
    <row r="445" spans="1:102" x14ac:dyDescent="0.2">
      <c r="A445" s="64"/>
      <c r="B445" s="64"/>
      <c r="C445" s="102"/>
      <c r="D445" s="102"/>
      <c r="E445" s="102"/>
      <c r="F445" s="102"/>
      <c r="G445" s="102"/>
      <c r="H445" s="102"/>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row>
    <row r="446" spans="1:102" x14ac:dyDescent="0.2">
      <c r="A446" s="64"/>
      <c r="B446" s="64"/>
      <c r="C446" s="102"/>
      <c r="D446" s="102"/>
      <c r="E446" s="102"/>
      <c r="F446" s="102"/>
      <c r="G446" s="102"/>
      <c r="H446" s="102"/>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row>
    <row r="447" spans="1:102" x14ac:dyDescent="0.2">
      <c r="A447" s="64"/>
      <c r="B447" s="64"/>
      <c r="C447" s="102"/>
      <c r="D447" s="102"/>
      <c r="E447" s="102"/>
      <c r="F447" s="102"/>
      <c r="G447" s="102"/>
      <c r="H447" s="102"/>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row>
    <row r="448" spans="1:102" x14ac:dyDescent="0.2">
      <c r="A448" s="64"/>
      <c r="B448" s="64"/>
      <c r="C448" s="102"/>
      <c r="D448" s="102"/>
      <c r="E448" s="102"/>
      <c r="F448" s="102"/>
      <c r="G448" s="102"/>
      <c r="H448" s="102"/>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row>
    <row r="449" spans="1:102" x14ac:dyDescent="0.2">
      <c r="A449" s="64"/>
      <c r="B449" s="64"/>
      <c r="C449" s="102"/>
      <c r="D449" s="102"/>
      <c r="E449" s="102"/>
      <c r="F449" s="102"/>
      <c r="G449" s="102"/>
      <c r="H449" s="102"/>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row>
    <row r="450" spans="1:102" x14ac:dyDescent="0.2">
      <c r="A450" s="64"/>
      <c r="B450" s="64"/>
      <c r="C450" s="102"/>
      <c r="D450" s="102"/>
      <c r="E450" s="102"/>
      <c r="F450" s="102"/>
      <c r="G450" s="102"/>
      <c r="H450" s="102"/>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row>
    <row r="451" spans="1:102" x14ac:dyDescent="0.2">
      <c r="A451" s="64"/>
      <c r="B451" s="64"/>
      <c r="C451" s="102"/>
      <c r="D451" s="102"/>
      <c r="E451" s="102"/>
      <c r="F451" s="102"/>
      <c r="G451" s="102"/>
      <c r="H451" s="102"/>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row>
    <row r="452" spans="1:102" x14ac:dyDescent="0.2">
      <c r="A452" s="64"/>
      <c r="B452" s="64"/>
      <c r="C452" s="102"/>
      <c r="D452" s="102"/>
      <c r="E452" s="102"/>
      <c r="F452" s="102"/>
      <c r="G452" s="102"/>
      <c r="H452" s="102"/>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row>
    <row r="453" spans="1:102" x14ac:dyDescent="0.2">
      <c r="A453" s="64"/>
      <c r="B453" s="64"/>
      <c r="C453" s="102"/>
      <c r="D453" s="102"/>
      <c r="E453" s="102"/>
      <c r="F453" s="102"/>
      <c r="G453" s="102"/>
      <c r="H453" s="102"/>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row>
    <row r="454" spans="1:102" x14ac:dyDescent="0.2">
      <c r="A454" s="64"/>
      <c r="B454" s="64"/>
      <c r="C454" s="102"/>
      <c r="D454" s="102"/>
      <c r="E454" s="102"/>
      <c r="F454" s="102"/>
      <c r="G454" s="102"/>
      <c r="H454" s="102"/>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row>
    <row r="455" spans="1:102" x14ac:dyDescent="0.2">
      <c r="A455" s="64"/>
      <c r="B455" s="64"/>
      <c r="C455" s="102"/>
      <c r="D455" s="102"/>
      <c r="E455" s="102"/>
      <c r="F455" s="102"/>
      <c r="G455" s="102"/>
      <c r="H455" s="102"/>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row>
    <row r="456" spans="1:102" x14ac:dyDescent="0.2">
      <c r="A456" s="64"/>
      <c r="B456" s="64"/>
      <c r="C456" s="102"/>
      <c r="D456" s="102"/>
      <c r="E456" s="102"/>
      <c r="F456" s="102"/>
      <c r="G456" s="102"/>
      <c r="H456" s="102"/>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row>
    <row r="457" spans="1:102" x14ac:dyDescent="0.2">
      <c r="A457" s="64"/>
      <c r="B457" s="64"/>
      <c r="C457" s="102"/>
      <c r="D457" s="102"/>
      <c r="E457" s="102"/>
      <c r="F457" s="102"/>
      <c r="G457" s="102"/>
      <c r="H457" s="102"/>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row>
    <row r="458" spans="1:102" x14ac:dyDescent="0.2">
      <c r="A458" s="64"/>
      <c r="B458" s="64"/>
      <c r="C458" s="102"/>
      <c r="D458" s="102"/>
      <c r="E458" s="102"/>
      <c r="F458" s="102"/>
      <c r="G458" s="102"/>
      <c r="H458" s="102"/>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row>
    <row r="459" spans="1:102" x14ac:dyDescent="0.2">
      <c r="A459" s="64"/>
      <c r="B459" s="64"/>
      <c r="C459" s="102"/>
      <c r="D459" s="102"/>
      <c r="E459" s="102"/>
      <c r="F459" s="102"/>
      <c r="G459" s="102"/>
      <c r="H459" s="102"/>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row>
    <row r="460" spans="1:102" x14ac:dyDescent="0.2">
      <c r="A460" s="64"/>
      <c r="B460" s="64"/>
      <c r="C460" s="102"/>
      <c r="D460" s="102"/>
      <c r="E460" s="102"/>
      <c r="F460" s="102"/>
      <c r="G460" s="102"/>
      <c r="H460" s="102"/>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row>
    <row r="461" spans="1:102" x14ac:dyDescent="0.2">
      <c r="A461" s="64"/>
      <c r="B461" s="64"/>
      <c r="C461" s="102"/>
      <c r="D461" s="102"/>
      <c r="E461" s="102"/>
      <c r="F461" s="102"/>
      <c r="G461" s="102"/>
      <c r="H461" s="102"/>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row>
    <row r="462" spans="1:102" x14ac:dyDescent="0.2">
      <c r="A462" s="64"/>
      <c r="B462" s="64"/>
      <c r="C462" s="102"/>
      <c r="D462" s="102"/>
      <c r="E462" s="102"/>
      <c r="F462" s="102"/>
      <c r="G462" s="102"/>
      <c r="H462" s="102"/>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row>
    <row r="463" spans="1:102" x14ac:dyDescent="0.2">
      <c r="A463" s="64"/>
      <c r="B463" s="64"/>
      <c r="C463" s="102"/>
      <c r="D463" s="102"/>
      <c r="E463" s="102"/>
      <c r="F463" s="102"/>
      <c r="G463" s="102"/>
      <c r="H463" s="102"/>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row>
    <row r="464" spans="1:102" x14ac:dyDescent="0.2">
      <c r="A464" s="64"/>
      <c r="B464" s="64"/>
      <c r="C464" s="102"/>
      <c r="D464" s="102"/>
      <c r="E464" s="102"/>
      <c r="F464" s="102"/>
      <c r="G464" s="102"/>
      <c r="H464" s="102"/>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row>
    <row r="465" spans="1:102" x14ac:dyDescent="0.2">
      <c r="A465" s="64"/>
      <c r="B465" s="64"/>
      <c r="C465" s="102"/>
      <c r="D465" s="102"/>
      <c r="E465" s="102"/>
      <c r="F465" s="102"/>
      <c r="G465" s="102"/>
      <c r="H465" s="102"/>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row>
    <row r="466" spans="1:102" x14ac:dyDescent="0.2">
      <c r="A466" s="64"/>
      <c r="B466" s="64"/>
      <c r="C466" s="102"/>
      <c r="D466" s="102"/>
      <c r="E466" s="102"/>
      <c r="F466" s="102"/>
      <c r="G466" s="102"/>
      <c r="H466" s="102"/>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row>
    <row r="467" spans="1:102" x14ac:dyDescent="0.2">
      <c r="A467" s="64"/>
      <c r="B467" s="64"/>
      <c r="C467" s="102"/>
      <c r="D467" s="102"/>
      <c r="E467" s="102"/>
      <c r="F467" s="102"/>
      <c r="G467" s="102"/>
      <c r="H467" s="102"/>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row>
    <row r="468" spans="1:102" x14ac:dyDescent="0.2">
      <c r="A468" s="64"/>
      <c r="B468" s="64"/>
      <c r="C468" s="102"/>
      <c r="D468" s="102"/>
      <c r="E468" s="102"/>
      <c r="F468" s="102"/>
      <c r="G468" s="102"/>
      <c r="H468" s="102"/>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row>
    <row r="469" spans="1:102" x14ac:dyDescent="0.2">
      <c r="A469" s="64"/>
      <c r="B469" s="64"/>
      <c r="C469" s="102"/>
      <c r="D469" s="102"/>
      <c r="E469" s="102"/>
      <c r="F469" s="102"/>
      <c r="G469" s="102"/>
      <c r="H469" s="102"/>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row>
    <row r="470" spans="1:102" x14ac:dyDescent="0.2">
      <c r="A470" s="64"/>
      <c r="B470" s="64"/>
      <c r="C470" s="102"/>
      <c r="D470" s="102"/>
      <c r="E470" s="102"/>
      <c r="F470" s="102"/>
      <c r="G470" s="102"/>
      <c r="H470" s="102"/>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row>
    <row r="471" spans="1:102" x14ac:dyDescent="0.2">
      <c r="A471" s="64"/>
      <c r="B471" s="64"/>
      <c r="C471" s="102"/>
      <c r="D471" s="102"/>
      <c r="E471" s="102"/>
      <c r="F471" s="102"/>
      <c r="G471" s="102"/>
      <c r="H471" s="102"/>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row>
    <row r="472" spans="1:102" x14ac:dyDescent="0.2">
      <c r="A472" s="64"/>
      <c r="B472" s="64"/>
      <c r="C472" s="102"/>
      <c r="D472" s="102"/>
      <c r="E472" s="102"/>
      <c r="F472" s="102"/>
      <c r="G472" s="102"/>
      <c r="H472" s="102"/>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row>
    <row r="473" spans="1:102" x14ac:dyDescent="0.2">
      <c r="A473" s="64"/>
      <c r="B473" s="64"/>
      <c r="C473" s="102"/>
      <c r="D473" s="102"/>
      <c r="E473" s="102"/>
      <c r="F473" s="102"/>
      <c r="G473" s="102"/>
      <c r="H473" s="102"/>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row>
    <row r="474" spans="1:102" x14ac:dyDescent="0.2">
      <c r="A474" s="64"/>
      <c r="B474" s="64"/>
      <c r="C474" s="102"/>
      <c r="D474" s="102"/>
      <c r="E474" s="102"/>
      <c r="F474" s="102"/>
      <c r="G474" s="102"/>
      <c r="H474" s="102"/>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row>
    <row r="475" spans="1:102" x14ac:dyDescent="0.2">
      <c r="A475" s="64"/>
      <c r="B475" s="64"/>
      <c r="C475" s="102"/>
      <c r="D475" s="102"/>
      <c r="E475" s="102"/>
      <c r="F475" s="102"/>
      <c r="G475" s="102"/>
      <c r="H475" s="102"/>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row>
    <row r="476" spans="1:102" x14ac:dyDescent="0.2">
      <c r="A476" s="64"/>
      <c r="B476" s="64"/>
      <c r="C476" s="102"/>
      <c r="D476" s="102"/>
      <c r="E476" s="102"/>
      <c r="F476" s="102"/>
      <c r="G476" s="102"/>
      <c r="H476" s="102"/>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row>
    <row r="477" spans="1:102" x14ac:dyDescent="0.2">
      <c r="A477" s="64"/>
      <c r="B477" s="64"/>
      <c r="C477" s="102"/>
      <c r="D477" s="102"/>
      <c r="E477" s="102"/>
      <c r="F477" s="102"/>
      <c r="G477" s="102"/>
      <c r="H477" s="102"/>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row>
    <row r="478" spans="1:102" x14ac:dyDescent="0.2">
      <c r="A478" s="64"/>
      <c r="B478" s="64"/>
      <c r="C478" s="102"/>
      <c r="D478" s="102"/>
      <c r="E478" s="102"/>
      <c r="F478" s="102"/>
      <c r="G478" s="102"/>
      <c r="H478" s="102"/>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row>
    <row r="479" spans="1:102" x14ac:dyDescent="0.2">
      <c r="A479" s="64"/>
      <c r="B479" s="64"/>
      <c r="C479" s="102"/>
      <c r="D479" s="102"/>
      <c r="E479" s="102"/>
      <c r="F479" s="102"/>
      <c r="G479" s="102"/>
      <c r="H479" s="102"/>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row>
    <row r="480" spans="1:102" x14ac:dyDescent="0.2">
      <c r="A480" s="64"/>
      <c r="B480" s="64"/>
      <c r="C480" s="102"/>
      <c r="D480" s="102"/>
      <c r="E480" s="102"/>
      <c r="F480" s="102"/>
      <c r="G480" s="102"/>
      <c r="H480" s="102"/>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row>
    <row r="481" spans="1:102" x14ac:dyDescent="0.2">
      <c r="A481" s="64"/>
      <c r="B481" s="64"/>
      <c r="C481" s="102"/>
      <c r="D481" s="102"/>
      <c r="E481" s="102"/>
      <c r="F481" s="102"/>
      <c r="G481" s="102"/>
      <c r="H481" s="102"/>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row>
    <row r="482" spans="1:102" x14ac:dyDescent="0.2">
      <c r="A482" s="64"/>
      <c r="B482" s="64"/>
      <c r="C482" s="102"/>
      <c r="D482" s="102"/>
      <c r="E482" s="102"/>
      <c r="F482" s="102"/>
      <c r="G482" s="102"/>
      <c r="H482" s="102"/>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row>
    <row r="483" spans="1:102" x14ac:dyDescent="0.2">
      <c r="A483" s="64"/>
      <c r="B483" s="64"/>
      <c r="C483" s="102"/>
      <c r="D483" s="102"/>
      <c r="E483" s="102"/>
      <c r="F483" s="102"/>
      <c r="G483" s="102"/>
      <c r="H483" s="102"/>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row>
    <row r="484" spans="1:102" x14ac:dyDescent="0.2">
      <c r="A484" s="64"/>
      <c r="B484" s="64"/>
      <c r="C484" s="102"/>
      <c r="D484" s="102"/>
      <c r="E484" s="102"/>
      <c r="F484" s="102"/>
      <c r="G484" s="102"/>
      <c r="H484" s="102"/>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row>
    <row r="485" spans="1:102" x14ac:dyDescent="0.2">
      <c r="A485" s="64"/>
      <c r="B485" s="64"/>
      <c r="C485" s="102"/>
      <c r="D485" s="102"/>
      <c r="E485" s="102"/>
      <c r="F485" s="102"/>
      <c r="G485" s="102"/>
      <c r="H485" s="102"/>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row>
    <row r="486" spans="1:102" x14ac:dyDescent="0.2">
      <c r="A486" s="64"/>
      <c r="B486" s="64"/>
      <c r="C486" s="102"/>
      <c r="D486" s="102"/>
      <c r="E486" s="102"/>
      <c r="F486" s="102"/>
      <c r="G486" s="102"/>
      <c r="H486" s="102"/>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row>
    <row r="487" spans="1:102" x14ac:dyDescent="0.2">
      <c r="A487" s="64"/>
      <c r="B487" s="64"/>
      <c r="C487" s="102"/>
      <c r="D487" s="102"/>
      <c r="E487" s="102"/>
      <c r="F487" s="102"/>
      <c r="G487" s="102"/>
      <c r="H487" s="102"/>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row>
    <row r="488" spans="1:102" x14ac:dyDescent="0.2">
      <c r="A488" s="64"/>
      <c r="B488" s="64"/>
      <c r="C488" s="102"/>
      <c r="D488" s="102"/>
      <c r="E488" s="102"/>
      <c r="F488" s="102"/>
      <c r="G488" s="102"/>
      <c r="H488" s="102"/>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row>
    <row r="489" spans="1:102" x14ac:dyDescent="0.2">
      <c r="A489" s="64"/>
      <c r="B489" s="64"/>
      <c r="C489" s="102"/>
      <c r="D489" s="102"/>
      <c r="E489" s="102"/>
      <c r="F489" s="102"/>
      <c r="G489" s="102"/>
      <c r="H489" s="102"/>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row>
    <row r="490" spans="1:102" x14ac:dyDescent="0.2">
      <c r="A490" s="64"/>
      <c r="B490" s="64"/>
      <c r="C490" s="102"/>
      <c r="D490" s="102"/>
      <c r="E490" s="102"/>
      <c r="F490" s="102"/>
      <c r="G490" s="102"/>
      <c r="H490" s="102"/>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row>
    <row r="491" spans="1:102" x14ac:dyDescent="0.2">
      <c r="A491" s="64"/>
      <c r="B491" s="64"/>
      <c r="C491" s="102"/>
      <c r="D491" s="102"/>
      <c r="E491" s="102"/>
      <c r="F491" s="102"/>
      <c r="G491" s="102"/>
      <c r="H491" s="102"/>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row>
    <row r="492" spans="1:102" x14ac:dyDescent="0.2">
      <c r="A492" s="64"/>
      <c r="B492" s="64"/>
      <c r="C492" s="102"/>
      <c r="D492" s="102"/>
      <c r="E492" s="102"/>
      <c r="F492" s="102"/>
      <c r="G492" s="102"/>
      <c r="H492" s="102"/>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row>
    <row r="493" spans="1:102" x14ac:dyDescent="0.2">
      <c r="A493" s="64"/>
      <c r="B493" s="64"/>
      <c r="C493" s="102"/>
      <c r="D493" s="102"/>
      <c r="E493" s="102"/>
      <c r="F493" s="102"/>
      <c r="G493" s="102"/>
      <c r="H493" s="102"/>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row>
    <row r="494" spans="1:102" x14ac:dyDescent="0.2">
      <c r="A494" s="64"/>
      <c r="B494" s="64"/>
      <c r="C494" s="102"/>
      <c r="D494" s="102"/>
      <c r="E494" s="102"/>
      <c r="F494" s="102"/>
      <c r="G494" s="102"/>
      <c r="H494" s="102"/>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row>
    <row r="495" spans="1:102" x14ac:dyDescent="0.2">
      <c r="A495" s="64"/>
      <c r="B495" s="64"/>
      <c r="C495" s="102"/>
      <c r="D495" s="102"/>
      <c r="E495" s="102"/>
      <c r="F495" s="102"/>
      <c r="G495" s="102"/>
      <c r="H495" s="102"/>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row>
    <row r="496" spans="1:102" x14ac:dyDescent="0.2">
      <c r="A496" s="64"/>
      <c r="B496" s="64"/>
      <c r="C496" s="102"/>
      <c r="D496" s="102"/>
      <c r="E496" s="102"/>
      <c r="F496" s="102"/>
      <c r="G496" s="102"/>
      <c r="H496" s="102"/>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row>
    <row r="497" spans="1:102" x14ac:dyDescent="0.2">
      <c r="A497" s="64"/>
      <c r="B497" s="64"/>
      <c r="C497" s="102"/>
      <c r="D497" s="102"/>
      <c r="E497" s="102"/>
      <c r="F497" s="102"/>
      <c r="G497" s="102"/>
      <c r="H497" s="102"/>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row>
    <row r="498" spans="1:102" x14ac:dyDescent="0.2">
      <c r="A498" s="64"/>
      <c r="B498" s="64"/>
      <c r="C498" s="102"/>
      <c r="D498" s="102"/>
      <c r="E498" s="102"/>
      <c r="F498" s="102"/>
      <c r="G498" s="102"/>
      <c r="H498" s="102"/>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row>
    <row r="499" spans="1:102" x14ac:dyDescent="0.2">
      <c r="A499" s="64"/>
      <c r="B499" s="64"/>
      <c r="C499" s="102"/>
      <c r="D499" s="102"/>
      <c r="E499" s="102"/>
      <c r="F499" s="102"/>
      <c r="G499" s="102"/>
      <c r="H499" s="102"/>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row>
    <row r="500" spans="1:102" x14ac:dyDescent="0.2">
      <c r="A500" s="64"/>
      <c r="B500" s="64"/>
      <c r="C500" s="102"/>
      <c r="D500" s="102"/>
      <c r="E500" s="102"/>
      <c r="F500" s="102"/>
      <c r="G500" s="102"/>
      <c r="H500" s="102"/>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row>
    <row r="501" spans="1:102" x14ac:dyDescent="0.2">
      <c r="A501" s="64"/>
      <c r="B501" s="64"/>
      <c r="C501" s="102"/>
      <c r="D501" s="102"/>
      <c r="E501" s="102"/>
      <c r="F501" s="102"/>
      <c r="G501" s="102"/>
      <c r="H501" s="102"/>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row>
    <row r="502" spans="1:102" x14ac:dyDescent="0.2">
      <c r="A502" s="64"/>
      <c r="B502" s="64"/>
      <c r="C502" s="102"/>
      <c r="D502" s="102"/>
      <c r="E502" s="102"/>
      <c r="F502" s="102"/>
      <c r="G502" s="102"/>
      <c r="H502" s="102"/>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row>
    <row r="503" spans="1:102" x14ac:dyDescent="0.2">
      <c r="A503" s="64"/>
      <c r="B503" s="64"/>
      <c r="C503" s="102"/>
      <c r="D503" s="102"/>
      <c r="E503" s="102"/>
      <c r="F503" s="102"/>
      <c r="G503" s="102"/>
      <c r="H503" s="102"/>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row>
    <row r="504" spans="1:102" x14ac:dyDescent="0.2">
      <c r="A504" s="64"/>
      <c r="B504" s="64"/>
      <c r="C504" s="102"/>
      <c r="D504" s="102"/>
      <c r="E504" s="102"/>
      <c r="F504" s="102"/>
      <c r="G504" s="102"/>
      <c r="H504" s="102"/>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row>
    <row r="505" spans="1:102" x14ac:dyDescent="0.2">
      <c r="A505" s="64"/>
      <c r="B505" s="64"/>
      <c r="C505" s="102"/>
      <c r="D505" s="102"/>
      <c r="E505" s="102"/>
      <c r="F505" s="102"/>
      <c r="G505" s="102"/>
      <c r="H505" s="102"/>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row>
    <row r="506" spans="1:102" x14ac:dyDescent="0.2">
      <c r="A506" s="64"/>
      <c r="B506" s="64"/>
      <c r="C506" s="102"/>
      <c r="D506" s="102"/>
      <c r="E506" s="102"/>
      <c r="F506" s="102"/>
      <c r="G506" s="102"/>
      <c r="H506" s="102"/>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row>
    <row r="507" spans="1:102" x14ac:dyDescent="0.2">
      <c r="A507" s="64"/>
      <c r="B507" s="64"/>
      <c r="C507" s="102"/>
      <c r="D507" s="102"/>
      <c r="E507" s="102"/>
      <c r="F507" s="102"/>
      <c r="G507" s="102"/>
      <c r="H507" s="102"/>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row>
    <row r="508" spans="1:102" x14ac:dyDescent="0.2">
      <c r="A508" s="64"/>
      <c r="B508" s="64"/>
      <c r="C508" s="102"/>
      <c r="D508" s="102"/>
      <c r="E508" s="102"/>
      <c r="F508" s="102"/>
      <c r="G508" s="102"/>
      <c r="H508" s="102"/>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row>
    <row r="509" spans="1:102" x14ac:dyDescent="0.2">
      <c r="A509" s="64"/>
      <c r="B509" s="64"/>
      <c r="C509" s="102"/>
      <c r="D509" s="102"/>
      <c r="E509" s="102"/>
      <c r="F509" s="102"/>
      <c r="G509" s="102"/>
      <c r="H509" s="102"/>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row>
    <row r="510" spans="1:102" x14ac:dyDescent="0.2">
      <c r="A510" s="64"/>
      <c r="B510" s="64"/>
      <c r="C510" s="102"/>
      <c r="D510" s="102"/>
      <c r="E510" s="102"/>
      <c r="F510" s="102"/>
      <c r="G510" s="102"/>
      <c r="H510" s="102"/>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row>
    <row r="511" spans="1:102" x14ac:dyDescent="0.2">
      <c r="A511" s="64"/>
      <c r="B511" s="64"/>
      <c r="C511" s="102"/>
      <c r="D511" s="102"/>
      <c r="E511" s="102"/>
      <c r="F511" s="102"/>
      <c r="G511" s="102"/>
      <c r="H511" s="102"/>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row>
    <row r="512" spans="1:102" x14ac:dyDescent="0.2">
      <c r="A512" s="64"/>
      <c r="B512" s="64"/>
      <c r="C512" s="102"/>
      <c r="D512" s="102"/>
      <c r="E512" s="102"/>
      <c r="F512" s="102"/>
      <c r="G512" s="102"/>
      <c r="H512" s="102"/>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row>
    <row r="513" spans="1:102" x14ac:dyDescent="0.2">
      <c r="A513" s="64"/>
      <c r="B513" s="64"/>
      <c r="C513" s="102"/>
      <c r="D513" s="102"/>
      <c r="E513" s="102"/>
      <c r="F513" s="102"/>
      <c r="G513" s="102"/>
      <c r="H513" s="102"/>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row>
    <row r="514" spans="1:102" x14ac:dyDescent="0.2">
      <c r="A514" s="64"/>
      <c r="B514" s="64"/>
      <c r="C514" s="102"/>
      <c r="D514" s="102"/>
      <c r="E514" s="102"/>
      <c r="F514" s="102"/>
      <c r="G514" s="102"/>
      <c r="H514" s="102"/>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row>
    <row r="515" spans="1:102" x14ac:dyDescent="0.2">
      <c r="A515" s="64"/>
      <c r="B515" s="64"/>
      <c r="C515" s="102"/>
      <c r="D515" s="102"/>
      <c r="E515" s="102"/>
      <c r="F515" s="102"/>
      <c r="G515" s="102"/>
      <c r="H515" s="102"/>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row>
    <row r="516" spans="1:102" x14ac:dyDescent="0.2">
      <c r="A516" s="64"/>
      <c r="B516" s="64"/>
      <c r="C516" s="102"/>
      <c r="D516" s="102"/>
      <c r="E516" s="102"/>
      <c r="F516" s="102"/>
      <c r="G516" s="102"/>
      <c r="H516" s="102"/>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row>
    <row r="517" spans="1:102" x14ac:dyDescent="0.2">
      <c r="A517" s="64"/>
      <c r="B517" s="64"/>
      <c r="C517" s="102"/>
      <c r="D517" s="102"/>
      <c r="E517" s="102"/>
      <c r="F517" s="102"/>
      <c r="G517" s="102"/>
      <c r="H517" s="102"/>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row>
    <row r="518" spans="1:102" x14ac:dyDescent="0.2">
      <c r="A518" s="64"/>
      <c r="B518" s="64"/>
      <c r="C518" s="102"/>
      <c r="D518" s="102"/>
      <c r="E518" s="102"/>
      <c r="F518" s="102"/>
      <c r="G518" s="102"/>
      <c r="H518" s="102"/>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row>
    <row r="519" spans="1:102" x14ac:dyDescent="0.2">
      <c r="A519" s="64"/>
      <c r="B519" s="64"/>
      <c r="C519" s="102"/>
      <c r="D519" s="102"/>
      <c r="E519" s="102"/>
      <c r="F519" s="102"/>
      <c r="G519" s="102"/>
      <c r="H519" s="102"/>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row>
    <row r="520" spans="1:102" x14ac:dyDescent="0.2">
      <c r="A520" s="64"/>
      <c r="B520" s="64"/>
      <c r="C520" s="102"/>
      <c r="D520" s="102"/>
      <c r="E520" s="102"/>
      <c r="F520" s="102"/>
      <c r="G520" s="102"/>
      <c r="H520" s="102"/>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row>
    <row r="521" spans="1:102" x14ac:dyDescent="0.2">
      <c r="A521" s="64"/>
      <c r="B521" s="64"/>
      <c r="C521" s="102"/>
      <c r="D521" s="102"/>
      <c r="E521" s="102"/>
      <c r="F521" s="102"/>
      <c r="G521" s="102"/>
      <c r="H521" s="102"/>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row>
    <row r="522" spans="1:102" x14ac:dyDescent="0.2">
      <c r="A522" s="64"/>
      <c r="B522" s="64"/>
      <c r="C522" s="102"/>
      <c r="D522" s="102"/>
      <c r="E522" s="102"/>
      <c r="F522" s="102"/>
      <c r="G522" s="102"/>
      <c r="H522" s="102"/>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row>
    <row r="523" spans="1:102" x14ac:dyDescent="0.2">
      <c r="A523" s="64"/>
      <c r="B523" s="64"/>
      <c r="C523" s="102"/>
      <c r="D523" s="102"/>
      <c r="E523" s="102"/>
      <c r="F523" s="102"/>
      <c r="G523" s="102"/>
      <c r="H523" s="102"/>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row>
    <row r="524" spans="1:102" x14ac:dyDescent="0.2">
      <c r="A524" s="64"/>
      <c r="B524" s="64"/>
      <c r="C524" s="102"/>
      <c r="D524" s="102"/>
      <c r="E524" s="102"/>
      <c r="F524" s="102"/>
      <c r="G524" s="102"/>
      <c r="H524" s="102"/>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row>
    <row r="525" spans="1:102" x14ac:dyDescent="0.2">
      <c r="A525" s="64"/>
      <c r="B525" s="64"/>
      <c r="C525" s="102"/>
      <c r="D525" s="102"/>
      <c r="E525" s="102"/>
      <c r="F525" s="102"/>
      <c r="G525" s="102"/>
      <c r="H525" s="102"/>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row>
    <row r="526" spans="1:102" x14ac:dyDescent="0.2">
      <c r="A526" s="64"/>
      <c r="B526" s="64"/>
      <c r="C526" s="102"/>
      <c r="D526" s="102"/>
      <c r="E526" s="102"/>
      <c r="F526" s="102"/>
      <c r="G526" s="102"/>
      <c r="H526" s="102"/>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row>
    <row r="527" spans="1:102" x14ac:dyDescent="0.2">
      <c r="A527" s="64"/>
      <c r="B527" s="64"/>
      <c r="C527" s="102"/>
      <c r="D527" s="102"/>
      <c r="E527" s="102"/>
      <c r="F527" s="102"/>
      <c r="G527" s="102"/>
      <c r="H527" s="102"/>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row>
    <row r="528" spans="1:102" x14ac:dyDescent="0.2">
      <c r="A528" s="64"/>
      <c r="B528" s="64"/>
      <c r="C528" s="102"/>
      <c r="D528" s="102"/>
      <c r="E528" s="102"/>
      <c r="F528" s="102"/>
      <c r="G528" s="102"/>
      <c r="H528" s="102"/>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row>
    <row r="529" spans="1:102" x14ac:dyDescent="0.2">
      <c r="A529" s="64"/>
      <c r="B529" s="64"/>
      <c r="C529" s="102"/>
      <c r="D529" s="102"/>
      <c r="E529" s="102"/>
      <c r="F529" s="102"/>
      <c r="G529" s="102"/>
      <c r="H529" s="102"/>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row>
    <row r="530" spans="1:102" x14ac:dyDescent="0.2">
      <c r="A530" s="64"/>
      <c r="B530" s="64"/>
      <c r="C530" s="102"/>
      <c r="D530" s="102"/>
      <c r="E530" s="102"/>
      <c r="F530" s="102"/>
      <c r="G530" s="102"/>
      <c r="H530" s="102"/>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row>
    <row r="531" spans="1:102" x14ac:dyDescent="0.2">
      <c r="A531" s="64"/>
      <c r="B531" s="64"/>
      <c r="C531" s="102"/>
      <c r="D531" s="102"/>
      <c r="E531" s="102"/>
      <c r="F531" s="102"/>
      <c r="G531" s="102"/>
      <c r="H531" s="102"/>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row>
    <row r="532" spans="1:102" x14ac:dyDescent="0.2">
      <c r="A532" s="64"/>
      <c r="B532" s="64"/>
      <c r="C532" s="102"/>
      <c r="D532" s="102"/>
      <c r="E532" s="102"/>
      <c r="F532" s="102"/>
      <c r="G532" s="102"/>
      <c r="H532" s="102"/>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row>
    <row r="533" spans="1:102" x14ac:dyDescent="0.2">
      <c r="A533" s="64"/>
      <c r="B533" s="64"/>
      <c r="C533" s="102"/>
      <c r="D533" s="102"/>
      <c r="E533" s="102"/>
      <c r="F533" s="102"/>
      <c r="G533" s="102"/>
      <c r="H533" s="102"/>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row>
    <row r="534" spans="1:102" x14ac:dyDescent="0.2">
      <c r="A534" s="64"/>
      <c r="B534" s="64"/>
      <c r="C534" s="102"/>
      <c r="D534" s="102"/>
      <c r="E534" s="102"/>
      <c r="F534" s="102"/>
      <c r="G534" s="102"/>
      <c r="H534" s="102"/>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row>
    <row r="535" spans="1:102" x14ac:dyDescent="0.2">
      <c r="A535" s="64"/>
      <c r="B535" s="64"/>
      <c r="C535" s="102"/>
      <c r="D535" s="102"/>
      <c r="E535" s="102"/>
      <c r="F535" s="102"/>
      <c r="G535" s="102"/>
      <c r="H535" s="102"/>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row>
    <row r="536" spans="1:102" x14ac:dyDescent="0.2">
      <c r="A536" s="64"/>
      <c r="B536" s="64"/>
      <c r="C536" s="102"/>
      <c r="D536" s="102"/>
      <c r="E536" s="102"/>
      <c r="F536" s="102"/>
      <c r="G536" s="102"/>
      <c r="H536" s="102"/>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row>
    <row r="537" spans="1:102" x14ac:dyDescent="0.2">
      <c r="A537" s="64"/>
      <c r="B537" s="64"/>
      <c r="C537" s="102"/>
      <c r="D537" s="102"/>
      <c r="E537" s="102"/>
      <c r="F537" s="102"/>
      <c r="G537" s="102"/>
      <c r="H537" s="102"/>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row>
    <row r="538" spans="1:102" x14ac:dyDescent="0.2">
      <c r="A538" s="64"/>
      <c r="B538" s="64"/>
      <c r="C538" s="102"/>
      <c r="D538" s="102"/>
      <c r="E538" s="102"/>
      <c r="F538" s="102"/>
      <c r="G538" s="102"/>
      <c r="H538" s="102"/>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row>
    <row r="539" spans="1:102" x14ac:dyDescent="0.2">
      <c r="A539" s="64"/>
      <c r="B539" s="64"/>
      <c r="C539" s="102"/>
      <c r="D539" s="102"/>
      <c r="E539" s="102"/>
      <c r="F539" s="102"/>
      <c r="G539" s="102"/>
      <c r="H539" s="102"/>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row>
    <row r="540" spans="1:102" x14ac:dyDescent="0.2">
      <c r="A540" s="64"/>
      <c r="B540" s="64"/>
      <c r="C540" s="102"/>
      <c r="D540" s="102"/>
      <c r="E540" s="102"/>
      <c r="F540" s="102"/>
      <c r="G540" s="102"/>
      <c r="H540" s="102"/>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row>
    <row r="541" spans="1:102" x14ac:dyDescent="0.2">
      <c r="A541" s="64"/>
      <c r="B541" s="64"/>
      <c r="C541" s="102"/>
      <c r="D541" s="102"/>
      <c r="E541" s="102"/>
      <c r="F541" s="102"/>
      <c r="G541" s="102"/>
      <c r="H541" s="102"/>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row>
    <row r="542" spans="1:102" x14ac:dyDescent="0.2">
      <c r="A542" s="64"/>
      <c r="B542" s="64"/>
      <c r="C542" s="102"/>
      <c r="D542" s="102"/>
      <c r="E542" s="102"/>
      <c r="F542" s="102"/>
      <c r="G542" s="102"/>
      <c r="H542" s="102"/>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row>
    <row r="543" spans="1:102" x14ac:dyDescent="0.2">
      <c r="A543" s="64"/>
      <c r="B543" s="64"/>
      <c r="C543" s="102"/>
      <c r="D543" s="102"/>
      <c r="E543" s="102"/>
      <c r="F543" s="102"/>
      <c r="G543" s="102"/>
      <c r="H543" s="102"/>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row>
    <row r="544" spans="1:102" x14ac:dyDescent="0.2">
      <c r="A544" s="64"/>
      <c r="B544" s="64"/>
      <c r="C544" s="102"/>
      <c r="D544" s="102"/>
      <c r="E544" s="102"/>
      <c r="F544" s="102"/>
      <c r="G544" s="102"/>
      <c r="H544" s="102"/>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row>
    <row r="545" spans="1:102" x14ac:dyDescent="0.2">
      <c r="A545" s="64"/>
      <c r="B545" s="64"/>
      <c r="C545" s="102"/>
      <c r="D545" s="102"/>
      <c r="E545" s="102"/>
      <c r="F545" s="102"/>
      <c r="G545" s="102"/>
      <c r="H545" s="102"/>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row>
    <row r="546" spans="1:102" x14ac:dyDescent="0.2">
      <c r="A546" s="64"/>
      <c r="B546" s="64"/>
      <c r="C546" s="102"/>
      <c r="D546" s="102"/>
      <c r="E546" s="102"/>
      <c r="F546" s="102"/>
      <c r="G546" s="102"/>
      <c r="H546" s="102"/>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row>
    <row r="547" spans="1:102" x14ac:dyDescent="0.2">
      <c r="A547" s="64"/>
      <c r="B547" s="64"/>
      <c r="C547" s="102"/>
      <c r="D547" s="102"/>
      <c r="E547" s="102"/>
      <c r="F547" s="102"/>
      <c r="G547" s="102"/>
      <c r="H547" s="102"/>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row>
    <row r="548" spans="1:102" x14ac:dyDescent="0.2">
      <c r="A548" s="64"/>
      <c r="B548" s="64"/>
      <c r="C548" s="102"/>
      <c r="D548" s="102"/>
      <c r="E548" s="102"/>
      <c r="F548" s="102"/>
      <c r="G548" s="102"/>
      <c r="H548" s="102"/>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row>
    <row r="549" spans="1:102" x14ac:dyDescent="0.2">
      <c r="A549" s="64"/>
      <c r="B549" s="64"/>
      <c r="C549" s="102"/>
      <c r="D549" s="102"/>
      <c r="E549" s="102"/>
      <c r="F549" s="102"/>
      <c r="G549" s="102"/>
      <c r="H549" s="102"/>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row>
    <row r="550" spans="1:102" x14ac:dyDescent="0.2">
      <c r="A550" s="64"/>
      <c r="B550" s="64"/>
      <c r="C550" s="102"/>
      <c r="D550" s="102"/>
      <c r="E550" s="102"/>
      <c r="F550" s="102"/>
      <c r="G550" s="102"/>
      <c r="H550" s="102"/>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row>
    <row r="551" spans="1:102" x14ac:dyDescent="0.2">
      <c r="A551" s="64"/>
      <c r="B551" s="64"/>
      <c r="C551" s="102"/>
      <c r="D551" s="102"/>
      <c r="E551" s="102"/>
      <c r="F551" s="102"/>
      <c r="G551" s="102"/>
      <c r="H551" s="102"/>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row>
    <row r="552" spans="1:102" x14ac:dyDescent="0.2">
      <c r="A552" s="64"/>
      <c r="B552" s="64"/>
      <c r="C552" s="102"/>
      <c r="D552" s="102"/>
      <c r="E552" s="102"/>
      <c r="F552" s="102"/>
      <c r="G552" s="102"/>
      <c r="H552" s="102"/>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row>
    <row r="553" spans="1:102" x14ac:dyDescent="0.2">
      <c r="A553" s="64"/>
      <c r="B553" s="64"/>
      <c r="C553" s="102"/>
      <c r="D553" s="102"/>
      <c r="E553" s="102"/>
      <c r="F553" s="102"/>
      <c r="G553" s="102"/>
      <c r="H553" s="102"/>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row>
    <row r="554" spans="1:102" x14ac:dyDescent="0.2">
      <c r="A554" s="64"/>
      <c r="B554" s="64"/>
      <c r="C554" s="102"/>
      <c r="D554" s="102"/>
      <c r="E554" s="102"/>
      <c r="F554" s="102"/>
      <c r="G554" s="102"/>
      <c r="H554" s="102"/>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row>
    <row r="555" spans="1:102" x14ac:dyDescent="0.2">
      <c r="A555" s="64"/>
      <c r="B555" s="64"/>
      <c r="C555" s="102"/>
      <c r="D555" s="102"/>
      <c r="E555" s="102"/>
      <c r="F555" s="102"/>
      <c r="G555" s="102"/>
      <c r="H555" s="102"/>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row>
    <row r="556" spans="1:102" x14ac:dyDescent="0.2">
      <c r="A556" s="64"/>
      <c r="B556" s="64"/>
      <c r="C556" s="102"/>
      <c r="D556" s="102"/>
      <c r="E556" s="102"/>
      <c r="F556" s="102"/>
      <c r="G556" s="102"/>
      <c r="H556" s="102"/>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row>
    <row r="557" spans="1:102" x14ac:dyDescent="0.2">
      <c r="A557" s="64"/>
      <c r="B557" s="64"/>
      <c r="C557" s="102"/>
      <c r="D557" s="102"/>
      <c r="E557" s="102"/>
      <c r="F557" s="102"/>
      <c r="G557" s="102"/>
      <c r="H557" s="102"/>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row>
    <row r="558" spans="1:102" x14ac:dyDescent="0.2">
      <c r="A558" s="64"/>
      <c r="B558" s="64"/>
      <c r="C558" s="102"/>
      <c r="D558" s="102"/>
      <c r="E558" s="102"/>
      <c r="F558" s="102"/>
      <c r="G558" s="102"/>
      <c r="H558" s="102"/>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row>
    <row r="559" spans="1:102" x14ac:dyDescent="0.2">
      <c r="A559" s="64"/>
      <c r="B559" s="64"/>
      <c r="C559" s="102"/>
      <c r="D559" s="102"/>
      <c r="E559" s="102"/>
      <c r="F559" s="102"/>
      <c r="G559" s="102"/>
      <c r="H559" s="102"/>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row>
    <row r="560" spans="1:102" x14ac:dyDescent="0.2">
      <c r="A560" s="64"/>
      <c r="B560" s="64"/>
      <c r="C560" s="102"/>
      <c r="D560" s="102"/>
      <c r="E560" s="102"/>
      <c r="F560" s="102"/>
      <c r="G560" s="102"/>
      <c r="H560" s="102"/>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row>
    <row r="561" spans="1:102" x14ac:dyDescent="0.2">
      <c r="A561" s="64"/>
      <c r="B561" s="64"/>
      <c r="C561" s="102"/>
      <c r="D561" s="102"/>
      <c r="E561" s="102"/>
      <c r="F561" s="102"/>
      <c r="G561" s="102"/>
      <c r="H561" s="102"/>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row>
    <row r="562" spans="1:102" x14ac:dyDescent="0.2">
      <c r="A562" s="64"/>
      <c r="B562" s="64"/>
      <c r="C562" s="102"/>
      <c r="D562" s="102"/>
      <c r="E562" s="102"/>
      <c r="F562" s="102"/>
      <c r="G562" s="102"/>
      <c r="H562" s="102"/>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row>
    <row r="563" spans="1:102" x14ac:dyDescent="0.2">
      <c r="A563" s="64"/>
      <c r="B563" s="64"/>
      <c r="C563" s="102"/>
      <c r="D563" s="102"/>
      <c r="E563" s="102"/>
      <c r="F563" s="102"/>
      <c r="G563" s="102"/>
      <c r="H563" s="102"/>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row>
    <row r="564" spans="1:102" x14ac:dyDescent="0.2">
      <c r="A564" s="64"/>
      <c r="B564" s="64"/>
      <c r="C564" s="102"/>
      <c r="D564" s="102"/>
      <c r="E564" s="102"/>
      <c r="F564" s="102"/>
      <c r="G564" s="102"/>
      <c r="H564" s="102"/>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row>
    <row r="565" spans="1:102" x14ac:dyDescent="0.2">
      <c r="A565" s="64"/>
      <c r="B565" s="64"/>
      <c r="C565" s="102"/>
      <c r="D565" s="102"/>
      <c r="E565" s="102"/>
      <c r="F565" s="102"/>
      <c r="G565" s="102"/>
      <c r="H565" s="102"/>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row>
    <row r="566" spans="1:102" x14ac:dyDescent="0.2">
      <c r="A566" s="64"/>
      <c r="B566" s="64"/>
      <c r="C566" s="102"/>
      <c r="D566" s="102"/>
      <c r="E566" s="102"/>
      <c r="F566" s="102"/>
      <c r="G566" s="102"/>
      <c r="H566" s="102"/>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row>
    <row r="567" spans="1:102" x14ac:dyDescent="0.2">
      <c r="A567" s="64"/>
      <c r="B567" s="64"/>
      <c r="C567" s="102"/>
      <c r="D567" s="102"/>
      <c r="E567" s="102"/>
      <c r="F567" s="102"/>
      <c r="G567" s="102"/>
      <c r="H567" s="102"/>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row>
    <row r="568" spans="1:102" x14ac:dyDescent="0.2">
      <c r="A568" s="64"/>
      <c r="B568" s="64"/>
      <c r="C568" s="102"/>
      <c r="D568" s="102"/>
      <c r="E568" s="102"/>
      <c r="F568" s="102"/>
      <c r="G568" s="102"/>
      <c r="H568" s="102"/>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row>
    <row r="569" spans="1:102" x14ac:dyDescent="0.2">
      <c r="A569" s="64"/>
      <c r="B569" s="64"/>
      <c r="C569" s="102"/>
      <c r="D569" s="102"/>
      <c r="E569" s="102"/>
      <c r="F569" s="102"/>
      <c r="G569" s="102"/>
      <c r="H569" s="102"/>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row>
    <row r="570" spans="1:102" x14ac:dyDescent="0.2">
      <c r="A570" s="64"/>
      <c r="B570" s="64"/>
      <c r="C570" s="102"/>
      <c r="D570" s="102"/>
      <c r="E570" s="102"/>
      <c r="F570" s="102"/>
      <c r="G570" s="102"/>
      <c r="H570" s="102"/>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row>
    <row r="571" spans="1:102" x14ac:dyDescent="0.2">
      <c r="A571" s="64"/>
      <c r="B571" s="64"/>
      <c r="C571" s="102"/>
      <c r="D571" s="102"/>
      <c r="E571" s="102"/>
      <c r="F571" s="102"/>
      <c r="G571" s="102"/>
      <c r="H571" s="102"/>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row>
    <row r="572" spans="1:102" x14ac:dyDescent="0.2">
      <c r="A572" s="64"/>
      <c r="B572" s="64"/>
      <c r="C572" s="102"/>
      <c r="D572" s="102"/>
      <c r="E572" s="102"/>
      <c r="F572" s="102"/>
      <c r="G572" s="102"/>
      <c r="H572" s="102"/>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row>
    <row r="573" spans="1:102" x14ac:dyDescent="0.2">
      <c r="A573" s="64"/>
      <c r="B573" s="64"/>
      <c r="C573" s="102"/>
      <c r="D573" s="102"/>
      <c r="E573" s="102"/>
      <c r="F573" s="102"/>
      <c r="G573" s="102"/>
      <c r="H573" s="102"/>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row>
    <row r="574" spans="1:102" x14ac:dyDescent="0.2">
      <c r="A574" s="64"/>
      <c r="B574" s="64"/>
      <c r="C574" s="102"/>
      <c r="D574" s="102"/>
      <c r="E574" s="102"/>
      <c r="F574" s="102"/>
      <c r="G574" s="102"/>
      <c r="H574" s="102"/>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row>
    <row r="575" spans="1:102" x14ac:dyDescent="0.2">
      <c r="A575" s="64"/>
      <c r="B575" s="64"/>
      <c r="C575" s="102"/>
      <c r="D575" s="102"/>
      <c r="E575" s="102"/>
      <c r="F575" s="102"/>
      <c r="G575" s="102"/>
      <c r="H575" s="102"/>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row>
    <row r="576" spans="1:102" x14ac:dyDescent="0.2">
      <c r="A576" s="64"/>
      <c r="B576" s="64"/>
      <c r="C576" s="102"/>
      <c r="D576" s="102"/>
      <c r="E576" s="102"/>
      <c r="F576" s="102"/>
      <c r="G576" s="102"/>
      <c r="H576" s="102"/>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row>
    <row r="577" spans="1:102" x14ac:dyDescent="0.2">
      <c r="A577" s="64"/>
      <c r="B577" s="64"/>
      <c r="C577" s="102"/>
      <c r="D577" s="102"/>
      <c r="E577" s="102"/>
      <c r="F577" s="102"/>
      <c r="G577" s="102"/>
      <c r="H577" s="102"/>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row>
    <row r="578" spans="1:102" x14ac:dyDescent="0.2">
      <c r="A578" s="64"/>
      <c r="B578" s="64"/>
      <c r="C578" s="102"/>
      <c r="D578" s="102"/>
      <c r="E578" s="102"/>
      <c r="F578" s="102"/>
      <c r="G578" s="102"/>
      <c r="H578" s="102"/>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row>
    <row r="579" spans="1:102" x14ac:dyDescent="0.2">
      <c r="A579" s="64"/>
      <c r="B579" s="64"/>
      <c r="C579" s="102"/>
      <c r="D579" s="102"/>
      <c r="E579" s="102"/>
      <c r="F579" s="102"/>
      <c r="G579" s="102"/>
      <c r="H579" s="102"/>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row>
    <row r="580" spans="1:102" x14ac:dyDescent="0.2">
      <c r="A580" s="64"/>
      <c r="B580" s="64"/>
      <c r="C580" s="102"/>
      <c r="D580" s="102"/>
      <c r="E580" s="102"/>
      <c r="F580" s="102"/>
      <c r="G580" s="102"/>
      <c r="H580" s="102"/>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row>
    <row r="581" spans="1:102" x14ac:dyDescent="0.2">
      <c r="A581" s="64"/>
      <c r="B581" s="64"/>
      <c r="C581" s="102"/>
      <c r="D581" s="102"/>
      <c r="E581" s="102"/>
      <c r="F581" s="102"/>
      <c r="G581" s="102"/>
      <c r="H581" s="102"/>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row>
    <row r="582" spans="1:102" x14ac:dyDescent="0.2">
      <c r="A582" s="64"/>
      <c r="B582" s="64"/>
      <c r="C582" s="102"/>
      <c r="D582" s="102"/>
      <c r="E582" s="102"/>
      <c r="F582" s="102"/>
      <c r="G582" s="102"/>
      <c r="H582" s="102"/>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row>
    <row r="583" spans="1:102" x14ac:dyDescent="0.2">
      <c r="A583" s="64"/>
      <c r="B583" s="64"/>
      <c r="C583" s="102"/>
      <c r="D583" s="102"/>
      <c r="E583" s="102"/>
      <c r="F583" s="102"/>
      <c r="G583" s="102"/>
      <c r="H583" s="102"/>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row>
    <row r="584" spans="1:102" x14ac:dyDescent="0.2">
      <c r="A584" s="64"/>
      <c r="B584" s="64"/>
      <c r="C584" s="102"/>
      <c r="D584" s="102"/>
      <c r="E584" s="102"/>
      <c r="F584" s="102"/>
      <c r="G584" s="102"/>
      <c r="H584" s="102"/>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row>
    <row r="585" spans="1:102" x14ac:dyDescent="0.2">
      <c r="A585" s="64"/>
      <c r="B585" s="64"/>
      <c r="C585" s="102"/>
      <c r="D585" s="102"/>
      <c r="E585" s="102"/>
      <c r="F585" s="102"/>
      <c r="G585" s="102"/>
      <c r="H585" s="102"/>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row>
    <row r="586" spans="1:102" x14ac:dyDescent="0.2">
      <c r="A586" s="64"/>
      <c r="B586" s="64"/>
      <c r="C586" s="102"/>
      <c r="D586" s="102"/>
      <c r="E586" s="102"/>
      <c r="F586" s="102"/>
      <c r="G586" s="102"/>
      <c r="H586" s="102"/>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row>
    <row r="587" spans="1:102" x14ac:dyDescent="0.2">
      <c r="A587" s="64"/>
      <c r="B587" s="64"/>
      <c r="C587" s="102"/>
      <c r="D587" s="102"/>
      <c r="E587" s="102"/>
      <c r="F587" s="102"/>
      <c r="G587" s="102"/>
      <c r="H587" s="102"/>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row>
    <row r="588" spans="1:102" x14ac:dyDescent="0.2">
      <c r="A588" s="64"/>
      <c r="B588" s="64"/>
      <c r="C588" s="102"/>
      <c r="D588" s="102"/>
      <c r="E588" s="102"/>
      <c r="F588" s="102"/>
      <c r="G588" s="102"/>
      <c r="H588" s="102"/>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row>
    <row r="589" spans="1:102" x14ac:dyDescent="0.2">
      <c r="A589" s="64"/>
      <c r="B589" s="64"/>
      <c r="C589" s="102"/>
      <c r="D589" s="102"/>
      <c r="E589" s="102"/>
      <c r="F589" s="102"/>
      <c r="G589" s="102"/>
      <c r="H589" s="102"/>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row>
    <row r="590" spans="1:102" x14ac:dyDescent="0.2">
      <c r="A590" s="64"/>
      <c r="B590" s="64"/>
      <c r="C590" s="102"/>
      <c r="D590" s="102"/>
      <c r="E590" s="102"/>
      <c r="F590" s="102"/>
      <c r="G590" s="102"/>
      <c r="H590" s="102"/>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row>
    <row r="591" spans="1:102" x14ac:dyDescent="0.2">
      <c r="A591" s="64"/>
      <c r="B591" s="64"/>
      <c r="C591" s="102"/>
      <c r="D591" s="102"/>
      <c r="E591" s="102"/>
      <c r="F591" s="102"/>
      <c r="G591" s="102"/>
      <c r="H591" s="102"/>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row>
    <row r="592" spans="1:102" x14ac:dyDescent="0.2">
      <c r="A592" s="64"/>
      <c r="B592" s="64"/>
      <c r="C592" s="102"/>
      <c r="D592" s="102"/>
      <c r="E592" s="102"/>
      <c r="F592" s="102"/>
      <c r="G592" s="102"/>
      <c r="H592" s="102"/>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row>
    <row r="593" spans="1:102" x14ac:dyDescent="0.2">
      <c r="A593" s="64"/>
      <c r="B593" s="64"/>
      <c r="C593" s="102"/>
      <c r="D593" s="102"/>
      <c r="E593" s="102"/>
      <c r="F593" s="102"/>
      <c r="G593" s="102"/>
      <c r="H593" s="102"/>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row>
    <row r="594" spans="1:102" x14ac:dyDescent="0.2">
      <c r="A594" s="64"/>
      <c r="B594" s="64"/>
      <c r="C594" s="102"/>
      <c r="D594" s="102"/>
      <c r="E594" s="102"/>
      <c r="F594" s="102"/>
      <c r="G594" s="102"/>
      <c r="H594" s="102"/>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row>
    <row r="595" spans="1:102" x14ac:dyDescent="0.2">
      <c r="A595" s="64"/>
      <c r="B595" s="64"/>
      <c r="C595" s="102"/>
      <c r="D595" s="102"/>
      <c r="E595" s="102"/>
      <c r="F595" s="102"/>
      <c r="G595" s="102"/>
      <c r="H595" s="102"/>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row>
    <row r="596" spans="1:102" x14ac:dyDescent="0.2">
      <c r="A596" s="64"/>
      <c r="B596" s="64"/>
      <c r="C596" s="102"/>
      <c r="D596" s="102"/>
      <c r="E596" s="102"/>
      <c r="F596" s="102"/>
      <c r="G596" s="102"/>
      <c r="H596" s="102"/>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row>
    <row r="597" spans="1:102" x14ac:dyDescent="0.2">
      <c r="A597" s="64"/>
      <c r="B597" s="64"/>
      <c r="C597" s="102"/>
      <c r="D597" s="102"/>
      <c r="E597" s="102"/>
      <c r="F597" s="102"/>
      <c r="G597" s="102"/>
      <c r="H597" s="102"/>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row>
    <row r="598" spans="1:102" x14ac:dyDescent="0.2">
      <c r="A598" s="64"/>
      <c r="B598" s="64"/>
      <c r="C598" s="102"/>
      <c r="D598" s="102"/>
      <c r="E598" s="102"/>
      <c r="F598" s="102"/>
      <c r="G598" s="102"/>
      <c r="H598" s="102"/>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row>
    <row r="599" spans="1:102" x14ac:dyDescent="0.2">
      <c r="A599" s="64"/>
      <c r="B599" s="64"/>
      <c r="C599" s="102"/>
      <c r="D599" s="102"/>
      <c r="E599" s="102"/>
      <c r="F599" s="102"/>
      <c r="G599" s="102"/>
      <c r="H599" s="102"/>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row>
    <row r="600" spans="1:102" x14ac:dyDescent="0.2">
      <c r="A600" s="64"/>
      <c r="B600" s="64"/>
      <c r="C600" s="102"/>
      <c r="D600" s="102"/>
      <c r="E600" s="102"/>
      <c r="F600" s="102"/>
      <c r="G600" s="102"/>
      <c r="H600" s="102"/>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row>
    <row r="601" spans="1:102" x14ac:dyDescent="0.2">
      <c r="A601" s="64"/>
      <c r="B601" s="64"/>
      <c r="C601" s="102"/>
      <c r="D601" s="102"/>
      <c r="E601" s="102"/>
      <c r="F601" s="102"/>
      <c r="G601" s="102"/>
      <c r="H601" s="102"/>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row>
    <row r="602" spans="1:102" x14ac:dyDescent="0.2">
      <c r="A602" s="64"/>
      <c r="B602" s="64"/>
      <c r="C602" s="102"/>
      <c r="D602" s="102"/>
      <c r="E602" s="102"/>
      <c r="F602" s="102"/>
      <c r="G602" s="102"/>
      <c r="H602" s="102"/>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row>
    <row r="603" spans="1:102" x14ac:dyDescent="0.2">
      <c r="A603" s="64"/>
      <c r="B603" s="64"/>
      <c r="C603" s="102"/>
      <c r="D603" s="102"/>
      <c r="E603" s="102"/>
      <c r="F603" s="102"/>
      <c r="G603" s="102"/>
      <c r="H603" s="102"/>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row>
    <row r="604" spans="1:102" x14ac:dyDescent="0.2">
      <c r="A604" s="64"/>
      <c r="B604" s="64"/>
      <c r="C604" s="102"/>
      <c r="D604" s="102"/>
      <c r="E604" s="102"/>
      <c r="F604" s="102"/>
      <c r="G604" s="102"/>
      <c r="H604" s="102"/>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row>
    <row r="605" spans="1:102" x14ac:dyDescent="0.2">
      <c r="A605" s="64"/>
      <c r="B605" s="64"/>
      <c r="C605" s="102"/>
      <c r="D605" s="102"/>
      <c r="E605" s="102"/>
      <c r="F605" s="102"/>
      <c r="G605" s="102"/>
      <c r="H605" s="102"/>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row>
    <row r="606" spans="1:102" x14ac:dyDescent="0.2">
      <c r="A606" s="64"/>
      <c r="B606" s="64"/>
      <c r="C606" s="102"/>
      <c r="D606" s="102"/>
      <c r="E606" s="102"/>
      <c r="F606" s="102"/>
      <c r="G606" s="102"/>
      <c r="H606" s="102"/>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row>
    <row r="607" spans="1:102" x14ac:dyDescent="0.2">
      <c r="A607" s="64"/>
      <c r="B607" s="64"/>
      <c r="C607" s="102"/>
      <c r="D607" s="102"/>
      <c r="E607" s="102"/>
      <c r="F607" s="102"/>
      <c r="G607" s="102"/>
      <c r="H607" s="102"/>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row>
    <row r="608" spans="1:102" x14ac:dyDescent="0.2">
      <c r="A608" s="64"/>
      <c r="B608" s="64"/>
      <c r="C608" s="102"/>
      <c r="D608" s="102"/>
      <c r="E608" s="102"/>
      <c r="F608" s="102"/>
      <c r="G608" s="102"/>
      <c r="H608" s="102"/>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row>
    <row r="609" spans="1:102" x14ac:dyDescent="0.2">
      <c r="A609" s="64"/>
      <c r="B609" s="64"/>
      <c r="C609" s="102"/>
      <c r="D609" s="102"/>
      <c r="E609" s="102"/>
      <c r="F609" s="102"/>
      <c r="G609" s="102"/>
      <c r="H609" s="102"/>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row>
    <row r="610" spans="1:102" x14ac:dyDescent="0.2">
      <c r="A610" s="64"/>
      <c r="B610" s="64"/>
      <c r="C610" s="102"/>
      <c r="D610" s="102"/>
      <c r="E610" s="102"/>
      <c r="F610" s="102"/>
      <c r="G610" s="102"/>
      <c r="H610" s="102"/>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row>
    <row r="611" spans="1:102" x14ac:dyDescent="0.2">
      <c r="A611" s="64"/>
      <c r="B611" s="64"/>
      <c r="C611" s="102"/>
      <c r="D611" s="102"/>
      <c r="E611" s="102"/>
      <c r="F611" s="102"/>
      <c r="G611" s="102"/>
      <c r="H611" s="102"/>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row>
    <row r="612" spans="1:102" x14ac:dyDescent="0.2">
      <c r="A612" s="64"/>
      <c r="B612" s="64"/>
      <c r="C612" s="102"/>
      <c r="D612" s="102"/>
      <c r="E612" s="102"/>
      <c r="F612" s="102"/>
      <c r="G612" s="102"/>
      <c r="H612" s="102"/>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row>
    <row r="613" spans="1:102" x14ac:dyDescent="0.2">
      <c r="A613" s="64"/>
      <c r="B613" s="64"/>
      <c r="C613" s="102"/>
      <c r="D613" s="102"/>
      <c r="E613" s="102"/>
      <c r="F613" s="102"/>
      <c r="G613" s="102"/>
      <c r="H613" s="102"/>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row>
    <row r="614" spans="1:102" x14ac:dyDescent="0.2">
      <c r="A614" s="64"/>
      <c r="B614" s="64"/>
      <c r="C614" s="102"/>
      <c r="D614" s="102"/>
      <c r="E614" s="102"/>
      <c r="F614" s="102"/>
      <c r="G614" s="102"/>
      <c r="H614" s="102"/>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row>
    <row r="615" spans="1:102" x14ac:dyDescent="0.2">
      <c r="A615" s="64"/>
      <c r="B615" s="64"/>
      <c r="C615" s="102"/>
      <c r="D615" s="102"/>
      <c r="E615" s="102"/>
      <c r="F615" s="102"/>
      <c r="G615" s="102"/>
      <c r="H615" s="102"/>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row>
    <row r="616" spans="1:102" x14ac:dyDescent="0.2">
      <c r="A616" s="64"/>
      <c r="B616" s="64"/>
      <c r="C616" s="102"/>
      <c r="D616" s="102"/>
      <c r="E616" s="102"/>
      <c r="F616" s="102"/>
      <c r="G616" s="102"/>
      <c r="H616" s="102"/>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row>
    <row r="617" spans="1:102" x14ac:dyDescent="0.2">
      <c r="A617" s="64"/>
      <c r="B617" s="64"/>
      <c r="C617" s="102"/>
      <c r="D617" s="102"/>
      <c r="E617" s="102"/>
      <c r="F617" s="102"/>
      <c r="G617" s="102"/>
      <c r="H617" s="102"/>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row>
    <row r="618" spans="1:102" x14ac:dyDescent="0.2">
      <c r="A618" s="64"/>
      <c r="B618" s="64"/>
      <c r="C618" s="102"/>
      <c r="D618" s="102"/>
      <c r="E618" s="102"/>
      <c r="F618" s="102"/>
      <c r="G618" s="102"/>
      <c r="H618" s="102"/>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row>
    <row r="619" spans="1:102" x14ac:dyDescent="0.2">
      <c r="A619" s="64"/>
      <c r="B619" s="64"/>
      <c r="C619" s="102"/>
      <c r="D619" s="102"/>
      <c r="E619" s="102"/>
      <c r="F619" s="102"/>
      <c r="G619" s="102"/>
      <c r="H619" s="102"/>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row>
    <row r="620" spans="1:102" x14ac:dyDescent="0.2">
      <c r="A620" s="64"/>
      <c r="B620" s="64"/>
      <c r="C620" s="102"/>
      <c r="D620" s="102"/>
      <c r="E620" s="102"/>
      <c r="F620" s="102"/>
      <c r="G620" s="102"/>
      <c r="H620" s="102"/>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row>
    <row r="621" spans="1:102" x14ac:dyDescent="0.2">
      <c r="A621" s="64"/>
      <c r="B621" s="64"/>
      <c r="C621" s="102"/>
      <c r="D621" s="102"/>
      <c r="E621" s="102"/>
      <c r="F621" s="102"/>
      <c r="G621" s="102"/>
      <c r="H621" s="102"/>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row>
    <row r="622" spans="1:102" x14ac:dyDescent="0.2">
      <c r="A622" s="64"/>
      <c r="B622" s="64"/>
      <c r="C622" s="102"/>
      <c r="D622" s="102"/>
      <c r="E622" s="102"/>
      <c r="F622" s="102"/>
      <c r="G622" s="102"/>
      <c r="H622" s="102"/>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row>
    <row r="623" spans="1:102" x14ac:dyDescent="0.2">
      <c r="A623" s="64"/>
      <c r="B623" s="64"/>
      <c r="C623" s="102"/>
      <c r="D623" s="102"/>
      <c r="E623" s="102"/>
      <c r="F623" s="102"/>
      <c r="G623" s="102"/>
      <c r="H623" s="102"/>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row>
    <row r="624" spans="1:102" x14ac:dyDescent="0.2">
      <c r="A624" s="64"/>
      <c r="B624" s="64"/>
      <c r="C624" s="102"/>
      <c r="D624" s="102"/>
      <c r="E624" s="102"/>
      <c r="F624" s="102"/>
      <c r="G624" s="102"/>
      <c r="H624" s="102"/>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row>
    <row r="625" spans="1:102" x14ac:dyDescent="0.2">
      <c r="A625" s="64"/>
      <c r="B625" s="64"/>
      <c r="C625" s="102"/>
      <c r="D625" s="102"/>
      <c r="E625" s="102"/>
      <c r="F625" s="102"/>
      <c r="G625" s="102"/>
      <c r="H625" s="102"/>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row>
    <row r="626" spans="1:102" x14ac:dyDescent="0.2">
      <c r="A626" s="64"/>
      <c r="B626" s="64"/>
      <c r="C626" s="102"/>
      <c r="D626" s="102"/>
      <c r="E626" s="102"/>
      <c r="F626" s="102"/>
      <c r="G626" s="102"/>
      <c r="H626" s="102"/>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row>
    <row r="627" spans="1:102" x14ac:dyDescent="0.2">
      <c r="A627" s="64"/>
      <c r="B627" s="64"/>
      <c r="C627" s="102"/>
      <c r="D627" s="102"/>
      <c r="E627" s="102"/>
      <c r="F627" s="102"/>
      <c r="G627" s="102"/>
      <c r="H627" s="102"/>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row>
    <row r="628" spans="1:102" x14ac:dyDescent="0.2">
      <c r="A628" s="64"/>
      <c r="B628" s="64"/>
      <c r="C628" s="102"/>
      <c r="D628" s="102"/>
      <c r="E628" s="102"/>
      <c r="F628" s="102"/>
      <c r="G628" s="102"/>
      <c r="H628" s="102"/>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row>
    <row r="629" spans="1:102" x14ac:dyDescent="0.2">
      <c r="A629" s="64"/>
      <c r="B629" s="64"/>
      <c r="C629" s="102"/>
      <c r="D629" s="102"/>
      <c r="E629" s="102"/>
      <c r="F629" s="102"/>
      <c r="G629" s="102"/>
      <c r="H629" s="102"/>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row>
    <row r="630" spans="1:102" x14ac:dyDescent="0.2">
      <c r="A630" s="64"/>
      <c r="B630" s="64"/>
      <c r="C630" s="102"/>
      <c r="D630" s="102"/>
      <c r="E630" s="102"/>
      <c r="F630" s="102"/>
      <c r="G630" s="102"/>
      <c r="H630" s="102"/>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row>
    <row r="631" spans="1:102" x14ac:dyDescent="0.2">
      <c r="A631" s="64"/>
      <c r="B631" s="64"/>
      <c r="C631" s="102"/>
      <c r="D631" s="102"/>
      <c r="E631" s="102"/>
      <c r="F631" s="102"/>
      <c r="G631" s="102"/>
      <c r="H631" s="102"/>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row>
    <row r="632" spans="1:102" x14ac:dyDescent="0.2">
      <c r="A632" s="64"/>
      <c r="B632" s="64"/>
      <c r="C632" s="102"/>
      <c r="D632" s="102"/>
      <c r="E632" s="102"/>
      <c r="F632" s="102"/>
      <c r="G632" s="102"/>
      <c r="H632" s="102"/>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row>
    <row r="633" spans="1:102" x14ac:dyDescent="0.2">
      <c r="A633" s="64"/>
      <c r="B633" s="64"/>
      <c r="C633" s="102"/>
      <c r="D633" s="102"/>
      <c r="E633" s="102"/>
      <c r="F633" s="102"/>
      <c r="G633" s="102"/>
      <c r="H633" s="102"/>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row>
    <row r="634" spans="1:102" x14ac:dyDescent="0.2">
      <c r="A634" s="64"/>
      <c r="B634" s="64"/>
      <c r="C634" s="102"/>
      <c r="D634" s="102"/>
      <c r="E634" s="102"/>
      <c r="F634" s="102"/>
      <c r="G634" s="102"/>
      <c r="H634" s="102"/>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row>
    <row r="635" spans="1:102" x14ac:dyDescent="0.2">
      <c r="A635" s="64"/>
      <c r="B635" s="64"/>
      <c r="C635" s="102"/>
      <c r="D635" s="102"/>
      <c r="E635" s="102"/>
      <c r="F635" s="102"/>
      <c r="G635" s="102"/>
      <c r="H635" s="102"/>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row>
    <row r="636" spans="1:102" x14ac:dyDescent="0.2">
      <c r="A636" s="64"/>
      <c r="B636" s="64"/>
      <c r="C636" s="102"/>
      <c r="D636" s="102"/>
      <c r="E636" s="102"/>
      <c r="F636" s="102"/>
      <c r="G636" s="102"/>
      <c r="H636" s="102"/>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row>
    <row r="637" spans="1:102" x14ac:dyDescent="0.2">
      <c r="A637" s="64"/>
      <c r="B637" s="64"/>
      <c r="C637" s="102"/>
      <c r="D637" s="102"/>
      <c r="E637" s="102"/>
      <c r="F637" s="102"/>
      <c r="G637" s="102"/>
      <c r="H637" s="102"/>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row>
    <row r="638" spans="1:102" x14ac:dyDescent="0.2">
      <c r="A638" s="64"/>
      <c r="B638" s="64"/>
      <c r="C638" s="102"/>
      <c r="D638" s="102"/>
      <c r="E638" s="102"/>
      <c r="F638" s="102"/>
      <c r="G638" s="102"/>
      <c r="H638" s="102"/>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row>
    <row r="639" spans="1:102" x14ac:dyDescent="0.2">
      <c r="A639" s="64"/>
      <c r="B639" s="64"/>
      <c r="C639" s="102"/>
      <c r="D639" s="102"/>
      <c r="E639" s="102"/>
      <c r="F639" s="102"/>
      <c r="G639" s="102"/>
      <c r="H639" s="102"/>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row>
    <row r="640" spans="1:102" x14ac:dyDescent="0.2">
      <c r="A640" s="64"/>
      <c r="B640" s="64"/>
      <c r="C640" s="102"/>
      <c r="D640" s="102"/>
      <c r="E640" s="102"/>
      <c r="F640" s="102"/>
      <c r="G640" s="102"/>
      <c r="H640" s="102"/>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row>
    <row r="641" spans="1:102" x14ac:dyDescent="0.2">
      <c r="A641" s="64"/>
      <c r="B641" s="64"/>
      <c r="C641" s="102"/>
      <c r="D641" s="102"/>
      <c r="E641" s="102"/>
      <c r="F641" s="102"/>
      <c r="G641" s="102"/>
      <c r="H641" s="102"/>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row>
    <row r="642" spans="1:102" x14ac:dyDescent="0.2">
      <c r="A642" s="64"/>
      <c r="B642" s="64"/>
      <c r="C642" s="102"/>
      <c r="D642" s="102"/>
      <c r="E642" s="102"/>
      <c r="F642" s="102"/>
      <c r="G642" s="102"/>
      <c r="H642" s="102"/>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row>
    <row r="643" spans="1:102" x14ac:dyDescent="0.2">
      <c r="A643" s="64"/>
      <c r="B643" s="64"/>
      <c r="C643" s="102"/>
      <c r="D643" s="102"/>
      <c r="E643" s="102"/>
      <c r="F643" s="102"/>
      <c r="G643" s="102"/>
      <c r="H643" s="102"/>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row>
    <row r="644" spans="1:102" x14ac:dyDescent="0.2">
      <c r="A644" s="64"/>
      <c r="B644" s="64"/>
      <c r="C644" s="102"/>
      <c r="D644" s="102"/>
      <c r="E644" s="102"/>
      <c r="F644" s="102"/>
      <c r="G644" s="102"/>
      <c r="H644" s="102"/>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row>
    <row r="645" spans="1:102" x14ac:dyDescent="0.2">
      <c r="A645" s="64"/>
      <c r="B645" s="64"/>
      <c r="C645" s="102"/>
      <c r="D645" s="102"/>
      <c r="E645" s="102"/>
      <c r="F645" s="102"/>
      <c r="G645" s="102"/>
      <c r="H645" s="102"/>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row>
    <row r="646" spans="1:102" x14ac:dyDescent="0.2">
      <c r="A646" s="64"/>
      <c r="B646" s="64"/>
      <c r="C646" s="102"/>
      <c r="D646" s="102"/>
      <c r="E646" s="102"/>
      <c r="F646" s="102"/>
      <c r="G646" s="102"/>
      <c r="H646" s="102"/>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row>
    <row r="647" spans="1:102" x14ac:dyDescent="0.2">
      <c r="A647" s="64"/>
      <c r="B647" s="64"/>
      <c r="C647" s="102"/>
      <c r="D647" s="102"/>
      <c r="E647" s="102"/>
      <c r="F647" s="102"/>
      <c r="G647" s="102"/>
      <c r="H647" s="102"/>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row>
    <row r="648" spans="1:102" x14ac:dyDescent="0.2">
      <c r="A648" s="64"/>
      <c r="B648" s="64"/>
      <c r="C648" s="102"/>
      <c r="D648" s="102"/>
      <c r="E648" s="102"/>
      <c r="F648" s="102"/>
      <c r="G648" s="102"/>
      <c r="H648" s="102"/>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row>
    <row r="649" spans="1:102" x14ac:dyDescent="0.2">
      <c r="A649" s="64"/>
      <c r="B649" s="64"/>
      <c r="C649" s="102"/>
      <c r="D649" s="102"/>
      <c r="E649" s="102"/>
      <c r="F649" s="102"/>
      <c r="G649" s="102"/>
      <c r="H649" s="102"/>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row>
    <row r="650" spans="1:102" x14ac:dyDescent="0.2">
      <c r="A650" s="64"/>
      <c r="B650" s="64"/>
      <c r="C650" s="102"/>
      <c r="D650" s="102"/>
      <c r="E650" s="102"/>
      <c r="F650" s="102"/>
      <c r="G650" s="102"/>
      <c r="H650" s="102"/>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row>
    <row r="651" spans="1:102" x14ac:dyDescent="0.2">
      <c r="A651" s="64"/>
      <c r="B651" s="64"/>
      <c r="C651" s="102"/>
      <c r="D651" s="102"/>
      <c r="E651" s="102"/>
      <c r="F651" s="102"/>
      <c r="G651" s="102"/>
      <c r="H651" s="102"/>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row>
    <row r="652" spans="1:102" x14ac:dyDescent="0.2">
      <c r="A652" s="64"/>
      <c r="B652" s="64"/>
      <c r="C652" s="102"/>
      <c r="D652" s="102"/>
      <c r="E652" s="102"/>
      <c r="F652" s="102"/>
      <c r="G652" s="102"/>
      <c r="H652" s="102"/>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row>
    <row r="653" spans="1:102" x14ac:dyDescent="0.2">
      <c r="A653" s="64"/>
      <c r="B653" s="64"/>
      <c r="C653" s="102"/>
      <c r="D653" s="102"/>
      <c r="E653" s="102"/>
      <c r="F653" s="102"/>
      <c r="G653" s="102"/>
      <c r="H653" s="102"/>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row>
    <row r="654" spans="1:102" x14ac:dyDescent="0.2">
      <c r="A654" s="64"/>
      <c r="B654" s="64"/>
      <c r="C654" s="102"/>
      <c r="D654" s="102"/>
      <c r="E654" s="102"/>
      <c r="F654" s="102"/>
      <c r="G654" s="102"/>
      <c r="H654" s="102"/>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row>
    <row r="655" spans="1:102" x14ac:dyDescent="0.2">
      <c r="A655" s="64"/>
      <c r="B655" s="64"/>
      <c r="C655" s="102"/>
      <c r="D655" s="102"/>
      <c r="E655" s="102"/>
      <c r="F655" s="102"/>
      <c r="G655" s="102"/>
      <c r="H655" s="102"/>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row>
    <row r="656" spans="1:102" x14ac:dyDescent="0.2">
      <c r="A656" s="64"/>
      <c r="B656" s="64"/>
      <c r="C656" s="102"/>
      <c r="D656" s="102"/>
      <c r="E656" s="102"/>
      <c r="F656" s="102"/>
      <c r="G656" s="102"/>
      <c r="H656" s="102"/>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row>
    <row r="657" spans="1:102" x14ac:dyDescent="0.2">
      <c r="A657" s="64"/>
      <c r="B657" s="64"/>
      <c r="C657" s="102"/>
      <c r="D657" s="102"/>
      <c r="E657" s="102"/>
      <c r="F657" s="102"/>
      <c r="G657" s="102"/>
      <c r="H657" s="102"/>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row>
    <row r="658" spans="1:102" x14ac:dyDescent="0.2">
      <c r="A658" s="64"/>
      <c r="B658" s="64"/>
      <c r="C658" s="102"/>
      <c r="D658" s="102"/>
      <c r="E658" s="102"/>
      <c r="F658" s="102"/>
      <c r="G658" s="102"/>
      <c r="H658" s="102"/>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row>
    <row r="659" spans="1:102" x14ac:dyDescent="0.2">
      <c r="A659" s="64"/>
      <c r="B659" s="64"/>
      <c r="C659" s="102"/>
      <c r="D659" s="102"/>
      <c r="E659" s="102"/>
      <c r="F659" s="102"/>
      <c r="G659" s="102"/>
      <c r="H659" s="102"/>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row>
    <row r="660" spans="1:102" x14ac:dyDescent="0.2">
      <c r="A660" s="64"/>
      <c r="B660" s="64"/>
      <c r="C660" s="102"/>
      <c r="D660" s="102"/>
      <c r="E660" s="102"/>
      <c r="F660" s="102"/>
      <c r="G660" s="102"/>
      <c r="H660" s="102"/>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row>
    <row r="661" spans="1:102" x14ac:dyDescent="0.2">
      <c r="A661" s="64"/>
      <c r="B661" s="64"/>
      <c r="C661" s="102"/>
      <c r="D661" s="102"/>
      <c r="E661" s="102"/>
      <c r="F661" s="102"/>
      <c r="G661" s="102"/>
      <c r="H661" s="102"/>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row>
    <row r="662" spans="1:102" x14ac:dyDescent="0.2">
      <c r="A662" s="64"/>
      <c r="B662" s="64"/>
      <c r="C662" s="102"/>
      <c r="D662" s="102"/>
      <c r="E662" s="102"/>
      <c r="F662" s="102"/>
      <c r="G662" s="102"/>
      <c r="H662" s="102"/>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row>
    <row r="663" spans="1:102" x14ac:dyDescent="0.2">
      <c r="A663" s="64"/>
      <c r="B663" s="64"/>
      <c r="C663" s="102"/>
      <c r="D663" s="102"/>
      <c r="E663" s="102"/>
      <c r="F663" s="102"/>
      <c r="G663" s="102"/>
      <c r="H663" s="102"/>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row>
    <row r="664" spans="1:102" x14ac:dyDescent="0.2">
      <c r="A664" s="64"/>
      <c r="B664" s="64"/>
      <c r="C664" s="102"/>
      <c r="D664" s="102"/>
      <c r="E664" s="102"/>
      <c r="F664" s="102"/>
      <c r="G664" s="102"/>
      <c r="H664" s="102"/>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row>
    <row r="665" spans="1:102" x14ac:dyDescent="0.2">
      <c r="A665" s="64"/>
      <c r="B665" s="64"/>
      <c r="C665" s="102"/>
      <c r="D665" s="102"/>
      <c r="E665" s="102"/>
      <c r="F665" s="102"/>
      <c r="G665" s="102"/>
      <c r="H665" s="102"/>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row>
    <row r="666" spans="1:102" x14ac:dyDescent="0.2">
      <c r="A666" s="64"/>
      <c r="B666" s="64"/>
      <c r="C666" s="102"/>
      <c r="D666" s="102"/>
      <c r="E666" s="102"/>
      <c r="F666" s="102"/>
      <c r="G666" s="102"/>
      <c r="H666" s="102"/>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row>
    <row r="667" spans="1:102" x14ac:dyDescent="0.2">
      <c r="A667" s="64"/>
      <c r="B667" s="64"/>
      <c r="C667" s="102"/>
      <c r="D667" s="102"/>
      <c r="E667" s="102"/>
      <c r="F667" s="102"/>
      <c r="G667" s="102"/>
      <c r="H667" s="102"/>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row>
    <row r="668" spans="1:102" x14ac:dyDescent="0.2">
      <c r="A668" s="64"/>
      <c r="B668" s="64"/>
      <c r="C668" s="102"/>
      <c r="D668" s="102"/>
      <c r="E668" s="102"/>
      <c r="F668" s="102"/>
      <c r="G668" s="102"/>
      <c r="H668" s="102"/>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row>
    <row r="669" spans="1:102" x14ac:dyDescent="0.2">
      <c r="A669" s="64"/>
      <c r="B669" s="64"/>
      <c r="C669" s="102"/>
      <c r="D669" s="102"/>
      <c r="E669" s="102"/>
      <c r="F669" s="102"/>
      <c r="G669" s="102"/>
      <c r="H669" s="102"/>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row>
    <row r="670" spans="1:102" x14ac:dyDescent="0.2">
      <c r="A670" s="64"/>
      <c r="B670" s="64"/>
      <c r="C670" s="102"/>
      <c r="D670" s="102"/>
      <c r="E670" s="102"/>
      <c r="F670" s="102"/>
      <c r="G670" s="102"/>
      <c r="H670" s="102"/>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row>
    <row r="671" spans="1:102" x14ac:dyDescent="0.2">
      <c r="A671" s="64"/>
      <c r="B671" s="64"/>
      <c r="C671" s="102"/>
      <c r="D671" s="102"/>
      <c r="E671" s="102"/>
      <c r="F671" s="102"/>
      <c r="G671" s="102"/>
      <c r="H671" s="102"/>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row>
    <row r="672" spans="1:102" x14ac:dyDescent="0.2">
      <c r="A672" s="64"/>
      <c r="B672" s="64"/>
      <c r="C672" s="102"/>
      <c r="D672" s="102"/>
      <c r="E672" s="102"/>
      <c r="F672" s="102"/>
      <c r="G672" s="102"/>
      <c r="H672" s="102"/>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row>
    <row r="673" spans="1:102" x14ac:dyDescent="0.2">
      <c r="A673" s="64"/>
      <c r="B673" s="64"/>
      <c r="C673" s="102"/>
      <c r="D673" s="102"/>
      <c r="E673" s="102"/>
      <c r="F673" s="102"/>
      <c r="G673" s="102"/>
      <c r="H673" s="102"/>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row>
    <row r="674" spans="1:102" x14ac:dyDescent="0.2">
      <c r="A674" s="64"/>
      <c r="B674" s="64"/>
      <c r="C674" s="102"/>
      <c r="D674" s="102"/>
      <c r="E674" s="102"/>
      <c r="F674" s="102"/>
      <c r="G674" s="102"/>
      <c r="H674" s="102"/>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row>
    <row r="675" spans="1:102" x14ac:dyDescent="0.2">
      <c r="A675" s="64"/>
      <c r="B675" s="64"/>
      <c r="C675" s="102"/>
      <c r="D675" s="102"/>
      <c r="E675" s="102"/>
      <c r="F675" s="102"/>
      <c r="G675" s="102"/>
      <c r="H675" s="102"/>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row>
    <row r="676" spans="1:102" x14ac:dyDescent="0.2">
      <c r="A676" s="64"/>
      <c r="B676" s="64"/>
      <c r="C676" s="102"/>
      <c r="D676" s="102"/>
      <c r="E676" s="102"/>
      <c r="F676" s="102"/>
      <c r="G676" s="102"/>
      <c r="H676" s="102"/>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row>
    <row r="677" spans="1:102" x14ac:dyDescent="0.2">
      <c r="A677" s="64"/>
      <c r="B677" s="64"/>
      <c r="C677" s="102"/>
      <c r="D677" s="102"/>
      <c r="E677" s="102"/>
      <c r="F677" s="102"/>
      <c r="G677" s="102"/>
      <c r="H677" s="102"/>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row>
    <row r="678" spans="1:102" x14ac:dyDescent="0.2">
      <c r="A678" s="64"/>
      <c r="B678" s="64"/>
      <c r="C678" s="102"/>
      <c r="D678" s="102"/>
      <c r="E678" s="102"/>
      <c r="F678" s="102"/>
      <c r="G678" s="102"/>
      <c r="H678" s="102"/>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row>
    <row r="679" spans="1:102" x14ac:dyDescent="0.2">
      <c r="A679" s="64"/>
      <c r="B679" s="64"/>
      <c r="C679" s="102"/>
      <c r="D679" s="102"/>
      <c r="E679" s="102"/>
      <c r="F679" s="102"/>
      <c r="G679" s="102"/>
      <c r="H679" s="102"/>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row>
    <row r="680" spans="1:102" x14ac:dyDescent="0.2">
      <c r="A680" s="64"/>
      <c r="B680" s="64"/>
      <c r="C680" s="102"/>
      <c r="D680" s="102"/>
      <c r="E680" s="102"/>
      <c r="F680" s="102"/>
      <c r="G680" s="102"/>
      <c r="H680" s="102"/>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row>
    <row r="681" spans="1:102" x14ac:dyDescent="0.2">
      <c r="A681" s="64"/>
      <c r="B681" s="64"/>
      <c r="C681" s="102"/>
      <c r="D681" s="102"/>
      <c r="E681" s="102"/>
      <c r="F681" s="102"/>
      <c r="G681" s="102"/>
      <c r="H681" s="102"/>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row>
    <row r="682" spans="1:102" x14ac:dyDescent="0.2">
      <c r="A682" s="64"/>
      <c r="B682" s="64"/>
      <c r="C682" s="102"/>
      <c r="D682" s="102"/>
      <c r="E682" s="102"/>
      <c r="F682" s="102"/>
      <c r="G682" s="102"/>
      <c r="H682" s="102"/>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row>
    <row r="683" spans="1:102" x14ac:dyDescent="0.2">
      <c r="A683" s="64"/>
      <c r="B683" s="64"/>
      <c r="C683" s="102"/>
      <c r="D683" s="102"/>
      <c r="E683" s="102"/>
      <c r="F683" s="102"/>
      <c r="G683" s="102"/>
      <c r="H683" s="102"/>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row>
    <row r="684" spans="1:102" x14ac:dyDescent="0.2">
      <c r="A684" s="64"/>
      <c r="B684" s="64"/>
      <c r="C684" s="102"/>
      <c r="D684" s="102"/>
      <c r="E684" s="102"/>
      <c r="F684" s="102"/>
      <c r="G684" s="102"/>
      <c r="H684" s="102"/>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row>
    <row r="685" spans="1:102" x14ac:dyDescent="0.2">
      <c r="A685" s="64"/>
      <c r="B685" s="64"/>
      <c r="C685" s="102"/>
      <c r="D685" s="102"/>
      <c r="E685" s="102"/>
      <c r="F685" s="102"/>
      <c r="G685" s="102"/>
      <c r="H685" s="102"/>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row>
    <row r="686" spans="1:102" x14ac:dyDescent="0.2">
      <c r="A686" s="64"/>
      <c r="B686" s="64"/>
      <c r="C686" s="102"/>
      <c r="D686" s="102"/>
      <c r="E686" s="102"/>
      <c r="F686" s="102"/>
      <c r="G686" s="102"/>
      <c r="H686" s="102"/>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row>
    <row r="687" spans="1:102" x14ac:dyDescent="0.2">
      <c r="A687" s="64"/>
      <c r="B687" s="64"/>
      <c r="C687" s="102"/>
      <c r="D687" s="102"/>
      <c r="E687" s="102"/>
      <c r="F687" s="102"/>
      <c r="G687" s="102"/>
      <c r="H687" s="102"/>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row>
    <row r="688" spans="1:102" x14ac:dyDescent="0.2">
      <c r="A688" s="64"/>
      <c r="B688" s="64"/>
      <c r="C688" s="102"/>
      <c r="D688" s="102"/>
      <c r="E688" s="102"/>
      <c r="F688" s="102"/>
      <c r="G688" s="102"/>
      <c r="H688" s="102"/>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row>
    <row r="689" spans="1:102" x14ac:dyDescent="0.2">
      <c r="A689" s="64"/>
      <c r="B689" s="64"/>
      <c r="C689" s="102"/>
      <c r="D689" s="102"/>
      <c r="E689" s="102"/>
      <c r="F689" s="102"/>
      <c r="G689" s="102"/>
      <c r="H689" s="102"/>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row>
    <row r="690" spans="1:102" x14ac:dyDescent="0.2">
      <c r="A690" s="64"/>
      <c r="B690" s="64"/>
      <c r="C690" s="102"/>
      <c r="D690" s="102"/>
      <c r="E690" s="102"/>
      <c r="F690" s="102"/>
      <c r="G690" s="102"/>
      <c r="H690" s="102"/>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row>
    <row r="691" spans="1:102" x14ac:dyDescent="0.2">
      <c r="A691" s="64"/>
      <c r="B691" s="64"/>
      <c r="C691" s="102"/>
      <c r="D691" s="102"/>
      <c r="E691" s="102"/>
      <c r="F691" s="102"/>
      <c r="G691" s="102"/>
      <c r="H691" s="102"/>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row>
    <row r="692" spans="1:102" x14ac:dyDescent="0.2">
      <c r="A692" s="64"/>
      <c r="B692" s="64"/>
      <c r="C692" s="102"/>
      <c r="D692" s="102"/>
      <c r="E692" s="102"/>
      <c r="F692" s="102"/>
      <c r="G692" s="102"/>
      <c r="H692" s="102"/>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row>
    <row r="693" spans="1:102" x14ac:dyDescent="0.2">
      <c r="A693" s="64"/>
      <c r="B693" s="64"/>
      <c r="C693" s="102"/>
      <c r="D693" s="102"/>
      <c r="E693" s="102"/>
      <c r="F693" s="102"/>
      <c r="G693" s="102"/>
      <c r="H693" s="102"/>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row>
    <row r="694" spans="1:102" x14ac:dyDescent="0.2">
      <c r="A694" s="64"/>
      <c r="B694" s="64"/>
      <c r="C694" s="102"/>
      <c r="D694" s="102"/>
      <c r="E694" s="102"/>
      <c r="F694" s="102"/>
      <c r="G694" s="102"/>
      <c r="H694" s="102"/>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row>
    <row r="695" spans="1:102" x14ac:dyDescent="0.2">
      <c r="A695" s="64"/>
      <c r="B695" s="64"/>
      <c r="C695" s="102"/>
      <c r="D695" s="102"/>
      <c r="E695" s="102"/>
      <c r="F695" s="102"/>
      <c r="G695" s="102"/>
      <c r="H695" s="102"/>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row>
    <row r="696" spans="1:102" x14ac:dyDescent="0.2">
      <c r="A696" s="64"/>
      <c r="B696" s="64"/>
      <c r="C696" s="102"/>
      <c r="D696" s="102"/>
      <c r="E696" s="102"/>
      <c r="F696" s="102"/>
      <c r="G696" s="102"/>
      <c r="H696" s="102"/>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row>
    <row r="697" spans="1:102" x14ac:dyDescent="0.2">
      <c r="A697" s="64"/>
      <c r="B697" s="64"/>
      <c r="C697" s="102"/>
      <c r="D697" s="102"/>
      <c r="E697" s="102"/>
      <c r="F697" s="102"/>
      <c r="G697" s="102"/>
      <c r="H697" s="102"/>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row>
    <row r="698" spans="1:102" x14ac:dyDescent="0.2">
      <c r="A698" s="64"/>
      <c r="B698" s="64"/>
      <c r="C698" s="102"/>
      <c r="D698" s="102"/>
      <c r="E698" s="102"/>
      <c r="F698" s="102"/>
      <c r="G698" s="102"/>
      <c r="H698" s="102"/>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row>
    <row r="699" spans="1:102" x14ac:dyDescent="0.2">
      <c r="A699" s="64"/>
      <c r="B699" s="64"/>
      <c r="C699" s="102"/>
      <c r="D699" s="102"/>
      <c r="E699" s="102"/>
      <c r="F699" s="102"/>
      <c r="G699" s="102"/>
      <c r="H699" s="102"/>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row>
    <row r="700" spans="1:102" x14ac:dyDescent="0.2">
      <c r="A700" s="64"/>
      <c r="B700" s="64"/>
      <c r="C700" s="102"/>
      <c r="D700" s="102"/>
      <c r="E700" s="102"/>
      <c r="F700" s="102"/>
      <c r="G700" s="102"/>
      <c r="H700" s="102"/>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row>
    <row r="701" spans="1:102" x14ac:dyDescent="0.2">
      <c r="A701" s="64"/>
      <c r="B701" s="64"/>
      <c r="C701" s="102"/>
      <c r="D701" s="102"/>
      <c r="E701" s="102"/>
      <c r="F701" s="102"/>
      <c r="G701" s="102"/>
      <c r="H701" s="102"/>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row>
    <row r="702" spans="1:102" x14ac:dyDescent="0.2">
      <c r="A702" s="64"/>
      <c r="B702" s="64"/>
      <c r="C702" s="102"/>
      <c r="D702" s="102"/>
      <c r="E702" s="102"/>
      <c r="F702" s="102"/>
      <c r="G702" s="102"/>
      <c r="H702" s="102"/>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row>
    <row r="703" spans="1:102" x14ac:dyDescent="0.2">
      <c r="A703" s="64"/>
      <c r="B703" s="64"/>
      <c r="C703" s="102"/>
      <c r="D703" s="102"/>
      <c r="E703" s="102"/>
      <c r="F703" s="102"/>
      <c r="G703" s="102"/>
      <c r="H703" s="102"/>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row>
    <row r="704" spans="1:102" x14ac:dyDescent="0.2">
      <c r="A704" s="64"/>
      <c r="B704" s="64"/>
      <c r="C704" s="102"/>
      <c r="D704" s="102"/>
      <c r="E704" s="102"/>
      <c r="F704" s="102"/>
      <c r="G704" s="102"/>
      <c r="H704" s="102"/>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row>
    <row r="705" spans="1:102" x14ac:dyDescent="0.2">
      <c r="A705" s="64"/>
      <c r="B705" s="64"/>
      <c r="C705" s="102"/>
      <c r="D705" s="102"/>
      <c r="E705" s="102"/>
      <c r="F705" s="102"/>
      <c r="G705" s="102"/>
      <c r="H705" s="102"/>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row>
    <row r="706" spans="1:102" x14ac:dyDescent="0.2">
      <c r="A706" s="64"/>
      <c r="B706" s="64"/>
      <c r="C706" s="102"/>
      <c r="D706" s="102"/>
      <c r="E706" s="102"/>
      <c r="F706" s="102"/>
      <c r="G706" s="102"/>
      <c r="H706" s="102"/>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row>
    <row r="707" spans="1:102" x14ac:dyDescent="0.2">
      <c r="A707" s="64"/>
      <c r="B707" s="64"/>
      <c r="C707" s="102"/>
      <c r="D707" s="102"/>
      <c r="E707" s="102"/>
      <c r="F707" s="102"/>
      <c r="G707" s="102"/>
      <c r="H707" s="102"/>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row>
    <row r="708" spans="1:102" x14ac:dyDescent="0.2">
      <c r="A708" s="64"/>
      <c r="B708" s="64"/>
      <c r="C708" s="102"/>
      <c r="D708" s="102"/>
      <c r="E708" s="102"/>
      <c r="F708" s="102"/>
      <c r="G708" s="102"/>
      <c r="H708" s="102"/>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row>
    <row r="709" spans="1:102" x14ac:dyDescent="0.2">
      <c r="A709" s="64"/>
      <c r="B709" s="64"/>
      <c r="C709" s="102"/>
      <c r="D709" s="102"/>
      <c r="E709" s="102"/>
      <c r="F709" s="102"/>
      <c r="G709" s="102"/>
      <c r="H709" s="102"/>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row>
    <row r="710" spans="1:102" x14ac:dyDescent="0.2">
      <c r="A710" s="64"/>
      <c r="B710" s="64"/>
      <c r="C710" s="102"/>
      <c r="D710" s="102"/>
      <c r="E710" s="102"/>
      <c r="F710" s="102"/>
      <c r="G710" s="102"/>
      <c r="H710" s="102"/>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row>
    <row r="711" spans="1:102" x14ac:dyDescent="0.2">
      <c r="A711" s="64"/>
      <c r="B711" s="64"/>
      <c r="C711" s="102"/>
      <c r="D711" s="102"/>
      <c r="E711" s="102"/>
      <c r="F711" s="102"/>
      <c r="G711" s="102"/>
      <c r="H711" s="102"/>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row>
    <row r="712" spans="1:102" x14ac:dyDescent="0.2">
      <c r="A712" s="64"/>
      <c r="B712" s="64"/>
      <c r="C712" s="102"/>
      <c r="D712" s="102"/>
      <c r="E712" s="102"/>
      <c r="F712" s="102"/>
      <c r="G712" s="102"/>
      <c r="H712" s="102"/>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row>
    <row r="713" spans="1:102" x14ac:dyDescent="0.2">
      <c r="A713" s="64"/>
      <c r="B713" s="64"/>
      <c r="C713" s="102"/>
      <c r="D713" s="102"/>
      <c r="E713" s="102"/>
      <c r="F713" s="102"/>
      <c r="G713" s="102"/>
      <c r="H713" s="102"/>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row>
    <row r="714" spans="1:102" x14ac:dyDescent="0.2">
      <c r="A714" s="64"/>
      <c r="B714" s="64"/>
      <c r="C714" s="102"/>
      <c r="D714" s="102"/>
      <c r="E714" s="102"/>
      <c r="F714" s="102"/>
      <c r="G714" s="102"/>
      <c r="H714" s="102"/>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row>
    <row r="715" spans="1:102" x14ac:dyDescent="0.2">
      <c r="A715" s="64"/>
      <c r="B715" s="64"/>
      <c r="C715" s="102"/>
      <c r="D715" s="102"/>
      <c r="E715" s="102"/>
      <c r="F715" s="102"/>
      <c r="G715" s="102"/>
      <c r="H715" s="102"/>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row>
    <row r="716" spans="1:102" x14ac:dyDescent="0.2">
      <c r="A716" s="64"/>
      <c r="B716" s="64"/>
      <c r="C716" s="102"/>
      <c r="D716" s="102"/>
      <c r="E716" s="102"/>
      <c r="F716" s="102"/>
      <c r="G716" s="102"/>
      <c r="H716" s="102"/>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row>
    <row r="717" spans="1:102" x14ac:dyDescent="0.2">
      <c r="A717" s="64"/>
      <c r="B717" s="64"/>
      <c r="C717" s="102"/>
      <c r="D717" s="102"/>
      <c r="E717" s="102"/>
      <c r="F717" s="102"/>
      <c r="G717" s="102"/>
      <c r="H717" s="102"/>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row>
    <row r="718" spans="1:102" x14ac:dyDescent="0.2">
      <c r="A718" s="64"/>
      <c r="B718" s="64"/>
      <c r="C718" s="102"/>
      <c r="D718" s="102"/>
      <c r="E718" s="102"/>
      <c r="F718" s="102"/>
      <c r="G718" s="102"/>
      <c r="H718" s="102"/>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row>
    <row r="719" spans="1:102" x14ac:dyDescent="0.2">
      <c r="A719" s="64"/>
      <c r="B719" s="64"/>
      <c r="C719" s="102"/>
      <c r="D719" s="102"/>
      <c r="E719" s="102"/>
      <c r="F719" s="102"/>
      <c r="G719" s="102"/>
      <c r="H719" s="102"/>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row>
    <row r="720" spans="1:102" x14ac:dyDescent="0.2">
      <c r="A720" s="64"/>
      <c r="B720" s="64"/>
      <c r="C720" s="102"/>
      <c r="D720" s="102"/>
      <c r="E720" s="102"/>
      <c r="F720" s="102"/>
      <c r="G720" s="102"/>
      <c r="H720" s="102"/>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row>
    <row r="721" spans="1:102" x14ac:dyDescent="0.2">
      <c r="A721" s="64"/>
      <c r="B721" s="64"/>
      <c r="C721" s="102"/>
      <c r="D721" s="102"/>
      <c r="E721" s="102"/>
      <c r="F721" s="102"/>
      <c r="G721" s="102"/>
      <c r="H721" s="102"/>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row>
    <row r="722" spans="1:102" x14ac:dyDescent="0.2">
      <c r="A722" s="64"/>
      <c r="B722" s="64"/>
      <c r="C722" s="102"/>
      <c r="D722" s="102"/>
      <c r="E722" s="102"/>
      <c r="F722" s="102"/>
      <c r="G722" s="102"/>
      <c r="H722" s="102"/>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row>
    <row r="723" spans="1:102" x14ac:dyDescent="0.2">
      <c r="A723" s="64"/>
      <c r="B723" s="64"/>
      <c r="C723" s="102"/>
      <c r="D723" s="102"/>
      <c r="E723" s="102"/>
      <c r="F723" s="102"/>
      <c r="G723" s="102"/>
      <c r="H723" s="102"/>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row>
    <row r="724" spans="1:102" x14ac:dyDescent="0.2">
      <c r="A724" s="64"/>
      <c r="B724" s="64"/>
      <c r="C724" s="102"/>
      <c r="D724" s="102"/>
      <c r="E724" s="102"/>
      <c r="F724" s="102"/>
      <c r="G724" s="102"/>
      <c r="H724" s="102"/>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row>
    <row r="725" spans="1:102" x14ac:dyDescent="0.2">
      <c r="A725" s="64"/>
      <c r="B725" s="64"/>
      <c r="C725" s="102"/>
      <c r="D725" s="102"/>
      <c r="E725" s="102"/>
      <c r="F725" s="102"/>
      <c r="G725" s="102"/>
      <c r="H725" s="102"/>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row>
    <row r="726" spans="1:102" x14ac:dyDescent="0.2">
      <c r="A726" s="64"/>
      <c r="B726" s="64"/>
      <c r="C726" s="102"/>
      <c r="D726" s="102"/>
      <c r="E726" s="102"/>
      <c r="F726" s="102"/>
      <c r="G726" s="102"/>
      <c r="H726" s="102"/>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row>
    <row r="727" spans="1:102" x14ac:dyDescent="0.2">
      <c r="A727" s="64"/>
      <c r="B727" s="64"/>
      <c r="C727" s="102"/>
      <c r="D727" s="102"/>
      <c r="E727" s="102"/>
      <c r="F727" s="102"/>
      <c r="G727" s="102"/>
      <c r="H727" s="102"/>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row>
    <row r="728" spans="1:102" x14ac:dyDescent="0.2">
      <c r="A728" s="64"/>
      <c r="B728" s="64"/>
      <c r="C728" s="102"/>
      <c r="D728" s="102"/>
      <c r="E728" s="102"/>
      <c r="F728" s="102"/>
      <c r="G728" s="102"/>
      <c r="H728" s="102"/>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row>
    <row r="729" spans="1:102" x14ac:dyDescent="0.2">
      <c r="A729" s="64"/>
      <c r="B729" s="64"/>
      <c r="C729" s="102"/>
      <c r="D729" s="102"/>
      <c r="E729" s="102"/>
      <c r="F729" s="102"/>
      <c r="G729" s="102"/>
      <c r="H729" s="102"/>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row>
    <row r="730" spans="1:102" x14ac:dyDescent="0.2">
      <c r="A730" s="64"/>
      <c r="B730" s="64"/>
      <c r="C730" s="102"/>
      <c r="D730" s="102"/>
      <c r="E730" s="102"/>
      <c r="F730" s="102"/>
      <c r="G730" s="102"/>
      <c r="H730" s="102"/>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row>
    <row r="731" spans="1:102" x14ac:dyDescent="0.2">
      <c r="A731" s="64"/>
      <c r="B731" s="64"/>
      <c r="C731" s="102"/>
      <c r="D731" s="102"/>
      <c r="E731" s="102"/>
      <c r="F731" s="102"/>
      <c r="G731" s="102"/>
      <c r="H731" s="102"/>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row>
    <row r="732" spans="1:102" x14ac:dyDescent="0.2">
      <c r="A732" s="64"/>
      <c r="B732" s="64"/>
      <c r="C732" s="102"/>
      <c r="D732" s="102"/>
      <c r="E732" s="102"/>
      <c r="F732" s="102"/>
      <c r="G732" s="102"/>
      <c r="H732" s="102"/>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row>
    <row r="733" spans="1:102" x14ac:dyDescent="0.2">
      <c r="A733" s="64"/>
      <c r="B733" s="64"/>
      <c r="C733" s="102"/>
      <c r="D733" s="102"/>
      <c r="E733" s="102"/>
      <c r="F733" s="102"/>
      <c r="G733" s="102"/>
      <c r="H733" s="102"/>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row>
    <row r="734" spans="1:102" x14ac:dyDescent="0.2">
      <c r="A734" s="64"/>
      <c r="B734" s="64"/>
      <c r="C734" s="102"/>
      <c r="D734" s="102"/>
      <c r="E734" s="102"/>
      <c r="F734" s="102"/>
      <c r="G734" s="102"/>
      <c r="H734" s="102"/>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row>
    <row r="735" spans="1:102" x14ac:dyDescent="0.2">
      <c r="A735" s="64"/>
      <c r="B735" s="64"/>
      <c r="C735" s="102"/>
      <c r="D735" s="102"/>
      <c r="E735" s="102"/>
      <c r="F735" s="102"/>
      <c r="G735" s="102"/>
      <c r="H735" s="102"/>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row>
    <row r="736" spans="1:102" x14ac:dyDescent="0.2">
      <c r="A736" s="64"/>
      <c r="B736" s="64"/>
      <c r="C736" s="102"/>
      <c r="D736" s="102"/>
      <c r="E736" s="102"/>
      <c r="F736" s="102"/>
      <c r="G736" s="102"/>
      <c r="H736" s="102"/>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row>
    <row r="737" spans="1:102" x14ac:dyDescent="0.2">
      <c r="A737" s="64"/>
      <c r="B737" s="64"/>
      <c r="C737" s="102"/>
      <c r="D737" s="102"/>
      <c r="E737" s="102"/>
      <c r="F737" s="102"/>
      <c r="G737" s="102"/>
      <c r="H737" s="102"/>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row>
    <row r="738" spans="1:102" x14ac:dyDescent="0.2">
      <c r="A738" s="64"/>
      <c r="B738" s="64"/>
      <c r="C738" s="102"/>
      <c r="D738" s="102"/>
      <c r="E738" s="102"/>
      <c r="F738" s="102"/>
      <c r="G738" s="102"/>
      <c r="H738" s="102"/>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row>
    <row r="739" spans="1:102" x14ac:dyDescent="0.2">
      <c r="A739" s="64"/>
      <c r="B739" s="64"/>
      <c r="C739" s="102"/>
      <c r="D739" s="102"/>
      <c r="E739" s="102"/>
      <c r="F739" s="102"/>
      <c r="G739" s="102"/>
      <c r="H739" s="102"/>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row>
    <row r="740" spans="1:102" x14ac:dyDescent="0.2">
      <c r="A740" s="64"/>
      <c r="B740" s="64"/>
      <c r="C740" s="102"/>
      <c r="D740" s="102"/>
      <c r="E740" s="102"/>
      <c r="F740" s="102"/>
      <c r="G740" s="102"/>
      <c r="H740" s="102"/>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row>
    <row r="741" spans="1:102" x14ac:dyDescent="0.2">
      <c r="A741" s="64"/>
      <c r="B741" s="64"/>
      <c r="C741" s="102"/>
      <c r="D741" s="102"/>
      <c r="E741" s="102"/>
      <c r="F741" s="102"/>
      <c r="G741" s="102"/>
      <c r="H741" s="102"/>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row>
    <row r="742" spans="1:102" x14ac:dyDescent="0.2">
      <c r="A742" s="64"/>
      <c r="B742" s="64"/>
      <c r="C742" s="102"/>
      <c r="D742" s="102"/>
      <c r="E742" s="102"/>
      <c r="F742" s="102"/>
      <c r="G742" s="102"/>
      <c r="H742" s="102"/>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row>
    <row r="743" spans="1:102" x14ac:dyDescent="0.2">
      <c r="A743" s="64"/>
      <c r="B743" s="64"/>
      <c r="C743" s="102"/>
      <c r="D743" s="102"/>
      <c r="E743" s="102"/>
      <c r="F743" s="102"/>
      <c r="G743" s="102"/>
      <c r="H743" s="102"/>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row>
    <row r="744" spans="1:102" x14ac:dyDescent="0.2">
      <c r="A744" s="64"/>
      <c r="B744" s="64"/>
      <c r="C744" s="102"/>
      <c r="D744" s="102"/>
      <c r="E744" s="102"/>
      <c r="F744" s="102"/>
      <c r="G744" s="102"/>
      <c r="H744" s="102"/>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row>
    <row r="745" spans="1:102" x14ac:dyDescent="0.2">
      <c r="A745" s="64"/>
      <c r="B745" s="64"/>
      <c r="C745" s="102"/>
      <c r="D745" s="102"/>
      <c r="E745" s="102"/>
      <c r="F745" s="102"/>
      <c r="G745" s="102"/>
      <c r="H745" s="102"/>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row>
    <row r="746" spans="1:102" x14ac:dyDescent="0.2">
      <c r="A746" s="64"/>
      <c r="B746" s="64"/>
      <c r="C746" s="102"/>
      <c r="D746" s="102"/>
      <c r="E746" s="102"/>
      <c r="F746" s="102"/>
      <c r="G746" s="102"/>
      <c r="H746" s="102"/>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row>
    <row r="747" spans="1:102" x14ac:dyDescent="0.2">
      <c r="A747" s="64"/>
      <c r="B747" s="64"/>
      <c r="C747" s="102"/>
      <c r="D747" s="102"/>
      <c r="E747" s="102"/>
      <c r="F747" s="102"/>
      <c r="G747" s="102"/>
      <c r="H747" s="102"/>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row>
    <row r="748" spans="1:102" x14ac:dyDescent="0.2">
      <c r="A748" s="64"/>
      <c r="B748" s="64"/>
      <c r="C748" s="102"/>
      <c r="D748" s="102"/>
      <c r="E748" s="102"/>
      <c r="F748" s="102"/>
      <c r="G748" s="102"/>
      <c r="H748" s="102"/>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row>
    <row r="749" spans="1:102" x14ac:dyDescent="0.2">
      <c r="A749" s="64"/>
      <c r="B749" s="64"/>
      <c r="C749" s="102"/>
      <c r="D749" s="102"/>
      <c r="E749" s="102"/>
      <c r="F749" s="102"/>
      <c r="G749" s="102"/>
      <c r="H749" s="102"/>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row>
    <row r="750" spans="1:102" x14ac:dyDescent="0.2">
      <c r="A750" s="64"/>
      <c r="B750" s="64"/>
      <c r="C750" s="102"/>
      <c r="D750" s="102"/>
      <c r="E750" s="102"/>
      <c r="F750" s="102"/>
      <c r="G750" s="102"/>
      <c r="H750" s="102"/>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row>
    <row r="751" spans="1:102" x14ac:dyDescent="0.2">
      <c r="A751" s="64"/>
      <c r="B751" s="64"/>
      <c r="C751" s="102"/>
      <c r="D751" s="102"/>
      <c r="E751" s="102"/>
      <c r="F751" s="102"/>
      <c r="G751" s="102"/>
      <c r="H751" s="102"/>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row>
    <row r="752" spans="1:102" x14ac:dyDescent="0.2">
      <c r="A752" s="64"/>
      <c r="B752" s="64"/>
      <c r="C752" s="102"/>
      <c r="D752" s="102"/>
      <c r="E752" s="102"/>
      <c r="F752" s="102"/>
      <c r="G752" s="102"/>
      <c r="H752" s="102"/>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row>
    <row r="753" spans="1:102" x14ac:dyDescent="0.2">
      <c r="A753" s="64"/>
      <c r="B753" s="64"/>
      <c r="C753" s="102"/>
      <c r="D753" s="102"/>
      <c r="E753" s="102"/>
      <c r="F753" s="102"/>
      <c r="G753" s="102"/>
      <c r="H753" s="102"/>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row>
    <row r="754" spans="1:102" x14ac:dyDescent="0.2">
      <c r="A754" s="64"/>
      <c r="B754" s="64"/>
      <c r="C754" s="102"/>
      <c r="D754" s="102"/>
      <c r="E754" s="102"/>
      <c r="F754" s="102"/>
      <c r="G754" s="102"/>
      <c r="H754" s="102"/>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row>
    <row r="755" spans="1:102" x14ac:dyDescent="0.2">
      <c r="A755" s="64"/>
      <c r="B755" s="64"/>
      <c r="C755" s="102"/>
      <c r="D755" s="102"/>
      <c r="E755" s="102"/>
      <c r="F755" s="102"/>
      <c r="G755" s="102"/>
      <c r="H755" s="102"/>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row>
    <row r="756" spans="1:102" x14ac:dyDescent="0.2">
      <c r="A756" s="64"/>
      <c r="B756" s="64"/>
      <c r="C756" s="102"/>
      <c r="D756" s="102"/>
      <c r="E756" s="102"/>
      <c r="F756" s="102"/>
      <c r="G756" s="102"/>
      <c r="H756" s="102"/>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row>
    <row r="757" spans="1:102" x14ac:dyDescent="0.2">
      <c r="A757" s="64"/>
      <c r="B757" s="64"/>
      <c r="C757" s="102"/>
      <c r="D757" s="102"/>
      <c r="E757" s="102"/>
      <c r="F757" s="102"/>
      <c r="G757" s="102"/>
      <c r="H757" s="102"/>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row>
    <row r="758" spans="1:102" x14ac:dyDescent="0.2">
      <c r="A758" s="64"/>
      <c r="B758" s="64"/>
      <c r="C758" s="102"/>
      <c r="D758" s="102"/>
      <c r="E758" s="102"/>
      <c r="F758" s="102"/>
      <c r="G758" s="102"/>
      <c r="H758" s="102"/>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row>
    <row r="759" spans="1:102" x14ac:dyDescent="0.2">
      <c r="A759" s="64"/>
      <c r="B759" s="64"/>
      <c r="C759" s="102"/>
      <c r="D759" s="102"/>
      <c r="E759" s="102"/>
      <c r="F759" s="102"/>
      <c r="G759" s="102"/>
      <c r="H759" s="102"/>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row>
    <row r="760" spans="1:102" x14ac:dyDescent="0.2">
      <c r="A760" s="64"/>
      <c r="B760" s="64"/>
      <c r="C760" s="102"/>
      <c r="D760" s="102"/>
      <c r="E760" s="102"/>
      <c r="F760" s="102"/>
      <c r="G760" s="102"/>
      <c r="H760" s="102"/>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row>
    <row r="761" spans="1:102" x14ac:dyDescent="0.2">
      <c r="A761" s="64"/>
      <c r="B761" s="64"/>
      <c r="C761" s="102"/>
      <c r="D761" s="102"/>
      <c r="E761" s="102"/>
      <c r="F761" s="102"/>
      <c r="G761" s="102"/>
      <c r="H761" s="102"/>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row>
    <row r="762" spans="1:102" x14ac:dyDescent="0.2">
      <c r="A762" s="64"/>
      <c r="B762" s="64"/>
      <c r="C762" s="102"/>
      <c r="D762" s="102"/>
      <c r="E762" s="102"/>
      <c r="F762" s="102"/>
      <c r="G762" s="102"/>
      <c r="H762" s="102"/>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row>
    <row r="763" spans="1:102" x14ac:dyDescent="0.2">
      <c r="A763" s="64"/>
      <c r="B763" s="64"/>
      <c r="C763" s="102"/>
      <c r="D763" s="102"/>
      <c r="E763" s="102"/>
      <c r="F763" s="102"/>
      <c r="G763" s="102"/>
      <c r="H763" s="102"/>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row>
    <row r="764" spans="1:102" x14ac:dyDescent="0.2">
      <c r="A764" s="64"/>
      <c r="B764" s="64"/>
      <c r="C764" s="102"/>
      <c r="D764" s="102"/>
      <c r="E764" s="102"/>
      <c r="F764" s="102"/>
      <c r="G764" s="102"/>
      <c r="H764" s="102"/>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row>
    <row r="765" spans="1:102" x14ac:dyDescent="0.2">
      <c r="A765" s="64"/>
      <c r="B765" s="64"/>
      <c r="C765" s="102"/>
      <c r="D765" s="102"/>
      <c r="E765" s="102"/>
      <c r="F765" s="102"/>
      <c r="G765" s="102"/>
      <c r="H765" s="102"/>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row>
    <row r="766" spans="1:102" x14ac:dyDescent="0.2">
      <c r="A766" s="64"/>
      <c r="B766" s="64"/>
      <c r="C766" s="102"/>
      <c r="D766" s="102"/>
      <c r="E766" s="102"/>
      <c r="F766" s="102"/>
      <c r="G766" s="102"/>
      <c r="H766" s="102"/>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row>
    <row r="767" spans="1:102" x14ac:dyDescent="0.2">
      <c r="A767" s="64"/>
      <c r="B767" s="64"/>
      <c r="C767" s="102"/>
      <c r="D767" s="102"/>
      <c r="E767" s="102"/>
      <c r="F767" s="102"/>
      <c r="G767" s="102"/>
      <c r="H767" s="102"/>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row>
    <row r="768" spans="1:102" x14ac:dyDescent="0.2">
      <c r="A768" s="64"/>
      <c r="B768" s="64"/>
      <c r="C768" s="102"/>
      <c r="D768" s="102"/>
      <c r="E768" s="102"/>
      <c r="F768" s="102"/>
      <c r="G768" s="102"/>
      <c r="H768" s="102"/>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row>
    <row r="769" spans="1:102" x14ac:dyDescent="0.2">
      <c r="A769" s="64"/>
      <c r="B769" s="64"/>
      <c r="C769" s="102"/>
      <c r="D769" s="102"/>
      <c r="E769" s="102"/>
      <c r="F769" s="102"/>
      <c r="G769" s="102"/>
      <c r="H769" s="102"/>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row>
    <row r="770" spans="1:102" x14ac:dyDescent="0.2">
      <c r="A770" s="64"/>
      <c r="B770" s="64"/>
      <c r="C770" s="102"/>
      <c r="D770" s="102"/>
      <c r="E770" s="102"/>
      <c r="F770" s="102"/>
      <c r="G770" s="102"/>
      <c r="H770" s="102"/>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row>
    <row r="771" spans="1:102" x14ac:dyDescent="0.2">
      <c r="A771" s="64"/>
      <c r="B771" s="64"/>
      <c r="C771" s="102"/>
      <c r="D771" s="102"/>
      <c r="E771" s="102"/>
      <c r="F771" s="102"/>
      <c r="G771" s="102"/>
      <c r="H771" s="102"/>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row>
    <row r="772" spans="1:102" x14ac:dyDescent="0.2">
      <c r="A772" s="64"/>
      <c r="B772" s="64"/>
      <c r="C772" s="102"/>
      <c r="D772" s="102"/>
      <c r="E772" s="102"/>
      <c r="F772" s="102"/>
      <c r="G772" s="102"/>
      <c r="H772" s="102"/>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row>
    <row r="773" spans="1:102" x14ac:dyDescent="0.2">
      <c r="A773" s="64"/>
      <c r="B773" s="64"/>
      <c r="C773" s="102"/>
      <c r="D773" s="102"/>
      <c r="E773" s="102"/>
      <c r="F773" s="102"/>
      <c r="G773" s="102"/>
      <c r="H773" s="102"/>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row>
    <row r="774" spans="1:102" x14ac:dyDescent="0.2">
      <c r="A774" s="64"/>
      <c r="B774" s="64"/>
      <c r="C774" s="102"/>
      <c r="D774" s="102"/>
      <c r="E774" s="102"/>
      <c r="F774" s="102"/>
      <c r="G774" s="102"/>
      <c r="H774" s="102"/>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row>
    <row r="775" spans="1:102" x14ac:dyDescent="0.2">
      <c r="A775" s="64"/>
      <c r="B775" s="64"/>
      <c r="C775" s="102"/>
      <c r="D775" s="102"/>
      <c r="E775" s="102"/>
      <c r="F775" s="102"/>
      <c r="G775" s="102"/>
      <c r="H775" s="102"/>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row>
    <row r="776" spans="1:102" x14ac:dyDescent="0.2">
      <c r="A776" s="64"/>
      <c r="B776" s="64"/>
      <c r="C776" s="102"/>
      <c r="D776" s="102"/>
      <c r="E776" s="102"/>
      <c r="F776" s="102"/>
      <c r="G776" s="102"/>
      <c r="H776" s="102"/>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row>
    <row r="777" spans="1:102" x14ac:dyDescent="0.2">
      <c r="A777" s="64"/>
      <c r="B777" s="64"/>
      <c r="C777" s="102"/>
      <c r="D777" s="102"/>
      <c r="E777" s="102"/>
      <c r="F777" s="102"/>
      <c r="G777" s="102"/>
      <c r="H777" s="102"/>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row>
    <row r="778" spans="1:102" x14ac:dyDescent="0.2">
      <c r="A778" s="64"/>
      <c r="B778" s="64"/>
      <c r="C778" s="102"/>
      <c r="D778" s="102"/>
      <c r="E778" s="102"/>
      <c r="F778" s="102"/>
      <c r="G778" s="102"/>
      <c r="H778" s="102"/>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row>
    <row r="779" spans="1:102" x14ac:dyDescent="0.2">
      <c r="A779" s="64"/>
      <c r="B779" s="64"/>
      <c r="C779" s="102"/>
      <c r="D779" s="102"/>
      <c r="E779" s="102"/>
      <c r="F779" s="102"/>
      <c r="G779" s="102"/>
      <c r="H779" s="102"/>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row>
    <row r="780" spans="1:102" x14ac:dyDescent="0.2">
      <c r="A780" s="64"/>
      <c r="B780" s="64"/>
      <c r="C780" s="102"/>
      <c r="D780" s="102"/>
      <c r="E780" s="102"/>
      <c r="F780" s="102"/>
      <c r="G780" s="102"/>
      <c r="H780" s="102"/>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row>
    <row r="781" spans="1:102" x14ac:dyDescent="0.2">
      <c r="A781" s="64"/>
      <c r="B781" s="64"/>
      <c r="C781" s="102"/>
      <c r="D781" s="102"/>
      <c r="E781" s="102"/>
      <c r="F781" s="102"/>
      <c r="G781" s="102"/>
      <c r="H781" s="102"/>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row>
    <row r="782" spans="1:102" x14ac:dyDescent="0.2">
      <c r="A782" s="64"/>
      <c r="B782" s="64"/>
      <c r="C782" s="102"/>
      <c r="D782" s="102"/>
      <c r="E782" s="102"/>
      <c r="F782" s="102"/>
      <c r="G782" s="102"/>
      <c r="H782" s="102"/>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row>
    <row r="783" spans="1:102" x14ac:dyDescent="0.2">
      <c r="A783" s="64"/>
      <c r="B783" s="64"/>
      <c r="C783" s="102"/>
      <c r="D783" s="102"/>
      <c r="E783" s="102"/>
      <c r="F783" s="102"/>
      <c r="G783" s="102"/>
      <c r="H783" s="102"/>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row>
    <row r="784" spans="1:102" x14ac:dyDescent="0.2">
      <c r="A784" s="64"/>
      <c r="B784" s="64"/>
      <c r="C784" s="102"/>
      <c r="D784" s="102"/>
      <c r="E784" s="102"/>
      <c r="F784" s="102"/>
      <c r="G784" s="102"/>
      <c r="H784" s="102"/>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row>
    <row r="785" spans="1:102" x14ac:dyDescent="0.2">
      <c r="A785" s="64"/>
      <c r="B785" s="64"/>
      <c r="C785" s="102"/>
      <c r="D785" s="102"/>
      <c r="E785" s="102"/>
      <c r="F785" s="102"/>
      <c r="G785" s="102"/>
      <c r="H785" s="102"/>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row>
    <row r="786" spans="1:102" x14ac:dyDescent="0.2">
      <c r="A786" s="64"/>
      <c r="B786" s="64"/>
      <c r="C786" s="102"/>
      <c r="D786" s="102"/>
      <c r="E786" s="102"/>
      <c r="F786" s="102"/>
      <c r="G786" s="102"/>
      <c r="H786" s="102"/>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row>
    <row r="787" spans="1:102" x14ac:dyDescent="0.2">
      <c r="A787" s="64"/>
      <c r="B787" s="64"/>
      <c r="C787" s="102"/>
      <c r="D787" s="102"/>
      <c r="E787" s="102"/>
      <c r="F787" s="102"/>
      <c r="G787" s="102"/>
      <c r="H787" s="102"/>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row>
    <row r="788" spans="1:102" x14ac:dyDescent="0.2">
      <c r="A788" s="64"/>
      <c r="B788" s="64"/>
      <c r="C788" s="102"/>
      <c r="D788" s="102"/>
      <c r="E788" s="102"/>
      <c r="F788" s="102"/>
      <c r="G788" s="102"/>
      <c r="H788" s="102"/>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row>
    <row r="789" spans="1:102" x14ac:dyDescent="0.2">
      <c r="A789" s="64"/>
      <c r="B789" s="64"/>
      <c r="C789" s="102"/>
      <c r="D789" s="102"/>
      <c r="E789" s="102"/>
      <c r="F789" s="102"/>
      <c r="G789" s="102"/>
      <c r="H789" s="102"/>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row>
    <row r="790" spans="1:102" x14ac:dyDescent="0.2">
      <c r="A790" s="64"/>
      <c r="B790" s="64"/>
      <c r="C790" s="102"/>
      <c r="D790" s="102"/>
      <c r="E790" s="102"/>
      <c r="F790" s="102"/>
      <c r="G790" s="102"/>
      <c r="H790" s="102"/>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row>
    <row r="791" spans="1:102" x14ac:dyDescent="0.2">
      <c r="A791" s="64"/>
      <c r="B791" s="64"/>
      <c r="C791" s="102"/>
      <c r="D791" s="102"/>
      <c r="E791" s="102"/>
      <c r="F791" s="102"/>
      <c r="G791" s="102"/>
      <c r="H791" s="102"/>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row>
    <row r="792" spans="1:102" x14ac:dyDescent="0.2">
      <c r="A792" s="64"/>
      <c r="B792" s="64"/>
      <c r="C792" s="102"/>
      <c r="D792" s="102"/>
      <c r="E792" s="102"/>
      <c r="F792" s="102"/>
      <c r="G792" s="102"/>
      <c r="H792" s="102"/>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row>
    <row r="793" spans="1:102" x14ac:dyDescent="0.2">
      <c r="A793" s="64"/>
      <c r="B793" s="64"/>
      <c r="C793" s="102"/>
      <c r="D793" s="102"/>
      <c r="E793" s="102"/>
      <c r="F793" s="102"/>
      <c r="G793" s="102"/>
      <c r="H793" s="102"/>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row>
    <row r="794" spans="1:102" x14ac:dyDescent="0.2">
      <c r="A794" s="64"/>
      <c r="B794" s="64"/>
      <c r="C794" s="102"/>
      <c r="D794" s="102"/>
      <c r="E794" s="102"/>
      <c r="F794" s="102"/>
      <c r="G794" s="102"/>
      <c r="H794" s="102"/>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row>
    <row r="795" spans="1:102" x14ac:dyDescent="0.2">
      <c r="A795" s="64"/>
      <c r="B795" s="64"/>
      <c r="C795" s="102"/>
      <c r="D795" s="102"/>
      <c r="E795" s="102"/>
      <c r="F795" s="102"/>
      <c r="G795" s="102"/>
      <c r="H795" s="102"/>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row>
    <row r="796" spans="1:102" x14ac:dyDescent="0.2">
      <c r="A796" s="64"/>
      <c r="B796" s="64"/>
      <c r="C796" s="102"/>
      <c r="D796" s="102"/>
      <c r="E796" s="102"/>
      <c r="F796" s="102"/>
      <c r="G796" s="102"/>
      <c r="H796" s="102"/>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row>
    <row r="797" spans="1:102" x14ac:dyDescent="0.2">
      <c r="A797" s="64"/>
      <c r="B797" s="64"/>
      <c r="C797" s="102"/>
      <c r="D797" s="102"/>
      <c r="E797" s="102"/>
      <c r="F797" s="102"/>
      <c r="G797" s="102"/>
      <c r="H797" s="102"/>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row>
    <row r="798" spans="1:102" x14ac:dyDescent="0.2">
      <c r="A798" s="64"/>
      <c r="B798" s="64"/>
      <c r="C798" s="102"/>
      <c r="D798" s="102"/>
      <c r="E798" s="102"/>
      <c r="F798" s="102"/>
      <c r="G798" s="102"/>
      <c r="H798" s="102"/>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row>
    <row r="799" spans="1:102" x14ac:dyDescent="0.2">
      <c r="A799" s="64"/>
      <c r="B799" s="64"/>
      <c r="C799" s="102"/>
      <c r="D799" s="102"/>
      <c r="E799" s="102"/>
      <c r="F799" s="102"/>
      <c r="G799" s="102"/>
      <c r="H799" s="102"/>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row>
    <row r="800" spans="1:102" x14ac:dyDescent="0.2">
      <c r="A800" s="64"/>
      <c r="B800" s="64"/>
      <c r="C800" s="102"/>
      <c r="D800" s="102"/>
      <c r="E800" s="102"/>
      <c r="F800" s="102"/>
      <c r="G800" s="102"/>
      <c r="H800" s="102"/>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row>
    <row r="801" spans="1:102" x14ac:dyDescent="0.2">
      <c r="A801" s="64"/>
      <c r="B801" s="64"/>
      <c r="C801" s="102"/>
      <c r="D801" s="102"/>
      <c r="E801" s="102"/>
      <c r="F801" s="102"/>
      <c r="G801" s="102"/>
      <c r="H801" s="102"/>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row>
    <row r="802" spans="1:102" x14ac:dyDescent="0.2">
      <c r="A802" s="64"/>
      <c r="B802" s="64"/>
      <c r="C802" s="102"/>
      <c r="D802" s="102"/>
      <c r="E802" s="102"/>
      <c r="F802" s="102"/>
      <c r="G802" s="102"/>
      <c r="H802" s="102"/>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row>
    <row r="803" spans="1:102" x14ac:dyDescent="0.2">
      <c r="A803" s="64"/>
      <c r="B803" s="64"/>
      <c r="C803" s="102"/>
      <c r="D803" s="102"/>
      <c r="E803" s="102"/>
      <c r="F803" s="102"/>
      <c r="G803" s="102"/>
      <c r="H803" s="102"/>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row>
    <row r="804" spans="1:102" x14ac:dyDescent="0.2">
      <c r="A804" s="64"/>
      <c r="B804" s="64"/>
      <c r="C804" s="102"/>
      <c r="D804" s="102"/>
      <c r="E804" s="102"/>
      <c r="F804" s="102"/>
      <c r="G804" s="102"/>
      <c r="H804" s="102"/>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row>
    <row r="805" spans="1:102" x14ac:dyDescent="0.2">
      <c r="A805" s="64"/>
      <c r="B805" s="64"/>
      <c r="C805" s="102"/>
      <c r="D805" s="102"/>
      <c r="E805" s="102"/>
      <c r="F805" s="102"/>
      <c r="G805" s="102"/>
      <c r="H805" s="102"/>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row>
    <row r="806" spans="1:102" x14ac:dyDescent="0.2">
      <c r="A806" s="64"/>
      <c r="B806" s="64"/>
      <c r="C806" s="102"/>
      <c r="D806" s="102"/>
      <c r="E806" s="102"/>
      <c r="F806" s="102"/>
      <c r="G806" s="102"/>
      <c r="H806" s="102"/>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row>
    <row r="807" spans="1:102" x14ac:dyDescent="0.2">
      <c r="A807" s="64"/>
      <c r="B807" s="64"/>
      <c r="C807" s="102"/>
      <c r="D807" s="102"/>
      <c r="E807" s="102"/>
      <c r="F807" s="102"/>
      <c r="G807" s="102"/>
      <c r="H807" s="102"/>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row>
    <row r="808" spans="1:102" x14ac:dyDescent="0.2">
      <c r="A808" s="64"/>
      <c r="B808" s="64"/>
      <c r="C808" s="102"/>
      <c r="D808" s="102"/>
      <c r="E808" s="102"/>
      <c r="F808" s="102"/>
      <c r="G808" s="102"/>
      <c r="H808" s="102"/>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row>
    <row r="809" spans="1:102" x14ac:dyDescent="0.2">
      <c r="A809" s="64"/>
      <c r="B809" s="64"/>
      <c r="C809" s="102"/>
      <c r="D809" s="102"/>
      <c r="E809" s="102"/>
      <c r="F809" s="102"/>
      <c r="G809" s="102"/>
      <c r="H809" s="102"/>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row>
    <row r="810" spans="1:102" x14ac:dyDescent="0.2">
      <c r="A810" s="64"/>
      <c r="B810" s="64"/>
      <c r="C810" s="102"/>
      <c r="D810" s="102"/>
      <c r="E810" s="102"/>
      <c r="F810" s="102"/>
      <c r="G810" s="102"/>
      <c r="H810" s="102"/>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row>
    <row r="811" spans="1:102" x14ac:dyDescent="0.2">
      <c r="A811" s="64"/>
      <c r="B811" s="64"/>
      <c r="C811" s="102"/>
      <c r="D811" s="102"/>
      <c r="E811" s="102"/>
      <c r="F811" s="102"/>
      <c r="G811" s="102"/>
      <c r="H811" s="102"/>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row>
    <row r="812" spans="1:102" x14ac:dyDescent="0.2">
      <c r="A812" s="64"/>
      <c r="B812" s="64"/>
      <c r="C812" s="102"/>
      <c r="D812" s="102"/>
      <c r="E812" s="102"/>
      <c r="F812" s="102"/>
      <c r="G812" s="102"/>
      <c r="H812" s="102"/>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row>
    <row r="813" spans="1:102" x14ac:dyDescent="0.2">
      <c r="A813" s="64"/>
      <c r="B813" s="64"/>
      <c r="C813" s="102"/>
      <c r="D813" s="102"/>
      <c r="E813" s="102"/>
      <c r="F813" s="102"/>
      <c r="G813" s="102"/>
      <c r="H813" s="102"/>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row>
    <row r="814" spans="1:102" x14ac:dyDescent="0.2">
      <c r="A814" s="64"/>
      <c r="B814" s="64"/>
      <c r="C814" s="102"/>
      <c r="D814" s="102"/>
      <c r="E814" s="102"/>
      <c r="F814" s="102"/>
      <c r="G814" s="102"/>
      <c r="H814" s="102"/>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row>
    <row r="815" spans="1:102" x14ac:dyDescent="0.2">
      <c r="A815" s="64"/>
      <c r="B815" s="64"/>
      <c r="C815" s="102"/>
      <c r="D815" s="102"/>
      <c r="E815" s="102"/>
      <c r="F815" s="102"/>
      <c r="G815" s="102"/>
      <c r="H815" s="102"/>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row>
    <row r="816" spans="1:102" x14ac:dyDescent="0.2">
      <c r="A816" s="64"/>
      <c r="B816" s="64"/>
      <c r="C816" s="102"/>
      <c r="D816" s="102"/>
      <c r="E816" s="102"/>
      <c r="F816" s="102"/>
      <c r="G816" s="102"/>
      <c r="H816" s="102"/>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row>
    <row r="817" spans="1:102" x14ac:dyDescent="0.2">
      <c r="A817" s="64"/>
      <c r="B817" s="64"/>
      <c r="C817" s="102"/>
      <c r="D817" s="102"/>
      <c r="E817" s="102"/>
      <c r="F817" s="102"/>
      <c r="G817" s="102"/>
      <c r="H817" s="102"/>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row>
    <row r="818" spans="1:102" x14ac:dyDescent="0.2">
      <c r="A818" s="64"/>
      <c r="B818" s="64"/>
      <c r="C818" s="102"/>
      <c r="D818" s="102"/>
      <c r="E818" s="102"/>
      <c r="F818" s="102"/>
      <c r="G818" s="102"/>
      <c r="H818" s="102"/>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row>
    <row r="819" spans="1:102" x14ac:dyDescent="0.2">
      <c r="A819" s="64"/>
      <c r="B819" s="64"/>
      <c r="C819" s="102"/>
      <c r="D819" s="102"/>
      <c r="E819" s="102"/>
      <c r="F819" s="102"/>
      <c r="G819" s="102"/>
      <c r="H819" s="102"/>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row>
    <row r="820" spans="1:102" x14ac:dyDescent="0.2">
      <c r="A820" s="64"/>
      <c r="B820" s="64"/>
      <c r="C820" s="102"/>
      <c r="D820" s="102"/>
      <c r="E820" s="102"/>
      <c r="F820" s="102"/>
      <c r="G820" s="102"/>
      <c r="H820" s="102"/>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row>
    <row r="821" spans="1:102" x14ac:dyDescent="0.2">
      <c r="A821" s="64"/>
      <c r="B821" s="64"/>
      <c r="C821" s="102"/>
      <c r="D821" s="102"/>
      <c r="E821" s="102"/>
      <c r="F821" s="102"/>
      <c r="G821" s="102"/>
      <c r="H821" s="102"/>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row>
    <row r="822" spans="1:102" x14ac:dyDescent="0.2">
      <c r="A822" s="64"/>
      <c r="B822" s="64"/>
      <c r="C822" s="102"/>
      <c r="D822" s="102"/>
      <c r="E822" s="102"/>
      <c r="F822" s="102"/>
      <c r="G822" s="102"/>
      <c r="H822" s="102"/>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row>
    <row r="823" spans="1:102" x14ac:dyDescent="0.2">
      <c r="A823" s="64"/>
      <c r="B823" s="64"/>
      <c r="C823" s="102"/>
      <c r="D823" s="102"/>
      <c r="E823" s="102"/>
      <c r="F823" s="102"/>
      <c r="G823" s="102"/>
      <c r="H823" s="102"/>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row>
    <row r="824" spans="1:102" x14ac:dyDescent="0.2">
      <c r="A824" s="64"/>
      <c r="B824" s="64"/>
      <c r="C824" s="102"/>
      <c r="D824" s="102"/>
      <c r="E824" s="102"/>
      <c r="F824" s="102"/>
      <c r="G824" s="102"/>
      <c r="H824" s="102"/>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row>
    <row r="825" spans="1:102" x14ac:dyDescent="0.2">
      <c r="A825" s="64"/>
      <c r="B825" s="64"/>
      <c r="C825" s="102"/>
      <c r="D825" s="102"/>
      <c r="E825" s="102"/>
      <c r="F825" s="102"/>
      <c r="G825" s="102"/>
      <c r="H825" s="102"/>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row>
    <row r="826" spans="1:102" x14ac:dyDescent="0.2">
      <c r="A826" s="64"/>
      <c r="B826" s="64"/>
      <c r="C826" s="102"/>
      <c r="D826" s="102"/>
      <c r="E826" s="102"/>
      <c r="F826" s="102"/>
      <c r="G826" s="102"/>
      <c r="H826" s="102"/>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row>
    <row r="827" spans="1:102" x14ac:dyDescent="0.2">
      <c r="A827" s="64"/>
      <c r="B827" s="64"/>
      <c r="C827" s="102"/>
      <c r="D827" s="102"/>
      <c r="E827" s="102"/>
      <c r="F827" s="102"/>
      <c r="G827" s="102"/>
      <c r="H827" s="102"/>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row>
    <row r="828" spans="1:102" x14ac:dyDescent="0.2">
      <c r="A828" s="64"/>
      <c r="B828" s="64"/>
      <c r="C828" s="102"/>
      <c r="D828" s="102"/>
      <c r="E828" s="102"/>
      <c r="F828" s="102"/>
      <c r="G828" s="102"/>
      <c r="H828" s="102"/>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row>
    <row r="829" spans="1:102" x14ac:dyDescent="0.2">
      <c r="A829" s="64"/>
      <c r="B829" s="64"/>
      <c r="C829" s="102"/>
      <c r="D829" s="102"/>
      <c r="E829" s="102"/>
      <c r="F829" s="102"/>
      <c r="G829" s="102"/>
      <c r="H829" s="102"/>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row>
    <row r="830" spans="1:102" x14ac:dyDescent="0.2">
      <c r="A830" s="64"/>
      <c r="B830" s="64"/>
      <c r="C830" s="102"/>
      <c r="D830" s="102"/>
      <c r="E830" s="102"/>
      <c r="F830" s="102"/>
      <c r="G830" s="102"/>
      <c r="H830" s="102"/>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row>
    <row r="831" spans="1:102" x14ac:dyDescent="0.2">
      <c r="A831" s="64"/>
      <c r="B831" s="64"/>
      <c r="C831" s="102"/>
      <c r="D831" s="102"/>
      <c r="E831" s="102"/>
      <c r="F831" s="102"/>
      <c r="G831" s="102"/>
      <c r="H831" s="102"/>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row>
    <row r="832" spans="1:102" x14ac:dyDescent="0.2">
      <c r="A832" s="64"/>
      <c r="B832" s="64"/>
      <c r="C832" s="102"/>
      <c r="D832" s="102"/>
      <c r="E832" s="102"/>
      <c r="F832" s="102"/>
      <c r="G832" s="102"/>
      <c r="H832" s="102"/>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row>
    <row r="833" spans="1:102" x14ac:dyDescent="0.2">
      <c r="A833" s="64"/>
      <c r="B833" s="64"/>
      <c r="C833" s="102"/>
      <c r="D833" s="102"/>
      <c r="E833" s="102"/>
      <c r="F833" s="102"/>
      <c r="G833" s="102"/>
      <c r="H833" s="102"/>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row>
    <row r="834" spans="1:102" x14ac:dyDescent="0.2">
      <c r="A834" s="64"/>
      <c r="B834" s="64"/>
      <c r="C834" s="102"/>
      <c r="D834" s="102"/>
      <c r="E834" s="102"/>
      <c r="F834" s="102"/>
      <c r="G834" s="102"/>
      <c r="H834" s="102"/>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row>
    <row r="835" spans="1:102" x14ac:dyDescent="0.2">
      <c r="A835" s="64"/>
      <c r="B835" s="64"/>
      <c r="C835" s="102"/>
      <c r="D835" s="102"/>
      <c r="E835" s="102"/>
      <c r="F835" s="102"/>
      <c r="G835" s="102"/>
      <c r="H835" s="102"/>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row>
    <row r="836" spans="1:102" x14ac:dyDescent="0.2">
      <c r="A836" s="64"/>
      <c r="B836" s="64"/>
      <c r="C836" s="102"/>
      <c r="D836" s="102"/>
      <c r="E836" s="102"/>
      <c r="F836" s="102"/>
      <c r="G836" s="102"/>
      <c r="H836" s="102"/>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row>
    <row r="837" spans="1:102" x14ac:dyDescent="0.2">
      <c r="A837" s="64"/>
      <c r="B837" s="64"/>
      <c r="C837" s="102"/>
      <c r="D837" s="102"/>
      <c r="E837" s="102"/>
      <c r="F837" s="102"/>
      <c r="G837" s="102"/>
      <c r="H837" s="102"/>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row>
    <row r="838" spans="1:102" x14ac:dyDescent="0.2">
      <c r="A838" s="64"/>
      <c r="B838" s="64"/>
      <c r="C838" s="102"/>
      <c r="D838" s="102"/>
      <c r="E838" s="102"/>
      <c r="F838" s="102"/>
      <c r="G838" s="102"/>
      <c r="H838" s="102"/>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row>
    <row r="839" spans="1:102" x14ac:dyDescent="0.2">
      <c r="A839" s="64"/>
      <c r="B839" s="64"/>
      <c r="C839" s="102"/>
      <c r="D839" s="102"/>
      <c r="E839" s="102"/>
      <c r="F839" s="102"/>
      <c r="G839" s="102"/>
      <c r="H839" s="102"/>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row>
    <row r="840" spans="1:102" x14ac:dyDescent="0.2">
      <c r="A840" s="64"/>
      <c r="B840" s="64"/>
      <c r="C840" s="102"/>
      <c r="D840" s="102"/>
      <c r="E840" s="102"/>
      <c r="F840" s="102"/>
      <c r="G840" s="102"/>
      <c r="H840" s="102"/>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row>
    <row r="841" spans="1:102" x14ac:dyDescent="0.2">
      <c r="A841" s="64"/>
      <c r="B841" s="64"/>
      <c r="C841" s="102"/>
      <c r="D841" s="102"/>
      <c r="E841" s="102"/>
      <c r="F841" s="102"/>
      <c r="G841" s="102"/>
      <c r="H841" s="102"/>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row>
    <row r="842" spans="1:102" x14ac:dyDescent="0.2">
      <c r="A842" s="64"/>
      <c r="B842" s="64"/>
      <c r="C842" s="102"/>
      <c r="D842" s="102"/>
      <c r="E842" s="102"/>
      <c r="F842" s="102"/>
      <c r="G842" s="102"/>
      <c r="H842" s="102"/>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row>
    <row r="843" spans="1:102" x14ac:dyDescent="0.2">
      <c r="A843" s="64"/>
      <c r="B843" s="64"/>
      <c r="C843" s="102"/>
      <c r="D843" s="102"/>
      <c r="E843" s="102"/>
      <c r="F843" s="102"/>
      <c r="G843" s="102"/>
      <c r="H843" s="102"/>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row>
    <row r="844" spans="1:102" x14ac:dyDescent="0.2">
      <c r="A844" s="64"/>
      <c r="B844" s="64"/>
      <c r="C844" s="102"/>
      <c r="D844" s="102"/>
      <c r="E844" s="102"/>
      <c r="F844" s="102"/>
      <c r="G844" s="102"/>
      <c r="H844" s="102"/>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row>
    <row r="845" spans="1:102" x14ac:dyDescent="0.2">
      <c r="A845" s="64"/>
      <c r="B845" s="64"/>
      <c r="C845" s="102"/>
      <c r="D845" s="102"/>
      <c r="E845" s="102"/>
      <c r="F845" s="102"/>
      <c r="G845" s="102"/>
      <c r="H845" s="102"/>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row>
    <row r="846" spans="1:102" x14ac:dyDescent="0.2">
      <c r="A846" s="64"/>
      <c r="B846" s="64"/>
      <c r="C846" s="102"/>
      <c r="D846" s="102"/>
      <c r="E846" s="102"/>
      <c r="F846" s="102"/>
      <c r="G846" s="102"/>
      <c r="H846" s="102"/>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row>
    <row r="847" spans="1:102" x14ac:dyDescent="0.2">
      <c r="A847" s="64"/>
      <c r="B847" s="64"/>
      <c r="C847" s="102"/>
      <c r="D847" s="102"/>
      <c r="E847" s="102"/>
      <c r="F847" s="102"/>
      <c r="G847" s="102"/>
      <c r="H847" s="102"/>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row>
    <row r="848" spans="1:102" x14ac:dyDescent="0.2">
      <c r="A848" s="64"/>
      <c r="B848" s="64"/>
      <c r="C848" s="102"/>
      <c r="D848" s="102"/>
      <c r="E848" s="102"/>
      <c r="F848" s="102"/>
      <c r="G848" s="102"/>
      <c r="H848" s="102"/>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row>
    <row r="849" spans="1:102" x14ac:dyDescent="0.2">
      <c r="A849" s="64"/>
      <c r="B849" s="64"/>
      <c r="C849" s="102"/>
      <c r="D849" s="102"/>
      <c r="E849" s="102"/>
      <c r="F849" s="102"/>
      <c r="G849" s="102"/>
      <c r="H849" s="102"/>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row>
    <row r="850" spans="1:102" x14ac:dyDescent="0.2">
      <c r="A850" s="64"/>
      <c r="B850" s="64"/>
      <c r="C850" s="102"/>
      <c r="D850" s="102"/>
      <c r="E850" s="102"/>
      <c r="F850" s="102"/>
      <c r="G850" s="102"/>
      <c r="H850" s="102"/>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row>
    <row r="851" spans="1:102" x14ac:dyDescent="0.2">
      <c r="A851" s="64"/>
      <c r="B851" s="64"/>
      <c r="C851" s="102"/>
      <c r="D851" s="102"/>
      <c r="E851" s="102"/>
      <c r="F851" s="102"/>
      <c r="G851" s="102"/>
      <c r="H851" s="102"/>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row>
    <row r="852" spans="1:102" x14ac:dyDescent="0.2">
      <c r="A852" s="64"/>
      <c r="B852" s="64"/>
      <c r="C852" s="102"/>
      <c r="D852" s="102"/>
      <c r="E852" s="102"/>
      <c r="F852" s="102"/>
      <c r="G852" s="102"/>
      <c r="H852" s="102"/>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row>
    <row r="853" spans="1:102" x14ac:dyDescent="0.2">
      <c r="A853" s="64"/>
      <c r="B853" s="64"/>
      <c r="C853" s="102"/>
      <c r="D853" s="102"/>
      <c r="E853" s="102"/>
      <c r="F853" s="102"/>
      <c r="G853" s="102"/>
      <c r="H853" s="102"/>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row>
    <row r="854" spans="1:102" x14ac:dyDescent="0.2">
      <c r="A854" s="64"/>
      <c r="B854" s="64"/>
      <c r="C854" s="102"/>
      <c r="D854" s="102"/>
      <c r="E854" s="102"/>
      <c r="F854" s="102"/>
      <c r="G854" s="102"/>
      <c r="H854" s="102"/>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row>
    <row r="855" spans="1:102" x14ac:dyDescent="0.2">
      <c r="A855" s="64"/>
      <c r="B855" s="64"/>
      <c r="C855" s="102"/>
      <c r="D855" s="102"/>
      <c r="E855" s="102"/>
      <c r="F855" s="102"/>
      <c r="G855" s="102"/>
      <c r="H855" s="102"/>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row>
    <row r="856" spans="1:102" x14ac:dyDescent="0.2">
      <c r="A856" s="64"/>
      <c r="B856" s="64"/>
      <c r="C856" s="102"/>
      <c r="D856" s="102"/>
      <c r="E856" s="102"/>
      <c r="F856" s="102"/>
      <c r="G856" s="102"/>
      <c r="H856" s="102"/>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row>
    <row r="857" spans="1:102" x14ac:dyDescent="0.2">
      <c r="A857" s="64"/>
      <c r="B857" s="64"/>
      <c r="C857" s="102"/>
      <c r="D857" s="102"/>
      <c r="E857" s="102"/>
      <c r="F857" s="102"/>
      <c r="G857" s="102"/>
      <c r="H857" s="102"/>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row>
    <row r="858" spans="1:102" x14ac:dyDescent="0.2">
      <c r="A858" s="64"/>
      <c r="B858" s="64"/>
      <c r="C858" s="102"/>
      <c r="D858" s="102"/>
      <c r="E858" s="102"/>
      <c r="F858" s="102"/>
      <c r="G858" s="102"/>
      <c r="H858" s="102"/>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row>
    <row r="859" spans="1:102" x14ac:dyDescent="0.2">
      <c r="A859" s="64"/>
      <c r="B859" s="64"/>
      <c r="C859" s="102"/>
      <c r="D859" s="102"/>
      <c r="E859" s="102"/>
      <c r="F859" s="102"/>
      <c r="G859" s="102"/>
      <c r="H859" s="102"/>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row>
    <row r="860" spans="1:102" x14ac:dyDescent="0.2">
      <c r="A860" s="64"/>
      <c r="B860" s="64"/>
      <c r="C860" s="102"/>
      <c r="D860" s="102"/>
      <c r="E860" s="102"/>
      <c r="F860" s="102"/>
      <c r="G860" s="102"/>
      <c r="H860" s="102"/>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row>
    <row r="861" spans="1:102" x14ac:dyDescent="0.2">
      <c r="A861" s="64"/>
      <c r="B861" s="64"/>
      <c r="C861" s="102"/>
      <c r="D861" s="102"/>
      <c r="E861" s="102"/>
      <c r="F861" s="102"/>
      <c r="G861" s="102"/>
      <c r="H861" s="102"/>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row>
    <row r="862" spans="1:102" x14ac:dyDescent="0.2">
      <c r="A862" s="64"/>
      <c r="B862" s="64"/>
      <c r="C862" s="102"/>
      <c r="D862" s="102"/>
      <c r="E862" s="102"/>
      <c r="F862" s="102"/>
      <c r="G862" s="102"/>
      <c r="H862" s="102"/>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row>
    <row r="863" spans="1:102" x14ac:dyDescent="0.2">
      <c r="A863" s="64"/>
      <c r="B863" s="64"/>
      <c r="C863" s="102"/>
      <c r="D863" s="102"/>
      <c r="E863" s="102"/>
      <c r="F863" s="102"/>
      <c r="G863" s="102"/>
      <c r="H863" s="102"/>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row>
    <row r="864" spans="1:102" x14ac:dyDescent="0.2">
      <c r="A864" s="64"/>
      <c r="B864" s="64"/>
      <c r="C864" s="102"/>
      <c r="D864" s="102"/>
      <c r="E864" s="102"/>
      <c r="F864" s="102"/>
      <c r="G864" s="102"/>
      <c r="H864" s="102"/>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row>
    <row r="865" spans="1:102" x14ac:dyDescent="0.2">
      <c r="A865" s="64"/>
      <c r="B865" s="64"/>
      <c r="C865" s="102"/>
      <c r="D865" s="102"/>
      <c r="E865" s="102"/>
      <c r="F865" s="102"/>
      <c r="G865" s="102"/>
      <c r="H865" s="102"/>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row>
    <row r="866" spans="1:102" x14ac:dyDescent="0.2">
      <c r="A866" s="64"/>
      <c r="B866" s="64"/>
      <c r="C866" s="102"/>
      <c r="D866" s="102"/>
      <c r="E866" s="102"/>
      <c r="F866" s="102"/>
      <c r="G866" s="102"/>
      <c r="H866" s="102"/>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row>
    <row r="867" spans="1:102" x14ac:dyDescent="0.2">
      <c r="A867" s="64"/>
      <c r="B867" s="64"/>
      <c r="C867" s="102"/>
      <c r="D867" s="102"/>
      <c r="E867" s="102"/>
      <c r="F867" s="102"/>
      <c r="G867" s="102"/>
      <c r="H867" s="102"/>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row>
    <row r="868" spans="1:102" x14ac:dyDescent="0.2">
      <c r="A868" s="64"/>
      <c r="B868" s="64"/>
      <c r="C868" s="102"/>
      <c r="D868" s="102"/>
      <c r="E868" s="102"/>
      <c r="F868" s="102"/>
      <c r="G868" s="102"/>
      <c r="H868" s="102"/>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row>
    <row r="869" spans="1:102" x14ac:dyDescent="0.2">
      <c r="A869" s="64"/>
      <c r="B869" s="64"/>
      <c r="C869" s="102"/>
      <c r="D869" s="102"/>
      <c r="E869" s="102"/>
      <c r="F869" s="102"/>
      <c r="G869" s="102"/>
      <c r="H869" s="102"/>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row>
    <row r="870" spans="1:102" x14ac:dyDescent="0.2">
      <c r="A870" s="64"/>
      <c r="B870" s="64"/>
      <c r="C870" s="102"/>
      <c r="D870" s="102"/>
      <c r="E870" s="102"/>
      <c r="F870" s="102"/>
      <c r="G870" s="102"/>
      <c r="H870" s="102"/>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row>
    <row r="871" spans="1:102" x14ac:dyDescent="0.2">
      <c r="A871" s="64"/>
      <c r="B871" s="64"/>
      <c r="C871" s="102"/>
      <c r="D871" s="102"/>
      <c r="E871" s="102"/>
      <c r="F871" s="102"/>
      <c r="G871" s="102"/>
      <c r="H871" s="102"/>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row>
    <row r="872" spans="1:102" x14ac:dyDescent="0.2">
      <c r="A872" s="64"/>
      <c r="B872" s="64"/>
      <c r="C872" s="102"/>
      <c r="D872" s="102"/>
      <c r="E872" s="102"/>
      <c r="F872" s="102"/>
      <c r="G872" s="102"/>
      <c r="H872" s="102"/>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row>
    <row r="873" spans="1:102" x14ac:dyDescent="0.2">
      <c r="A873" s="64"/>
      <c r="B873" s="64"/>
      <c r="C873" s="102"/>
      <c r="D873" s="102"/>
      <c r="E873" s="102"/>
      <c r="F873" s="102"/>
      <c r="G873" s="102"/>
      <c r="H873" s="102"/>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c r="BU873" s="64"/>
      <c r="BV873" s="64"/>
      <c r="BW873" s="64"/>
      <c r="BX873" s="64"/>
      <c r="BY873" s="64"/>
      <c r="BZ873" s="64"/>
      <c r="CA873" s="64"/>
      <c r="CB873" s="64"/>
      <c r="CC873" s="64"/>
      <c r="CD873" s="64"/>
      <c r="CE873" s="64"/>
      <c r="CF873" s="64"/>
      <c r="CG873" s="64"/>
      <c r="CH873" s="64"/>
      <c r="CI873" s="64"/>
      <c r="CJ873" s="64"/>
      <c r="CK873" s="64"/>
      <c r="CL873" s="64"/>
      <c r="CM873" s="64"/>
      <c r="CN873" s="64"/>
      <c r="CO873" s="64"/>
      <c r="CP873" s="64"/>
      <c r="CQ873" s="64"/>
      <c r="CR873" s="64"/>
      <c r="CS873" s="64"/>
      <c r="CT873" s="64"/>
      <c r="CU873" s="64"/>
      <c r="CV873" s="64"/>
      <c r="CW873" s="64"/>
      <c r="CX873" s="64"/>
    </row>
    <row r="874" spans="1:102" x14ac:dyDescent="0.2">
      <c r="A874" s="64"/>
      <c r="B874" s="64"/>
      <c r="C874" s="102"/>
      <c r="D874" s="102"/>
      <c r="E874" s="102"/>
      <c r="F874" s="102"/>
      <c r="G874" s="102"/>
      <c r="H874" s="102"/>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c r="BU874" s="64"/>
      <c r="BV874" s="64"/>
      <c r="BW874" s="64"/>
      <c r="BX874" s="64"/>
      <c r="BY874" s="64"/>
      <c r="BZ874" s="64"/>
      <c r="CA874" s="64"/>
      <c r="CB874" s="64"/>
      <c r="CC874" s="64"/>
      <c r="CD874" s="64"/>
      <c r="CE874" s="64"/>
      <c r="CF874" s="64"/>
      <c r="CG874" s="64"/>
      <c r="CH874" s="64"/>
      <c r="CI874" s="64"/>
      <c r="CJ874" s="64"/>
      <c r="CK874" s="64"/>
      <c r="CL874" s="64"/>
      <c r="CM874" s="64"/>
      <c r="CN874" s="64"/>
      <c r="CO874" s="64"/>
      <c r="CP874" s="64"/>
      <c r="CQ874" s="64"/>
      <c r="CR874" s="64"/>
      <c r="CS874" s="64"/>
      <c r="CT874" s="64"/>
      <c r="CU874" s="64"/>
      <c r="CV874" s="64"/>
      <c r="CW874" s="64"/>
      <c r="CX874" s="64"/>
    </row>
    <row r="875" spans="1:102" x14ac:dyDescent="0.2">
      <c r="A875" s="64"/>
      <c r="B875" s="64"/>
      <c r="C875" s="102"/>
      <c r="D875" s="102"/>
      <c r="E875" s="102"/>
      <c r="F875" s="102"/>
      <c r="G875" s="102"/>
      <c r="H875" s="102"/>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c r="BU875" s="64"/>
      <c r="BV875" s="64"/>
      <c r="BW875" s="64"/>
      <c r="BX875" s="64"/>
      <c r="BY875" s="64"/>
      <c r="BZ875" s="64"/>
      <c r="CA875" s="64"/>
      <c r="CB875" s="64"/>
      <c r="CC875" s="64"/>
      <c r="CD875" s="64"/>
      <c r="CE875" s="64"/>
      <c r="CF875" s="64"/>
      <c r="CG875" s="64"/>
      <c r="CH875" s="64"/>
      <c r="CI875" s="64"/>
      <c r="CJ875" s="64"/>
      <c r="CK875" s="64"/>
      <c r="CL875" s="64"/>
      <c r="CM875" s="64"/>
      <c r="CN875" s="64"/>
      <c r="CO875" s="64"/>
      <c r="CP875" s="64"/>
      <c r="CQ875" s="64"/>
      <c r="CR875" s="64"/>
      <c r="CS875" s="64"/>
      <c r="CT875" s="64"/>
      <c r="CU875" s="64"/>
      <c r="CV875" s="64"/>
      <c r="CW875" s="64"/>
      <c r="CX875" s="64"/>
    </row>
    <row r="876" spans="1:102" x14ac:dyDescent="0.2">
      <c r="A876" s="64"/>
      <c r="B876" s="64"/>
      <c r="C876" s="102"/>
      <c r="D876" s="102"/>
      <c r="E876" s="102"/>
      <c r="F876" s="102"/>
      <c r="G876" s="102"/>
      <c r="H876" s="102"/>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c r="BU876" s="64"/>
      <c r="BV876" s="64"/>
      <c r="BW876" s="64"/>
      <c r="BX876" s="64"/>
      <c r="BY876" s="64"/>
      <c r="BZ876" s="64"/>
      <c r="CA876" s="64"/>
      <c r="CB876" s="64"/>
      <c r="CC876" s="64"/>
      <c r="CD876" s="64"/>
      <c r="CE876" s="64"/>
      <c r="CF876" s="64"/>
      <c r="CG876" s="64"/>
      <c r="CH876" s="64"/>
      <c r="CI876" s="64"/>
      <c r="CJ876" s="64"/>
      <c r="CK876" s="64"/>
      <c r="CL876" s="64"/>
      <c r="CM876" s="64"/>
      <c r="CN876" s="64"/>
      <c r="CO876" s="64"/>
      <c r="CP876" s="64"/>
      <c r="CQ876" s="64"/>
      <c r="CR876" s="64"/>
      <c r="CS876" s="64"/>
      <c r="CT876" s="64"/>
      <c r="CU876" s="64"/>
      <c r="CV876" s="64"/>
      <c r="CW876" s="64"/>
      <c r="CX876" s="64"/>
    </row>
    <row r="877" spans="1:102" x14ac:dyDescent="0.2">
      <c r="A877" s="64"/>
      <c r="B877" s="64"/>
      <c r="C877" s="102"/>
      <c r="D877" s="102"/>
      <c r="E877" s="102"/>
      <c r="F877" s="102"/>
      <c r="G877" s="102"/>
      <c r="H877" s="102"/>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c r="BU877" s="64"/>
      <c r="BV877" s="64"/>
      <c r="BW877" s="64"/>
      <c r="BX877" s="64"/>
      <c r="BY877" s="64"/>
      <c r="BZ877" s="64"/>
      <c r="CA877" s="64"/>
      <c r="CB877" s="64"/>
      <c r="CC877" s="64"/>
      <c r="CD877" s="64"/>
      <c r="CE877" s="64"/>
      <c r="CF877" s="64"/>
      <c r="CG877" s="64"/>
      <c r="CH877" s="64"/>
      <c r="CI877" s="64"/>
      <c r="CJ877" s="64"/>
      <c r="CK877" s="64"/>
      <c r="CL877" s="64"/>
      <c r="CM877" s="64"/>
      <c r="CN877" s="64"/>
      <c r="CO877" s="64"/>
      <c r="CP877" s="64"/>
      <c r="CQ877" s="64"/>
      <c r="CR877" s="64"/>
      <c r="CS877" s="64"/>
      <c r="CT877" s="64"/>
      <c r="CU877" s="64"/>
      <c r="CV877" s="64"/>
      <c r="CW877" s="64"/>
      <c r="CX877" s="64"/>
    </row>
    <row r="878" spans="1:102" x14ac:dyDescent="0.2">
      <c r="A878" s="64"/>
      <c r="B878" s="64"/>
      <c r="C878" s="102"/>
      <c r="D878" s="102"/>
      <c r="E878" s="102"/>
      <c r="F878" s="102"/>
      <c r="G878" s="102"/>
      <c r="H878" s="102"/>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c r="BU878" s="64"/>
      <c r="BV878" s="64"/>
      <c r="BW878" s="64"/>
      <c r="BX878" s="64"/>
      <c r="BY878" s="64"/>
      <c r="BZ878" s="64"/>
      <c r="CA878" s="64"/>
      <c r="CB878" s="64"/>
      <c r="CC878" s="64"/>
      <c r="CD878" s="64"/>
      <c r="CE878" s="64"/>
      <c r="CF878" s="64"/>
      <c r="CG878" s="64"/>
      <c r="CH878" s="64"/>
      <c r="CI878" s="64"/>
      <c r="CJ878" s="64"/>
      <c r="CK878" s="64"/>
      <c r="CL878" s="64"/>
      <c r="CM878" s="64"/>
      <c r="CN878" s="64"/>
      <c r="CO878" s="64"/>
      <c r="CP878" s="64"/>
      <c r="CQ878" s="64"/>
      <c r="CR878" s="64"/>
      <c r="CS878" s="64"/>
      <c r="CT878" s="64"/>
      <c r="CU878" s="64"/>
      <c r="CV878" s="64"/>
      <c r="CW878" s="64"/>
      <c r="CX878" s="64"/>
    </row>
    <row r="879" spans="1:102" x14ac:dyDescent="0.2">
      <c r="A879" s="64"/>
      <c r="B879" s="64"/>
      <c r="C879" s="102"/>
      <c r="D879" s="102"/>
      <c r="E879" s="102"/>
      <c r="F879" s="102"/>
      <c r="G879" s="102"/>
      <c r="H879" s="102"/>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c r="BU879" s="64"/>
      <c r="BV879" s="64"/>
      <c r="BW879" s="64"/>
      <c r="BX879" s="64"/>
      <c r="BY879" s="64"/>
      <c r="BZ879" s="64"/>
      <c r="CA879" s="64"/>
      <c r="CB879" s="64"/>
      <c r="CC879" s="64"/>
      <c r="CD879" s="64"/>
      <c r="CE879" s="64"/>
      <c r="CF879" s="64"/>
      <c r="CG879" s="64"/>
      <c r="CH879" s="64"/>
      <c r="CI879" s="64"/>
      <c r="CJ879" s="64"/>
      <c r="CK879" s="64"/>
      <c r="CL879" s="64"/>
      <c r="CM879" s="64"/>
      <c r="CN879" s="64"/>
      <c r="CO879" s="64"/>
      <c r="CP879" s="64"/>
      <c r="CQ879" s="64"/>
      <c r="CR879" s="64"/>
      <c r="CS879" s="64"/>
      <c r="CT879" s="64"/>
      <c r="CU879" s="64"/>
      <c r="CV879" s="64"/>
      <c r="CW879" s="64"/>
      <c r="CX879" s="64"/>
    </row>
    <row r="880" spans="1:102" x14ac:dyDescent="0.2">
      <c r="A880" s="64"/>
      <c r="B880" s="64"/>
      <c r="C880" s="102"/>
      <c r="D880" s="102"/>
      <c r="E880" s="102"/>
      <c r="F880" s="102"/>
      <c r="G880" s="102"/>
      <c r="H880" s="102"/>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c r="BU880" s="64"/>
      <c r="BV880" s="64"/>
      <c r="BW880" s="64"/>
      <c r="BX880" s="64"/>
      <c r="BY880" s="64"/>
      <c r="BZ880" s="64"/>
      <c r="CA880" s="64"/>
      <c r="CB880" s="64"/>
      <c r="CC880" s="64"/>
      <c r="CD880" s="64"/>
      <c r="CE880" s="64"/>
      <c r="CF880" s="64"/>
      <c r="CG880" s="64"/>
      <c r="CH880" s="64"/>
      <c r="CI880" s="64"/>
      <c r="CJ880" s="64"/>
      <c r="CK880" s="64"/>
      <c r="CL880" s="64"/>
      <c r="CM880" s="64"/>
      <c r="CN880" s="64"/>
      <c r="CO880" s="64"/>
      <c r="CP880" s="64"/>
      <c r="CQ880" s="64"/>
      <c r="CR880" s="64"/>
      <c r="CS880" s="64"/>
      <c r="CT880" s="64"/>
      <c r="CU880" s="64"/>
      <c r="CV880" s="64"/>
      <c r="CW880" s="64"/>
      <c r="CX880" s="64"/>
    </row>
    <row r="881" spans="1:102" x14ac:dyDescent="0.2">
      <c r="A881" s="64"/>
      <c r="B881" s="64"/>
      <c r="C881" s="102"/>
      <c r="D881" s="102"/>
      <c r="E881" s="102"/>
      <c r="F881" s="102"/>
      <c r="G881" s="102"/>
      <c r="H881" s="102"/>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c r="BU881" s="64"/>
      <c r="BV881" s="64"/>
      <c r="BW881" s="64"/>
      <c r="BX881" s="64"/>
      <c r="BY881" s="64"/>
      <c r="BZ881" s="64"/>
      <c r="CA881" s="64"/>
      <c r="CB881" s="64"/>
      <c r="CC881" s="64"/>
      <c r="CD881" s="64"/>
      <c r="CE881" s="64"/>
      <c r="CF881" s="64"/>
      <c r="CG881" s="64"/>
      <c r="CH881" s="64"/>
      <c r="CI881" s="64"/>
      <c r="CJ881" s="64"/>
      <c r="CK881" s="64"/>
      <c r="CL881" s="64"/>
      <c r="CM881" s="64"/>
      <c r="CN881" s="64"/>
      <c r="CO881" s="64"/>
      <c r="CP881" s="64"/>
      <c r="CQ881" s="64"/>
      <c r="CR881" s="64"/>
      <c r="CS881" s="64"/>
      <c r="CT881" s="64"/>
      <c r="CU881" s="64"/>
      <c r="CV881" s="64"/>
      <c r="CW881" s="64"/>
      <c r="CX881" s="64"/>
    </row>
    <row r="882" spans="1:102" x14ac:dyDescent="0.2">
      <c r="A882" s="64"/>
      <c r="B882" s="64"/>
      <c r="C882" s="102"/>
      <c r="D882" s="102"/>
      <c r="E882" s="102"/>
      <c r="F882" s="102"/>
      <c r="G882" s="102"/>
      <c r="H882" s="102"/>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c r="BU882" s="64"/>
      <c r="BV882" s="64"/>
      <c r="BW882" s="64"/>
      <c r="BX882" s="64"/>
      <c r="BY882" s="64"/>
      <c r="BZ882" s="64"/>
      <c r="CA882" s="64"/>
      <c r="CB882" s="64"/>
      <c r="CC882" s="64"/>
      <c r="CD882" s="64"/>
      <c r="CE882" s="64"/>
      <c r="CF882" s="64"/>
      <c r="CG882" s="64"/>
      <c r="CH882" s="64"/>
      <c r="CI882" s="64"/>
      <c r="CJ882" s="64"/>
      <c r="CK882" s="64"/>
      <c r="CL882" s="64"/>
      <c r="CM882" s="64"/>
      <c r="CN882" s="64"/>
      <c r="CO882" s="64"/>
      <c r="CP882" s="64"/>
      <c r="CQ882" s="64"/>
      <c r="CR882" s="64"/>
      <c r="CS882" s="64"/>
      <c r="CT882" s="64"/>
      <c r="CU882" s="64"/>
      <c r="CV882" s="64"/>
      <c r="CW882" s="64"/>
      <c r="CX882" s="64"/>
    </row>
    <row r="883" spans="1:102" x14ac:dyDescent="0.2">
      <c r="A883" s="64"/>
      <c r="B883" s="64"/>
      <c r="C883" s="102"/>
      <c r="D883" s="102"/>
      <c r="E883" s="102"/>
      <c r="F883" s="102"/>
      <c r="G883" s="102"/>
      <c r="H883" s="102"/>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c r="BU883" s="64"/>
      <c r="BV883" s="64"/>
      <c r="BW883" s="64"/>
      <c r="BX883" s="64"/>
      <c r="BY883" s="64"/>
      <c r="BZ883" s="64"/>
      <c r="CA883" s="64"/>
      <c r="CB883" s="64"/>
      <c r="CC883" s="64"/>
      <c r="CD883" s="64"/>
      <c r="CE883" s="64"/>
      <c r="CF883" s="64"/>
      <c r="CG883" s="64"/>
      <c r="CH883" s="64"/>
      <c r="CI883" s="64"/>
      <c r="CJ883" s="64"/>
      <c r="CK883" s="64"/>
      <c r="CL883" s="64"/>
      <c r="CM883" s="64"/>
      <c r="CN883" s="64"/>
      <c r="CO883" s="64"/>
      <c r="CP883" s="64"/>
      <c r="CQ883" s="64"/>
      <c r="CR883" s="64"/>
      <c r="CS883" s="64"/>
      <c r="CT883" s="64"/>
      <c r="CU883" s="64"/>
      <c r="CV883" s="64"/>
      <c r="CW883" s="64"/>
      <c r="CX883" s="64"/>
    </row>
    <row r="884" spans="1:102" x14ac:dyDescent="0.2">
      <c r="A884" s="64"/>
      <c r="B884" s="64"/>
      <c r="C884" s="102"/>
      <c r="D884" s="102"/>
      <c r="E884" s="102"/>
      <c r="F884" s="102"/>
      <c r="G884" s="102"/>
      <c r="H884" s="102"/>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c r="BU884" s="64"/>
      <c r="BV884" s="64"/>
      <c r="BW884" s="64"/>
      <c r="BX884" s="64"/>
      <c r="BY884" s="64"/>
      <c r="BZ884" s="64"/>
      <c r="CA884" s="64"/>
      <c r="CB884" s="64"/>
      <c r="CC884" s="64"/>
      <c r="CD884" s="64"/>
      <c r="CE884" s="64"/>
      <c r="CF884" s="64"/>
      <c r="CG884" s="64"/>
      <c r="CH884" s="64"/>
      <c r="CI884" s="64"/>
      <c r="CJ884" s="64"/>
      <c r="CK884" s="64"/>
      <c r="CL884" s="64"/>
      <c r="CM884" s="64"/>
      <c r="CN884" s="64"/>
      <c r="CO884" s="64"/>
      <c r="CP884" s="64"/>
      <c r="CQ884" s="64"/>
      <c r="CR884" s="64"/>
      <c r="CS884" s="64"/>
      <c r="CT884" s="64"/>
      <c r="CU884" s="64"/>
      <c r="CV884" s="64"/>
      <c r="CW884" s="64"/>
      <c r="CX884" s="64"/>
    </row>
    <row r="885" spans="1:102" x14ac:dyDescent="0.2">
      <c r="A885" s="64"/>
      <c r="B885" s="64"/>
      <c r="C885" s="102"/>
      <c r="D885" s="102"/>
      <c r="E885" s="102"/>
      <c r="F885" s="102"/>
      <c r="G885" s="102"/>
      <c r="H885" s="102"/>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c r="BU885" s="64"/>
      <c r="BV885" s="64"/>
      <c r="BW885" s="64"/>
      <c r="BX885" s="64"/>
      <c r="BY885" s="64"/>
      <c r="BZ885" s="64"/>
      <c r="CA885" s="64"/>
      <c r="CB885" s="64"/>
      <c r="CC885" s="64"/>
      <c r="CD885" s="64"/>
      <c r="CE885" s="64"/>
      <c r="CF885" s="64"/>
      <c r="CG885" s="64"/>
      <c r="CH885" s="64"/>
      <c r="CI885" s="64"/>
      <c r="CJ885" s="64"/>
      <c r="CK885" s="64"/>
      <c r="CL885" s="64"/>
      <c r="CM885" s="64"/>
      <c r="CN885" s="64"/>
      <c r="CO885" s="64"/>
      <c r="CP885" s="64"/>
      <c r="CQ885" s="64"/>
      <c r="CR885" s="64"/>
      <c r="CS885" s="64"/>
      <c r="CT885" s="64"/>
      <c r="CU885" s="64"/>
      <c r="CV885" s="64"/>
      <c r="CW885" s="64"/>
      <c r="CX885" s="64"/>
    </row>
    <row r="886" spans="1:102" x14ac:dyDescent="0.2">
      <c r="A886" s="64"/>
      <c r="B886" s="64"/>
      <c r="C886" s="102"/>
      <c r="D886" s="102"/>
      <c r="E886" s="102"/>
      <c r="F886" s="102"/>
      <c r="G886" s="102"/>
      <c r="H886" s="102"/>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c r="BU886" s="64"/>
      <c r="BV886" s="64"/>
      <c r="BW886" s="64"/>
      <c r="BX886" s="64"/>
      <c r="BY886" s="64"/>
      <c r="BZ886" s="64"/>
      <c r="CA886" s="64"/>
      <c r="CB886" s="64"/>
      <c r="CC886" s="64"/>
      <c r="CD886" s="64"/>
      <c r="CE886" s="64"/>
      <c r="CF886" s="64"/>
      <c r="CG886" s="64"/>
      <c r="CH886" s="64"/>
      <c r="CI886" s="64"/>
      <c r="CJ886" s="64"/>
      <c r="CK886" s="64"/>
      <c r="CL886" s="64"/>
      <c r="CM886" s="64"/>
      <c r="CN886" s="64"/>
      <c r="CO886" s="64"/>
      <c r="CP886" s="64"/>
      <c r="CQ886" s="64"/>
      <c r="CR886" s="64"/>
      <c r="CS886" s="64"/>
      <c r="CT886" s="64"/>
      <c r="CU886" s="64"/>
      <c r="CV886" s="64"/>
      <c r="CW886" s="64"/>
      <c r="CX886" s="64"/>
    </row>
    <row r="887" spans="1:102" x14ac:dyDescent="0.2">
      <c r="A887" s="64"/>
      <c r="B887" s="64"/>
      <c r="C887" s="102"/>
      <c r="D887" s="102"/>
      <c r="E887" s="102"/>
      <c r="F887" s="102"/>
      <c r="G887" s="102"/>
      <c r="H887" s="102"/>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c r="BU887" s="64"/>
      <c r="BV887" s="64"/>
      <c r="BW887" s="64"/>
      <c r="BX887" s="64"/>
      <c r="BY887" s="64"/>
      <c r="BZ887" s="64"/>
      <c r="CA887" s="64"/>
      <c r="CB887" s="64"/>
      <c r="CC887" s="64"/>
      <c r="CD887" s="64"/>
      <c r="CE887" s="64"/>
      <c r="CF887" s="64"/>
      <c r="CG887" s="64"/>
      <c r="CH887" s="64"/>
      <c r="CI887" s="64"/>
      <c r="CJ887" s="64"/>
      <c r="CK887" s="64"/>
      <c r="CL887" s="64"/>
      <c r="CM887" s="64"/>
      <c r="CN887" s="64"/>
      <c r="CO887" s="64"/>
      <c r="CP887" s="64"/>
      <c r="CQ887" s="64"/>
      <c r="CR887" s="64"/>
      <c r="CS887" s="64"/>
      <c r="CT887" s="64"/>
      <c r="CU887" s="64"/>
      <c r="CV887" s="64"/>
      <c r="CW887" s="64"/>
      <c r="CX887" s="64"/>
    </row>
    <row r="888" spans="1:102" x14ac:dyDescent="0.2">
      <c r="A888" s="64"/>
      <c r="B888" s="64"/>
      <c r="C888" s="102"/>
      <c r="D888" s="102"/>
      <c r="E888" s="102"/>
      <c r="F888" s="102"/>
      <c r="G888" s="102"/>
      <c r="H888" s="102"/>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c r="BU888" s="64"/>
      <c r="BV888" s="64"/>
      <c r="BW888" s="64"/>
      <c r="BX888" s="64"/>
      <c r="BY888" s="64"/>
      <c r="BZ888" s="64"/>
      <c r="CA888" s="64"/>
      <c r="CB888" s="64"/>
      <c r="CC888" s="64"/>
      <c r="CD888" s="64"/>
      <c r="CE888" s="64"/>
      <c r="CF888" s="64"/>
      <c r="CG888" s="64"/>
      <c r="CH888" s="64"/>
      <c r="CI888" s="64"/>
      <c r="CJ888" s="64"/>
      <c r="CK888" s="64"/>
      <c r="CL888" s="64"/>
      <c r="CM888" s="64"/>
      <c r="CN888" s="64"/>
      <c r="CO888" s="64"/>
      <c r="CP888" s="64"/>
      <c r="CQ888" s="64"/>
      <c r="CR888" s="64"/>
      <c r="CS888" s="64"/>
      <c r="CT888" s="64"/>
      <c r="CU888" s="64"/>
      <c r="CV888" s="64"/>
      <c r="CW888" s="64"/>
      <c r="CX888" s="64"/>
    </row>
    <row r="889" spans="1:102" x14ac:dyDescent="0.2">
      <c r="A889" s="64"/>
      <c r="B889" s="64"/>
      <c r="C889" s="102"/>
      <c r="D889" s="102"/>
      <c r="E889" s="102"/>
      <c r="F889" s="102"/>
      <c r="G889" s="102"/>
      <c r="H889" s="102"/>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c r="BU889" s="64"/>
      <c r="BV889" s="64"/>
      <c r="BW889" s="64"/>
      <c r="BX889" s="64"/>
      <c r="BY889" s="64"/>
      <c r="BZ889" s="64"/>
      <c r="CA889" s="64"/>
      <c r="CB889" s="64"/>
      <c r="CC889" s="64"/>
      <c r="CD889" s="64"/>
      <c r="CE889" s="64"/>
      <c r="CF889" s="64"/>
      <c r="CG889" s="64"/>
      <c r="CH889" s="64"/>
      <c r="CI889" s="64"/>
      <c r="CJ889" s="64"/>
      <c r="CK889" s="64"/>
      <c r="CL889" s="64"/>
      <c r="CM889" s="64"/>
      <c r="CN889" s="64"/>
      <c r="CO889" s="64"/>
      <c r="CP889" s="64"/>
      <c r="CQ889" s="64"/>
      <c r="CR889" s="64"/>
      <c r="CS889" s="64"/>
      <c r="CT889" s="64"/>
      <c r="CU889" s="64"/>
      <c r="CV889" s="64"/>
      <c r="CW889" s="64"/>
      <c r="CX889" s="64"/>
    </row>
    <row r="890" spans="1:102" x14ac:dyDescent="0.2">
      <c r="A890" s="64"/>
      <c r="B890" s="64"/>
      <c r="C890" s="102"/>
      <c r="D890" s="102"/>
      <c r="E890" s="102"/>
      <c r="F890" s="102"/>
      <c r="G890" s="102"/>
      <c r="H890" s="102"/>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c r="BU890" s="64"/>
      <c r="BV890" s="64"/>
      <c r="BW890" s="64"/>
      <c r="BX890" s="64"/>
      <c r="BY890" s="64"/>
      <c r="BZ890" s="64"/>
      <c r="CA890" s="64"/>
      <c r="CB890" s="64"/>
      <c r="CC890" s="64"/>
      <c r="CD890" s="64"/>
      <c r="CE890" s="64"/>
      <c r="CF890" s="64"/>
      <c r="CG890" s="64"/>
      <c r="CH890" s="64"/>
      <c r="CI890" s="64"/>
      <c r="CJ890" s="64"/>
      <c r="CK890" s="64"/>
      <c r="CL890" s="64"/>
      <c r="CM890" s="64"/>
      <c r="CN890" s="64"/>
      <c r="CO890" s="64"/>
      <c r="CP890" s="64"/>
      <c r="CQ890" s="64"/>
      <c r="CR890" s="64"/>
      <c r="CS890" s="64"/>
      <c r="CT890" s="64"/>
      <c r="CU890" s="64"/>
      <c r="CV890" s="64"/>
      <c r="CW890" s="64"/>
      <c r="CX890" s="64"/>
    </row>
    <row r="891" spans="1:102" x14ac:dyDescent="0.2">
      <c r="A891" s="64"/>
      <c r="B891" s="64"/>
      <c r="C891" s="102"/>
      <c r="D891" s="102"/>
      <c r="E891" s="102"/>
      <c r="F891" s="102"/>
      <c r="G891" s="102"/>
      <c r="H891" s="102"/>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c r="BU891" s="64"/>
      <c r="BV891" s="64"/>
      <c r="BW891" s="64"/>
      <c r="BX891" s="64"/>
      <c r="BY891" s="64"/>
      <c r="BZ891" s="64"/>
      <c r="CA891" s="64"/>
      <c r="CB891" s="64"/>
      <c r="CC891" s="64"/>
      <c r="CD891" s="64"/>
      <c r="CE891" s="64"/>
      <c r="CF891" s="64"/>
      <c r="CG891" s="64"/>
      <c r="CH891" s="64"/>
      <c r="CI891" s="64"/>
      <c r="CJ891" s="64"/>
      <c r="CK891" s="64"/>
      <c r="CL891" s="64"/>
      <c r="CM891" s="64"/>
      <c r="CN891" s="64"/>
      <c r="CO891" s="64"/>
      <c r="CP891" s="64"/>
      <c r="CQ891" s="64"/>
      <c r="CR891" s="64"/>
      <c r="CS891" s="64"/>
      <c r="CT891" s="64"/>
      <c r="CU891" s="64"/>
      <c r="CV891" s="64"/>
      <c r="CW891" s="64"/>
      <c r="CX891" s="64"/>
    </row>
    <row r="892" spans="1:102" x14ac:dyDescent="0.2">
      <c r="A892" s="64"/>
      <c r="B892" s="64"/>
      <c r="C892" s="102"/>
      <c r="D892" s="102"/>
      <c r="E892" s="102"/>
      <c r="F892" s="102"/>
      <c r="G892" s="102"/>
      <c r="H892" s="102"/>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c r="BU892" s="64"/>
      <c r="BV892" s="64"/>
      <c r="BW892" s="64"/>
      <c r="BX892" s="64"/>
      <c r="BY892" s="64"/>
      <c r="BZ892" s="64"/>
      <c r="CA892" s="64"/>
      <c r="CB892" s="64"/>
      <c r="CC892" s="64"/>
      <c r="CD892" s="64"/>
      <c r="CE892" s="64"/>
      <c r="CF892" s="64"/>
      <c r="CG892" s="64"/>
      <c r="CH892" s="64"/>
      <c r="CI892" s="64"/>
      <c r="CJ892" s="64"/>
      <c r="CK892" s="64"/>
      <c r="CL892" s="64"/>
      <c r="CM892" s="64"/>
      <c r="CN892" s="64"/>
      <c r="CO892" s="64"/>
      <c r="CP892" s="64"/>
      <c r="CQ892" s="64"/>
      <c r="CR892" s="64"/>
      <c r="CS892" s="64"/>
      <c r="CT892" s="64"/>
      <c r="CU892" s="64"/>
      <c r="CV892" s="64"/>
      <c r="CW892" s="64"/>
      <c r="CX892" s="64"/>
    </row>
    <row r="893" spans="1:102" x14ac:dyDescent="0.2">
      <c r="A893" s="64"/>
      <c r="B893" s="64"/>
      <c r="C893" s="102"/>
      <c r="D893" s="102"/>
      <c r="E893" s="102"/>
      <c r="F893" s="102"/>
      <c r="G893" s="102"/>
      <c r="H893" s="102"/>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c r="BU893" s="64"/>
      <c r="BV893" s="64"/>
      <c r="BW893" s="64"/>
      <c r="BX893" s="64"/>
      <c r="BY893" s="64"/>
      <c r="BZ893" s="64"/>
      <c r="CA893" s="64"/>
      <c r="CB893" s="64"/>
      <c r="CC893" s="64"/>
      <c r="CD893" s="64"/>
      <c r="CE893" s="64"/>
      <c r="CF893" s="64"/>
      <c r="CG893" s="64"/>
      <c r="CH893" s="64"/>
      <c r="CI893" s="64"/>
      <c r="CJ893" s="64"/>
      <c r="CK893" s="64"/>
      <c r="CL893" s="64"/>
      <c r="CM893" s="64"/>
      <c r="CN893" s="64"/>
      <c r="CO893" s="64"/>
      <c r="CP893" s="64"/>
      <c r="CQ893" s="64"/>
      <c r="CR893" s="64"/>
      <c r="CS893" s="64"/>
      <c r="CT893" s="64"/>
      <c r="CU893" s="64"/>
      <c r="CV893" s="64"/>
      <c r="CW893" s="64"/>
      <c r="CX893" s="64"/>
    </row>
    <row r="894" spans="1:102" x14ac:dyDescent="0.2">
      <c r="A894" s="64"/>
      <c r="B894" s="64"/>
      <c r="C894" s="102"/>
      <c r="D894" s="102"/>
      <c r="E894" s="102"/>
      <c r="F894" s="102"/>
      <c r="G894" s="102"/>
      <c r="H894" s="102"/>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c r="BU894" s="64"/>
      <c r="BV894" s="64"/>
      <c r="BW894" s="64"/>
      <c r="BX894" s="64"/>
      <c r="BY894" s="64"/>
      <c r="BZ894" s="64"/>
      <c r="CA894" s="64"/>
      <c r="CB894" s="64"/>
      <c r="CC894" s="64"/>
      <c r="CD894" s="64"/>
      <c r="CE894" s="64"/>
      <c r="CF894" s="64"/>
      <c r="CG894" s="64"/>
      <c r="CH894" s="64"/>
      <c r="CI894" s="64"/>
      <c r="CJ894" s="64"/>
      <c r="CK894" s="64"/>
      <c r="CL894" s="64"/>
      <c r="CM894" s="64"/>
      <c r="CN894" s="64"/>
      <c r="CO894" s="64"/>
      <c r="CP894" s="64"/>
      <c r="CQ894" s="64"/>
      <c r="CR894" s="64"/>
      <c r="CS894" s="64"/>
      <c r="CT894" s="64"/>
      <c r="CU894" s="64"/>
      <c r="CV894" s="64"/>
      <c r="CW894" s="64"/>
      <c r="CX894" s="64"/>
    </row>
    <row r="895" spans="1:102" x14ac:dyDescent="0.2">
      <c r="A895" s="64"/>
      <c r="B895" s="64"/>
      <c r="C895" s="102"/>
      <c r="D895" s="102"/>
      <c r="E895" s="102"/>
      <c r="F895" s="102"/>
      <c r="G895" s="102"/>
      <c r="H895" s="102"/>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c r="BU895" s="64"/>
      <c r="BV895" s="64"/>
      <c r="BW895" s="64"/>
      <c r="BX895" s="64"/>
      <c r="BY895" s="64"/>
      <c r="BZ895" s="64"/>
      <c r="CA895" s="64"/>
      <c r="CB895" s="64"/>
      <c r="CC895" s="64"/>
      <c r="CD895" s="64"/>
      <c r="CE895" s="64"/>
      <c r="CF895" s="64"/>
      <c r="CG895" s="64"/>
      <c r="CH895" s="64"/>
      <c r="CI895" s="64"/>
      <c r="CJ895" s="64"/>
      <c r="CK895" s="64"/>
      <c r="CL895" s="64"/>
      <c r="CM895" s="64"/>
      <c r="CN895" s="64"/>
      <c r="CO895" s="64"/>
      <c r="CP895" s="64"/>
      <c r="CQ895" s="64"/>
      <c r="CR895" s="64"/>
      <c r="CS895" s="64"/>
      <c r="CT895" s="64"/>
      <c r="CU895" s="64"/>
      <c r="CV895" s="64"/>
      <c r="CW895" s="64"/>
      <c r="CX895" s="64"/>
    </row>
    <row r="896" spans="1:102" x14ac:dyDescent="0.2">
      <c r="A896" s="64"/>
      <c r="B896" s="64"/>
      <c r="C896" s="102"/>
      <c r="D896" s="102"/>
      <c r="E896" s="102"/>
      <c r="F896" s="102"/>
      <c r="G896" s="102"/>
      <c r="H896" s="102"/>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c r="BU896" s="64"/>
      <c r="BV896" s="64"/>
      <c r="BW896" s="64"/>
      <c r="BX896" s="64"/>
      <c r="BY896" s="64"/>
      <c r="BZ896" s="64"/>
      <c r="CA896" s="64"/>
      <c r="CB896" s="64"/>
      <c r="CC896" s="64"/>
      <c r="CD896" s="64"/>
      <c r="CE896" s="64"/>
      <c r="CF896" s="64"/>
      <c r="CG896" s="64"/>
      <c r="CH896" s="64"/>
      <c r="CI896" s="64"/>
      <c r="CJ896" s="64"/>
      <c r="CK896" s="64"/>
      <c r="CL896" s="64"/>
      <c r="CM896" s="64"/>
      <c r="CN896" s="64"/>
      <c r="CO896" s="64"/>
      <c r="CP896" s="64"/>
      <c r="CQ896" s="64"/>
      <c r="CR896" s="64"/>
      <c r="CS896" s="64"/>
      <c r="CT896" s="64"/>
      <c r="CU896" s="64"/>
      <c r="CV896" s="64"/>
      <c r="CW896" s="64"/>
      <c r="CX896" s="64"/>
    </row>
    <row r="897" spans="1:102" x14ac:dyDescent="0.2">
      <c r="A897" s="64"/>
      <c r="B897" s="64"/>
      <c r="C897" s="102"/>
      <c r="D897" s="102"/>
      <c r="E897" s="102"/>
      <c r="F897" s="102"/>
      <c r="G897" s="102"/>
      <c r="H897" s="102"/>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c r="BU897" s="64"/>
      <c r="BV897" s="64"/>
      <c r="BW897" s="64"/>
      <c r="BX897" s="64"/>
      <c r="BY897" s="64"/>
      <c r="BZ897" s="64"/>
      <c r="CA897" s="64"/>
      <c r="CB897" s="64"/>
      <c r="CC897" s="64"/>
      <c r="CD897" s="64"/>
      <c r="CE897" s="64"/>
      <c r="CF897" s="64"/>
      <c r="CG897" s="64"/>
      <c r="CH897" s="64"/>
      <c r="CI897" s="64"/>
      <c r="CJ897" s="64"/>
      <c r="CK897" s="64"/>
      <c r="CL897" s="64"/>
      <c r="CM897" s="64"/>
      <c r="CN897" s="64"/>
      <c r="CO897" s="64"/>
      <c r="CP897" s="64"/>
      <c r="CQ897" s="64"/>
      <c r="CR897" s="64"/>
      <c r="CS897" s="64"/>
      <c r="CT897" s="64"/>
      <c r="CU897" s="64"/>
      <c r="CV897" s="64"/>
      <c r="CW897" s="64"/>
      <c r="CX897" s="64"/>
    </row>
    <row r="898" spans="1:102" x14ac:dyDescent="0.2">
      <c r="A898" s="64"/>
      <c r="B898" s="64"/>
      <c r="C898" s="102"/>
      <c r="D898" s="102"/>
      <c r="E898" s="102"/>
      <c r="F898" s="102"/>
      <c r="G898" s="102"/>
      <c r="H898" s="102"/>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c r="BU898" s="64"/>
      <c r="BV898" s="64"/>
      <c r="BW898" s="64"/>
      <c r="BX898" s="64"/>
      <c r="BY898" s="64"/>
      <c r="BZ898" s="64"/>
      <c r="CA898" s="64"/>
      <c r="CB898" s="64"/>
      <c r="CC898" s="64"/>
      <c r="CD898" s="64"/>
      <c r="CE898" s="64"/>
      <c r="CF898" s="64"/>
      <c r="CG898" s="64"/>
      <c r="CH898" s="64"/>
      <c r="CI898" s="64"/>
      <c r="CJ898" s="64"/>
      <c r="CK898" s="64"/>
      <c r="CL898" s="64"/>
      <c r="CM898" s="64"/>
      <c r="CN898" s="64"/>
      <c r="CO898" s="64"/>
      <c r="CP898" s="64"/>
      <c r="CQ898" s="64"/>
      <c r="CR898" s="64"/>
      <c r="CS898" s="64"/>
      <c r="CT898" s="64"/>
      <c r="CU898" s="64"/>
      <c r="CV898" s="64"/>
      <c r="CW898" s="64"/>
      <c r="CX898" s="64"/>
    </row>
    <row r="899" spans="1:102" x14ac:dyDescent="0.2">
      <c r="A899" s="64"/>
      <c r="B899" s="64"/>
      <c r="C899" s="102"/>
      <c r="D899" s="102"/>
      <c r="E899" s="102"/>
      <c r="F899" s="102"/>
      <c r="G899" s="102"/>
      <c r="H899" s="102"/>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c r="BU899" s="64"/>
      <c r="BV899" s="64"/>
      <c r="BW899" s="64"/>
      <c r="BX899" s="64"/>
      <c r="BY899" s="64"/>
      <c r="BZ899" s="64"/>
      <c r="CA899" s="64"/>
      <c r="CB899" s="64"/>
      <c r="CC899" s="64"/>
      <c r="CD899" s="64"/>
      <c r="CE899" s="64"/>
      <c r="CF899" s="64"/>
      <c r="CG899" s="64"/>
      <c r="CH899" s="64"/>
      <c r="CI899" s="64"/>
      <c r="CJ899" s="64"/>
      <c r="CK899" s="64"/>
      <c r="CL899" s="64"/>
      <c r="CM899" s="64"/>
      <c r="CN899" s="64"/>
      <c r="CO899" s="64"/>
      <c r="CP899" s="64"/>
      <c r="CQ899" s="64"/>
      <c r="CR899" s="64"/>
      <c r="CS899" s="64"/>
      <c r="CT899" s="64"/>
      <c r="CU899" s="64"/>
      <c r="CV899" s="64"/>
      <c r="CW899" s="64"/>
      <c r="CX899" s="64"/>
    </row>
    <row r="900" spans="1:102" x14ac:dyDescent="0.2">
      <c r="A900" s="64"/>
      <c r="B900" s="64"/>
      <c r="C900" s="102"/>
      <c r="D900" s="102"/>
      <c r="E900" s="102"/>
      <c r="F900" s="102"/>
      <c r="G900" s="102"/>
      <c r="H900" s="102"/>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c r="BU900" s="64"/>
      <c r="BV900" s="64"/>
      <c r="BW900" s="64"/>
      <c r="BX900" s="64"/>
      <c r="BY900" s="64"/>
      <c r="BZ900" s="64"/>
      <c r="CA900" s="64"/>
      <c r="CB900" s="64"/>
      <c r="CC900" s="64"/>
      <c r="CD900" s="64"/>
      <c r="CE900" s="64"/>
      <c r="CF900" s="64"/>
      <c r="CG900" s="64"/>
      <c r="CH900" s="64"/>
      <c r="CI900" s="64"/>
      <c r="CJ900" s="64"/>
      <c r="CK900" s="64"/>
      <c r="CL900" s="64"/>
      <c r="CM900" s="64"/>
      <c r="CN900" s="64"/>
      <c r="CO900" s="64"/>
      <c r="CP900" s="64"/>
      <c r="CQ900" s="64"/>
      <c r="CR900" s="64"/>
      <c r="CS900" s="64"/>
      <c r="CT900" s="64"/>
      <c r="CU900" s="64"/>
      <c r="CV900" s="64"/>
      <c r="CW900" s="64"/>
      <c r="CX900" s="64"/>
    </row>
    <row r="901" spans="1:102" x14ac:dyDescent="0.2">
      <c r="A901" s="64"/>
      <c r="B901" s="64"/>
      <c r="C901" s="102"/>
      <c r="D901" s="102"/>
      <c r="E901" s="102"/>
      <c r="F901" s="102"/>
      <c r="G901" s="102"/>
      <c r="H901" s="102"/>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c r="BU901" s="64"/>
      <c r="BV901" s="64"/>
      <c r="BW901" s="64"/>
      <c r="BX901" s="64"/>
      <c r="BY901" s="64"/>
      <c r="BZ901" s="64"/>
      <c r="CA901" s="64"/>
      <c r="CB901" s="64"/>
      <c r="CC901" s="64"/>
      <c r="CD901" s="64"/>
      <c r="CE901" s="64"/>
      <c r="CF901" s="64"/>
      <c r="CG901" s="64"/>
      <c r="CH901" s="64"/>
      <c r="CI901" s="64"/>
      <c r="CJ901" s="64"/>
      <c r="CK901" s="64"/>
      <c r="CL901" s="64"/>
      <c r="CM901" s="64"/>
      <c r="CN901" s="64"/>
      <c r="CO901" s="64"/>
      <c r="CP901" s="64"/>
      <c r="CQ901" s="64"/>
      <c r="CR901" s="64"/>
      <c r="CS901" s="64"/>
      <c r="CT901" s="64"/>
      <c r="CU901" s="64"/>
      <c r="CV901" s="64"/>
      <c r="CW901" s="64"/>
      <c r="CX901" s="64"/>
    </row>
    <row r="902" spans="1:102" x14ac:dyDescent="0.2">
      <c r="A902" s="64"/>
      <c r="B902" s="64"/>
      <c r="C902" s="102"/>
      <c r="D902" s="102"/>
      <c r="E902" s="102"/>
      <c r="F902" s="102"/>
      <c r="G902" s="102"/>
      <c r="H902" s="102"/>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c r="BU902" s="64"/>
      <c r="BV902" s="64"/>
      <c r="BW902" s="64"/>
      <c r="BX902" s="64"/>
      <c r="BY902" s="64"/>
      <c r="BZ902" s="64"/>
      <c r="CA902" s="64"/>
      <c r="CB902" s="64"/>
      <c r="CC902" s="64"/>
      <c r="CD902" s="64"/>
      <c r="CE902" s="64"/>
      <c r="CF902" s="64"/>
      <c r="CG902" s="64"/>
      <c r="CH902" s="64"/>
      <c r="CI902" s="64"/>
      <c r="CJ902" s="64"/>
      <c r="CK902" s="64"/>
      <c r="CL902" s="64"/>
      <c r="CM902" s="64"/>
      <c r="CN902" s="64"/>
      <c r="CO902" s="64"/>
      <c r="CP902" s="64"/>
      <c r="CQ902" s="64"/>
      <c r="CR902" s="64"/>
      <c r="CS902" s="64"/>
      <c r="CT902" s="64"/>
      <c r="CU902" s="64"/>
      <c r="CV902" s="64"/>
      <c r="CW902" s="64"/>
      <c r="CX902" s="64"/>
    </row>
    <row r="903" spans="1:102" x14ac:dyDescent="0.2">
      <c r="A903" s="64"/>
      <c r="B903" s="64"/>
      <c r="C903" s="102"/>
      <c r="D903" s="102"/>
      <c r="E903" s="102"/>
      <c r="F903" s="102"/>
      <c r="G903" s="102"/>
      <c r="H903" s="102"/>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c r="BU903" s="64"/>
      <c r="BV903" s="64"/>
      <c r="BW903" s="64"/>
      <c r="BX903" s="64"/>
      <c r="BY903" s="64"/>
      <c r="BZ903" s="64"/>
      <c r="CA903" s="64"/>
      <c r="CB903" s="64"/>
      <c r="CC903" s="64"/>
      <c r="CD903" s="64"/>
      <c r="CE903" s="64"/>
      <c r="CF903" s="64"/>
      <c r="CG903" s="64"/>
      <c r="CH903" s="64"/>
      <c r="CI903" s="64"/>
      <c r="CJ903" s="64"/>
      <c r="CK903" s="64"/>
      <c r="CL903" s="64"/>
      <c r="CM903" s="64"/>
      <c r="CN903" s="64"/>
      <c r="CO903" s="64"/>
      <c r="CP903" s="64"/>
      <c r="CQ903" s="64"/>
      <c r="CR903" s="64"/>
      <c r="CS903" s="64"/>
      <c r="CT903" s="64"/>
      <c r="CU903" s="64"/>
      <c r="CV903" s="64"/>
      <c r="CW903" s="64"/>
      <c r="CX903" s="64"/>
    </row>
    <row r="904" spans="1:102" x14ac:dyDescent="0.2">
      <c r="A904" s="64"/>
      <c r="B904" s="64"/>
      <c r="C904" s="102"/>
      <c r="D904" s="102"/>
      <c r="E904" s="102"/>
      <c r="F904" s="102"/>
      <c r="G904" s="102"/>
      <c r="H904" s="102"/>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c r="BU904" s="64"/>
      <c r="BV904" s="64"/>
      <c r="BW904" s="64"/>
      <c r="BX904" s="64"/>
      <c r="BY904" s="64"/>
      <c r="BZ904" s="64"/>
      <c r="CA904" s="64"/>
      <c r="CB904" s="64"/>
      <c r="CC904" s="64"/>
      <c r="CD904" s="64"/>
      <c r="CE904" s="64"/>
      <c r="CF904" s="64"/>
      <c r="CG904" s="64"/>
      <c r="CH904" s="64"/>
      <c r="CI904" s="64"/>
      <c r="CJ904" s="64"/>
      <c r="CK904" s="64"/>
      <c r="CL904" s="64"/>
      <c r="CM904" s="64"/>
      <c r="CN904" s="64"/>
      <c r="CO904" s="64"/>
      <c r="CP904" s="64"/>
      <c r="CQ904" s="64"/>
      <c r="CR904" s="64"/>
      <c r="CS904" s="64"/>
      <c r="CT904" s="64"/>
      <c r="CU904" s="64"/>
      <c r="CV904" s="64"/>
      <c r="CW904" s="64"/>
      <c r="CX904" s="64"/>
    </row>
    <row r="905" spans="1:102" x14ac:dyDescent="0.2">
      <c r="A905" s="64"/>
      <c r="B905" s="64"/>
      <c r="C905" s="102"/>
      <c r="D905" s="102"/>
      <c r="E905" s="102"/>
      <c r="F905" s="102"/>
      <c r="G905" s="102"/>
      <c r="H905" s="102"/>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c r="BU905" s="64"/>
      <c r="BV905" s="64"/>
      <c r="BW905" s="64"/>
      <c r="BX905" s="64"/>
      <c r="BY905" s="64"/>
      <c r="BZ905" s="64"/>
      <c r="CA905" s="64"/>
      <c r="CB905" s="64"/>
      <c r="CC905" s="64"/>
      <c r="CD905" s="64"/>
      <c r="CE905" s="64"/>
      <c r="CF905" s="64"/>
      <c r="CG905" s="64"/>
      <c r="CH905" s="64"/>
      <c r="CI905" s="64"/>
      <c r="CJ905" s="64"/>
      <c r="CK905" s="64"/>
      <c r="CL905" s="64"/>
      <c r="CM905" s="64"/>
      <c r="CN905" s="64"/>
      <c r="CO905" s="64"/>
      <c r="CP905" s="64"/>
      <c r="CQ905" s="64"/>
      <c r="CR905" s="64"/>
      <c r="CS905" s="64"/>
      <c r="CT905" s="64"/>
      <c r="CU905" s="64"/>
      <c r="CV905" s="64"/>
      <c r="CW905" s="64"/>
      <c r="CX905" s="64"/>
    </row>
    <row r="906" spans="1:102" x14ac:dyDescent="0.2">
      <c r="A906" s="64"/>
      <c r="B906" s="64"/>
      <c r="C906" s="102"/>
      <c r="D906" s="102"/>
      <c r="E906" s="102"/>
      <c r="F906" s="102"/>
      <c r="G906" s="102"/>
      <c r="H906" s="102"/>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c r="BU906" s="64"/>
      <c r="BV906" s="64"/>
      <c r="BW906" s="64"/>
      <c r="BX906" s="64"/>
      <c r="BY906" s="64"/>
      <c r="BZ906" s="64"/>
      <c r="CA906" s="64"/>
      <c r="CB906" s="64"/>
      <c r="CC906" s="64"/>
      <c r="CD906" s="64"/>
      <c r="CE906" s="64"/>
      <c r="CF906" s="64"/>
      <c r="CG906" s="64"/>
      <c r="CH906" s="64"/>
      <c r="CI906" s="64"/>
      <c r="CJ906" s="64"/>
      <c r="CK906" s="64"/>
      <c r="CL906" s="64"/>
      <c r="CM906" s="64"/>
      <c r="CN906" s="64"/>
      <c r="CO906" s="64"/>
      <c r="CP906" s="64"/>
      <c r="CQ906" s="64"/>
      <c r="CR906" s="64"/>
      <c r="CS906" s="64"/>
      <c r="CT906" s="64"/>
      <c r="CU906" s="64"/>
      <c r="CV906" s="64"/>
      <c r="CW906" s="64"/>
      <c r="CX906" s="64"/>
    </row>
    <row r="907" spans="1:102" x14ac:dyDescent="0.2">
      <c r="A907" s="64"/>
      <c r="B907" s="64"/>
      <c r="C907" s="102"/>
      <c r="D907" s="102"/>
      <c r="E907" s="102"/>
      <c r="F907" s="102"/>
      <c r="G907" s="102"/>
      <c r="H907" s="102"/>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c r="BU907" s="64"/>
      <c r="BV907" s="64"/>
      <c r="BW907" s="64"/>
      <c r="BX907" s="64"/>
      <c r="BY907" s="64"/>
      <c r="BZ907" s="64"/>
      <c r="CA907" s="64"/>
      <c r="CB907" s="64"/>
      <c r="CC907" s="64"/>
      <c r="CD907" s="64"/>
      <c r="CE907" s="64"/>
      <c r="CF907" s="64"/>
      <c r="CG907" s="64"/>
      <c r="CH907" s="64"/>
      <c r="CI907" s="64"/>
      <c r="CJ907" s="64"/>
      <c r="CK907" s="64"/>
      <c r="CL907" s="64"/>
      <c r="CM907" s="64"/>
      <c r="CN907" s="64"/>
      <c r="CO907" s="64"/>
      <c r="CP907" s="64"/>
      <c r="CQ907" s="64"/>
      <c r="CR907" s="64"/>
      <c r="CS907" s="64"/>
      <c r="CT907" s="64"/>
      <c r="CU907" s="64"/>
      <c r="CV907" s="64"/>
      <c r="CW907" s="64"/>
      <c r="CX907" s="64"/>
    </row>
    <row r="908" spans="1:102" x14ac:dyDescent="0.2">
      <c r="A908" s="64"/>
      <c r="B908" s="64"/>
      <c r="C908" s="102"/>
      <c r="D908" s="102"/>
      <c r="E908" s="102"/>
      <c r="F908" s="102"/>
      <c r="G908" s="102"/>
      <c r="H908" s="102"/>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c r="BU908" s="64"/>
      <c r="BV908" s="64"/>
      <c r="BW908" s="64"/>
      <c r="BX908" s="64"/>
      <c r="BY908" s="64"/>
      <c r="BZ908" s="64"/>
      <c r="CA908" s="64"/>
      <c r="CB908" s="64"/>
      <c r="CC908" s="64"/>
      <c r="CD908" s="64"/>
      <c r="CE908" s="64"/>
      <c r="CF908" s="64"/>
      <c r="CG908" s="64"/>
      <c r="CH908" s="64"/>
      <c r="CI908" s="64"/>
      <c r="CJ908" s="64"/>
      <c r="CK908" s="64"/>
      <c r="CL908" s="64"/>
      <c r="CM908" s="64"/>
      <c r="CN908" s="64"/>
      <c r="CO908" s="64"/>
      <c r="CP908" s="64"/>
      <c r="CQ908" s="64"/>
      <c r="CR908" s="64"/>
      <c r="CS908" s="64"/>
      <c r="CT908" s="64"/>
      <c r="CU908" s="64"/>
      <c r="CV908" s="64"/>
      <c r="CW908" s="64"/>
      <c r="CX908" s="64"/>
    </row>
    <row r="909" spans="1:102" x14ac:dyDescent="0.2">
      <c r="A909" s="64"/>
      <c r="B909" s="64"/>
      <c r="C909" s="102"/>
      <c r="D909" s="102"/>
      <c r="E909" s="102"/>
      <c r="F909" s="102"/>
      <c r="G909" s="102"/>
      <c r="H909" s="102"/>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c r="BU909" s="64"/>
      <c r="BV909" s="64"/>
      <c r="BW909" s="64"/>
      <c r="BX909" s="64"/>
      <c r="BY909" s="64"/>
      <c r="BZ909" s="64"/>
      <c r="CA909" s="64"/>
      <c r="CB909" s="64"/>
      <c r="CC909" s="64"/>
      <c r="CD909" s="64"/>
      <c r="CE909" s="64"/>
      <c r="CF909" s="64"/>
      <c r="CG909" s="64"/>
      <c r="CH909" s="64"/>
      <c r="CI909" s="64"/>
      <c r="CJ909" s="64"/>
      <c r="CK909" s="64"/>
      <c r="CL909" s="64"/>
      <c r="CM909" s="64"/>
      <c r="CN909" s="64"/>
      <c r="CO909" s="64"/>
      <c r="CP909" s="64"/>
      <c r="CQ909" s="64"/>
      <c r="CR909" s="64"/>
      <c r="CS909" s="64"/>
      <c r="CT909" s="64"/>
      <c r="CU909" s="64"/>
      <c r="CV909" s="64"/>
      <c r="CW909" s="64"/>
      <c r="CX909" s="64"/>
    </row>
    <row r="910" spans="1:102" x14ac:dyDescent="0.2">
      <c r="A910" s="64"/>
      <c r="B910" s="64"/>
      <c r="C910" s="102"/>
      <c r="D910" s="102"/>
      <c r="E910" s="102"/>
      <c r="F910" s="102"/>
      <c r="G910" s="102"/>
      <c r="H910" s="102"/>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c r="BU910" s="64"/>
      <c r="BV910" s="64"/>
      <c r="BW910" s="64"/>
      <c r="BX910" s="64"/>
      <c r="BY910" s="64"/>
      <c r="BZ910" s="64"/>
      <c r="CA910" s="64"/>
      <c r="CB910" s="64"/>
      <c r="CC910" s="64"/>
      <c r="CD910" s="64"/>
      <c r="CE910" s="64"/>
      <c r="CF910" s="64"/>
      <c r="CG910" s="64"/>
      <c r="CH910" s="64"/>
      <c r="CI910" s="64"/>
      <c r="CJ910" s="64"/>
      <c r="CK910" s="64"/>
      <c r="CL910" s="64"/>
      <c r="CM910" s="64"/>
      <c r="CN910" s="64"/>
      <c r="CO910" s="64"/>
      <c r="CP910" s="64"/>
      <c r="CQ910" s="64"/>
      <c r="CR910" s="64"/>
      <c r="CS910" s="64"/>
      <c r="CT910" s="64"/>
      <c r="CU910" s="64"/>
      <c r="CV910" s="64"/>
      <c r="CW910" s="64"/>
      <c r="CX910" s="64"/>
    </row>
    <row r="911" spans="1:102" x14ac:dyDescent="0.2">
      <c r="A911" s="64"/>
      <c r="B911" s="64"/>
      <c r="C911" s="102"/>
      <c r="D911" s="102"/>
      <c r="E911" s="102"/>
      <c r="F911" s="102"/>
      <c r="G911" s="102"/>
      <c r="H911" s="102"/>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c r="BU911" s="64"/>
      <c r="BV911" s="64"/>
      <c r="BW911" s="64"/>
      <c r="BX911" s="64"/>
      <c r="BY911" s="64"/>
      <c r="BZ911" s="64"/>
      <c r="CA911" s="64"/>
      <c r="CB911" s="64"/>
      <c r="CC911" s="64"/>
      <c r="CD911" s="64"/>
      <c r="CE911" s="64"/>
      <c r="CF911" s="64"/>
      <c r="CG911" s="64"/>
      <c r="CH911" s="64"/>
      <c r="CI911" s="64"/>
      <c r="CJ911" s="64"/>
      <c r="CK911" s="64"/>
      <c r="CL911" s="64"/>
      <c r="CM911" s="64"/>
      <c r="CN911" s="64"/>
      <c r="CO911" s="64"/>
      <c r="CP911" s="64"/>
      <c r="CQ911" s="64"/>
      <c r="CR911" s="64"/>
      <c r="CS911" s="64"/>
      <c r="CT911" s="64"/>
      <c r="CU911" s="64"/>
      <c r="CV911" s="64"/>
      <c r="CW911" s="64"/>
      <c r="CX911" s="64"/>
    </row>
    <row r="912" spans="1:102" x14ac:dyDescent="0.2">
      <c r="A912" s="64"/>
      <c r="B912" s="64"/>
      <c r="C912" s="102"/>
      <c r="D912" s="102"/>
      <c r="E912" s="102"/>
      <c r="F912" s="102"/>
      <c r="G912" s="102"/>
      <c r="H912" s="102"/>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c r="BU912" s="64"/>
      <c r="BV912" s="64"/>
      <c r="BW912" s="64"/>
      <c r="BX912" s="64"/>
      <c r="BY912" s="64"/>
      <c r="BZ912" s="64"/>
      <c r="CA912" s="64"/>
      <c r="CB912" s="64"/>
      <c r="CC912" s="64"/>
      <c r="CD912" s="64"/>
      <c r="CE912" s="64"/>
      <c r="CF912" s="64"/>
      <c r="CG912" s="64"/>
      <c r="CH912" s="64"/>
      <c r="CI912" s="64"/>
      <c r="CJ912" s="64"/>
      <c r="CK912" s="64"/>
      <c r="CL912" s="64"/>
      <c r="CM912" s="64"/>
      <c r="CN912" s="64"/>
      <c r="CO912" s="64"/>
      <c r="CP912" s="64"/>
      <c r="CQ912" s="64"/>
      <c r="CR912" s="64"/>
      <c r="CS912" s="64"/>
      <c r="CT912" s="64"/>
      <c r="CU912" s="64"/>
      <c r="CV912" s="64"/>
      <c r="CW912" s="64"/>
      <c r="CX912" s="64"/>
    </row>
    <row r="913" spans="1:102" x14ac:dyDescent="0.2">
      <c r="A913" s="64"/>
      <c r="B913" s="64"/>
      <c r="C913" s="102"/>
      <c r="D913" s="102"/>
      <c r="E913" s="102"/>
      <c r="F913" s="102"/>
      <c r="G913" s="102"/>
      <c r="H913" s="102"/>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c r="BU913" s="64"/>
      <c r="BV913" s="64"/>
      <c r="BW913" s="64"/>
      <c r="BX913" s="64"/>
      <c r="BY913" s="64"/>
      <c r="BZ913" s="64"/>
      <c r="CA913" s="64"/>
      <c r="CB913" s="64"/>
      <c r="CC913" s="64"/>
      <c r="CD913" s="64"/>
      <c r="CE913" s="64"/>
      <c r="CF913" s="64"/>
      <c r="CG913" s="64"/>
      <c r="CH913" s="64"/>
      <c r="CI913" s="64"/>
      <c r="CJ913" s="64"/>
      <c r="CK913" s="64"/>
      <c r="CL913" s="64"/>
      <c r="CM913" s="64"/>
      <c r="CN913" s="64"/>
      <c r="CO913" s="64"/>
      <c r="CP913" s="64"/>
      <c r="CQ913" s="64"/>
      <c r="CR913" s="64"/>
      <c r="CS913" s="64"/>
      <c r="CT913" s="64"/>
      <c r="CU913" s="64"/>
      <c r="CV913" s="64"/>
      <c r="CW913" s="64"/>
      <c r="CX913" s="64"/>
    </row>
    <row r="914" spans="1:102" x14ac:dyDescent="0.2">
      <c r="A914" s="64"/>
      <c r="B914" s="64"/>
      <c r="C914" s="102"/>
      <c r="D914" s="102"/>
      <c r="E914" s="102"/>
      <c r="F914" s="102"/>
      <c r="G914" s="102"/>
      <c r="H914" s="102"/>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c r="BU914" s="64"/>
      <c r="BV914" s="64"/>
      <c r="BW914" s="64"/>
      <c r="BX914" s="64"/>
      <c r="BY914" s="64"/>
      <c r="BZ914" s="64"/>
      <c r="CA914" s="64"/>
      <c r="CB914" s="64"/>
      <c r="CC914" s="64"/>
      <c r="CD914" s="64"/>
      <c r="CE914" s="64"/>
      <c r="CF914" s="64"/>
      <c r="CG914" s="64"/>
      <c r="CH914" s="64"/>
      <c r="CI914" s="64"/>
      <c r="CJ914" s="64"/>
      <c r="CK914" s="64"/>
      <c r="CL914" s="64"/>
      <c r="CM914" s="64"/>
      <c r="CN914" s="64"/>
      <c r="CO914" s="64"/>
      <c r="CP914" s="64"/>
      <c r="CQ914" s="64"/>
      <c r="CR914" s="64"/>
      <c r="CS914" s="64"/>
      <c r="CT914" s="64"/>
      <c r="CU914" s="64"/>
      <c r="CV914" s="64"/>
      <c r="CW914" s="64"/>
      <c r="CX914" s="64"/>
    </row>
    <row r="915" spans="1:102" x14ac:dyDescent="0.2">
      <c r="A915" s="64"/>
      <c r="B915" s="64"/>
      <c r="C915" s="102"/>
      <c r="D915" s="102"/>
      <c r="E915" s="102"/>
      <c r="F915" s="102"/>
      <c r="G915" s="102"/>
      <c r="H915" s="102"/>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c r="BU915" s="64"/>
      <c r="BV915" s="64"/>
      <c r="BW915" s="64"/>
      <c r="BX915" s="64"/>
      <c r="BY915" s="64"/>
      <c r="BZ915" s="64"/>
      <c r="CA915" s="64"/>
      <c r="CB915" s="64"/>
      <c r="CC915" s="64"/>
      <c r="CD915" s="64"/>
      <c r="CE915" s="64"/>
      <c r="CF915" s="64"/>
      <c r="CG915" s="64"/>
      <c r="CH915" s="64"/>
      <c r="CI915" s="64"/>
      <c r="CJ915" s="64"/>
      <c r="CK915" s="64"/>
      <c r="CL915" s="64"/>
      <c r="CM915" s="64"/>
      <c r="CN915" s="64"/>
      <c r="CO915" s="64"/>
      <c r="CP915" s="64"/>
      <c r="CQ915" s="64"/>
      <c r="CR915" s="64"/>
      <c r="CS915" s="64"/>
      <c r="CT915" s="64"/>
      <c r="CU915" s="64"/>
      <c r="CV915" s="64"/>
      <c r="CW915" s="64"/>
      <c r="CX915" s="64"/>
    </row>
    <row r="916" spans="1:102" x14ac:dyDescent="0.2">
      <c r="A916" s="64"/>
      <c r="B916" s="64"/>
      <c r="C916" s="102"/>
      <c r="D916" s="102"/>
      <c r="E916" s="102"/>
      <c r="F916" s="102"/>
      <c r="G916" s="102"/>
      <c r="H916" s="102"/>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c r="BU916" s="64"/>
      <c r="BV916" s="64"/>
      <c r="BW916" s="64"/>
      <c r="BX916" s="64"/>
      <c r="BY916" s="64"/>
      <c r="BZ916" s="64"/>
      <c r="CA916" s="64"/>
      <c r="CB916" s="64"/>
      <c r="CC916" s="64"/>
      <c r="CD916" s="64"/>
      <c r="CE916" s="64"/>
      <c r="CF916" s="64"/>
      <c r="CG916" s="64"/>
      <c r="CH916" s="64"/>
      <c r="CI916" s="64"/>
      <c r="CJ916" s="64"/>
      <c r="CK916" s="64"/>
      <c r="CL916" s="64"/>
      <c r="CM916" s="64"/>
      <c r="CN916" s="64"/>
      <c r="CO916" s="64"/>
      <c r="CP916" s="64"/>
      <c r="CQ916" s="64"/>
      <c r="CR916" s="64"/>
      <c r="CS916" s="64"/>
      <c r="CT916" s="64"/>
      <c r="CU916" s="64"/>
      <c r="CV916" s="64"/>
      <c r="CW916" s="64"/>
      <c r="CX916" s="64"/>
    </row>
    <row r="917" spans="1:102" x14ac:dyDescent="0.2">
      <c r="A917" s="64"/>
      <c r="B917" s="64"/>
      <c r="C917" s="102"/>
      <c r="D917" s="102"/>
      <c r="E917" s="102"/>
      <c r="F917" s="102"/>
      <c r="G917" s="102"/>
      <c r="H917" s="102"/>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c r="BU917" s="64"/>
      <c r="BV917" s="64"/>
      <c r="BW917" s="64"/>
      <c r="BX917" s="64"/>
      <c r="BY917" s="64"/>
      <c r="BZ917" s="64"/>
      <c r="CA917" s="64"/>
      <c r="CB917" s="64"/>
      <c r="CC917" s="64"/>
      <c r="CD917" s="64"/>
      <c r="CE917" s="64"/>
      <c r="CF917" s="64"/>
      <c r="CG917" s="64"/>
      <c r="CH917" s="64"/>
      <c r="CI917" s="64"/>
      <c r="CJ917" s="64"/>
      <c r="CK917" s="64"/>
      <c r="CL917" s="64"/>
      <c r="CM917" s="64"/>
      <c r="CN917" s="64"/>
      <c r="CO917" s="64"/>
      <c r="CP917" s="64"/>
      <c r="CQ917" s="64"/>
      <c r="CR917" s="64"/>
      <c r="CS917" s="64"/>
      <c r="CT917" s="64"/>
      <c r="CU917" s="64"/>
      <c r="CV917" s="64"/>
      <c r="CW917" s="64"/>
      <c r="CX917" s="64"/>
    </row>
    <row r="918" spans="1:102" x14ac:dyDescent="0.2">
      <c r="A918" s="64"/>
      <c r="B918" s="64"/>
      <c r="C918" s="102"/>
      <c r="D918" s="102"/>
      <c r="E918" s="102"/>
      <c r="F918" s="102"/>
      <c r="G918" s="102"/>
      <c r="H918" s="102"/>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c r="BU918" s="64"/>
      <c r="BV918" s="64"/>
      <c r="BW918" s="64"/>
      <c r="BX918" s="64"/>
      <c r="BY918" s="64"/>
      <c r="BZ918" s="64"/>
      <c r="CA918" s="64"/>
      <c r="CB918" s="64"/>
      <c r="CC918" s="64"/>
      <c r="CD918" s="64"/>
      <c r="CE918" s="64"/>
      <c r="CF918" s="64"/>
      <c r="CG918" s="64"/>
      <c r="CH918" s="64"/>
      <c r="CI918" s="64"/>
      <c r="CJ918" s="64"/>
      <c r="CK918" s="64"/>
      <c r="CL918" s="64"/>
      <c r="CM918" s="64"/>
      <c r="CN918" s="64"/>
      <c r="CO918" s="64"/>
      <c r="CP918" s="64"/>
      <c r="CQ918" s="64"/>
      <c r="CR918" s="64"/>
      <c r="CS918" s="64"/>
      <c r="CT918" s="64"/>
      <c r="CU918" s="64"/>
      <c r="CV918" s="64"/>
      <c r="CW918" s="64"/>
      <c r="CX918" s="64"/>
    </row>
    <row r="919" spans="1:102" x14ac:dyDescent="0.2">
      <c r="A919" s="64"/>
      <c r="B919" s="64"/>
      <c r="C919" s="102"/>
      <c r="D919" s="102"/>
      <c r="E919" s="102"/>
      <c r="F919" s="102"/>
      <c r="G919" s="102"/>
      <c r="H919" s="102"/>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c r="BU919" s="64"/>
      <c r="BV919" s="64"/>
      <c r="BW919" s="64"/>
      <c r="BX919" s="64"/>
      <c r="BY919" s="64"/>
      <c r="BZ919" s="64"/>
      <c r="CA919" s="64"/>
      <c r="CB919" s="64"/>
      <c r="CC919" s="64"/>
      <c r="CD919" s="64"/>
      <c r="CE919" s="64"/>
      <c r="CF919" s="64"/>
      <c r="CG919" s="64"/>
      <c r="CH919" s="64"/>
      <c r="CI919" s="64"/>
      <c r="CJ919" s="64"/>
      <c r="CK919" s="64"/>
      <c r="CL919" s="64"/>
      <c r="CM919" s="64"/>
      <c r="CN919" s="64"/>
      <c r="CO919" s="64"/>
      <c r="CP919" s="64"/>
      <c r="CQ919" s="64"/>
      <c r="CR919" s="64"/>
      <c r="CS919" s="64"/>
      <c r="CT919" s="64"/>
      <c r="CU919" s="64"/>
      <c r="CV919" s="64"/>
      <c r="CW919" s="64"/>
      <c r="CX919" s="64"/>
    </row>
    <row r="920" spans="1:102" x14ac:dyDescent="0.2">
      <c r="A920" s="64"/>
      <c r="B920" s="64"/>
      <c r="C920" s="102"/>
      <c r="D920" s="102"/>
      <c r="E920" s="102"/>
      <c r="F920" s="102"/>
      <c r="G920" s="102"/>
      <c r="H920" s="102"/>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c r="BU920" s="64"/>
      <c r="BV920" s="64"/>
      <c r="BW920" s="64"/>
      <c r="BX920" s="64"/>
      <c r="BY920" s="64"/>
      <c r="BZ920" s="64"/>
      <c r="CA920" s="64"/>
      <c r="CB920" s="64"/>
      <c r="CC920" s="64"/>
      <c r="CD920" s="64"/>
      <c r="CE920" s="64"/>
      <c r="CF920" s="64"/>
      <c r="CG920" s="64"/>
      <c r="CH920" s="64"/>
      <c r="CI920" s="64"/>
      <c r="CJ920" s="64"/>
      <c r="CK920" s="64"/>
      <c r="CL920" s="64"/>
      <c r="CM920" s="64"/>
      <c r="CN920" s="64"/>
      <c r="CO920" s="64"/>
      <c r="CP920" s="64"/>
      <c r="CQ920" s="64"/>
      <c r="CR920" s="64"/>
      <c r="CS920" s="64"/>
      <c r="CT920" s="64"/>
      <c r="CU920" s="64"/>
      <c r="CV920" s="64"/>
      <c r="CW920" s="64"/>
      <c r="CX920" s="64"/>
    </row>
    <row r="921" spans="1:102" x14ac:dyDescent="0.2">
      <c r="A921" s="64"/>
      <c r="B921" s="64"/>
      <c r="C921" s="102"/>
      <c r="D921" s="102"/>
      <c r="E921" s="102"/>
      <c r="F921" s="102"/>
      <c r="G921" s="102"/>
      <c r="H921" s="102"/>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c r="BU921" s="64"/>
      <c r="BV921" s="64"/>
      <c r="BW921" s="64"/>
      <c r="BX921" s="64"/>
      <c r="BY921" s="64"/>
      <c r="BZ921" s="64"/>
      <c r="CA921" s="64"/>
      <c r="CB921" s="64"/>
      <c r="CC921" s="64"/>
      <c r="CD921" s="64"/>
      <c r="CE921" s="64"/>
      <c r="CF921" s="64"/>
      <c r="CG921" s="64"/>
      <c r="CH921" s="64"/>
      <c r="CI921" s="64"/>
      <c r="CJ921" s="64"/>
      <c r="CK921" s="64"/>
      <c r="CL921" s="64"/>
      <c r="CM921" s="64"/>
      <c r="CN921" s="64"/>
      <c r="CO921" s="64"/>
      <c r="CP921" s="64"/>
      <c r="CQ921" s="64"/>
      <c r="CR921" s="64"/>
      <c r="CS921" s="64"/>
      <c r="CT921" s="64"/>
      <c r="CU921" s="64"/>
      <c r="CV921" s="64"/>
      <c r="CW921" s="64"/>
      <c r="CX921" s="64"/>
    </row>
    <row r="922" spans="1:102" x14ac:dyDescent="0.2">
      <c r="A922" s="64"/>
      <c r="B922" s="64"/>
      <c r="C922" s="102"/>
      <c r="D922" s="102"/>
      <c r="E922" s="102"/>
      <c r="F922" s="102"/>
      <c r="G922" s="102"/>
      <c r="H922" s="102"/>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c r="BU922" s="64"/>
      <c r="BV922" s="64"/>
      <c r="BW922" s="64"/>
      <c r="BX922" s="64"/>
      <c r="BY922" s="64"/>
      <c r="BZ922" s="64"/>
      <c r="CA922" s="64"/>
      <c r="CB922" s="64"/>
      <c r="CC922" s="64"/>
      <c r="CD922" s="64"/>
      <c r="CE922" s="64"/>
      <c r="CF922" s="64"/>
      <c r="CG922" s="64"/>
      <c r="CH922" s="64"/>
      <c r="CI922" s="64"/>
      <c r="CJ922" s="64"/>
      <c r="CK922" s="64"/>
      <c r="CL922" s="64"/>
      <c r="CM922" s="64"/>
      <c r="CN922" s="64"/>
      <c r="CO922" s="64"/>
      <c r="CP922" s="64"/>
      <c r="CQ922" s="64"/>
      <c r="CR922" s="64"/>
      <c r="CS922" s="64"/>
      <c r="CT922" s="64"/>
      <c r="CU922" s="64"/>
      <c r="CV922" s="64"/>
      <c r="CW922" s="64"/>
      <c r="CX922" s="64"/>
    </row>
    <row r="923" spans="1:102" x14ac:dyDescent="0.2">
      <c r="A923" s="64"/>
      <c r="B923" s="64"/>
      <c r="C923" s="102"/>
      <c r="D923" s="102"/>
      <c r="E923" s="102"/>
      <c r="F923" s="102"/>
      <c r="G923" s="102"/>
      <c r="H923" s="102"/>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c r="BU923" s="64"/>
      <c r="BV923" s="64"/>
      <c r="BW923" s="64"/>
      <c r="BX923" s="64"/>
      <c r="BY923" s="64"/>
      <c r="BZ923" s="64"/>
      <c r="CA923" s="64"/>
      <c r="CB923" s="64"/>
      <c r="CC923" s="64"/>
      <c r="CD923" s="64"/>
      <c r="CE923" s="64"/>
      <c r="CF923" s="64"/>
      <c r="CG923" s="64"/>
      <c r="CH923" s="64"/>
      <c r="CI923" s="64"/>
      <c r="CJ923" s="64"/>
      <c r="CK923" s="64"/>
      <c r="CL923" s="64"/>
      <c r="CM923" s="64"/>
      <c r="CN923" s="64"/>
      <c r="CO923" s="64"/>
      <c r="CP923" s="64"/>
      <c r="CQ923" s="64"/>
      <c r="CR923" s="64"/>
      <c r="CS923" s="64"/>
      <c r="CT923" s="64"/>
      <c r="CU923" s="64"/>
      <c r="CV923" s="64"/>
      <c r="CW923" s="64"/>
      <c r="CX923" s="64"/>
    </row>
    <row r="924" spans="1:102" x14ac:dyDescent="0.2">
      <c r="A924" s="64"/>
      <c r="B924" s="64"/>
      <c r="C924" s="102"/>
      <c r="D924" s="102"/>
      <c r="E924" s="102"/>
      <c r="F924" s="102"/>
      <c r="G924" s="102"/>
      <c r="H924" s="102"/>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c r="BU924" s="64"/>
      <c r="BV924" s="64"/>
      <c r="BW924" s="64"/>
      <c r="BX924" s="64"/>
      <c r="BY924" s="64"/>
      <c r="BZ924" s="64"/>
      <c r="CA924" s="64"/>
      <c r="CB924" s="64"/>
      <c r="CC924" s="64"/>
      <c r="CD924" s="64"/>
      <c r="CE924" s="64"/>
      <c r="CF924" s="64"/>
      <c r="CG924" s="64"/>
      <c r="CH924" s="64"/>
      <c r="CI924" s="64"/>
      <c r="CJ924" s="64"/>
      <c r="CK924" s="64"/>
      <c r="CL924" s="64"/>
      <c r="CM924" s="64"/>
      <c r="CN924" s="64"/>
      <c r="CO924" s="64"/>
      <c r="CP924" s="64"/>
      <c r="CQ924" s="64"/>
      <c r="CR924" s="64"/>
      <c r="CS924" s="64"/>
      <c r="CT924" s="64"/>
      <c r="CU924" s="64"/>
      <c r="CV924" s="64"/>
      <c r="CW924" s="64"/>
      <c r="CX924" s="64"/>
    </row>
    <row r="925" spans="1:102" x14ac:dyDescent="0.2">
      <c r="A925" s="64"/>
      <c r="B925" s="64"/>
      <c r="C925" s="102"/>
      <c r="D925" s="102"/>
      <c r="E925" s="102"/>
      <c r="F925" s="102"/>
      <c r="G925" s="102"/>
      <c r="H925" s="102"/>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c r="BU925" s="64"/>
      <c r="BV925" s="64"/>
      <c r="BW925" s="64"/>
      <c r="BX925" s="64"/>
      <c r="BY925" s="64"/>
      <c r="BZ925" s="64"/>
      <c r="CA925" s="64"/>
      <c r="CB925" s="64"/>
      <c r="CC925" s="64"/>
      <c r="CD925" s="64"/>
      <c r="CE925" s="64"/>
      <c r="CF925" s="64"/>
      <c r="CG925" s="64"/>
      <c r="CH925" s="64"/>
      <c r="CI925" s="64"/>
      <c r="CJ925" s="64"/>
      <c r="CK925" s="64"/>
      <c r="CL925" s="64"/>
      <c r="CM925" s="64"/>
      <c r="CN925" s="64"/>
      <c r="CO925" s="64"/>
      <c r="CP925" s="64"/>
      <c r="CQ925" s="64"/>
      <c r="CR925" s="64"/>
      <c r="CS925" s="64"/>
      <c r="CT925" s="64"/>
      <c r="CU925" s="64"/>
      <c r="CV925" s="64"/>
      <c r="CW925" s="64"/>
      <c r="CX925" s="64"/>
    </row>
    <row r="926" spans="1:102" x14ac:dyDescent="0.2">
      <c r="A926" s="64"/>
      <c r="B926" s="64"/>
      <c r="C926" s="102"/>
      <c r="D926" s="102"/>
      <c r="E926" s="102"/>
      <c r="F926" s="102"/>
      <c r="G926" s="102"/>
      <c r="H926" s="102"/>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c r="BU926" s="64"/>
      <c r="BV926" s="64"/>
      <c r="BW926" s="64"/>
      <c r="BX926" s="64"/>
      <c r="BY926" s="64"/>
      <c r="BZ926" s="64"/>
      <c r="CA926" s="64"/>
      <c r="CB926" s="64"/>
      <c r="CC926" s="64"/>
      <c r="CD926" s="64"/>
      <c r="CE926" s="64"/>
      <c r="CF926" s="64"/>
      <c r="CG926" s="64"/>
      <c r="CH926" s="64"/>
      <c r="CI926" s="64"/>
      <c r="CJ926" s="64"/>
      <c r="CK926" s="64"/>
      <c r="CL926" s="64"/>
      <c r="CM926" s="64"/>
      <c r="CN926" s="64"/>
      <c r="CO926" s="64"/>
      <c r="CP926" s="64"/>
      <c r="CQ926" s="64"/>
      <c r="CR926" s="64"/>
      <c r="CS926" s="64"/>
      <c r="CT926" s="64"/>
      <c r="CU926" s="64"/>
      <c r="CV926" s="64"/>
      <c r="CW926" s="64"/>
      <c r="CX926" s="64"/>
    </row>
    <row r="927" spans="1:102" x14ac:dyDescent="0.2">
      <c r="A927" s="64"/>
      <c r="B927" s="64"/>
      <c r="C927" s="102"/>
      <c r="D927" s="102"/>
      <c r="E927" s="102"/>
      <c r="F927" s="102"/>
      <c r="G927" s="102"/>
      <c r="H927" s="102"/>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c r="BU927" s="64"/>
      <c r="BV927" s="64"/>
      <c r="BW927" s="64"/>
      <c r="BX927" s="64"/>
      <c r="BY927" s="64"/>
      <c r="BZ927" s="64"/>
      <c r="CA927" s="64"/>
      <c r="CB927" s="64"/>
      <c r="CC927" s="64"/>
      <c r="CD927" s="64"/>
      <c r="CE927" s="64"/>
      <c r="CF927" s="64"/>
      <c r="CG927" s="64"/>
      <c r="CH927" s="64"/>
      <c r="CI927" s="64"/>
      <c r="CJ927" s="64"/>
      <c r="CK927" s="64"/>
      <c r="CL927" s="64"/>
      <c r="CM927" s="64"/>
      <c r="CN927" s="64"/>
      <c r="CO927" s="64"/>
      <c r="CP927" s="64"/>
      <c r="CQ927" s="64"/>
      <c r="CR927" s="64"/>
      <c r="CS927" s="64"/>
      <c r="CT927" s="64"/>
      <c r="CU927" s="64"/>
      <c r="CV927" s="64"/>
      <c r="CW927" s="64"/>
      <c r="CX927" s="64"/>
    </row>
    <row r="928" spans="1:102" x14ac:dyDescent="0.2">
      <c r="A928" s="64"/>
      <c r="B928" s="64"/>
      <c r="C928" s="102"/>
      <c r="D928" s="102"/>
      <c r="E928" s="102"/>
      <c r="F928" s="102"/>
      <c r="G928" s="102"/>
      <c r="H928" s="102"/>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c r="BU928" s="64"/>
      <c r="BV928" s="64"/>
      <c r="BW928" s="64"/>
      <c r="BX928" s="64"/>
      <c r="BY928" s="64"/>
      <c r="BZ928" s="64"/>
      <c r="CA928" s="64"/>
      <c r="CB928" s="64"/>
      <c r="CC928" s="64"/>
      <c r="CD928" s="64"/>
      <c r="CE928" s="64"/>
      <c r="CF928" s="64"/>
      <c r="CG928" s="64"/>
      <c r="CH928" s="64"/>
      <c r="CI928" s="64"/>
      <c r="CJ928" s="64"/>
      <c r="CK928" s="64"/>
      <c r="CL928" s="64"/>
      <c r="CM928" s="64"/>
      <c r="CN928" s="64"/>
      <c r="CO928" s="64"/>
      <c r="CP928" s="64"/>
      <c r="CQ928" s="64"/>
      <c r="CR928" s="64"/>
      <c r="CS928" s="64"/>
      <c r="CT928" s="64"/>
      <c r="CU928" s="64"/>
      <c r="CV928" s="64"/>
      <c r="CW928" s="64"/>
      <c r="CX928" s="64"/>
    </row>
    <row r="929" spans="1:102" x14ac:dyDescent="0.2">
      <c r="A929" s="64"/>
      <c r="B929" s="64"/>
      <c r="C929" s="102"/>
      <c r="D929" s="102"/>
      <c r="E929" s="102"/>
      <c r="F929" s="102"/>
      <c r="G929" s="102"/>
      <c r="H929" s="102"/>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c r="BU929" s="64"/>
      <c r="BV929" s="64"/>
      <c r="BW929" s="64"/>
      <c r="BX929" s="64"/>
      <c r="BY929" s="64"/>
      <c r="BZ929" s="64"/>
      <c r="CA929" s="64"/>
      <c r="CB929" s="64"/>
      <c r="CC929" s="64"/>
      <c r="CD929" s="64"/>
      <c r="CE929" s="64"/>
      <c r="CF929" s="64"/>
      <c r="CG929" s="64"/>
      <c r="CH929" s="64"/>
      <c r="CI929" s="64"/>
      <c r="CJ929" s="64"/>
      <c r="CK929" s="64"/>
      <c r="CL929" s="64"/>
      <c r="CM929" s="64"/>
      <c r="CN929" s="64"/>
      <c r="CO929" s="64"/>
      <c r="CP929" s="64"/>
      <c r="CQ929" s="64"/>
      <c r="CR929" s="64"/>
      <c r="CS929" s="64"/>
      <c r="CT929" s="64"/>
      <c r="CU929" s="64"/>
      <c r="CV929" s="64"/>
      <c r="CW929" s="64"/>
      <c r="CX929" s="64"/>
    </row>
    <row r="930" spans="1:102" x14ac:dyDescent="0.2">
      <c r="A930" s="64"/>
      <c r="B930" s="64"/>
      <c r="C930" s="102"/>
      <c r="D930" s="102"/>
      <c r="E930" s="102"/>
      <c r="F930" s="102"/>
      <c r="G930" s="102"/>
      <c r="H930" s="102"/>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c r="BU930" s="64"/>
      <c r="BV930" s="64"/>
      <c r="BW930" s="64"/>
      <c r="BX930" s="64"/>
      <c r="BY930" s="64"/>
      <c r="BZ930" s="64"/>
      <c r="CA930" s="64"/>
      <c r="CB930" s="64"/>
      <c r="CC930" s="64"/>
      <c r="CD930" s="64"/>
      <c r="CE930" s="64"/>
      <c r="CF930" s="64"/>
      <c r="CG930" s="64"/>
      <c r="CH930" s="64"/>
      <c r="CI930" s="64"/>
      <c r="CJ930" s="64"/>
      <c r="CK930" s="64"/>
      <c r="CL930" s="64"/>
      <c r="CM930" s="64"/>
      <c r="CN930" s="64"/>
      <c r="CO930" s="64"/>
      <c r="CP930" s="64"/>
      <c r="CQ930" s="64"/>
      <c r="CR930" s="64"/>
      <c r="CS930" s="64"/>
      <c r="CT930" s="64"/>
      <c r="CU930" s="64"/>
      <c r="CV930" s="64"/>
      <c r="CW930" s="64"/>
      <c r="CX930" s="64"/>
    </row>
    <row r="931" spans="1:102" x14ac:dyDescent="0.2">
      <c r="A931" s="64"/>
      <c r="B931" s="64"/>
      <c r="C931" s="102"/>
      <c r="D931" s="102"/>
      <c r="E931" s="102"/>
      <c r="F931" s="102"/>
      <c r="G931" s="102"/>
      <c r="H931" s="102"/>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c r="BU931" s="64"/>
      <c r="BV931" s="64"/>
      <c r="BW931" s="64"/>
      <c r="BX931" s="64"/>
      <c r="BY931" s="64"/>
      <c r="BZ931" s="64"/>
      <c r="CA931" s="64"/>
      <c r="CB931" s="64"/>
      <c r="CC931" s="64"/>
      <c r="CD931" s="64"/>
      <c r="CE931" s="64"/>
      <c r="CF931" s="64"/>
      <c r="CG931" s="64"/>
      <c r="CH931" s="64"/>
      <c r="CI931" s="64"/>
      <c r="CJ931" s="64"/>
      <c r="CK931" s="64"/>
      <c r="CL931" s="64"/>
      <c r="CM931" s="64"/>
      <c r="CN931" s="64"/>
      <c r="CO931" s="64"/>
      <c r="CP931" s="64"/>
      <c r="CQ931" s="64"/>
      <c r="CR931" s="64"/>
      <c r="CS931" s="64"/>
      <c r="CT931" s="64"/>
      <c r="CU931" s="64"/>
      <c r="CV931" s="64"/>
      <c r="CW931" s="64"/>
      <c r="CX931" s="64"/>
    </row>
    <row r="932" spans="1:102" x14ac:dyDescent="0.2">
      <c r="A932" s="64"/>
      <c r="B932" s="64"/>
      <c r="C932" s="102"/>
      <c r="D932" s="102"/>
      <c r="E932" s="102"/>
      <c r="F932" s="102"/>
      <c r="G932" s="102"/>
      <c r="H932" s="102"/>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c r="BU932" s="64"/>
      <c r="BV932" s="64"/>
      <c r="BW932" s="64"/>
      <c r="BX932" s="64"/>
      <c r="BY932" s="64"/>
      <c r="BZ932" s="64"/>
      <c r="CA932" s="64"/>
      <c r="CB932" s="64"/>
      <c r="CC932" s="64"/>
      <c r="CD932" s="64"/>
      <c r="CE932" s="64"/>
      <c r="CF932" s="64"/>
      <c r="CG932" s="64"/>
      <c r="CH932" s="64"/>
      <c r="CI932" s="64"/>
      <c r="CJ932" s="64"/>
      <c r="CK932" s="64"/>
      <c r="CL932" s="64"/>
      <c r="CM932" s="64"/>
      <c r="CN932" s="64"/>
      <c r="CO932" s="64"/>
      <c r="CP932" s="64"/>
      <c r="CQ932" s="64"/>
      <c r="CR932" s="64"/>
      <c r="CS932" s="64"/>
      <c r="CT932" s="64"/>
      <c r="CU932" s="64"/>
      <c r="CV932" s="64"/>
      <c r="CW932" s="64"/>
      <c r="CX932" s="64"/>
    </row>
    <row r="933" spans="1:102" x14ac:dyDescent="0.2">
      <c r="A933" s="64"/>
      <c r="B933" s="64"/>
      <c r="C933" s="102"/>
      <c r="D933" s="102"/>
      <c r="E933" s="102"/>
      <c r="F933" s="102"/>
      <c r="G933" s="102"/>
      <c r="H933" s="102"/>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c r="BU933" s="64"/>
      <c r="BV933" s="64"/>
      <c r="BW933" s="64"/>
      <c r="BX933" s="64"/>
      <c r="BY933" s="64"/>
      <c r="BZ933" s="64"/>
      <c r="CA933" s="64"/>
      <c r="CB933" s="64"/>
      <c r="CC933" s="64"/>
      <c r="CD933" s="64"/>
      <c r="CE933" s="64"/>
      <c r="CF933" s="64"/>
      <c r="CG933" s="64"/>
      <c r="CH933" s="64"/>
      <c r="CI933" s="64"/>
      <c r="CJ933" s="64"/>
      <c r="CK933" s="64"/>
      <c r="CL933" s="64"/>
      <c r="CM933" s="64"/>
      <c r="CN933" s="64"/>
      <c r="CO933" s="64"/>
      <c r="CP933" s="64"/>
      <c r="CQ933" s="64"/>
      <c r="CR933" s="64"/>
      <c r="CS933" s="64"/>
      <c r="CT933" s="64"/>
      <c r="CU933" s="64"/>
      <c r="CV933" s="64"/>
      <c r="CW933" s="64"/>
      <c r="CX933" s="64"/>
    </row>
    <row r="934" spans="1:102" x14ac:dyDescent="0.2">
      <c r="A934" s="64"/>
      <c r="B934" s="64"/>
      <c r="C934" s="102"/>
      <c r="D934" s="102"/>
      <c r="E934" s="102"/>
      <c r="F934" s="102"/>
      <c r="G934" s="102"/>
      <c r="H934" s="102"/>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c r="BU934" s="64"/>
      <c r="BV934" s="64"/>
      <c r="BW934" s="64"/>
      <c r="BX934" s="64"/>
      <c r="BY934" s="64"/>
      <c r="BZ934" s="64"/>
      <c r="CA934" s="64"/>
      <c r="CB934" s="64"/>
      <c r="CC934" s="64"/>
      <c r="CD934" s="64"/>
      <c r="CE934" s="64"/>
      <c r="CF934" s="64"/>
      <c r="CG934" s="64"/>
      <c r="CH934" s="64"/>
      <c r="CI934" s="64"/>
      <c r="CJ934" s="64"/>
      <c r="CK934" s="64"/>
      <c r="CL934" s="64"/>
      <c r="CM934" s="64"/>
      <c r="CN934" s="64"/>
      <c r="CO934" s="64"/>
      <c r="CP934" s="64"/>
      <c r="CQ934" s="64"/>
      <c r="CR934" s="64"/>
      <c r="CS934" s="64"/>
      <c r="CT934" s="64"/>
      <c r="CU934" s="64"/>
      <c r="CV934" s="64"/>
      <c r="CW934" s="64"/>
      <c r="CX934" s="64"/>
    </row>
    <row r="935" spans="1:102" x14ac:dyDescent="0.2">
      <c r="A935" s="64"/>
      <c r="B935" s="64"/>
      <c r="C935" s="102"/>
      <c r="D935" s="102"/>
      <c r="E935" s="102"/>
      <c r="F935" s="102"/>
      <c r="G935" s="102"/>
      <c r="H935" s="102"/>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c r="BU935" s="64"/>
      <c r="BV935" s="64"/>
      <c r="BW935" s="64"/>
      <c r="BX935" s="64"/>
      <c r="BY935" s="64"/>
      <c r="BZ935" s="64"/>
      <c r="CA935" s="64"/>
      <c r="CB935" s="64"/>
      <c r="CC935" s="64"/>
      <c r="CD935" s="64"/>
      <c r="CE935" s="64"/>
      <c r="CF935" s="64"/>
      <c r="CG935" s="64"/>
      <c r="CH935" s="64"/>
      <c r="CI935" s="64"/>
      <c r="CJ935" s="64"/>
      <c r="CK935" s="64"/>
      <c r="CL935" s="64"/>
      <c r="CM935" s="64"/>
      <c r="CN935" s="64"/>
      <c r="CO935" s="64"/>
      <c r="CP935" s="64"/>
      <c r="CQ935" s="64"/>
      <c r="CR935" s="64"/>
      <c r="CS935" s="64"/>
      <c r="CT935" s="64"/>
      <c r="CU935" s="64"/>
      <c r="CV935" s="64"/>
      <c r="CW935" s="64"/>
      <c r="CX935" s="64"/>
    </row>
    <row r="936" spans="1:102" x14ac:dyDescent="0.2">
      <c r="A936" s="64"/>
      <c r="B936" s="64"/>
      <c r="C936" s="102"/>
      <c r="D936" s="102"/>
      <c r="E936" s="102"/>
      <c r="F936" s="102"/>
      <c r="G936" s="102"/>
      <c r="H936" s="102"/>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c r="BU936" s="64"/>
      <c r="BV936" s="64"/>
      <c r="BW936" s="64"/>
      <c r="BX936" s="64"/>
      <c r="BY936" s="64"/>
      <c r="BZ936" s="64"/>
      <c r="CA936" s="64"/>
      <c r="CB936" s="64"/>
      <c r="CC936" s="64"/>
      <c r="CD936" s="64"/>
      <c r="CE936" s="64"/>
      <c r="CF936" s="64"/>
      <c r="CG936" s="64"/>
      <c r="CH936" s="64"/>
      <c r="CI936" s="64"/>
      <c r="CJ936" s="64"/>
      <c r="CK936" s="64"/>
      <c r="CL936" s="64"/>
      <c r="CM936" s="64"/>
      <c r="CN936" s="64"/>
      <c r="CO936" s="64"/>
      <c r="CP936" s="64"/>
      <c r="CQ936" s="64"/>
      <c r="CR936" s="64"/>
      <c r="CS936" s="64"/>
      <c r="CT936" s="64"/>
      <c r="CU936" s="64"/>
      <c r="CV936" s="64"/>
      <c r="CW936" s="64"/>
      <c r="CX936" s="64"/>
    </row>
    <row r="937" spans="1:102" x14ac:dyDescent="0.2">
      <c r="A937" s="64"/>
      <c r="B937" s="64"/>
      <c r="C937" s="102"/>
      <c r="D937" s="102"/>
      <c r="E937" s="102"/>
      <c r="F937" s="102"/>
      <c r="G937" s="102"/>
      <c r="H937" s="102"/>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c r="BU937" s="64"/>
      <c r="BV937" s="64"/>
      <c r="BW937" s="64"/>
      <c r="BX937" s="64"/>
      <c r="BY937" s="64"/>
      <c r="BZ937" s="64"/>
      <c r="CA937" s="64"/>
      <c r="CB937" s="64"/>
      <c r="CC937" s="64"/>
      <c r="CD937" s="64"/>
      <c r="CE937" s="64"/>
      <c r="CF937" s="64"/>
      <c r="CG937" s="64"/>
      <c r="CH937" s="64"/>
      <c r="CI937" s="64"/>
      <c r="CJ937" s="64"/>
      <c r="CK937" s="64"/>
      <c r="CL937" s="64"/>
      <c r="CM937" s="64"/>
      <c r="CN937" s="64"/>
      <c r="CO937" s="64"/>
      <c r="CP937" s="64"/>
      <c r="CQ937" s="64"/>
      <c r="CR937" s="64"/>
      <c r="CS937" s="64"/>
      <c r="CT937" s="64"/>
      <c r="CU937" s="64"/>
      <c r="CV937" s="64"/>
      <c r="CW937" s="64"/>
      <c r="CX937" s="64"/>
    </row>
    <row r="938" spans="1:102" x14ac:dyDescent="0.2">
      <c r="A938" s="64"/>
      <c r="B938" s="64"/>
      <c r="C938" s="102"/>
      <c r="D938" s="102"/>
      <c r="E938" s="102"/>
      <c r="F938" s="102"/>
      <c r="G938" s="102"/>
      <c r="H938" s="102"/>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c r="BU938" s="64"/>
      <c r="BV938" s="64"/>
      <c r="BW938" s="64"/>
      <c r="BX938" s="64"/>
      <c r="BY938" s="64"/>
      <c r="BZ938" s="64"/>
      <c r="CA938" s="64"/>
      <c r="CB938" s="64"/>
      <c r="CC938" s="64"/>
      <c r="CD938" s="64"/>
      <c r="CE938" s="64"/>
      <c r="CF938" s="64"/>
      <c r="CG938" s="64"/>
      <c r="CH938" s="64"/>
      <c r="CI938" s="64"/>
      <c r="CJ938" s="64"/>
      <c r="CK938" s="64"/>
      <c r="CL938" s="64"/>
      <c r="CM938" s="64"/>
      <c r="CN938" s="64"/>
      <c r="CO938" s="64"/>
      <c r="CP938" s="64"/>
      <c r="CQ938" s="64"/>
      <c r="CR938" s="64"/>
      <c r="CS938" s="64"/>
      <c r="CT938" s="64"/>
      <c r="CU938" s="64"/>
      <c r="CV938" s="64"/>
      <c r="CW938" s="64"/>
      <c r="CX938" s="64"/>
    </row>
    <row r="939" spans="1:102" x14ac:dyDescent="0.2">
      <c r="A939" s="64"/>
      <c r="B939" s="64"/>
      <c r="C939" s="102"/>
      <c r="D939" s="102"/>
      <c r="E939" s="102"/>
      <c r="F939" s="102"/>
      <c r="G939" s="102"/>
      <c r="H939" s="102"/>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c r="BU939" s="64"/>
      <c r="BV939" s="64"/>
      <c r="BW939" s="64"/>
      <c r="BX939" s="64"/>
      <c r="BY939" s="64"/>
      <c r="BZ939" s="64"/>
      <c r="CA939" s="64"/>
      <c r="CB939" s="64"/>
      <c r="CC939" s="64"/>
      <c r="CD939" s="64"/>
      <c r="CE939" s="64"/>
      <c r="CF939" s="64"/>
      <c r="CG939" s="64"/>
      <c r="CH939" s="64"/>
      <c r="CI939" s="64"/>
      <c r="CJ939" s="64"/>
      <c r="CK939" s="64"/>
      <c r="CL939" s="64"/>
      <c r="CM939" s="64"/>
      <c r="CN939" s="64"/>
      <c r="CO939" s="64"/>
      <c r="CP939" s="64"/>
      <c r="CQ939" s="64"/>
      <c r="CR939" s="64"/>
      <c r="CS939" s="64"/>
      <c r="CT939" s="64"/>
      <c r="CU939" s="64"/>
      <c r="CV939" s="64"/>
      <c r="CW939" s="64"/>
      <c r="CX939" s="64"/>
    </row>
    <row r="940" spans="1:102" x14ac:dyDescent="0.2">
      <c r="A940" s="64"/>
      <c r="B940" s="64"/>
      <c r="C940" s="102"/>
      <c r="D940" s="102"/>
      <c r="E940" s="102"/>
      <c r="F940" s="102"/>
      <c r="G940" s="102"/>
      <c r="H940" s="102"/>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c r="BU940" s="64"/>
      <c r="BV940" s="64"/>
      <c r="BW940" s="64"/>
      <c r="BX940" s="64"/>
      <c r="BY940" s="64"/>
      <c r="BZ940" s="64"/>
      <c r="CA940" s="64"/>
      <c r="CB940" s="64"/>
      <c r="CC940" s="64"/>
      <c r="CD940" s="64"/>
      <c r="CE940" s="64"/>
      <c r="CF940" s="64"/>
      <c r="CG940" s="64"/>
      <c r="CH940" s="64"/>
      <c r="CI940" s="64"/>
      <c r="CJ940" s="64"/>
      <c r="CK940" s="64"/>
      <c r="CL940" s="64"/>
      <c r="CM940" s="64"/>
      <c r="CN940" s="64"/>
      <c r="CO940" s="64"/>
      <c r="CP940" s="64"/>
      <c r="CQ940" s="64"/>
      <c r="CR940" s="64"/>
      <c r="CS940" s="64"/>
      <c r="CT940" s="64"/>
      <c r="CU940" s="64"/>
      <c r="CV940" s="64"/>
      <c r="CW940" s="64"/>
      <c r="CX940" s="64"/>
    </row>
    <row r="941" spans="1:102" x14ac:dyDescent="0.2">
      <c r="A941" s="64"/>
      <c r="B941" s="64"/>
      <c r="C941" s="102"/>
      <c r="D941" s="102"/>
      <c r="E941" s="102"/>
      <c r="F941" s="102"/>
      <c r="G941" s="102"/>
      <c r="H941" s="102"/>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c r="BU941" s="64"/>
      <c r="BV941" s="64"/>
      <c r="BW941" s="64"/>
      <c r="BX941" s="64"/>
      <c r="BY941" s="64"/>
      <c r="BZ941" s="64"/>
      <c r="CA941" s="64"/>
      <c r="CB941" s="64"/>
      <c r="CC941" s="64"/>
      <c r="CD941" s="64"/>
      <c r="CE941" s="64"/>
      <c r="CF941" s="64"/>
      <c r="CG941" s="64"/>
      <c r="CH941" s="64"/>
      <c r="CI941" s="64"/>
      <c r="CJ941" s="64"/>
      <c r="CK941" s="64"/>
      <c r="CL941" s="64"/>
      <c r="CM941" s="64"/>
      <c r="CN941" s="64"/>
      <c r="CO941" s="64"/>
      <c r="CP941" s="64"/>
      <c r="CQ941" s="64"/>
      <c r="CR941" s="64"/>
      <c r="CS941" s="64"/>
      <c r="CT941" s="64"/>
      <c r="CU941" s="64"/>
      <c r="CV941" s="64"/>
      <c r="CW941" s="64"/>
      <c r="CX941" s="64"/>
    </row>
    <row r="942" spans="1:102" x14ac:dyDescent="0.2">
      <c r="A942" s="64"/>
      <c r="B942" s="64"/>
      <c r="C942" s="102"/>
      <c r="D942" s="102"/>
      <c r="E942" s="102"/>
      <c r="F942" s="102"/>
      <c r="G942" s="102"/>
      <c r="H942" s="102"/>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c r="BU942" s="64"/>
      <c r="BV942" s="64"/>
      <c r="BW942" s="64"/>
      <c r="BX942" s="64"/>
      <c r="BY942" s="64"/>
      <c r="BZ942" s="64"/>
      <c r="CA942" s="64"/>
      <c r="CB942" s="64"/>
      <c r="CC942" s="64"/>
      <c r="CD942" s="64"/>
      <c r="CE942" s="64"/>
      <c r="CF942" s="64"/>
      <c r="CG942" s="64"/>
      <c r="CH942" s="64"/>
      <c r="CI942" s="64"/>
      <c r="CJ942" s="64"/>
      <c r="CK942" s="64"/>
      <c r="CL942" s="64"/>
      <c r="CM942" s="64"/>
      <c r="CN942" s="64"/>
      <c r="CO942" s="64"/>
      <c r="CP942" s="64"/>
      <c r="CQ942" s="64"/>
      <c r="CR942" s="64"/>
      <c r="CS942" s="64"/>
      <c r="CT942" s="64"/>
      <c r="CU942" s="64"/>
      <c r="CV942" s="64"/>
      <c r="CW942" s="64"/>
      <c r="CX942" s="64"/>
    </row>
    <row r="943" spans="1:102" x14ac:dyDescent="0.2">
      <c r="A943" s="64"/>
      <c r="B943" s="64"/>
      <c r="C943" s="102"/>
      <c r="D943" s="102"/>
      <c r="E943" s="102"/>
      <c r="F943" s="102"/>
      <c r="G943" s="102"/>
      <c r="H943" s="102"/>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c r="BU943" s="64"/>
      <c r="BV943" s="64"/>
      <c r="BW943" s="64"/>
      <c r="BX943" s="64"/>
      <c r="BY943" s="64"/>
      <c r="BZ943" s="64"/>
      <c r="CA943" s="64"/>
      <c r="CB943" s="64"/>
      <c r="CC943" s="64"/>
      <c r="CD943" s="64"/>
      <c r="CE943" s="64"/>
      <c r="CF943" s="64"/>
      <c r="CG943" s="64"/>
      <c r="CH943" s="64"/>
      <c r="CI943" s="64"/>
      <c r="CJ943" s="64"/>
      <c r="CK943" s="64"/>
      <c r="CL943" s="64"/>
      <c r="CM943" s="64"/>
      <c r="CN943" s="64"/>
      <c r="CO943" s="64"/>
      <c r="CP943" s="64"/>
      <c r="CQ943" s="64"/>
      <c r="CR943" s="64"/>
      <c r="CS943" s="64"/>
      <c r="CT943" s="64"/>
      <c r="CU943" s="64"/>
      <c r="CV943" s="64"/>
      <c r="CW943" s="64"/>
      <c r="CX943" s="64"/>
    </row>
    <row r="944" spans="1:102" x14ac:dyDescent="0.2">
      <c r="A944" s="64"/>
      <c r="B944" s="64"/>
      <c r="C944" s="102"/>
      <c r="D944" s="102"/>
      <c r="E944" s="102"/>
      <c r="F944" s="102"/>
      <c r="G944" s="102"/>
      <c r="H944" s="102"/>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c r="BU944" s="64"/>
      <c r="BV944" s="64"/>
      <c r="BW944" s="64"/>
      <c r="BX944" s="64"/>
      <c r="BY944" s="64"/>
      <c r="BZ944" s="64"/>
      <c r="CA944" s="64"/>
      <c r="CB944" s="64"/>
      <c r="CC944" s="64"/>
      <c r="CD944" s="64"/>
      <c r="CE944" s="64"/>
      <c r="CF944" s="64"/>
      <c r="CG944" s="64"/>
      <c r="CH944" s="64"/>
      <c r="CI944" s="64"/>
      <c r="CJ944" s="64"/>
      <c r="CK944" s="64"/>
      <c r="CL944" s="64"/>
      <c r="CM944" s="64"/>
      <c r="CN944" s="64"/>
      <c r="CO944" s="64"/>
      <c r="CP944" s="64"/>
      <c r="CQ944" s="64"/>
      <c r="CR944" s="64"/>
      <c r="CS944" s="64"/>
      <c r="CT944" s="64"/>
      <c r="CU944" s="64"/>
      <c r="CV944" s="64"/>
      <c r="CW944" s="64"/>
      <c r="CX944" s="64"/>
    </row>
    <row r="945" spans="1:102" x14ac:dyDescent="0.2">
      <c r="A945" s="64"/>
      <c r="B945" s="64"/>
      <c r="C945" s="102"/>
      <c r="D945" s="102"/>
      <c r="E945" s="102"/>
      <c r="F945" s="102"/>
      <c r="G945" s="102"/>
      <c r="H945" s="102"/>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c r="BU945" s="64"/>
      <c r="BV945" s="64"/>
      <c r="BW945" s="64"/>
      <c r="BX945" s="64"/>
      <c r="BY945" s="64"/>
      <c r="BZ945" s="64"/>
      <c r="CA945" s="64"/>
      <c r="CB945" s="64"/>
      <c r="CC945" s="64"/>
      <c r="CD945" s="64"/>
      <c r="CE945" s="64"/>
      <c r="CF945" s="64"/>
      <c r="CG945" s="64"/>
      <c r="CH945" s="64"/>
      <c r="CI945" s="64"/>
      <c r="CJ945" s="64"/>
      <c r="CK945" s="64"/>
      <c r="CL945" s="64"/>
      <c r="CM945" s="64"/>
      <c r="CN945" s="64"/>
      <c r="CO945" s="64"/>
      <c r="CP945" s="64"/>
      <c r="CQ945" s="64"/>
      <c r="CR945" s="64"/>
      <c r="CS945" s="64"/>
      <c r="CT945" s="64"/>
      <c r="CU945" s="64"/>
      <c r="CV945" s="64"/>
      <c r="CW945" s="64"/>
      <c r="CX945" s="64"/>
    </row>
    <row r="946" spans="1:102" x14ac:dyDescent="0.2">
      <c r="A946" s="64"/>
      <c r="B946" s="64"/>
      <c r="C946" s="102"/>
      <c r="D946" s="102"/>
      <c r="E946" s="102"/>
      <c r="F946" s="102"/>
      <c r="G946" s="102"/>
      <c r="H946" s="102"/>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c r="BU946" s="64"/>
      <c r="BV946" s="64"/>
      <c r="BW946" s="64"/>
      <c r="BX946" s="64"/>
      <c r="BY946" s="64"/>
      <c r="BZ946" s="64"/>
      <c r="CA946" s="64"/>
      <c r="CB946" s="64"/>
      <c r="CC946" s="64"/>
      <c r="CD946" s="64"/>
      <c r="CE946" s="64"/>
      <c r="CF946" s="64"/>
      <c r="CG946" s="64"/>
      <c r="CH946" s="64"/>
      <c r="CI946" s="64"/>
      <c r="CJ946" s="64"/>
      <c r="CK946" s="64"/>
      <c r="CL946" s="64"/>
      <c r="CM946" s="64"/>
      <c r="CN946" s="64"/>
      <c r="CO946" s="64"/>
      <c r="CP946" s="64"/>
      <c r="CQ946" s="64"/>
      <c r="CR946" s="64"/>
      <c r="CS946" s="64"/>
      <c r="CT946" s="64"/>
      <c r="CU946" s="64"/>
      <c r="CV946" s="64"/>
      <c r="CW946" s="64"/>
      <c r="CX946" s="64"/>
    </row>
    <row r="947" spans="1:102" x14ac:dyDescent="0.2">
      <c r="A947" s="64"/>
      <c r="B947" s="64"/>
      <c r="C947" s="102"/>
      <c r="D947" s="102"/>
      <c r="E947" s="102"/>
      <c r="F947" s="102"/>
      <c r="G947" s="102"/>
      <c r="H947" s="102"/>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c r="BU947" s="64"/>
      <c r="BV947" s="64"/>
      <c r="BW947" s="64"/>
      <c r="BX947" s="64"/>
      <c r="BY947" s="64"/>
      <c r="BZ947" s="64"/>
      <c r="CA947" s="64"/>
      <c r="CB947" s="64"/>
      <c r="CC947" s="64"/>
      <c r="CD947" s="64"/>
      <c r="CE947" s="64"/>
      <c r="CF947" s="64"/>
      <c r="CG947" s="64"/>
      <c r="CH947" s="64"/>
      <c r="CI947" s="64"/>
      <c r="CJ947" s="64"/>
      <c r="CK947" s="64"/>
      <c r="CL947" s="64"/>
      <c r="CM947" s="64"/>
      <c r="CN947" s="64"/>
      <c r="CO947" s="64"/>
      <c r="CP947" s="64"/>
      <c r="CQ947" s="64"/>
      <c r="CR947" s="64"/>
      <c r="CS947" s="64"/>
      <c r="CT947" s="64"/>
      <c r="CU947" s="64"/>
      <c r="CV947" s="64"/>
      <c r="CW947" s="64"/>
      <c r="CX947" s="64"/>
    </row>
    <row r="948" spans="1:102" x14ac:dyDescent="0.2">
      <c r="A948" s="64"/>
      <c r="B948" s="64"/>
      <c r="C948" s="102"/>
      <c r="D948" s="102"/>
      <c r="E948" s="102"/>
      <c r="F948" s="102"/>
      <c r="G948" s="102"/>
      <c r="H948" s="102"/>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c r="BU948" s="64"/>
      <c r="BV948" s="64"/>
      <c r="BW948" s="64"/>
      <c r="BX948" s="64"/>
      <c r="BY948" s="64"/>
      <c r="BZ948" s="64"/>
      <c r="CA948" s="64"/>
      <c r="CB948" s="64"/>
      <c r="CC948" s="64"/>
      <c r="CD948" s="64"/>
      <c r="CE948" s="64"/>
      <c r="CF948" s="64"/>
      <c r="CG948" s="64"/>
      <c r="CH948" s="64"/>
      <c r="CI948" s="64"/>
      <c r="CJ948" s="64"/>
      <c r="CK948" s="64"/>
      <c r="CL948" s="64"/>
      <c r="CM948" s="64"/>
      <c r="CN948" s="64"/>
      <c r="CO948" s="64"/>
      <c r="CP948" s="64"/>
      <c r="CQ948" s="64"/>
      <c r="CR948" s="64"/>
      <c r="CS948" s="64"/>
      <c r="CT948" s="64"/>
      <c r="CU948" s="64"/>
      <c r="CV948" s="64"/>
      <c r="CW948" s="64"/>
      <c r="CX948" s="64"/>
    </row>
    <row r="949" spans="1:102" x14ac:dyDescent="0.2">
      <c r="A949" s="64"/>
      <c r="B949" s="64"/>
      <c r="C949" s="102"/>
      <c r="D949" s="102"/>
      <c r="E949" s="102"/>
      <c r="F949" s="102"/>
      <c r="G949" s="102"/>
      <c r="H949" s="102"/>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c r="BU949" s="64"/>
      <c r="BV949" s="64"/>
      <c r="BW949" s="64"/>
      <c r="BX949" s="64"/>
      <c r="BY949" s="64"/>
      <c r="BZ949" s="64"/>
      <c r="CA949" s="64"/>
      <c r="CB949" s="64"/>
      <c r="CC949" s="64"/>
      <c r="CD949" s="64"/>
      <c r="CE949" s="64"/>
      <c r="CF949" s="64"/>
      <c r="CG949" s="64"/>
      <c r="CH949" s="64"/>
      <c r="CI949" s="64"/>
      <c r="CJ949" s="64"/>
      <c r="CK949" s="64"/>
      <c r="CL949" s="64"/>
      <c r="CM949" s="64"/>
      <c r="CN949" s="64"/>
      <c r="CO949" s="64"/>
      <c r="CP949" s="64"/>
      <c r="CQ949" s="64"/>
      <c r="CR949" s="64"/>
      <c r="CS949" s="64"/>
      <c r="CT949" s="64"/>
      <c r="CU949" s="64"/>
      <c r="CV949" s="64"/>
      <c r="CW949" s="64"/>
      <c r="CX949" s="64"/>
    </row>
    <row r="950" spans="1:102" x14ac:dyDescent="0.2">
      <c r="A950" s="64"/>
      <c r="B950" s="64"/>
      <c r="C950" s="102"/>
      <c r="D950" s="102"/>
      <c r="E950" s="102"/>
      <c r="F950" s="102"/>
      <c r="G950" s="102"/>
      <c r="H950" s="102"/>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c r="BU950" s="64"/>
      <c r="BV950" s="64"/>
      <c r="BW950" s="64"/>
      <c r="BX950" s="64"/>
      <c r="BY950" s="64"/>
      <c r="BZ950" s="64"/>
      <c r="CA950" s="64"/>
      <c r="CB950" s="64"/>
      <c r="CC950" s="64"/>
      <c r="CD950" s="64"/>
      <c r="CE950" s="64"/>
      <c r="CF950" s="64"/>
      <c r="CG950" s="64"/>
      <c r="CH950" s="64"/>
      <c r="CI950" s="64"/>
      <c r="CJ950" s="64"/>
      <c r="CK950" s="64"/>
      <c r="CL950" s="64"/>
      <c r="CM950" s="64"/>
      <c r="CN950" s="64"/>
      <c r="CO950" s="64"/>
      <c r="CP950" s="64"/>
      <c r="CQ950" s="64"/>
      <c r="CR950" s="64"/>
      <c r="CS950" s="64"/>
      <c r="CT950" s="64"/>
      <c r="CU950" s="64"/>
      <c r="CV950" s="64"/>
      <c r="CW950" s="64"/>
      <c r="CX950" s="64"/>
    </row>
    <row r="951" spans="1:102" x14ac:dyDescent="0.2">
      <c r="A951" s="64"/>
      <c r="B951" s="64"/>
      <c r="C951" s="102"/>
      <c r="D951" s="102"/>
      <c r="E951" s="102"/>
      <c r="F951" s="102"/>
      <c r="G951" s="102"/>
      <c r="H951" s="102"/>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c r="BU951" s="64"/>
      <c r="BV951" s="64"/>
      <c r="BW951" s="64"/>
      <c r="BX951" s="64"/>
      <c r="BY951" s="64"/>
      <c r="BZ951" s="64"/>
      <c r="CA951" s="64"/>
      <c r="CB951" s="64"/>
      <c r="CC951" s="64"/>
      <c r="CD951" s="64"/>
      <c r="CE951" s="64"/>
      <c r="CF951" s="64"/>
      <c r="CG951" s="64"/>
      <c r="CH951" s="64"/>
      <c r="CI951" s="64"/>
      <c r="CJ951" s="64"/>
      <c r="CK951" s="64"/>
      <c r="CL951" s="64"/>
      <c r="CM951" s="64"/>
      <c r="CN951" s="64"/>
      <c r="CO951" s="64"/>
      <c r="CP951" s="64"/>
      <c r="CQ951" s="64"/>
      <c r="CR951" s="64"/>
      <c r="CS951" s="64"/>
      <c r="CT951" s="64"/>
      <c r="CU951" s="64"/>
      <c r="CV951" s="64"/>
      <c r="CW951" s="64"/>
      <c r="CX951" s="64"/>
    </row>
    <row r="952" spans="1:102" x14ac:dyDescent="0.2">
      <c r="A952" s="64"/>
      <c r="B952" s="64"/>
      <c r="C952" s="102"/>
      <c r="D952" s="102"/>
      <c r="E952" s="102"/>
      <c r="F952" s="102"/>
      <c r="G952" s="102"/>
      <c r="H952" s="102"/>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c r="BU952" s="64"/>
      <c r="BV952" s="64"/>
      <c r="BW952" s="64"/>
      <c r="BX952" s="64"/>
      <c r="BY952" s="64"/>
      <c r="BZ952" s="64"/>
      <c r="CA952" s="64"/>
      <c r="CB952" s="64"/>
      <c r="CC952" s="64"/>
      <c r="CD952" s="64"/>
      <c r="CE952" s="64"/>
      <c r="CF952" s="64"/>
      <c r="CG952" s="64"/>
      <c r="CH952" s="64"/>
      <c r="CI952" s="64"/>
      <c r="CJ952" s="64"/>
      <c r="CK952" s="64"/>
      <c r="CL952" s="64"/>
      <c r="CM952" s="64"/>
      <c r="CN952" s="64"/>
      <c r="CO952" s="64"/>
      <c r="CP952" s="64"/>
      <c r="CQ952" s="64"/>
      <c r="CR952" s="64"/>
      <c r="CS952" s="64"/>
      <c r="CT952" s="64"/>
      <c r="CU952" s="64"/>
      <c r="CV952" s="64"/>
      <c r="CW952" s="64"/>
      <c r="CX952" s="64"/>
    </row>
    <row r="953" spans="1:102" x14ac:dyDescent="0.2">
      <c r="A953" s="64"/>
      <c r="B953" s="64"/>
      <c r="C953" s="102"/>
      <c r="D953" s="102"/>
      <c r="E953" s="102"/>
      <c r="F953" s="102"/>
      <c r="G953" s="102"/>
      <c r="H953" s="102"/>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c r="BU953" s="64"/>
      <c r="BV953" s="64"/>
      <c r="BW953" s="64"/>
      <c r="BX953" s="64"/>
      <c r="BY953" s="64"/>
      <c r="BZ953" s="64"/>
      <c r="CA953" s="64"/>
      <c r="CB953" s="64"/>
      <c r="CC953" s="64"/>
      <c r="CD953" s="64"/>
      <c r="CE953" s="64"/>
      <c r="CF953" s="64"/>
      <c r="CG953" s="64"/>
      <c r="CH953" s="64"/>
      <c r="CI953" s="64"/>
      <c r="CJ953" s="64"/>
      <c r="CK953" s="64"/>
      <c r="CL953" s="64"/>
      <c r="CM953" s="64"/>
      <c r="CN953" s="64"/>
      <c r="CO953" s="64"/>
      <c r="CP953" s="64"/>
      <c r="CQ953" s="64"/>
      <c r="CR953" s="64"/>
      <c r="CS953" s="64"/>
      <c r="CT953" s="64"/>
      <c r="CU953" s="64"/>
      <c r="CV953" s="64"/>
      <c r="CW953" s="64"/>
      <c r="CX953" s="64"/>
    </row>
    <row r="954" spans="1:102" x14ac:dyDescent="0.2">
      <c r="A954" s="64"/>
      <c r="B954" s="64"/>
      <c r="C954" s="102"/>
      <c r="D954" s="102"/>
      <c r="E954" s="102"/>
      <c r="F954" s="102"/>
      <c r="G954" s="102"/>
      <c r="H954" s="102"/>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c r="BU954" s="64"/>
      <c r="BV954" s="64"/>
      <c r="BW954" s="64"/>
      <c r="BX954" s="64"/>
      <c r="BY954" s="64"/>
      <c r="BZ954" s="64"/>
      <c r="CA954" s="64"/>
      <c r="CB954" s="64"/>
      <c r="CC954" s="64"/>
      <c r="CD954" s="64"/>
      <c r="CE954" s="64"/>
      <c r="CF954" s="64"/>
      <c r="CG954" s="64"/>
      <c r="CH954" s="64"/>
      <c r="CI954" s="64"/>
      <c r="CJ954" s="64"/>
      <c r="CK954" s="64"/>
      <c r="CL954" s="64"/>
      <c r="CM954" s="64"/>
      <c r="CN954" s="64"/>
      <c r="CO954" s="64"/>
      <c r="CP954" s="64"/>
      <c r="CQ954" s="64"/>
      <c r="CR954" s="64"/>
      <c r="CS954" s="64"/>
      <c r="CT954" s="64"/>
      <c r="CU954" s="64"/>
      <c r="CV954" s="64"/>
      <c r="CW954" s="64"/>
      <c r="CX954" s="64"/>
    </row>
    <row r="955" spans="1:102" x14ac:dyDescent="0.2">
      <c r="A955" s="64"/>
      <c r="B955" s="64"/>
      <c r="C955" s="102"/>
      <c r="D955" s="102"/>
      <c r="E955" s="102"/>
      <c r="F955" s="102"/>
      <c r="G955" s="102"/>
      <c r="H955" s="102"/>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c r="BU955" s="64"/>
      <c r="BV955" s="64"/>
      <c r="BW955" s="64"/>
      <c r="BX955" s="64"/>
      <c r="BY955" s="64"/>
      <c r="BZ955" s="64"/>
      <c r="CA955" s="64"/>
      <c r="CB955" s="64"/>
      <c r="CC955" s="64"/>
      <c r="CD955" s="64"/>
      <c r="CE955" s="64"/>
      <c r="CF955" s="64"/>
      <c r="CG955" s="64"/>
      <c r="CH955" s="64"/>
      <c r="CI955" s="64"/>
      <c r="CJ955" s="64"/>
      <c r="CK955" s="64"/>
      <c r="CL955" s="64"/>
      <c r="CM955" s="64"/>
      <c r="CN955" s="64"/>
      <c r="CO955" s="64"/>
      <c r="CP955" s="64"/>
      <c r="CQ955" s="64"/>
      <c r="CR955" s="64"/>
      <c r="CS955" s="64"/>
      <c r="CT955" s="64"/>
      <c r="CU955" s="64"/>
      <c r="CV955" s="64"/>
      <c r="CW955" s="64"/>
      <c r="CX955" s="64"/>
    </row>
    <row r="956" spans="1:102" x14ac:dyDescent="0.2">
      <c r="A956" s="64"/>
      <c r="B956" s="64"/>
      <c r="C956" s="102"/>
      <c r="D956" s="102"/>
      <c r="E956" s="102"/>
      <c r="F956" s="102"/>
      <c r="G956" s="102"/>
      <c r="H956" s="102"/>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c r="BU956" s="64"/>
      <c r="BV956" s="64"/>
      <c r="BW956" s="64"/>
      <c r="BX956" s="64"/>
      <c r="BY956" s="64"/>
      <c r="BZ956" s="64"/>
      <c r="CA956" s="64"/>
      <c r="CB956" s="64"/>
      <c r="CC956" s="64"/>
      <c r="CD956" s="64"/>
      <c r="CE956" s="64"/>
      <c r="CF956" s="64"/>
      <c r="CG956" s="64"/>
      <c r="CH956" s="64"/>
      <c r="CI956" s="64"/>
      <c r="CJ956" s="64"/>
      <c r="CK956" s="64"/>
      <c r="CL956" s="64"/>
      <c r="CM956" s="64"/>
      <c r="CN956" s="64"/>
      <c r="CO956" s="64"/>
      <c r="CP956" s="64"/>
      <c r="CQ956" s="64"/>
      <c r="CR956" s="64"/>
      <c r="CS956" s="64"/>
      <c r="CT956" s="64"/>
      <c r="CU956" s="64"/>
      <c r="CV956" s="64"/>
      <c r="CW956" s="64"/>
      <c r="CX956" s="64"/>
    </row>
    <row r="957" spans="1:102" x14ac:dyDescent="0.2">
      <c r="A957" s="64"/>
      <c r="B957" s="64"/>
      <c r="C957" s="102"/>
      <c r="D957" s="102"/>
      <c r="E957" s="102"/>
      <c r="F957" s="102"/>
      <c r="G957" s="102"/>
      <c r="H957" s="102"/>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c r="BU957" s="64"/>
      <c r="BV957" s="64"/>
      <c r="BW957" s="64"/>
      <c r="BX957" s="64"/>
      <c r="BY957" s="64"/>
      <c r="BZ957" s="64"/>
      <c r="CA957" s="64"/>
      <c r="CB957" s="64"/>
      <c r="CC957" s="64"/>
      <c r="CD957" s="64"/>
      <c r="CE957" s="64"/>
      <c r="CF957" s="64"/>
      <c r="CG957" s="64"/>
      <c r="CH957" s="64"/>
      <c r="CI957" s="64"/>
      <c r="CJ957" s="64"/>
      <c r="CK957" s="64"/>
      <c r="CL957" s="64"/>
      <c r="CM957" s="64"/>
      <c r="CN957" s="64"/>
      <c r="CO957" s="64"/>
      <c r="CP957" s="64"/>
      <c r="CQ957" s="64"/>
      <c r="CR957" s="64"/>
      <c r="CS957" s="64"/>
      <c r="CT957" s="64"/>
      <c r="CU957" s="64"/>
      <c r="CV957" s="64"/>
      <c r="CW957" s="64"/>
      <c r="CX957" s="64"/>
    </row>
    <row r="958" spans="1:102" x14ac:dyDescent="0.2">
      <c r="A958" s="64"/>
      <c r="B958" s="64"/>
      <c r="C958" s="102"/>
      <c r="D958" s="102"/>
      <c r="E958" s="102"/>
      <c r="F958" s="102"/>
      <c r="G958" s="102"/>
      <c r="H958" s="102"/>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c r="BU958" s="64"/>
      <c r="BV958" s="64"/>
      <c r="BW958" s="64"/>
      <c r="BX958" s="64"/>
      <c r="BY958" s="64"/>
      <c r="BZ958" s="64"/>
      <c r="CA958" s="64"/>
      <c r="CB958" s="64"/>
      <c r="CC958" s="64"/>
      <c r="CD958" s="64"/>
      <c r="CE958" s="64"/>
      <c r="CF958" s="64"/>
      <c r="CG958" s="64"/>
      <c r="CH958" s="64"/>
      <c r="CI958" s="64"/>
      <c r="CJ958" s="64"/>
      <c r="CK958" s="64"/>
      <c r="CL958" s="64"/>
      <c r="CM958" s="64"/>
      <c r="CN958" s="64"/>
      <c r="CO958" s="64"/>
      <c r="CP958" s="64"/>
      <c r="CQ958" s="64"/>
      <c r="CR958" s="64"/>
      <c r="CS958" s="64"/>
      <c r="CT958" s="64"/>
      <c r="CU958" s="64"/>
      <c r="CV958" s="64"/>
      <c r="CW958" s="64"/>
      <c r="CX958" s="64"/>
    </row>
    <row r="959" spans="1:102" x14ac:dyDescent="0.2">
      <c r="A959" s="64"/>
      <c r="B959" s="64"/>
      <c r="C959" s="102"/>
      <c r="D959" s="102"/>
      <c r="E959" s="102"/>
      <c r="F959" s="102"/>
      <c r="G959" s="102"/>
      <c r="H959" s="102"/>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c r="BU959" s="64"/>
      <c r="BV959" s="64"/>
      <c r="BW959" s="64"/>
      <c r="BX959" s="64"/>
      <c r="BY959" s="64"/>
      <c r="BZ959" s="64"/>
      <c r="CA959" s="64"/>
      <c r="CB959" s="64"/>
      <c r="CC959" s="64"/>
      <c r="CD959" s="64"/>
      <c r="CE959" s="64"/>
      <c r="CF959" s="64"/>
      <c r="CG959" s="64"/>
      <c r="CH959" s="64"/>
      <c r="CI959" s="64"/>
      <c r="CJ959" s="64"/>
      <c r="CK959" s="64"/>
      <c r="CL959" s="64"/>
      <c r="CM959" s="64"/>
      <c r="CN959" s="64"/>
      <c r="CO959" s="64"/>
      <c r="CP959" s="64"/>
      <c r="CQ959" s="64"/>
      <c r="CR959" s="64"/>
      <c r="CS959" s="64"/>
      <c r="CT959" s="64"/>
      <c r="CU959" s="64"/>
      <c r="CV959" s="64"/>
      <c r="CW959" s="64"/>
      <c r="CX959" s="64"/>
    </row>
    <row r="960" spans="1:102" x14ac:dyDescent="0.2">
      <c r="A960" s="64"/>
      <c r="B960" s="64"/>
      <c r="C960" s="102"/>
      <c r="D960" s="102"/>
      <c r="E960" s="102"/>
      <c r="F960" s="102"/>
      <c r="G960" s="102"/>
      <c r="H960" s="102"/>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c r="BU960" s="64"/>
      <c r="BV960" s="64"/>
      <c r="BW960" s="64"/>
      <c r="BX960" s="64"/>
      <c r="BY960" s="64"/>
      <c r="BZ960" s="64"/>
      <c r="CA960" s="64"/>
      <c r="CB960" s="64"/>
      <c r="CC960" s="64"/>
      <c r="CD960" s="64"/>
      <c r="CE960" s="64"/>
      <c r="CF960" s="64"/>
      <c r="CG960" s="64"/>
      <c r="CH960" s="64"/>
      <c r="CI960" s="64"/>
      <c r="CJ960" s="64"/>
      <c r="CK960" s="64"/>
      <c r="CL960" s="64"/>
      <c r="CM960" s="64"/>
      <c r="CN960" s="64"/>
      <c r="CO960" s="64"/>
      <c r="CP960" s="64"/>
      <c r="CQ960" s="64"/>
      <c r="CR960" s="64"/>
      <c r="CS960" s="64"/>
      <c r="CT960" s="64"/>
      <c r="CU960" s="64"/>
      <c r="CV960" s="64"/>
      <c r="CW960" s="64"/>
      <c r="CX960" s="64"/>
    </row>
    <row r="961" spans="1:102" x14ac:dyDescent="0.2">
      <c r="A961" s="64"/>
      <c r="B961" s="64"/>
      <c r="C961" s="102"/>
      <c r="D961" s="102"/>
      <c r="E961" s="102"/>
      <c r="F961" s="102"/>
      <c r="G961" s="102"/>
      <c r="H961" s="102"/>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c r="BU961" s="64"/>
      <c r="BV961" s="64"/>
      <c r="BW961" s="64"/>
      <c r="BX961" s="64"/>
      <c r="BY961" s="64"/>
      <c r="BZ961" s="64"/>
      <c r="CA961" s="64"/>
      <c r="CB961" s="64"/>
      <c r="CC961" s="64"/>
      <c r="CD961" s="64"/>
      <c r="CE961" s="64"/>
      <c r="CF961" s="64"/>
      <c r="CG961" s="64"/>
      <c r="CH961" s="64"/>
      <c r="CI961" s="64"/>
      <c r="CJ961" s="64"/>
      <c r="CK961" s="64"/>
      <c r="CL961" s="64"/>
      <c r="CM961" s="64"/>
      <c r="CN961" s="64"/>
      <c r="CO961" s="64"/>
      <c r="CP961" s="64"/>
      <c r="CQ961" s="64"/>
      <c r="CR961" s="64"/>
      <c r="CS961" s="64"/>
      <c r="CT961" s="64"/>
      <c r="CU961" s="64"/>
      <c r="CV961" s="64"/>
      <c r="CW961" s="64"/>
      <c r="CX961" s="64"/>
    </row>
    <row r="962" spans="1:102" x14ac:dyDescent="0.2">
      <c r="A962" s="64"/>
      <c r="B962" s="64"/>
      <c r="C962" s="102"/>
      <c r="D962" s="102"/>
      <c r="E962" s="102"/>
      <c r="F962" s="102"/>
      <c r="G962" s="102"/>
      <c r="H962" s="102"/>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c r="BU962" s="64"/>
      <c r="BV962" s="64"/>
      <c r="BW962" s="64"/>
      <c r="BX962" s="64"/>
      <c r="BY962" s="64"/>
      <c r="BZ962" s="64"/>
      <c r="CA962" s="64"/>
      <c r="CB962" s="64"/>
      <c r="CC962" s="64"/>
      <c r="CD962" s="64"/>
      <c r="CE962" s="64"/>
      <c r="CF962" s="64"/>
      <c r="CG962" s="64"/>
      <c r="CH962" s="64"/>
      <c r="CI962" s="64"/>
      <c r="CJ962" s="64"/>
      <c r="CK962" s="64"/>
      <c r="CL962" s="64"/>
      <c r="CM962" s="64"/>
      <c r="CN962" s="64"/>
      <c r="CO962" s="64"/>
      <c r="CP962" s="64"/>
      <c r="CQ962" s="64"/>
      <c r="CR962" s="64"/>
      <c r="CS962" s="64"/>
      <c r="CT962" s="64"/>
      <c r="CU962" s="64"/>
      <c r="CV962" s="64"/>
      <c r="CW962" s="64"/>
      <c r="CX962" s="64"/>
    </row>
    <row r="963" spans="1:102" x14ac:dyDescent="0.2">
      <c r="A963" s="64"/>
      <c r="B963" s="64"/>
      <c r="C963" s="102"/>
      <c r="D963" s="102"/>
      <c r="E963" s="102"/>
      <c r="F963" s="102"/>
      <c r="G963" s="102"/>
      <c r="H963" s="102"/>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c r="BU963" s="64"/>
      <c r="BV963" s="64"/>
      <c r="BW963" s="64"/>
      <c r="BX963" s="64"/>
      <c r="BY963" s="64"/>
      <c r="BZ963" s="64"/>
      <c r="CA963" s="64"/>
      <c r="CB963" s="64"/>
      <c r="CC963" s="64"/>
      <c r="CD963" s="64"/>
      <c r="CE963" s="64"/>
      <c r="CF963" s="64"/>
      <c r="CG963" s="64"/>
      <c r="CH963" s="64"/>
      <c r="CI963" s="64"/>
      <c r="CJ963" s="64"/>
      <c r="CK963" s="64"/>
      <c r="CL963" s="64"/>
      <c r="CM963" s="64"/>
      <c r="CN963" s="64"/>
      <c r="CO963" s="64"/>
      <c r="CP963" s="64"/>
      <c r="CQ963" s="64"/>
      <c r="CR963" s="64"/>
      <c r="CS963" s="64"/>
      <c r="CT963" s="64"/>
      <c r="CU963" s="64"/>
      <c r="CV963" s="64"/>
      <c r="CW963" s="64"/>
      <c r="CX963" s="64"/>
    </row>
    <row r="964" spans="1:102" x14ac:dyDescent="0.2">
      <c r="A964" s="64"/>
      <c r="B964" s="64"/>
      <c r="C964" s="102"/>
      <c r="D964" s="102"/>
      <c r="E964" s="102"/>
      <c r="F964" s="102"/>
      <c r="G964" s="102"/>
      <c r="H964" s="102"/>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c r="BU964" s="64"/>
      <c r="BV964" s="64"/>
      <c r="BW964" s="64"/>
      <c r="BX964" s="64"/>
      <c r="BY964" s="64"/>
      <c r="BZ964" s="64"/>
      <c r="CA964" s="64"/>
      <c r="CB964" s="64"/>
      <c r="CC964" s="64"/>
      <c r="CD964" s="64"/>
      <c r="CE964" s="64"/>
      <c r="CF964" s="64"/>
      <c r="CG964" s="64"/>
      <c r="CH964" s="64"/>
      <c r="CI964" s="64"/>
      <c r="CJ964" s="64"/>
      <c r="CK964" s="64"/>
      <c r="CL964" s="64"/>
      <c r="CM964" s="64"/>
      <c r="CN964" s="64"/>
      <c r="CO964" s="64"/>
      <c r="CP964" s="64"/>
      <c r="CQ964" s="64"/>
      <c r="CR964" s="64"/>
      <c r="CS964" s="64"/>
      <c r="CT964" s="64"/>
      <c r="CU964" s="64"/>
      <c r="CV964" s="64"/>
      <c r="CW964" s="64"/>
      <c r="CX964" s="64"/>
    </row>
    <row r="965" spans="1:102" x14ac:dyDescent="0.2">
      <c r="A965" s="64"/>
      <c r="B965" s="64"/>
      <c r="C965" s="102"/>
      <c r="D965" s="102"/>
      <c r="E965" s="102"/>
      <c r="F965" s="102"/>
      <c r="G965" s="102"/>
      <c r="H965" s="102"/>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c r="BU965" s="64"/>
      <c r="BV965" s="64"/>
      <c r="BW965" s="64"/>
      <c r="BX965" s="64"/>
      <c r="BY965" s="64"/>
      <c r="BZ965" s="64"/>
      <c r="CA965" s="64"/>
      <c r="CB965" s="64"/>
      <c r="CC965" s="64"/>
      <c r="CD965" s="64"/>
      <c r="CE965" s="64"/>
      <c r="CF965" s="64"/>
      <c r="CG965" s="64"/>
      <c r="CH965" s="64"/>
      <c r="CI965" s="64"/>
      <c r="CJ965" s="64"/>
      <c r="CK965" s="64"/>
      <c r="CL965" s="64"/>
      <c r="CM965" s="64"/>
      <c r="CN965" s="64"/>
      <c r="CO965" s="64"/>
      <c r="CP965" s="64"/>
      <c r="CQ965" s="64"/>
      <c r="CR965" s="64"/>
      <c r="CS965" s="64"/>
      <c r="CT965" s="64"/>
      <c r="CU965" s="64"/>
      <c r="CV965" s="64"/>
      <c r="CW965" s="64"/>
      <c r="CX965" s="64"/>
    </row>
    <row r="966" spans="1:102" x14ac:dyDescent="0.2">
      <c r="A966" s="64"/>
      <c r="B966" s="64"/>
      <c r="C966" s="102"/>
      <c r="D966" s="102"/>
      <c r="E966" s="102"/>
      <c r="F966" s="102"/>
      <c r="G966" s="102"/>
      <c r="H966" s="102"/>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c r="BU966" s="64"/>
      <c r="BV966" s="64"/>
      <c r="BW966" s="64"/>
      <c r="BX966" s="64"/>
      <c r="BY966" s="64"/>
      <c r="BZ966" s="64"/>
      <c r="CA966" s="64"/>
      <c r="CB966" s="64"/>
      <c r="CC966" s="64"/>
      <c r="CD966" s="64"/>
      <c r="CE966" s="64"/>
      <c r="CF966" s="64"/>
      <c r="CG966" s="64"/>
      <c r="CH966" s="64"/>
      <c r="CI966" s="64"/>
      <c r="CJ966" s="64"/>
      <c r="CK966" s="64"/>
      <c r="CL966" s="64"/>
      <c r="CM966" s="64"/>
      <c r="CN966" s="64"/>
      <c r="CO966" s="64"/>
      <c r="CP966" s="64"/>
      <c r="CQ966" s="64"/>
      <c r="CR966" s="64"/>
      <c r="CS966" s="64"/>
      <c r="CT966" s="64"/>
      <c r="CU966" s="64"/>
      <c r="CV966" s="64"/>
      <c r="CW966" s="64"/>
      <c r="CX966" s="64"/>
    </row>
    <row r="967" spans="1:102" x14ac:dyDescent="0.2">
      <c r="A967" s="64"/>
      <c r="B967" s="64"/>
      <c r="C967" s="102"/>
      <c r="D967" s="102"/>
      <c r="E967" s="102"/>
      <c r="F967" s="102"/>
      <c r="G967" s="102"/>
      <c r="H967" s="102"/>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c r="BU967" s="64"/>
      <c r="BV967" s="64"/>
      <c r="BW967" s="64"/>
      <c r="BX967" s="64"/>
      <c r="BY967" s="64"/>
      <c r="BZ967" s="64"/>
      <c r="CA967" s="64"/>
      <c r="CB967" s="64"/>
      <c r="CC967" s="64"/>
      <c r="CD967" s="64"/>
      <c r="CE967" s="64"/>
      <c r="CF967" s="64"/>
      <c r="CG967" s="64"/>
      <c r="CH967" s="64"/>
      <c r="CI967" s="64"/>
      <c r="CJ967" s="64"/>
      <c r="CK967" s="64"/>
      <c r="CL967" s="64"/>
      <c r="CM967" s="64"/>
      <c r="CN967" s="64"/>
      <c r="CO967" s="64"/>
      <c r="CP967" s="64"/>
      <c r="CQ967" s="64"/>
      <c r="CR967" s="64"/>
      <c r="CS967" s="64"/>
      <c r="CT967" s="64"/>
      <c r="CU967" s="64"/>
      <c r="CV967" s="64"/>
      <c r="CW967" s="64"/>
      <c r="CX967" s="64"/>
    </row>
    <row r="968" spans="1:102" x14ac:dyDescent="0.2">
      <c r="A968" s="64"/>
      <c r="B968" s="64"/>
      <c r="C968" s="102"/>
      <c r="D968" s="102"/>
      <c r="E968" s="102"/>
      <c r="F968" s="102"/>
      <c r="G968" s="102"/>
      <c r="H968" s="102"/>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c r="BU968" s="64"/>
      <c r="BV968" s="64"/>
      <c r="BW968" s="64"/>
      <c r="BX968" s="64"/>
      <c r="BY968" s="64"/>
      <c r="BZ968" s="64"/>
      <c r="CA968" s="64"/>
      <c r="CB968" s="64"/>
      <c r="CC968" s="64"/>
      <c r="CD968" s="64"/>
      <c r="CE968" s="64"/>
      <c r="CF968" s="64"/>
      <c r="CG968" s="64"/>
      <c r="CH968" s="64"/>
      <c r="CI968" s="64"/>
      <c r="CJ968" s="64"/>
      <c r="CK968" s="64"/>
      <c r="CL968" s="64"/>
      <c r="CM968" s="64"/>
      <c r="CN968" s="64"/>
      <c r="CO968" s="64"/>
      <c r="CP968" s="64"/>
      <c r="CQ968" s="64"/>
      <c r="CR968" s="64"/>
      <c r="CS968" s="64"/>
      <c r="CT968" s="64"/>
      <c r="CU968" s="64"/>
      <c r="CV968" s="64"/>
      <c r="CW968" s="64"/>
      <c r="CX968" s="64"/>
    </row>
    <row r="969" spans="1:102" x14ac:dyDescent="0.2">
      <c r="A969" s="64"/>
      <c r="B969" s="64"/>
      <c r="C969" s="102"/>
      <c r="D969" s="102"/>
      <c r="E969" s="102"/>
      <c r="F969" s="102"/>
      <c r="G969" s="102"/>
      <c r="H969" s="102"/>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c r="BU969" s="64"/>
      <c r="BV969" s="64"/>
      <c r="BW969" s="64"/>
      <c r="BX969" s="64"/>
      <c r="BY969" s="64"/>
      <c r="BZ969" s="64"/>
      <c r="CA969" s="64"/>
      <c r="CB969" s="64"/>
      <c r="CC969" s="64"/>
      <c r="CD969" s="64"/>
      <c r="CE969" s="64"/>
      <c r="CF969" s="64"/>
      <c r="CG969" s="64"/>
      <c r="CH969" s="64"/>
      <c r="CI969" s="64"/>
      <c r="CJ969" s="64"/>
      <c r="CK969" s="64"/>
      <c r="CL969" s="64"/>
      <c r="CM969" s="64"/>
      <c r="CN969" s="64"/>
      <c r="CO969" s="64"/>
      <c r="CP969" s="64"/>
      <c r="CQ969" s="64"/>
      <c r="CR969" s="64"/>
      <c r="CS969" s="64"/>
      <c r="CT969" s="64"/>
      <c r="CU969" s="64"/>
      <c r="CV969" s="64"/>
      <c r="CW969" s="64"/>
      <c r="CX969" s="64"/>
    </row>
    <row r="970" spans="1:102" x14ac:dyDescent="0.2">
      <c r="A970" s="64"/>
      <c r="B970" s="64"/>
      <c r="C970" s="102"/>
      <c r="D970" s="102"/>
      <c r="E970" s="102"/>
      <c r="F970" s="102"/>
      <c r="G970" s="102"/>
      <c r="H970" s="102"/>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c r="BU970" s="64"/>
      <c r="BV970" s="64"/>
      <c r="BW970" s="64"/>
      <c r="BX970" s="64"/>
      <c r="BY970" s="64"/>
      <c r="BZ970" s="64"/>
      <c r="CA970" s="64"/>
      <c r="CB970" s="64"/>
      <c r="CC970" s="64"/>
      <c r="CD970" s="64"/>
      <c r="CE970" s="64"/>
      <c r="CF970" s="64"/>
      <c r="CG970" s="64"/>
      <c r="CH970" s="64"/>
      <c r="CI970" s="64"/>
      <c r="CJ970" s="64"/>
      <c r="CK970" s="64"/>
      <c r="CL970" s="64"/>
      <c r="CM970" s="64"/>
      <c r="CN970" s="64"/>
      <c r="CO970" s="64"/>
      <c r="CP970" s="64"/>
      <c r="CQ970" s="64"/>
      <c r="CR970" s="64"/>
      <c r="CS970" s="64"/>
      <c r="CT970" s="64"/>
      <c r="CU970" s="64"/>
      <c r="CV970" s="64"/>
      <c r="CW970" s="64"/>
      <c r="CX970" s="64"/>
    </row>
    <row r="971" spans="1:102" x14ac:dyDescent="0.2">
      <c r="A971" s="64"/>
      <c r="B971" s="64"/>
      <c r="C971" s="102"/>
      <c r="D971" s="102"/>
      <c r="E971" s="102"/>
      <c r="F971" s="102"/>
      <c r="G971" s="102"/>
      <c r="H971" s="102"/>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c r="BU971" s="64"/>
      <c r="BV971" s="64"/>
      <c r="BW971" s="64"/>
      <c r="BX971" s="64"/>
      <c r="BY971" s="64"/>
      <c r="BZ971" s="64"/>
      <c r="CA971" s="64"/>
      <c r="CB971" s="64"/>
      <c r="CC971" s="64"/>
      <c r="CD971" s="64"/>
      <c r="CE971" s="64"/>
      <c r="CF971" s="64"/>
      <c r="CG971" s="64"/>
      <c r="CH971" s="64"/>
      <c r="CI971" s="64"/>
      <c r="CJ971" s="64"/>
      <c r="CK971" s="64"/>
      <c r="CL971" s="64"/>
      <c r="CM971" s="64"/>
      <c r="CN971" s="64"/>
      <c r="CO971" s="64"/>
      <c r="CP971" s="64"/>
      <c r="CQ971" s="64"/>
      <c r="CR971" s="64"/>
      <c r="CS971" s="64"/>
      <c r="CT971" s="64"/>
      <c r="CU971" s="64"/>
      <c r="CV971" s="64"/>
      <c r="CW971" s="64"/>
      <c r="CX971" s="64"/>
    </row>
    <row r="972" spans="1:102" x14ac:dyDescent="0.2">
      <c r="A972" s="64"/>
      <c r="B972" s="64"/>
      <c r="C972" s="102"/>
      <c r="D972" s="102"/>
      <c r="E972" s="102"/>
      <c r="F972" s="102"/>
      <c r="G972" s="102"/>
      <c r="H972" s="102"/>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c r="BU972" s="64"/>
      <c r="BV972" s="64"/>
      <c r="BW972" s="64"/>
      <c r="BX972" s="64"/>
      <c r="BY972" s="64"/>
      <c r="BZ972" s="64"/>
      <c r="CA972" s="64"/>
      <c r="CB972" s="64"/>
      <c r="CC972" s="64"/>
      <c r="CD972" s="64"/>
      <c r="CE972" s="64"/>
      <c r="CF972" s="64"/>
      <c r="CG972" s="64"/>
      <c r="CH972" s="64"/>
      <c r="CI972" s="64"/>
      <c r="CJ972" s="64"/>
      <c r="CK972" s="64"/>
      <c r="CL972" s="64"/>
      <c r="CM972" s="64"/>
      <c r="CN972" s="64"/>
      <c r="CO972" s="64"/>
      <c r="CP972" s="64"/>
      <c r="CQ972" s="64"/>
      <c r="CR972" s="64"/>
      <c r="CS972" s="64"/>
      <c r="CT972" s="64"/>
      <c r="CU972" s="64"/>
      <c r="CV972" s="64"/>
      <c r="CW972" s="64"/>
      <c r="CX972" s="64"/>
    </row>
    <row r="973" spans="1:102" x14ac:dyDescent="0.2">
      <c r="A973" s="64"/>
      <c r="B973" s="64"/>
      <c r="C973" s="102"/>
      <c r="D973" s="102"/>
      <c r="E973" s="102"/>
      <c r="F973" s="102"/>
      <c r="G973" s="102"/>
      <c r="H973" s="102"/>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c r="BU973" s="64"/>
      <c r="BV973" s="64"/>
      <c r="BW973" s="64"/>
      <c r="BX973" s="64"/>
      <c r="BY973" s="64"/>
      <c r="BZ973" s="64"/>
      <c r="CA973" s="64"/>
      <c r="CB973" s="64"/>
      <c r="CC973" s="64"/>
      <c r="CD973" s="64"/>
      <c r="CE973" s="64"/>
      <c r="CF973" s="64"/>
      <c r="CG973" s="64"/>
      <c r="CH973" s="64"/>
      <c r="CI973" s="64"/>
      <c r="CJ973" s="64"/>
      <c r="CK973" s="64"/>
      <c r="CL973" s="64"/>
      <c r="CM973" s="64"/>
      <c r="CN973" s="64"/>
      <c r="CO973" s="64"/>
      <c r="CP973" s="64"/>
      <c r="CQ973" s="64"/>
      <c r="CR973" s="64"/>
      <c r="CS973" s="64"/>
      <c r="CT973" s="64"/>
      <c r="CU973" s="64"/>
      <c r="CV973" s="64"/>
      <c r="CW973" s="64"/>
      <c r="CX973" s="64"/>
    </row>
    <row r="974" spans="1:102" x14ac:dyDescent="0.2">
      <c r="A974" s="64"/>
      <c r="B974" s="64"/>
      <c r="C974" s="102"/>
      <c r="D974" s="102"/>
      <c r="E974" s="102"/>
      <c r="F974" s="102"/>
      <c r="G974" s="102"/>
      <c r="H974" s="102"/>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c r="BU974" s="64"/>
      <c r="BV974" s="64"/>
      <c r="BW974" s="64"/>
      <c r="BX974" s="64"/>
      <c r="BY974" s="64"/>
      <c r="BZ974" s="64"/>
      <c r="CA974" s="64"/>
      <c r="CB974" s="64"/>
      <c r="CC974" s="64"/>
      <c r="CD974" s="64"/>
      <c r="CE974" s="64"/>
      <c r="CF974" s="64"/>
      <c r="CG974" s="64"/>
      <c r="CH974" s="64"/>
      <c r="CI974" s="64"/>
      <c r="CJ974" s="64"/>
      <c r="CK974" s="64"/>
      <c r="CL974" s="64"/>
      <c r="CM974" s="64"/>
      <c r="CN974" s="64"/>
      <c r="CO974" s="64"/>
      <c r="CP974" s="64"/>
      <c r="CQ974" s="64"/>
      <c r="CR974" s="64"/>
      <c r="CS974" s="64"/>
      <c r="CT974" s="64"/>
      <c r="CU974" s="64"/>
      <c r="CV974" s="64"/>
      <c r="CW974" s="64"/>
      <c r="CX974" s="64"/>
    </row>
    <row r="975" spans="1:102" x14ac:dyDescent="0.2">
      <c r="A975" s="64"/>
      <c r="B975" s="64"/>
      <c r="C975" s="102"/>
      <c r="D975" s="102"/>
      <c r="E975" s="102"/>
      <c r="F975" s="102"/>
      <c r="G975" s="102"/>
      <c r="H975" s="102"/>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c r="BU975" s="64"/>
      <c r="BV975" s="64"/>
      <c r="BW975" s="64"/>
      <c r="BX975" s="64"/>
      <c r="BY975" s="64"/>
      <c r="BZ975" s="64"/>
      <c r="CA975" s="64"/>
      <c r="CB975" s="64"/>
      <c r="CC975" s="64"/>
      <c r="CD975" s="64"/>
      <c r="CE975" s="64"/>
      <c r="CF975" s="64"/>
      <c r="CG975" s="64"/>
      <c r="CH975" s="64"/>
      <c r="CI975" s="64"/>
      <c r="CJ975" s="64"/>
      <c r="CK975" s="64"/>
      <c r="CL975" s="64"/>
      <c r="CM975" s="64"/>
      <c r="CN975" s="64"/>
      <c r="CO975" s="64"/>
      <c r="CP975" s="64"/>
      <c r="CQ975" s="64"/>
      <c r="CR975" s="64"/>
      <c r="CS975" s="64"/>
      <c r="CT975" s="64"/>
      <c r="CU975" s="64"/>
      <c r="CV975" s="64"/>
      <c r="CW975" s="64"/>
      <c r="CX975" s="64"/>
    </row>
    <row r="976" spans="1:102" x14ac:dyDescent="0.2">
      <c r="A976" s="64"/>
      <c r="B976" s="64"/>
      <c r="C976" s="102"/>
      <c r="D976" s="102"/>
      <c r="E976" s="102"/>
      <c r="F976" s="102"/>
      <c r="G976" s="102"/>
      <c r="H976" s="102"/>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c r="BU976" s="64"/>
      <c r="BV976" s="64"/>
      <c r="BW976" s="64"/>
      <c r="BX976" s="64"/>
      <c r="BY976" s="64"/>
      <c r="BZ976" s="64"/>
      <c r="CA976" s="64"/>
      <c r="CB976" s="64"/>
      <c r="CC976" s="64"/>
      <c r="CD976" s="64"/>
      <c r="CE976" s="64"/>
      <c r="CF976" s="64"/>
      <c r="CG976" s="64"/>
      <c r="CH976" s="64"/>
      <c r="CI976" s="64"/>
      <c r="CJ976" s="64"/>
      <c r="CK976" s="64"/>
      <c r="CL976" s="64"/>
      <c r="CM976" s="64"/>
      <c r="CN976" s="64"/>
      <c r="CO976" s="64"/>
      <c r="CP976" s="64"/>
      <c r="CQ976" s="64"/>
      <c r="CR976" s="64"/>
      <c r="CS976" s="64"/>
      <c r="CT976" s="64"/>
      <c r="CU976" s="64"/>
      <c r="CV976" s="64"/>
      <c r="CW976" s="64"/>
      <c r="CX976" s="64"/>
    </row>
    <row r="977" spans="1:102" x14ac:dyDescent="0.2">
      <c r="A977" s="64"/>
      <c r="B977" s="64"/>
      <c r="C977" s="102"/>
      <c r="D977" s="102"/>
      <c r="E977" s="102"/>
      <c r="F977" s="102"/>
      <c r="G977" s="102"/>
      <c r="H977" s="102"/>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c r="BU977" s="64"/>
      <c r="BV977" s="64"/>
      <c r="BW977" s="64"/>
      <c r="BX977" s="64"/>
      <c r="BY977" s="64"/>
      <c r="BZ977" s="64"/>
      <c r="CA977" s="64"/>
      <c r="CB977" s="64"/>
      <c r="CC977" s="64"/>
      <c r="CD977" s="64"/>
      <c r="CE977" s="64"/>
      <c r="CF977" s="64"/>
      <c r="CG977" s="64"/>
      <c r="CH977" s="64"/>
      <c r="CI977" s="64"/>
      <c r="CJ977" s="64"/>
      <c r="CK977" s="64"/>
      <c r="CL977" s="64"/>
      <c r="CM977" s="64"/>
      <c r="CN977" s="64"/>
      <c r="CO977" s="64"/>
      <c r="CP977" s="64"/>
      <c r="CQ977" s="64"/>
      <c r="CR977" s="64"/>
      <c r="CS977" s="64"/>
      <c r="CT977" s="64"/>
      <c r="CU977" s="64"/>
      <c r="CV977" s="64"/>
      <c r="CW977" s="64"/>
      <c r="CX977" s="64"/>
    </row>
    <row r="978" spans="1:102" x14ac:dyDescent="0.2">
      <c r="A978" s="64"/>
      <c r="B978" s="64"/>
      <c r="C978" s="102"/>
      <c r="D978" s="102"/>
      <c r="E978" s="102"/>
      <c r="F978" s="102"/>
      <c r="G978" s="102"/>
      <c r="H978" s="102"/>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c r="BU978" s="64"/>
      <c r="BV978" s="64"/>
      <c r="BW978" s="64"/>
      <c r="BX978" s="64"/>
      <c r="BY978" s="64"/>
      <c r="BZ978" s="64"/>
      <c r="CA978" s="64"/>
      <c r="CB978" s="64"/>
      <c r="CC978" s="64"/>
      <c r="CD978" s="64"/>
      <c r="CE978" s="64"/>
      <c r="CF978" s="64"/>
      <c r="CG978" s="64"/>
      <c r="CH978" s="64"/>
      <c r="CI978" s="64"/>
      <c r="CJ978" s="64"/>
      <c r="CK978" s="64"/>
      <c r="CL978" s="64"/>
      <c r="CM978" s="64"/>
      <c r="CN978" s="64"/>
      <c r="CO978" s="64"/>
      <c r="CP978" s="64"/>
      <c r="CQ978" s="64"/>
      <c r="CR978" s="64"/>
      <c r="CS978" s="64"/>
      <c r="CT978" s="64"/>
      <c r="CU978" s="64"/>
      <c r="CV978" s="64"/>
      <c r="CW978" s="64"/>
      <c r="CX978" s="64"/>
    </row>
    <row r="979" spans="1:102" x14ac:dyDescent="0.2">
      <c r="A979" s="64"/>
      <c r="B979" s="64"/>
      <c r="C979" s="102"/>
      <c r="D979" s="102"/>
      <c r="E979" s="102"/>
      <c r="F979" s="102"/>
      <c r="G979" s="102"/>
      <c r="H979" s="102"/>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c r="BU979" s="64"/>
      <c r="BV979" s="64"/>
      <c r="BW979" s="64"/>
      <c r="BX979" s="64"/>
      <c r="BY979" s="64"/>
      <c r="BZ979" s="64"/>
      <c r="CA979" s="64"/>
      <c r="CB979" s="64"/>
      <c r="CC979" s="64"/>
      <c r="CD979" s="64"/>
      <c r="CE979" s="64"/>
      <c r="CF979" s="64"/>
      <c r="CG979" s="64"/>
      <c r="CH979" s="64"/>
      <c r="CI979" s="64"/>
      <c r="CJ979" s="64"/>
      <c r="CK979" s="64"/>
      <c r="CL979" s="64"/>
      <c r="CM979" s="64"/>
      <c r="CN979" s="64"/>
      <c r="CO979" s="64"/>
      <c r="CP979" s="64"/>
      <c r="CQ979" s="64"/>
      <c r="CR979" s="64"/>
      <c r="CS979" s="64"/>
      <c r="CT979" s="64"/>
      <c r="CU979" s="64"/>
      <c r="CV979" s="64"/>
      <c r="CW979" s="64"/>
      <c r="CX979" s="64"/>
    </row>
    <row r="980" spans="1:102" x14ac:dyDescent="0.2">
      <c r="A980" s="64"/>
      <c r="B980" s="64"/>
      <c r="C980" s="102"/>
      <c r="D980" s="102"/>
      <c r="E980" s="102"/>
      <c r="F980" s="102"/>
      <c r="G980" s="102"/>
      <c r="H980" s="102"/>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c r="BU980" s="64"/>
      <c r="BV980" s="64"/>
      <c r="BW980" s="64"/>
      <c r="BX980" s="64"/>
      <c r="BY980" s="64"/>
      <c r="BZ980" s="64"/>
      <c r="CA980" s="64"/>
      <c r="CB980" s="64"/>
      <c r="CC980" s="64"/>
      <c r="CD980" s="64"/>
      <c r="CE980" s="64"/>
      <c r="CF980" s="64"/>
      <c r="CG980" s="64"/>
      <c r="CH980" s="64"/>
      <c r="CI980" s="64"/>
      <c r="CJ980" s="64"/>
      <c r="CK980" s="64"/>
      <c r="CL980" s="64"/>
      <c r="CM980" s="64"/>
      <c r="CN980" s="64"/>
      <c r="CO980" s="64"/>
      <c r="CP980" s="64"/>
      <c r="CQ980" s="64"/>
      <c r="CR980" s="64"/>
      <c r="CS980" s="64"/>
      <c r="CT980" s="64"/>
      <c r="CU980" s="64"/>
      <c r="CV980" s="64"/>
      <c r="CW980" s="64"/>
      <c r="CX980" s="64"/>
    </row>
    <row r="981" spans="1:102" x14ac:dyDescent="0.2">
      <c r="A981" s="64"/>
      <c r="B981" s="64"/>
      <c r="C981" s="102"/>
      <c r="D981" s="102"/>
      <c r="E981" s="102"/>
      <c r="F981" s="102"/>
      <c r="G981" s="102"/>
      <c r="H981" s="102"/>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c r="BU981" s="64"/>
      <c r="BV981" s="64"/>
      <c r="BW981" s="64"/>
      <c r="BX981" s="64"/>
      <c r="BY981" s="64"/>
      <c r="BZ981" s="64"/>
      <c r="CA981" s="64"/>
      <c r="CB981" s="64"/>
      <c r="CC981" s="64"/>
      <c r="CD981" s="64"/>
      <c r="CE981" s="64"/>
      <c r="CF981" s="64"/>
      <c r="CG981" s="64"/>
      <c r="CH981" s="64"/>
      <c r="CI981" s="64"/>
      <c r="CJ981" s="64"/>
      <c r="CK981" s="64"/>
      <c r="CL981" s="64"/>
      <c r="CM981" s="64"/>
      <c r="CN981" s="64"/>
      <c r="CO981" s="64"/>
      <c r="CP981" s="64"/>
      <c r="CQ981" s="64"/>
      <c r="CR981" s="64"/>
      <c r="CS981" s="64"/>
      <c r="CT981" s="64"/>
      <c r="CU981" s="64"/>
      <c r="CV981" s="64"/>
      <c r="CW981" s="64"/>
      <c r="CX981" s="64"/>
    </row>
    <row r="982" spans="1:102" x14ac:dyDescent="0.2">
      <c r="A982" s="64"/>
      <c r="B982" s="64"/>
      <c r="C982" s="102"/>
      <c r="D982" s="102"/>
      <c r="E982" s="102"/>
      <c r="F982" s="102"/>
      <c r="G982" s="102"/>
      <c r="H982" s="102"/>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c r="BU982" s="64"/>
      <c r="BV982" s="64"/>
      <c r="BW982" s="64"/>
      <c r="BX982" s="64"/>
      <c r="BY982" s="64"/>
      <c r="BZ982" s="64"/>
      <c r="CA982" s="64"/>
      <c r="CB982" s="64"/>
      <c r="CC982" s="64"/>
      <c r="CD982" s="64"/>
      <c r="CE982" s="64"/>
      <c r="CF982" s="64"/>
      <c r="CG982" s="64"/>
      <c r="CH982" s="64"/>
      <c r="CI982" s="64"/>
      <c r="CJ982" s="64"/>
      <c r="CK982" s="64"/>
      <c r="CL982" s="64"/>
      <c r="CM982" s="64"/>
      <c r="CN982" s="64"/>
      <c r="CO982" s="64"/>
      <c r="CP982" s="64"/>
      <c r="CQ982" s="64"/>
      <c r="CR982" s="64"/>
      <c r="CS982" s="64"/>
      <c r="CT982" s="64"/>
      <c r="CU982" s="64"/>
      <c r="CV982" s="64"/>
      <c r="CW982" s="64"/>
      <c r="CX982" s="64"/>
    </row>
    <row r="983" spans="1:102" x14ac:dyDescent="0.2">
      <c r="A983" s="64"/>
      <c r="B983" s="64"/>
      <c r="C983" s="102"/>
      <c r="D983" s="102"/>
      <c r="E983" s="102"/>
      <c r="F983" s="102"/>
      <c r="G983" s="102"/>
      <c r="H983" s="102"/>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M983" s="64"/>
      <c r="AN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c r="BU983" s="64"/>
      <c r="BV983" s="64"/>
      <c r="BW983" s="64"/>
      <c r="BX983" s="64"/>
      <c r="BY983" s="64"/>
      <c r="BZ983" s="64"/>
      <c r="CA983" s="64"/>
      <c r="CB983" s="64"/>
      <c r="CC983" s="64"/>
      <c r="CD983" s="64"/>
      <c r="CE983" s="64"/>
      <c r="CF983" s="64"/>
      <c r="CG983" s="64"/>
      <c r="CH983" s="64"/>
      <c r="CI983" s="64"/>
      <c r="CJ983" s="64"/>
      <c r="CK983" s="64"/>
      <c r="CL983" s="64"/>
      <c r="CM983" s="64"/>
      <c r="CN983" s="64"/>
      <c r="CO983" s="64"/>
      <c r="CP983" s="64"/>
      <c r="CQ983" s="64"/>
      <c r="CR983" s="64"/>
      <c r="CS983" s="64"/>
      <c r="CT983" s="64"/>
      <c r="CU983" s="64"/>
      <c r="CV983" s="64"/>
      <c r="CW983" s="64"/>
      <c r="CX983" s="64"/>
    </row>
    <row r="984" spans="1:102" x14ac:dyDescent="0.2">
      <c r="A984" s="64"/>
      <c r="B984" s="64"/>
      <c r="C984" s="102"/>
      <c r="D984" s="102"/>
      <c r="E984" s="102"/>
      <c r="F984" s="102"/>
      <c r="G984" s="102"/>
      <c r="H984" s="102"/>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M984" s="64"/>
      <c r="AN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c r="BU984" s="64"/>
      <c r="BV984" s="64"/>
      <c r="BW984" s="64"/>
      <c r="BX984" s="64"/>
      <c r="BY984" s="64"/>
      <c r="BZ984" s="64"/>
      <c r="CA984" s="64"/>
      <c r="CB984" s="64"/>
      <c r="CC984" s="64"/>
      <c r="CD984" s="64"/>
      <c r="CE984" s="64"/>
      <c r="CF984" s="64"/>
      <c r="CG984" s="64"/>
      <c r="CH984" s="64"/>
      <c r="CI984" s="64"/>
      <c r="CJ984" s="64"/>
      <c r="CK984" s="64"/>
      <c r="CL984" s="64"/>
      <c r="CM984" s="64"/>
      <c r="CN984" s="64"/>
      <c r="CO984" s="64"/>
      <c r="CP984" s="64"/>
      <c r="CQ984" s="64"/>
      <c r="CR984" s="64"/>
      <c r="CS984" s="64"/>
      <c r="CT984" s="64"/>
      <c r="CU984" s="64"/>
      <c r="CV984" s="64"/>
      <c r="CW984" s="64"/>
      <c r="CX984" s="64"/>
    </row>
    <row r="985" spans="1:102" x14ac:dyDescent="0.2">
      <c r="A985" s="64"/>
      <c r="B985" s="64"/>
      <c r="C985" s="102"/>
      <c r="D985" s="102"/>
      <c r="E985" s="102"/>
      <c r="F985" s="102"/>
      <c r="G985" s="102"/>
      <c r="H985" s="102"/>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M985" s="64"/>
      <c r="AN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c r="BU985" s="64"/>
      <c r="BV985" s="64"/>
      <c r="BW985" s="64"/>
      <c r="BX985" s="64"/>
      <c r="BY985" s="64"/>
      <c r="BZ985" s="64"/>
      <c r="CA985" s="64"/>
      <c r="CB985" s="64"/>
      <c r="CC985" s="64"/>
      <c r="CD985" s="64"/>
      <c r="CE985" s="64"/>
      <c r="CF985" s="64"/>
      <c r="CG985" s="64"/>
      <c r="CH985" s="64"/>
      <c r="CI985" s="64"/>
      <c r="CJ985" s="64"/>
      <c r="CK985" s="64"/>
      <c r="CL985" s="64"/>
      <c r="CM985" s="64"/>
      <c r="CN985" s="64"/>
      <c r="CO985" s="64"/>
      <c r="CP985" s="64"/>
      <c r="CQ985" s="64"/>
      <c r="CR985" s="64"/>
      <c r="CS985" s="64"/>
      <c r="CT985" s="64"/>
      <c r="CU985" s="64"/>
      <c r="CV985" s="64"/>
      <c r="CW985" s="64"/>
      <c r="CX985" s="64"/>
    </row>
    <row r="986" spans="1:102" x14ac:dyDescent="0.2">
      <c r="A986" s="64"/>
      <c r="B986" s="64"/>
      <c r="C986" s="102"/>
      <c r="D986" s="102"/>
      <c r="E986" s="102"/>
      <c r="F986" s="102"/>
      <c r="G986" s="102"/>
      <c r="H986" s="102"/>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M986" s="64"/>
      <c r="AN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c r="BU986" s="64"/>
      <c r="BV986" s="64"/>
      <c r="BW986" s="64"/>
      <c r="BX986" s="64"/>
      <c r="BY986" s="64"/>
      <c r="BZ986" s="64"/>
      <c r="CA986" s="64"/>
      <c r="CB986" s="64"/>
      <c r="CC986" s="64"/>
      <c r="CD986" s="64"/>
      <c r="CE986" s="64"/>
      <c r="CF986" s="64"/>
      <c r="CG986" s="64"/>
      <c r="CH986" s="64"/>
      <c r="CI986" s="64"/>
      <c r="CJ986" s="64"/>
      <c r="CK986" s="64"/>
      <c r="CL986" s="64"/>
      <c r="CM986" s="64"/>
      <c r="CN986" s="64"/>
      <c r="CO986" s="64"/>
      <c r="CP986" s="64"/>
      <c r="CQ986" s="64"/>
      <c r="CR986" s="64"/>
      <c r="CS986" s="64"/>
      <c r="CT986" s="64"/>
      <c r="CU986" s="64"/>
      <c r="CV986" s="64"/>
      <c r="CW986" s="64"/>
      <c r="CX986" s="64"/>
    </row>
    <row r="987" spans="1:102" x14ac:dyDescent="0.2">
      <c r="A987" s="64"/>
      <c r="B987" s="64"/>
      <c r="C987" s="102"/>
      <c r="D987" s="102"/>
      <c r="E987" s="102"/>
      <c r="F987" s="102"/>
      <c r="G987" s="102"/>
      <c r="H987" s="102"/>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M987" s="64"/>
      <c r="AN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c r="BU987" s="64"/>
      <c r="BV987" s="64"/>
      <c r="BW987" s="64"/>
      <c r="BX987" s="64"/>
      <c r="BY987" s="64"/>
      <c r="BZ987" s="64"/>
      <c r="CA987" s="64"/>
      <c r="CB987" s="64"/>
      <c r="CC987" s="64"/>
      <c r="CD987" s="64"/>
      <c r="CE987" s="64"/>
      <c r="CF987" s="64"/>
      <c r="CG987" s="64"/>
      <c r="CH987" s="64"/>
      <c r="CI987" s="64"/>
      <c r="CJ987" s="64"/>
      <c r="CK987" s="64"/>
      <c r="CL987" s="64"/>
      <c r="CM987" s="64"/>
      <c r="CN987" s="64"/>
      <c r="CO987" s="64"/>
      <c r="CP987" s="64"/>
      <c r="CQ987" s="64"/>
      <c r="CR987" s="64"/>
      <c r="CS987" s="64"/>
      <c r="CT987" s="64"/>
      <c r="CU987" s="64"/>
      <c r="CV987" s="64"/>
      <c r="CW987" s="64"/>
      <c r="CX987" s="64"/>
    </row>
    <row r="988" spans="1:102" x14ac:dyDescent="0.2">
      <c r="A988" s="64"/>
      <c r="B988" s="64"/>
      <c r="C988" s="102"/>
      <c r="D988" s="102"/>
      <c r="E988" s="102"/>
      <c r="F988" s="102"/>
      <c r="G988" s="102"/>
      <c r="H988" s="102"/>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M988" s="64"/>
      <c r="AN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c r="BU988" s="64"/>
      <c r="BV988" s="64"/>
      <c r="BW988" s="64"/>
      <c r="BX988" s="64"/>
      <c r="BY988" s="64"/>
      <c r="BZ988" s="64"/>
      <c r="CA988" s="64"/>
      <c r="CB988" s="64"/>
      <c r="CC988" s="64"/>
      <c r="CD988" s="64"/>
      <c r="CE988" s="64"/>
      <c r="CF988" s="64"/>
      <c r="CG988" s="64"/>
      <c r="CH988" s="64"/>
      <c r="CI988" s="64"/>
      <c r="CJ988" s="64"/>
      <c r="CK988" s="64"/>
      <c r="CL988" s="64"/>
      <c r="CM988" s="64"/>
      <c r="CN988" s="64"/>
      <c r="CO988" s="64"/>
      <c r="CP988" s="64"/>
      <c r="CQ988" s="64"/>
      <c r="CR988" s="64"/>
      <c r="CS988" s="64"/>
      <c r="CT988" s="64"/>
      <c r="CU988" s="64"/>
      <c r="CV988" s="64"/>
      <c r="CW988" s="64"/>
      <c r="CX988" s="64"/>
    </row>
    <row r="989" spans="1:102" x14ac:dyDescent="0.2">
      <c r="A989" s="64"/>
      <c r="B989" s="64"/>
      <c r="C989" s="102"/>
      <c r="D989" s="102"/>
      <c r="E989" s="102"/>
      <c r="F989" s="102"/>
      <c r="G989" s="102"/>
      <c r="H989" s="102"/>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M989" s="64"/>
      <c r="AN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c r="BU989" s="64"/>
      <c r="BV989" s="64"/>
      <c r="BW989" s="64"/>
      <c r="BX989" s="64"/>
      <c r="BY989" s="64"/>
      <c r="BZ989" s="64"/>
      <c r="CA989" s="64"/>
      <c r="CB989" s="64"/>
      <c r="CC989" s="64"/>
      <c r="CD989" s="64"/>
      <c r="CE989" s="64"/>
      <c r="CF989" s="64"/>
      <c r="CG989" s="64"/>
      <c r="CH989" s="64"/>
      <c r="CI989" s="64"/>
      <c r="CJ989" s="64"/>
      <c r="CK989" s="64"/>
      <c r="CL989" s="64"/>
      <c r="CM989" s="64"/>
      <c r="CN989" s="64"/>
      <c r="CO989" s="64"/>
      <c r="CP989" s="64"/>
      <c r="CQ989" s="64"/>
      <c r="CR989" s="64"/>
      <c r="CS989" s="64"/>
      <c r="CT989" s="64"/>
      <c r="CU989" s="64"/>
      <c r="CV989" s="64"/>
      <c r="CW989" s="64"/>
      <c r="CX989" s="64"/>
    </row>
    <row r="990" spans="1:102" x14ac:dyDescent="0.2">
      <c r="A990" s="64"/>
      <c r="B990" s="64"/>
      <c r="C990" s="102"/>
      <c r="D990" s="102"/>
      <c r="E990" s="102"/>
      <c r="F990" s="102"/>
      <c r="G990" s="102"/>
      <c r="H990" s="102"/>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M990" s="64"/>
      <c r="AN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c r="BU990" s="64"/>
      <c r="BV990" s="64"/>
      <c r="BW990" s="64"/>
      <c r="BX990" s="64"/>
      <c r="BY990" s="64"/>
      <c r="BZ990" s="64"/>
      <c r="CA990" s="64"/>
      <c r="CB990" s="64"/>
      <c r="CC990" s="64"/>
      <c r="CD990" s="64"/>
      <c r="CE990" s="64"/>
      <c r="CF990" s="64"/>
      <c r="CG990" s="64"/>
      <c r="CH990" s="64"/>
      <c r="CI990" s="64"/>
      <c r="CJ990" s="64"/>
      <c r="CK990" s="64"/>
      <c r="CL990" s="64"/>
      <c r="CM990" s="64"/>
      <c r="CN990" s="64"/>
      <c r="CO990" s="64"/>
      <c r="CP990" s="64"/>
      <c r="CQ990" s="64"/>
      <c r="CR990" s="64"/>
      <c r="CS990" s="64"/>
      <c r="CT990" s="64"/>
      <c r="CU990" s="64"/>
      <c r="CV990" s="64"/>
      <c r="CW990" s="64"/>
      <c r="CX990" s="64"/>
    </row>
    <row r="991" spans="1:102" x14ac:dyDescent="0.2">
      <c r="A991" s="64"/>
      <c r="B991" s="64"/>
      <c r="C991" s="102"/>
      <c r="D991" s="102"/>
      <c r="E991" s="102"/>
      <c r="F991" s="102"/>
      <c r="G991" s="102"/>
      <c r="H991" s="102"/>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M991" s="64"/>
      <c r="AN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c r="BU991" s="64"/>
      <c r="BV991" s="64"/>
      <c r="BW991" s="64"/>
      <c r="BX991" s="64"/>
      <c r="BY991" s="64"/>
      <c r="BZ991" s="64"/>
      <c r="CA991" s="64"/>
      <c r="CB991" s="64"/>
      <c r="CC991" s="64"/>
      <c r="CD991" s="64"/>
      <c r="CE991" s="64"/>
      <c r="CF991" s="64"/>
      <c r="CG991" s="64"/>
      <c r="CH991" s="64"/>
      <c r="CI991" s="64"/>
      <c r="CJ991" s="64"/>
      <c r="CK991" s="64"/>
      <c r="CL991" s="64"/>
      <c r="CM991" s="64"/>
      <c r="CN991" s="64"/>
      <c r="CO991" s="64"/>
      <c r="CP991" s="64"/>
      <c r="CQ991" s="64"/>
      <c r="CR991" s="64"/>
      <c r="CS991" s="64"/>
      <c r="CT991" s="64"/>
      <c r="CU991" s="64"/>
      <c r="CV991" s="64"/>
      <c r="CW991" s="64"/>
      <c r="CX991" s="64"/>
    </row>
    <row r="992" spans="1:102" x14ac:dyDescent="0.2">
      <c r="A992" s="64"/>
      <c r="B992" s="64"/>
      <c r="C992" s="102"/>
      <c r="D992" s="102"/>
      <c r="E992" s="102"/>
      <c r="F992" s="102"/>
      <c r="G992" s="102"/>
      <c r="H992" s="102"/>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M992" s="64"/>
      <c r="AN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c r="BU992" s="64"/>
      <c r="BV992" s="64"/>
      <c r="BW992" s="64"/>
      <c r="BX992" s="64"/>
      <c r="BY992" s="64"/>
      <c r="BZ992" s="64"/>
      <c r="CA992" s="64"/>
      <c r="CB992" s="64"/>
      <c r="CC992" s="64"/>
      <c r="CD992" s="64"/>
      <c r="CE992" s="64"/>
      <c r="CF992" s="64"/>
      <c r="CG992" s="64"/>
      <c r="CH992" s="64"/>
      <c r="CI992" s="64"/>
      <c r="CJ992" s="64"/>
      <c r="CK992" s="64"/>
      <c r="CL992" s="64"/>
      <c r="CM992" s="64"/>
      <c r="CN992" s="64"/>
      <c r="CO992" s="64"/>
      <c r="CP992" s="64"/>
      <c r="CQ992" s="64"/>
      <c r="CR992" s="64"/>
      <c r="CS992" s="64"/>
      <c r="CT992" s="64"/>
      <c r="CU992" s="64"/>
      <c r="CV992" s="64"/>
      <c r="CW992" s="64"/>
      <c r="CX992" s="64"/>
    </row>
    <row r="993" spans="1:102" x14ac:dyDescent="0.2">
      <c r="A993" s="64"/>
      <c r="B993" s="64"/>
      <c r="C993" s="102"/>
      <c r="D993" s="102"/>
      <c r="E993" s="102"/>
      <c r="F993" s="102"/>
      <c r="G993" s="102"/>
      <c r="H993" s="102"/>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M993" s="64"/>
      <c r="AN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c r="BU993" s="64"/>
      <c r="BV993" s="64"/>
      <c r="BW993" s="64"/>
      <c r="BX993" s="64"/>
      <c r="BY993" s="64"/>
      <c r="BZ993" s="64"/>
      <c r="CA993" s="64"/>
      <c r="CB993" s="64"/>
      <c r="CC993" s="64"/>
      <c r="CD993" s="64"/>
      <c r="CE993" s="64"/>
      <c r="CF993" s="64"/>
      <c r="CG993" s="64"/>
      <c r="CH993" s="64"/>
      <c r="CI993" s="64"/>
      <c r="CJ993" s="64"/>
      <c r="CK993" s="64"/>
      <c r="CL993" s="64"/>
      <c r="CM993" s="64"/>
      <c r="CN993" s="64"/>
      <c r="CO993" s="64"/>
      <c r="CP993" s="64"/>
      <c r="CQ993" s="64"/>
      <c r="CR993" s="64"/>
      <c r="CS993" s="64"/>
      <c r="CT993" s="64"/>
      <c r="CU993" s="64"/>
      <c r="CV993" s="64"/>
      <c r="CW993" s="64"/>
      <c r="CX993" s="64"/>
    </row>
    <row r="994" spans="1:102" x14ac:dyDescent="0.2">
      <c r="A994" s="64"/>
      <c r="B994" s="64"/>
      <c r="C994" s="102"/>
      <c r="D994" s="102"/>
      <c r="E994" s="102"/>
      <c r="F994" s="102"/>
      <c r="G994" s="102"/>
      <c r="H994" s="102"/>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M994" s="64"/>
      <c r="AN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c r="BU994" s="64"/>
      <c r="BV994" s="64"/>
      <c r="BW994" s="64"/>
      <c r="BX994" s="64"/>
      <c r="BY994" s="64"/>
      <c r="BZ994" s="64"/>
      <c r="CA994" s="64"/>
      <c r="CB994" s="64"/>
      <c r="CC994" s="64"/>
      <c r="CD994" s="64"/>
      <c r="CE994" s="64"/>
      <c r="CF994" s="64"/>
      <c r="CG994" s="64"/>
      <c r="CH994" s="64"/>
      <c r="CI994" s="64"/>
      <c r="CJ994" s="64"/>
      <c r="CK994" s="64"/>
      <c r="CL994" s="64"/>
      <c r="CM994" s="64"/>
      <c r="CN994" s="64"/>
      <c r="CO994" s="64"/>
      <c r="CP994" s="64"/>
      <c r="CQ994" s="64"/>
      <c r="CR994" s="64"/>
      <c r="CS994" s="64"/>
      <c r="CT994" s="64"/>
      <c r="CU994" s="64"/>
      <c r="CV994" s="64"/>
      <c r="CW994" s="64"/>
      <c r="CX994" s="64"/>
    </row>
    <row r="995" spans="1:102" x14ac:dyDescent="0.2">
      <c r="A995" s="64"/>
      <c r="B995" s="64"/>
      <c r="C995" s="102"/>
      <c r="D995" s="102"/>
      <c r="E995" s="102"/>
      <c r="F995" s="102"/>
      <c r="G995" s="102"/>
      <c r="H995" s="102"/>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M995" s="64"/>
      <c r="AN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c r="BU995" s="64"/>
      <c r="BV995" s="64"/>
      <c r="BW995" s="64"/>
      <c r="BX995" s="64"/>
      <c r="BY995" s="64"/>
      <c r="BZ995" s="64"/>
      <c r="CA995" s="64"/>
      <c r="CB995" s="64"/>
      <c r="CC995" s="64"/>
      <c r="CD995" s="64"/>
      <c r="CE995" s="64"/>
      <c r="CF995" s="64"/>
      <c r="CG995" s="64"/>
      <c r="CH995" s="64"/>
      <c r="CI995" s="64"/>
      <c r="CJ995" s="64"/>
      <c r="CK995" s="64"/>
      <c r="CL995" s="64"/>
      <c r="CM995" s="64"/>
      <c r="CN995" s="64"/>
      <c r="CO995" s="64"/>
      <c r="CP995" s="64"/>
      <c r="CQ995" s="64"/>
      <c r="CR995" s="64"/>
      <c r="CS995" s="64"/>
      <c r="CT995" s="64"/>
      <c r="CU995" s="64"/>
      <c r="CV995" s="64"/>
      <c r="CW995" s="64"/>
      <c r="CX995" s="64"/>
    </row>
    <row r="996" spans="1:102" x14ac:dyDescent="0.2">
      <c r="A996" s="64"/>
      <c r="B996" s="64"/>
      <c r="C996" s="102"/>
      <c r="D996" s="102"/>
      <c r="E996" s="102"/>
      <c r="F996" s="102"/>
      <c r="G996" s="102"/>
      <c r="H996" s="102"/>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M996" s="64"/>
      <c r="AN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c r="BU996" s="64"/>
      <c r="BV996" s="64"/>
      <c r="BW996" s="64"/>
      <c r="BX996" s="64"/>
      <c r="BY996" s="64"/>
      <c r="BZ996" s="64"/>
      <c r="CA996" s="64"/>
      <c r="CB996" s="64"/>
      <c r="CC996" s="64"/>
      <c r="CD996" s="64"/>
      <c r="CE996" s="64"/>
      <c r="CF996" s="64"/>
      <c r="CG996" s="64"/>
      <c r="CH996" s="64"/>
      <c r="CI996" s="64"/>
      <c r="CJ996" s="64"/>
      <c r="CK996" s="64"/>
      <c r="CL996" s="64"/>
      <c r="CM996" s="64"/>
      <c r="CN996" s="64"/>
      <c r="CO996" s="64"/>
      <c r="CP996" s="64"/>
      <c r="CQ996" s="64"/>
      <c r="CR996" s="64"/>
      <c r="CS996" s="64"/>
      <c r="CT996" s="64"/>
      <c r="CU996" s="64"/>
      <c r="CV996" s="64"/>
      <c r="CW996" s="64"/>
      <c r="CX996" s="64"/>
    </row>
    <row r="997" spans="1:102" x14ac:dyDescent="0.2">
      <c r="A997" s="64"/>
      <c r="B997" s="64"/>
      <c r="C997" s="102"/>
      <c r="D997" s="102"/>
      <c r="E997" s="102"/>
      <c r="F997" s="102"/>
      <c r="G997" s="102"/>
      <c r="H997" s="102"/>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M997" s="64"/>
      <c r="AN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c r="BU997" s="64"/>
      <c r="BV997" s="64"/>
      <c r="BW997" s="64"/>
      <c r="BX997" s="64"/>
      <c r="BY997" s="64"/>
      <c r="BZ997" s="64"/>
      <c r="CA997" s="64"/>
      <c r="CB997" s="64"/>
      <c r="CC997" s="64"/>
      <c r="CD997" s="64"/>
      <c r="CE997" s="64"/>
      <c r="CF997" s="64"/>
      <c r="CG997" s="64"/>
      <c r="CH997" s="64"/>
      <c r="CI997" s="64"/>
      <c r="CJ997" s="64"/>
      <c r="CK997" s="64"/>
      <c r="CL997" s="64"/>
      <c r="CM997" s="64"/>
      <c r="CN997" s="64"/>
      <c r="CO997" s="64"/>
      <c r="CP997" s="64"/>
      <c r="CQ997" s="64"/>
      <c r="CR997" s="64"/>
      <c r="CS997" s="64"/>
      <c r="CT997" s="64"/>
      <c r="CU997" s="64"/>
      <c r="CV997" s="64"/>
      <c r="CW997" s="64"/>
      <c r="CX997" s="64"/>
    </row>
    <row r="998" spans="1:102" x14ac:dyDescent="0.2">
      <c r="A998" s="64"/>
      <c r="B998" s="64"/>
      <c r="C998" s="102"/>
      <c r="D998" s="102"/>
      <c r="E998" s="102"/>
      <c r="F998" s="102"/>
      <c r="G998" s="102"/>
      <c r="H998" s="102"/>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M998" s="64"/>
      <c r="AN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c r="BU998" s="64"/>
      <c r="BV998" s="64"/>
      <c r="BW998" s="64"/>
      <c r="BX998" s="64"/>
      <c r="BY998" s="64"/>
      <c r="BZ998" s="64"/>
      <c r="CA998" s="64"/>
      <c r="CB998" s="64"/>
      <c r="CC998" s="64"/>
      <c r="CD998" s="64"/>
      <c r="CE998" s="64"/>
      <c r="CF998" s="64"/>
      <c r="CG998" s="64"/>
      <c r="CH998" s="64"/>
      <c r="CI998" s="64"/>
      <c r="CJ998" s="64"/>
      <c r="CK998" s="64"/>
      <c r="CL998" s="64"/>
      <c r="CM998" s="64"/>
      <c r="CN998" s="64"/>
      <c r="CO998" s="64"/>
      <c r="CP998" s="64"/>
      <c r="CQ998" s="64"/>
      <c r="CR998" s="64"/>
      <c r="CS998" s="64"/>
      <c r="CT998" s="64"/>
      <c r="CU998" s="64"/>
      <c r="CV998" s="64"/>
      <c r="CW998" s="64"/>
      <c r="CX998" s="64"/>
    </row>
    <row r="999" spans="1:102" x14ac:dyDescent="0.2">
      <c r="A999" s="64"/>
      <c r="B999" s="64"/>
      <c r="C999" s="102"/>
      <c r="D999" s="102"/>
      <c r="E999" s="102"/>
      <c r="F999" s="102"/>
      <c r="G999" s="102"/>
      <c r="H999" s="102"/>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M999" s="64"/>
      <c r="AN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c r="BU999" s="64"/>
      <c r="BV999" s="64"/>
      <c r="BW999" s="64"/>
      <c r="BX999" s="64"/>
      <c r="BY999" s="64"/>
      <c r="BZ999" s="64"/>
      <c r="CA999" s="64"/>
      <c r="CB999" s="64"/>
      <c r="CC999" s="64"/>
      <c r="CD999" s="64"/>
      <c r="CE999" s="64"/>
      <c r="CF999" s="64"/>
      <c r="CG999" s="64"/>
      <c r="CH999" s="64"/>
      <c r="CI999" s="64"/>
      <c r="CJ999" s="64"/>
      <c r="CK999" s="64"/>
      <c r="CL999" s="64"/>
      <c r="CM999" s="64"/>
      <c r="CN999" s="64"/>
      <c r="CO999" s="64"/>
      <c r="CP999" s="64"/>
      <c r="CQ999" s="64"/>
      <c r="CR999" s="64"/>
      <c r="CS999" s="64"/>
      <c r="CT999" s="64"/>
      <c r="CU999" s="64"/>
      <c r="CV999" s="64"/>
      <c r="CW999" s="64"/>
      <c r="CX999" s="64"/>
    </row>
    <row r="1000" spans="1:102" x14ac:dyDescent="0.2">
      <c r="A1000" s="64"/>
      <c r="B1000" s="64"/>
      <c r="C1000" s="102"/>
      <c r="D1000" s="102"/>
      <c r="E1000" s="102"/>
      <c r="F1000" s="102"/>
      <c r="G1000" s="102"/>
      <c r="H1000" s="102"/>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M1000" s="64"/>
      <c r="AN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c r="BU1000" s="64"/>
      <c r="BV1000" s="64"/>
      <c r="BW1000" s="64"/>
      <c r="BX1000" s="64"/>
      <c r="BY1000" s="64"/>
      <c r="BZ1000" s="64"/>
      <c r="CA1000" s="64"/>
      <c r="CB1000" s="64"/>
      <c r="CC1000" s="64"/>
      <c r="CD1000" s="64"/>
      <c r="CE1000" s="64"/>
      <c r="CF1000" s="64"/>
      <c r="CG1000" s="64"/>
      <c r="CH1000" s="64"/>
      <c r="CI1000" s="64"/>
      <c r="CJ1000" s="64"/>
      <c r="CK1000" s="64"/>
      <c r="CL1000" s="64"/>
      <c r="CM1000" s="64"/>
      <c r="CN1000" s="64"/>
      <c r="CO1000" s="64"/>
      <c r="CP1000" s="64"/>
      <c r="CQ1000" s="64"/>
      <c r="CR1000" s="64"/>
      <c r="CS1000" s="64"/>
      <c r="CT1000" s="64"/>
      <c r="CU1000" s="64"/>
      <c r="CV1000" s="64"/>
      <c r="CW1000" s="64"/>
      <c r="CX1000" s="64"/>
    </row>
    <row r="1001" spans="1:102" x14ac:dyDescent="0.2">
      <c r="A1001" s="64"/>
      <c r="B1001" s="64"/>
      <c r="C1001" s="102"/>
      <c r="D1001" s="102"/>
      <c r="E1001" s="102"/>
      <c r="F1001" s="102"/>
      <c r="G1001" s="102"/>
      <c r="H1001" s="102"/>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M1001" s="64"/>
      <c r="AN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c r="BU1001" s="64"/>
      <c r="BV1001" s="64"/>
      <c r="BW1001" s="64"/>
      <c r="BX1001" s="64"/>
      <c r="BY1001" s="64"/>
      <c r="BZ1001" s="64"/>
      <c r="CA1001" s="64"/>
      <c r="CB1001" s="64"/>
      <c r="CC1001" s="64"/>
      <c r="CD1001" s="64"/>
      <c r="CE1001" s="64"/>
      <c r="CF1001" s="64"/>
      <c r="CG1001" s="64"/>
      <c r="CH1001" s="64"/>
      <c r="CI1001" s="64"/>
      <c r="CJ1001" s="64"/>
      <c r="CK1001" s="64"/>
      <c r="CL1001" s="64"/>
      <c r="CM1001" s="64"/>
      <c r="CN1001" s="64"/>
      <c r="CO1001" s="64"/>
      <c r="CP1001" s="64"/>
      <c r="CQ1001" s="64"/>
      <c r="CR1001" s="64"/>
      <c r="CS1001" s="64"/>
      <c r="CT1001" s="64"/>
      <c r="CU1001" s="64"/>
      <c r="CV1001" s="64"/>
      <c r="CW1001" s="64"/>
      <c r="CX1001" s="64"/>
    </row>
    <row r="1002" spans="1:102" x14ac:dyDescent="0.2">
      <c r="A1002" s="64"/>
      <c r="B1002" s="64"/>
      <c r="C1002" s="102"/>
      <c r="D1002" s="102"/>
      <c r="E1002" s="102"/>
      <c r="F1002" s="102"/>
      <c r="G1002" s="102"/>
      <c r="H1002" s="102"/>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M1002" s="64"/>
      <c r="AN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c r="BU1002" s="64"/>
      <c r="BV1002" s="64"/>
      <c r="BW1002" s="64"/>
      <c r="BX1002" s="64"/>
      <c r="BY1002" s="64"/>
      <c r="BZ1002" s="64"/>
      <c r="CA1002" s="64"/>
      <c r="CB1002" s="64"/>
      <c r="CC1002" s="64"/>
      <c r="CD1002" s="64"/>
      <c r="CE1002" s="64"/>
      <c r="CF1002" s="64"/>
      <c r="CG1002" s="64"/>
      <c r="CH1002" s="64"/>
      <c r="CI1002" s="64"/>
      <c r="CJ1002" s="64"/>
      <c r="CK1002" s="64"/>
      <c r="CL1002" s="64"/>
      <c r="CM1002" s="64"/>
      <c r="CN1002" s="64"/>
      <c r="CO1002" s="64"/>
      <c r="CP1002" s="64"/>
      <c r="CQ1002" s="64"/>
      <c r="CR1002" s="64"/>
      <c r="CS1002" s="64"/>
      <c r="CT1002" s="64"/>
      <c r="CU1002" s="64"/>
      <c r="CV1002" s="64"/>
      <c r="CW1002" s="64"/>
      <c r="CX1002" s="64"/>
    </row>
    <row r="1003" spans="1:102" x14ac:dyDescent="0.2">
      <c r="A1003" s="64"/>
      <c r="B1003" s="64"/>
      <c r="C1003" s="102"/>
      <c r="D1003" s="102"/>
      <c r="E1003" s="102"/>
      <c r="F1003" s="102"/>
      <c r="G1003" s="102"/>
      <c r="H1003" s="102"/>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M1003" s="64"/>
      <c r="AN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c r="BU1003" s="64"/>
      <c r="BV1003" s="64"/>
      <c r="BW1003" s="64"/>
      <c r="BX1003" s="64"/>
      <c r="BY1003" s="64"/>
      <c r="BZ1003" s="64"/>
      <c r="CA1003" s="64"/>
      <c r="CB1003" s="64"/>
      <c r="CC1003" s="64"/>
      <c r="CD1003" s="64"/>
      <c r="CE1003" s="64"/>
      <c r="CF1003" s="64"/>
      <c r="CG1003" s="64"/>
      <c r="CH1003" s="64"/>
      <c r="CI1003" s="64"/>
      <c r="CJ1003" s="64"/>
      <c r="CK1003" s="64"/>
      <c r="CL1003" s="64"/>
      <c r="CM1003" s="64"/>
      <c r="CN1003" s="64"/>
      <c r="CO1003" s="64"/>
      <c r="CP1003" s="64"/>
      <c r="CQ1003" s="64"/>
      <c r="CR1003" s="64"/>
      <c r="CS1003" s="64"/>
      <c r="CT1003" s="64"/>
      <c r="CU1003" s="64"/>
      <c r="CV1003" s="64"/>
      <c r="CW1003" s="64"/>
      <c r="CX1003" s="64"/>
    </row>
    <row r="1004" spans="1:102" x14ac:dyDescent="0.2">
      <c r="A1004" s="64"/>
      <c r="B1004" s="64"/>
      <c r="C1004" s="102"/>
      <c r="D1004" s="102"/>
      <c r="E1004" s="102"/>
      <c r="F1004" s="102"/>
      <c r="G1004" s="102"/>
      <c r="H1004" s="102"/>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M1004" s="64"/>
      <c r="AN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c r="BU1004" s="64"/>
      <c r="BV1004" s="64"/>
      <c r="BW1004" s="64"/>
      <c r="BX1004" s="64"/>
      <c r="BY1004" s="64"/>
      <c r="BZ1004" s="64"/>
      <c r="CA1004" s="64"/>
      <c r="CB1004" s="64"/>
      <c r="CC1004" s="64"/>
      <c r="CD1004" s="64"/>
      <c r="CE1004" s="64"/>
      <c r="CF1004" s="64"/>
      <c r="CG1004" s="64"/>
      <c r="CH1004" s="64"/>
      <c r="CI1004" s="64"/>
      <c r="CJ1004" s="64"/>
      <c r="CK1004" s="64"/>
      <c r="CL1004" s="64"/>
      <c r="CM1004" s="64"/>
      <c r="CN1004" s="64"/>
      <c r="CO1004" s="64"/>
      <c r="CP1004" s="64"/>
      <c r="CQ1004" s="64"/>
      <c r="CR1004" s="64"/>
      <c r="CS1004" s="64"/>
      <c r="CT1004" s="64"/>
      <c r="CU1004" s="64"/>
      <c r="CV1004" s="64"/>
      <c r="CW1004" s="64"/>
      <c r="CX1004" s="64"/>
    </row>
    <row r="1005" spans="1:102" x14ac:dyDescent="0.2">
      <c r="A1005" s="64"/>
      <c r="B1005" s="64"/>
      <c r="C1005" s="102"/>
      <c r="D1005" s="102"/>
      <c r="E1005" s="102"/>
      <c r="F1005" s="102"/>
      <c r="G1005" s="102"/>
      <c r="H1005" s="102"/>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M1005" s="64"/>
      <c r="AN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c r="BU1005" s="64"/>
      <c r="BV1005" s="64"/>
      <c r="BW1005" s="64"/>
      <c r="BX1005" s="64"/>
      <c r="BY1005" s="64"/>
      <c r="BZ1005" s="64"/>
      <c r="CA1005" s="64"/>
      <c r="CB1005" s="64"/>
      <c r="CC1005" s="64"/>
      <c r="CD1005" s="64"/>
      <c r="CE1005" s="64"/>
      <c r="CF1005" s="64"/>
      <c r="CG1005" s="64"/>
      <c r="CH1005" s="64"/>
      <c r="CI1005" s="64"/>
      <c r="CJ1005" s="64"/>
      <c r="CK1005" s="64"/>
      <c r="CL1005" s="64"/>
      <c r="CM1005" s="64"/>
      <c r="CN1005" s="64"/>
      <c r="CO1005" s="64"/>
      <c r="CP1005" s="64"/>
      <c r="CQ1005" s="64"/>
      <c r="CR1005" s="64"/>
      <c r="CS1005" s="64"/>
      <c r="CT1005" s="64"/>
      <c r="CU1005" s="64"/>
      <c r="CV1005" s="64"/>
      <c r="CW1005" s="64"/>
      <c r="CX1005" s="64"/>
    </row>
    <row r="1006" spans="1:102" x14ac:dyDescent="0.2">
      <c r="A1006" s="64"/>
      <c r="B1006" s="64"/>
      <c r="C1006" s="102"/>
      <c r="D1006" s="102"/>
      <c r="E1006" s="102"/>
      <c r="F1006" s="102"/>
      <c r="G1006" s="102"/>
      <c r="H1006" s="102"/>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M1006" s="64"/>
      <c r="AN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c r="BU1006" s="64"/>
      <c r="BV1006" s="64"/>
      <c r="BW1006" s="64"/>
      <c r="BX1006" s="64"/>
      <c r="BY1006" s="64"/>
      <c r="BZ1006" s="64"/>
      <c r="CA1006" s="64"/>
      <c r="CB1006" s="64"/>
      <c r="CC1006" s="64"/>
      <c r="CD1006" s="64"/>
      <c r="CE1006" s="64"/>
      <c r="CF1006" s="64"/>
      <c r="CG1006" s="64"/>
      <c r="CH1006" s="64"/>
      <c r="CI1006" s="64"/>
      <c r="CJ1006" s="64"/>
      <c r="CK1006" s="64"/>
      <c r="CL1006" s="64"/>
      <c r="CM1006" s="64"/>
      <c r="CN1006" s="64"/>
      <c r="CO1006" s="64"/>
      <c r="CP1006" s="64"/>
      <c r="CQ1006" s="64"/>
      <c r="CR1006" s="64"/>
      <c r="CS1006" s="64"/>
      <c r="CT1006" s="64"/>
      <c r="CU1006" s="64"/>
      <c r="CV1006" s="64"/>
      <c r="CW1006" s="64"/>
      <c r="CX1006" s="64"/>
    </row>
    <row r="1007" spans="1:102" x14ac:dyDescent="0.2">
      <c r="A1007" s="64"/>
      <c r="B1007" s="64"/>
      <c r="C1007" s="102"/>
      <c r="D1007" s="102"/>
      <c r="E1007" s="102"/>
      <c r="F1007" s="102"/>
      <c r="G1007" s="102"/>
      <c r="H1007" s="102"/>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M1007" s="64"/>
      <c r="AN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c r="BU1007" s="64"/>
      <c r="BV1007" s="64"/>
      <c r="BW1007" s="64"/>
      <c r="BX1007" s="64"/>
      <c r="BY1007" s="64"/>
      <c r="BZ1007" s="64"/>
      <c r="CA1007" s="64"/>
      <c r="CB1007" s="64"/>
      <c r="CC1007" s="64"/>
      <c r="CD1007" s="64"/>
      <c r="CE1007" s="64"/>
      <c r="CF1007" s="64"/>
      <c r="CG1007" s="64"/>
      <c r="CH1007" s="64"/>
      <c r="CI1007" s="64"/>
      <c r="CJ1007" s="64"/>
      <c r="CK1007" s="64"/>
      <c r="CL1007" s="64"/>
      <c r="CM1007" s="64"/>
      <c r="CN1007" s="64"/>
      <c r="CO1007" s="64"/>
      <c r="CP1007" s="64"/>
      <c r="CQ1007" s="64"/>
      <c r="CR1007" s="64"/>
      <c r="CS1007" s="64"/>
      <c r="CT1007" s="64"/>
      <c r="CU1007" s="64"/>
      <c r="CV1007" s="64"/>
      <c r="CW1007" s="64"/>
      <c r="CX1007" s="64"/>
    </row>
    <row r="1008" spans="1:102" x14ac:dyDescent="0.2">
      <c r="A1008" s="64"/>
      <c r="B1008" s="64"/>
      <c r="C1008" s="102"/>
      <c r="D1008" s="102"/>
      <c r="E1008" s="102"/>
      <c r="F1008" s="102"/>
      <c r="G1008" s="102"/>
      <c r="H1008" s="102"/>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M1008" s="64"/>
      <c r="AN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c r="BU1008" s="64"/>
      <c r="BV1008" s="64"/>
      <c r="BW1008" s="64"/>
      <c r="BX1008" s="64"/>
      <c r="BY1008" s="64"/>
      <c r="BZ1008" s="64"/>
      <c r="CA1008" s="64"/>
      <c r="CB1008" s="64"/>
      <c r="CC1008" s="64"/>
      <c r="CD1008" s="64"/>
      <c r="CE1008" s="64"/>
      <c r="CF1008" s="64"/>
      <c r="CG1008" s="64"/>
      <c r="CH1008" s="64"/>
      <c r="CI1008" s="64"/>
      <c r="CJ1008" s="64"/>
      <c r="CK1008" s="64"/>
      <c r="CL1008" s="64"/>
      <c r="CM1008" s="64"/>
      <c r="CN1008" s="64"/>
      <c r="CO1008" s="64"/>
      <c r="CP1008" s="64"/>
      <c r="CQ1008" s="64"/>
      <c r="CR1008" s="64"/>
      <c r="CS1008" s="64"/>
      <c r="CT1008" s="64"/>
      <c r="CU1008" s="64"/>
      <c r="CV1008" s="64"/>
      <c r="CW1008" s="64"/>
      <c r="CX1008" s="64"/>
    </row>
    <row r="1009" spans="1:102" x14ac:dyDescent="0.2">
      <c r="A1009" s="64"/>
      <c r="B1009" s="64"/>
      <c r="C1009" s="102"/>
      <c r="D1009" s="102"/>
      <c r="E1009" s="102"/>
      <c r="F1009" s="102"/>
      <c r="G1009" s="102"/>
      <c r="H1009" s="102"/>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M1009" s="64"/>
      <c r="AN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c r="BU1009" s="64"/>
      <c r="BV1009" s="64"/>
      <c r="BW1009" s="64"/>
      <c r="BX1009" s="64"/>
      <c r="BY1009" s="64"/>
      <c r="BZ1009" s="64"/>
      <c r="CA1009" s="64"/>
      <c r="CB1009" s="64"/>
      <c r="CC1009" s="64"/>
      <c r="CD1009" s="64"/>
      <c r="CE1009" s="64"/>
      <c r="CF1009" s="64"/>
      <c r="CG1009" s="64"/>
      <c r="CH1009" s="64"/>
      <c r="CI1009" s="64"/>
      <c r="CJ1009" s="64"/>
      <c r="CK1009" s="64"/>
      <c r="CL1009" s="64"/>
      <c r="CM1009" s="64"/>
      <c r="CN1009" s="64"/>
      <c r="CO1009" s="64"/>
      <c r="CP1009" s="64"/>
      <c r="CQ1009" s="64"/>
      <c r="CR1009" s="64"/>
      <c r="CS1009" s="64"/>
      <c r="CT1009" s="64"/>
      <c r="CU1009" s="64"/>
      <c r="CV1009" s="64"/>
      <c r="CW1009" s="64"/>
      <c r="CX1009" s="64"/>
    </row>
    <row r="1010" spans="1:102" x14ac:dyDescent="0.2">
      <c r="A1010" s="64"/>
      <c r="B1010" s="64"/>
      <c r="C1010" s="102"/>
      <c r="D1010" s="102"/>
      <c r="E1010" s="102"/>
      <c r="F1010" s="102"/>
      <c r="G1010" s="102"/>
      <c r="H1010" s="102"/>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M1010" s="64"/>
      <c r="AN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c r="BU1010" s="64"/>
      <c r="BV1010" s="64"/>
      <c r="BW1010" s="64"/>
      <c r="BX1010" s="64"/>
      <c r="BY1010" s="64"/>
      <c r="BZ1010" s="64"/>
      <c r="CA1010" s="64"/>
      <c r="CB1010" s="64"/>
      <c r="CC1010" s="64"/>
      <c r="CD1010" s="64"/>
      <c r="CE1010" s="64"/>
      <c r="CF1010" s="64"/>
      <c r="CG1010" s="64"/>
      <c r="CH1010" s="64"/>
      <c r="CI1010" s="64"/>
      <c r="CJ1010" s="64"/>
      <c r="CK1010" s="64"/>
      <c r="CL1010" s="64"/>
      <c r="CM1010" s="64"/>
      <c r="CN1010" s="64"/>
      <c r="CO1010" s="64"/>
      <c r="CP1010" s="64"/>
      <c r="CQ1010" s="64"/>
      <c r="CR1010" s="64"/>
      <c r="CS1010" s="64"/>
      <c r="CT1010" s="64"/>
      <c r="CU1010" s="64"/>
      <c r="CV1010" s="64"/>
      <c r="CW1010" s="64"/>
      <c r="CX1010" s="64"/>
    </row>
    <row r="1011" spans="1:102" x14ac:dyDescent="0.2">
      <c r="A1011" s="64"/>
      <c r="B1011" s="64"/>
      <c r="C1011" s="102"/>
      <c r="D1011" s="102"/>
      <c r="E1011" s="102"/>
      <c r="F1011" s="102"/>
      <c r="G1011" s="102"/>
      <c r="H1011" s="102"/>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M1011" s="64"/>
      <c r="AN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c r="BU1011" s="64"/>
      <c r="BV1011" s="64"/>
      <c r="BW1011" s="64"/>
      <c r="BX1011" s="64"/>
      <c r="BY1011" s="64"/>
      <c r="BZ1011" s="64"/>
      <c r="CA1011" s="64"/>
      <c r="CB1011" s="64"/>
      <c r="CC1011" s="64"/>
      <c r="CD1011" s="64"/>
      <c r="CE1011" s="64"/>
      <c r="CF1011" s="64"/>
      <c r="CG1011" s="64"/>
      <c r="CH1011" s="64"/>
      <c r="CI1011" s="64"/>
      <c r="CJ1011" s="64"/>
      <c r="CK1011" s="64"/>
      <c r="CL1011" s="64"/>
      <c r="CM1011" s="64"/>
      <c r="CN1011" s="64"/>
      <c r="CO1011" s="64"/>
      <c r="CP1011" s="64"/>
      <c r="CQ1011" s="64"/>
      <c r="CR1011" s="64"/>
      <c r="CS1011" s="64"/>
      <c r="CT1011" s="64"/>
      <c r="CU1011" s="64"/>
      <c r="CV1011" s="64"/>
      <c r="CW1011" s="64"/>
      <c r="CX1011" s="64"/>
    </row>
    <row r="1012" spans="1:102" x14ac:dyDescent="0.2">
      <c r="A1012" s="64"/>
      <c r="B1012" s="64"/>
      <c r="C1012" s="102"/>
      <c r="D1012" s="102"/>
      <c r="E1012" s="102"/>
      <c r="F1012" s="102"/>
      <c r="G1012" s="102"/>
      <c r="H1012" s="102"/>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M1012" s="64"/>
      <c r="AN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c r="BU1012" s="64"/>
      <c r="BV1012" s="64"/>
      <c r="BW1012" s="64"/>
      <c r="BX1012" s="64"/>
      <c r="BY1012" s="64"/>
      <c r="BZ1012" s="64"/>
      <c r="CA1012" s="64"/>
      <c r="CB1012" s="64"/>
      <c r="CC1012" s="64"/>
      <c r="CD1012" s="64"/>
      <c r="CE1012" s="64"/>
      <c r="CF1012" s="64"/>
      <c r="CG1012" s="64"/>
      <c r="CH1012" s="64"/>
      <c r="CI1012" s="64"/>
      <c r="CJ1012" s="64"/>
      <c r="CK1012" s="64"/>
      <c r="CL1012" s="64"/>
      <c r="CM1012" s="64"/>
      <c r="CN1012" s="64"/>
      <c r="CO1012" s="64"/>
      <c r="CP1012" s="64"/>
      <c r="CQ1012" s="64"/>
      <c r="CR1012" s="64"/>
      <c r="CS1012" s="64"/>
      <c r="CT1012" s="64"/>
      <c r="CU1012" s="64"/>
      <c r="CV1012" s="64"/>
      <c r="CW1012" s="64"/>
      <c r="CX1012" s="64"/>
    </row>
    <row r="1013" spans="1:102" x14ac:dyDescent="0.2">
      <c r="A1013" s="64"/>
      <c r="B1013" s="64"/>
      <c r="C1013" s="102"/>
      <c r="D1013" s="102"/>
      <c r="E1013" s="102"/>
      <c r="F1013" s="102"/>
      <c r="G1013" s="102"/>
      <c r="H1013" s="102"/>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M1013" s="64"/>
      <c r="AN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c r="BU1013" s="64"/>
      <c r="BV1013" s="64"/>
      <c r="BW1013" s="64"/>
      <c r="BX1013" s="64"/>
      <c r="BY1013" s="64"/>
      <c r="BZ1013" s="64"/>
      <c r="CA1013" s="64"/>
      <c r="CB1013" s="64"/>
      <c r="CC1013" s="64"/>
      <c r="CD1013" s="64"/>
      <c r="CE1013" s="64"/>
      <c r="CF1013" s="64"/>
      <c r="CG1013" s="64"/>
      <c r="CH1013" s="64"/>
      <c r="CI1013" s="64"/>
      <c r="CJ1013" s="64"/>
      <c r="CK1013" s="64"/>
      <c r="CL1013" s="64"/>
      <c r="CM1013" s="64"/>
      <c r="CN1013" s="64"/>
      <c r="CO1013" s="64"/>
      <c r="CP1013" s="64"/>
      <c r="CQ1013" s="64"/>
      <c r="CR1013" s="64"/>
      <c r="CS1013" s="64"/>
      <c r="CT1013" s="64"/>
      <c r="CU1013" s="64"/>
      <c r="CV1013" s="64"/>
      <c r="CW1013" s="64"/>
      <c r="CX1013" s="64"/>
    </row>
    <row r="1014" spans="1:102" x14ac:dyDescent="0.2">
      <c r="A1014" s="64"/>
      <c r="B1014" s="64"/>
      <c r="C1014" s="102"/>
      <c r="D1014" s="102"/>
      <c r="E1014" s="102"/>
      <c r="F1014" s="102"/>
      <c r="G1014" s="102"/>
      <c r="H1014" s="102"/>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M1014" s="64"/>
      <c r="AN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c r="BU1014" s="64"/>
      <c r="BV1014" s="64"/>
      <c r="BW1014" s="64"/>
      <c r="BX1014" s="64"/>
      <c r="BY1014" s="64"/>
      <c r="BZ1014" s="64"/>
      <c r="CA1014" s="64"/>
      <c r="CB1014" s="64"/>
      <c r="CC1014" s="64"/>
      <c r="CD1014" s="64"/>
      <c r="CE1014" s="64"/>
      <c r="CF1014" s="64"/>
      <c r="CG1014" s="64"/>
      <c r="CH1014" s="64"/>
      <c r="CI1014" s="64"/>
      <c r="CJ1014" s="64"/>
      <c r="CK1014" s="64"/>
      <c r="CL1014" s="64"/>
      <c r="CM1014" s="64"/>
      <c r="CN1014" s="64"/>
      <c r="CO1014" s="64"/>
      <c r="CP1014" s="64"/>
      <c r="CQ1014" s="64"/>
      <c r="CR1014" s="64"/>
      <c r="CS1014" s="64"/>
      <c r="CT1014" s="64"/>
      <c r="CU1014" s="64"/>
      <c r="CV1014" s="64"/>
      <c r="CW1014" s="64"/>
      <c r="CX1014" s="64"/>
    </row>
    <row r="1015" spans="1:102" x14ac:dyDescent="0.2">
      <c r="A1015" s="64"/>
      <c r="B1015" s="64"/>
      <c r="C1015" s="102"/>
      <c r="D1015" s="102"/>
      <c r="E1015" s="102"/>
      <c r="F1015" s="102"/>
      <c r="G1015" s="102"/>
      <c r="H1015" s="102"/>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M1015" s="64"/>
      <c r="AN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c r="BU1015" s="64"/>
      <c r="BV1015" s="64"/>
      <c r="BW1015" s="64"/>
      <c r="BX1015" s="64"/>
      <c r="BY1015" s="64"/>
      <c r="BZ1015" s="64"/>
      <c r="CA1015" s="64"/>
      <c r="CB1015" s="64"/>
      <c r="CC1015" s="64"/>
      <c r="CD1015" s="64"/>
      <c r="CE1015" s="64"/>
      <c r="CF1015" s="64"/>
      <c r="CG1015" s="64"/>
      <c r="CH1015" s="64"/>
      <c r="CI1015" s="64"/>
      <c r="CJ1015" s="64"/>
      <c r="CK1015" s="64"/>
      <c r="CL1015" s="64"/>
      <c r="CM1015" s="64"/>
      <c r="CN1015" s="64"/>
      <c r="CO1015" s="64"/>
      <c r="CP1015" s="64"/>
      <c r="CQ1015" s="64"/>
      <c r="CR1015" s="64"/>
      <c r="CS1015" s="64"/>
      <c r="CT1015" s="64"/>
      <c r="CU1015" s="64"/>
      <c r="CV1015" s="64"/>
      <c r="CW1015" s="64"/>
      <c r="CX1015" s="64"/>
    </row>
    <row r="1016" spans="1:102" x14ac:dyDescent="0.2">
      <c r="A1016" s="64"/>
      <c r="B1016" s="64"/>
      <c r="C1016" s="102"/>
      <c r="D1016" s="102"/>
      <c r="E1016" s="102"/>
      <c r="F1016" s="102"/>
      <c r="G1016" s="102"/>
      <c r="H1016" s="102"/>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M1016" s="64"/>
      <c r="AN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c r="BU1016" s="64"/>
      <c r="BV1016" s="64"/>
      <c r="BW1016" s="64"/>
      <c r="BX1016" s="64"/>
      <c r="BY1016" s="64"/>
      <c r="BZ1016" s="64"/>
      <c r="CA1016" s="64"/>
      <c r="CB1016" s="64"/>
      <c r="CC1016" s="64"/>
      <c r="CD1016" s="64"/>
      <c r="CE1016" s="64"/>
      <c r="CF1016" s="64"/>
      <c r="CG1016" s="64"/>
      <c r="CH1016" s="64"/>
      <c r="CI1016" s="64"/>
      <c r="CJ1016" s="64"/>
      <c r="CK1016" s="64"/>
      <c r="CL1016" s="64"/>
      <c r="CM1016" s="64"/>
      <c r="CN1016" s="64"/>
      <c r="CO1016" s="64"/>
      <c r="CP1016" s="64"/>
      <c r="CQ1016" s="64"/>
      <c r="CR1016" s="64"/>
      <c r="CS1016" s="64"/>
      <c r="CT1016" s="64"/>
      <c r="CU1016" s="64"/>
      <c r="CV1016" s="64"/>
      <c r="CW1016" s="64"/>
      <c r="CX1016" s="64"/>
    </row>
    <row r="1017" spans="1:102" x14ac:dyDescent="0.2">
      <c r="A1017" s="64"/>
      <c r="B1017" s="64"/>
      <c r="C1017" s="102"/>
      <c r="D1017" s="102"/>
      <c r="E1017" s="102"/>
      <c r="F1017" s="102"/>
      <c r="G1017" s="102"/>
      <c r="H1017" s="102"/>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M1017" s="64"/>
      <c r="AN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c r="BU1017" s="64"/>
      <c r="BV1017" s="64"/>
      <c r="BW1017" s="64"/>
      <c r="BX1017" s="64"/>
      <c r="BY1017" s="64"/>
      <c r="BZ1017" s="64"/>
      <c r="CA1017" s="64"/>
      <c r="CB1017" s="64"/>
      <c r="CC1017" s="64"/>
      <c r="CD1017" s="64"/>
      <c r="CE1017" s="64"/>
      <c r="CF1017" s="64"/>
      <c r="CG1017" s="64"/>
      <c r="CH1017" s="64"/>
      <c r="CI1017" s="64"/>
      <c r="CJ1017" s="64"/>
      <c r="CK1017" s="64"/>
      <c r="CL1017" s="64"/>
      <c r="CM1017" s="64"/>
      <c r="CN1017" s="64"/>
      <c r="CO1017" s="64"/>
      <c r="CP1017" s="64"/>
      <c r="CQ1017" s="64"/>
      <c r="CR1017" s="64"/>
      <c r="CS1017" s="64"/>
      <c r="CT1017" s="64"/>
      <c r="CU1017" s="64"/>
      <c r="CV1017" s="64"/>
      <c r="CW1017" s="64"/>
      <c r="CX1017" s="64"/>
    </row>
    <row r="1018" spans="1:102" x14ac:dyDescent="0.2">
      <c r="A1018" s="64"/>
      <c r="B1018" s="64"/>
      <c r="C1018" s="102"/>
      <c r="D1018" s="102"/>
      <c r="E1018" s="102"/>
      <c r="F1018" s="102"/>
      <c r="G1018" s="102"/>
      <c r="H1018" s="102"/>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M1018" s="64"/>
      <c r="AN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c r="BU1018" s="64"/>
      <c r="BV1018" s="64"/>
      <c r="BW1018" s="64"/>
      <c r="BX1018" s="64"/>
      <c r="BY1018" s="64"/>
      <c r="BZ1018" s="64"/>
      <c r="CA1018" s="64"/>
      <c r="CB1018" s="64"/>
      <c r="CC1018" s="64"/>
      <c r="CD1018" s="64"/>
      <c r="CE1018" s="64"/>
      <c r="CF1018" s="64"/>
      <c r="CG1018" s="64"/>
      <c r="CH1018" s="64"/>
      <c r="CI1018" s="64"/>
      <c r="CJ1018" s="64"/>
      <c r="CK1018" s="64"/>
      <c r="CL1018" s="64"/>
      <c r="CM1018" s="64"/>
      <c r="CN1018" s="64"/>
      <c r="CO1018" s="64"/>
      <c r="CP1018" s="64"/>
      <c r="CQ1018" s="64"/>
      <c r="CR1018" s="64"/>
      <c r="CS1018" s="64"/>
      <c r="CT1018" s="64"/>
      <c r="CU1018" s="64"/>
      <c r="CV1018" s="64"/>
      <c r="CW1018" s="64"/>
      <c r="CX1018" s="64"/>
    </row>
    <row r="1019" spans="1:102" x14ac:dyDescent="0.2">
      <c r="A1019" s="64"/>
      <c r="B1019" s="64"/>
      <c r="C1019" s="102"/>
      <c r="D1019" s="102"/>
      <c r="E1019" s="102"/>
      <c r="F1019" s="102"/>
      <c r="G1019" s="102"/>
      <c r="H1019" s="102"/>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M1019" s="64"/>
      <c r="AN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c r="BU1019" s="64"/>
      <c r="BV1019" s="64"/>
      <c r="BW1019" s="64"/>
      <c r="BX1019" s="64"/>
      <c r="BY1019" s="64"/>
      <c r="BZ1019" s="64"/>
      <c r="CA1019" s="64"/>
      <c r="CB1019" s="64"/>
      <c r="CC1019" s="64"/>
      <c r="CD1019" s="64"/>
      <c r="CE1019" s="64"/>
      <c r="CF1019" s="64"/>
      <c r="CG1019" s="64"/>
      <c r="CH1019" s="64"/>
      <c r="CI1019" s="64"/>
      <c r="CJ1019" s="64"/>
      <c r="CK1019" s="64"/>
      <c r="CL1019" s="64"/>
      <c r="CM1019" s="64"/>
      <c r="CN1019" s="64"/>
      <c r="CO1019" s="64"/>
      <c r="CP1019" s="64"/>
      <c r="CQ1019" s="64"/>
      <c r="CR1019" s="64"/>
      <c r="CS1019" s="64"/>
      <c r="CT1019" s="64"/>
      <c r="CU1019" s="64"/>
      <c r="CV1019" s="64"/>
      <c r="CW1019" s="64"/>
      <c r="CX1019" s="64"/>
    </row>
    <row r="1020" spans="1:102" x14ac:dyDescent="0.2">
      <c r="A1020" s="64"/>
      <c r="B1020" s="64"/>
      <c r="C1020" s="102"/>
      <c r="D1020" s="102"/>
      <c r="E1020" s="102"/>
      <c r="F1020" s="102"/>
      <c r="G1020" s="102"/>
      <c r="H1020" s="102"/>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M1020" s="64"/>
      <c r="AN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c r="BU1020" s="64"/>
      <c r="BV1020" s="64"/>
      <c r="BW1020" s="64"/>
      <c r="BX1020" s="64"/>
      <c r="BY1020" s="64"/>
      <c r="BZ1020" s="64"/>
      <c r="CA1020" s="64"/>
      <c r="CB1020" s="64"/>
      <c r="CC1020" s="64"/>
      <c r="CD1020" s="64"/>
      <c r="CE1020" s="64"/>
      <c r="CF1020" s="64"/>
      <c r="CG1020" s="64"/>
      <c r="CH1020" s="64"/>
      <c r="CI1020" s="64"/>
      <c r="CJ1020" s="64"/>
      <c r="CK1020" s="64"/>
      <c r="CL1020" s="64"/>
      <c r="CM1020" s="64"/>
      <c r="CN1020" s="64"/>
      <c r="CO1020" s="64"/>
      <c r="CP1020" s="64"/>
      <c r="CQ1020" s="64"/>
      <c r="CR1020" s="64"/>
      <c r="CS1020" s="64"/>
      <c r="CT1020" s="64"/>
      <c r="CU1020" s="64"/>
      <c r="CV1020" s="64"/>
      <c r="CW1020" s="64"/>
      <c r="CX1020" s="64"/>
    </row>
    <row r="1021" spans="1:102" x14ac:dyDescent="0.2">
      <c r="A1021" s="64"/>
      <c r="B1021" s="64"/>
      <c r="C1021" s="102"/>
      <c r="D1021" s="102"/>
      <c r="E1021" s="102"/>
      <c r="F1021" s="102"/>
      <c r="G1021" s="102"/>
      <c r="H1021" s="102"/>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M1021" s="64"/>
      <c r="AN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c r="BU1021" s="64"/>
      <c r="BV1021" s="64"/>
      <c r="BW1021" s="64"/>
      <c r="BX1021" s="64"/>
      <c r="BY1021" s="64"/>
      <c r="BZ1021" s="64"/>
      <c r="CA1021" s="64"/>
      <c r="CB1021" s="64"/>
      <c r="CC1021" s="64"/>
      <c r="CD1021" s="64"/>
      <c r="CE1021" s="64"/>
      <c r="CF1021" s="64"/>
      <c r="CG1021" s="64"/>
      <c r="CH1021" s="64"/>
      <c r="CI1021" s="64"/>
      <c r="CJ1021" s="64"/>
      <c r="CK1021" s="64"/>
      <c r="CL1021" s="64"/>
      <c r="CM1021" s="64"/>
      <c r="CN1021" s="64"/>
      <c r="CO1021" s="64"/>
      <c r="CP1021" s="64"/>
      <c r="CQ1021" s="64"/>
      <c r="CR1021" s="64"/>
      <c r="CS1021" s="64"/>
      <c r="CT1021" s="64"/>
      <c r="CU1021" s="64"/>
      <c r="CV1021" s="64"/>
      <c r="CW1021" s="64"/>
      <c r="CX1021" s="64"/>
    </row>
    <row r="1022" spans="1:102" x14ac:dyDescent="0.2">
      <c r="A1022" s="64"/>
      <c r="B1022" s="64"/>
      <c r="C1022" s="102"/>
      <c r="D1022" s="102"/>
      <c r="E1022" s="102"/>
      <c r="F1022" s="102"/>
      <c r="G1022" s="102"/>
      <c r="H1022" s="102"/>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M1022" s="64"/>
      <c r="AN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c r="BU1022" s="64"/>
      <c r="BV1022" s="64"/>
      <c r="BW1022" s="64"/>
      <c r="BX1022" s="64"/>
      <c r="BY1022" s="64"/>
      <c r="BZ1022" s="64"/>
      <c r="CA1022" s="64"/>
      <c r="CB1022" s="64"/>
      <c r="CC1022" s="64"/>
      <c r="CD1022" s="64"/>
      <c r="CE1022" s="64"/>
      <c r="CF1022" s="64"/>
      <c r="CG1022" s="64"/>
      <c r="CH1022" s="64"/>
      <c r="CI1022" s="64"/>
      <c r="CJ1022" s="64"/>
      <c r="CK1022" s="64"/>
      <c r="CL1022" s="64"/>
      <c r="CM1022" s="64"/>
      <c r="CN1022" s="64"/>
      <c r="CO1022" s="64"/>
      <c r="CP1022" s="64"/>
      <c r="CQ1022" s="64"/>
      <c r="CR1022" s="64"/>
      <c r="CS1022" s="64"/>
      <c r="CT1022" s="64"/>
      <c r="CU1022" s="64"/>
      <c r="CV1022" s="64"/>
      <c r="CW1022" s="64"/>
      <c r="CX1022" s="64"/>
    </row>
    <row r="1023" spans="1:102" x14ac:dyDescent="0.2">
      <c r="A1023" s="64"/>
      <c r="B1023" s="64"/>
      <c r="C1023" s="102"/>
      <c r="D1023" s="102"/>
      <c r="E1023" s="102"/>
      <c r="F1023" s="102"/>
      <c r="G1023" s="102"/>
      <c r="H1023" s="102"/>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M1023" s="64"/>
      <c r="AN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c r="BU1023" s="64"/>
      <c r="BV1023" s="64"/>
      <c r="BW1023" s="64"/>
      <c r="BX1023" s="64"/>
      <c r="BY1023" s="64"/>
      <c r="BZ1023" s="64"/>
      <c r="CA1023" s="64"/>
      <c r="CB1023" s="64"/>
      <c r="CC1023" s="64"/>
      <c r="CD1023" s="64"/>
      <c r="CE1023" s="64"/>
      <c r="CF1023" s="64"/>
      <c r="CG1023" s="64"/>
      <c r="CH1023" s="64"/>
      <c r="CI1023" s="64"/>
      <c r="CJ1023" s="64"/>
      <c r="CK1023" s="64"/>
      <c r="CL1023" s="64"/>
      <c r="CM1023" s="64"/>
      <c r="CN1023" s="64"/>
      <c r="CO1023" s="64"/>
      <c r="CP1023" s="64"/>
      <c r="CQ1023" s="64"/>
      <c r="CR1023" s="64"/>
      <c r="CS1023" s="64"/>
      <c r="CT1023" s="64"/>
      <c r="CU1023" s="64"/>
      <c r="CV1023" s="64"/>
      <c r="CW1023" s="64"/>
      <c r="CX1023" s="64"/>
    </row>
    <row r="1024" spans="1:102" x14ac:dyDescent="0.2">
      <c r="A1024" s="64"/>
      <c r="B1024" s="64"/>
      <c r="C1024" s="102"/>
      <c r="D1024" s="102"/>
      <c r="E1024" s="102"/>
      <c r="F1024" s="102"/>
      <c r="G1024" s="102"/>
      <c r="H1024" s="102"/>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M1024" s="64"/>
      <c r="AN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c r="BU1024" s="64"/>
      <c r="BV1024" s="64"/>
      <c r="BW1024" s="64"/>
      <c r="BX1024" s="64"/>
      <c r="BY1024" s="64"/>
      <c r="BZ1024" s="64"/>
      <c r="CA1024" s="64"/>
      <c r="CB1024" s="64"/>
      <c r="CC1024" s="64"/>
      <c r="CD1024" s="64"/>
      <c r="CE1024" s="64"/>
      <c r="CF1024" s="64"/>
      <c r="CG1024" s="64"/>
      <c r="CH1024" s="64"/>
      <c r="CI1024" s="64"/>
      <c r="CJ1024" s="64"/>
      <c r="CK1024" s="64"/>
      <c r="CL1024" s="64"/>
      <c r="CM1024" s="64"/>
      <c r="CN1024" s="64"/>
      <c r="CO1024" s="64"/>
      <c r="CP1024" s="64"/>
      <c r="CQ1024" s="64"/>
      <c r="CR1024" s="64"/>
      <c r="CS1024" s="64"/>
      <c r="CT1024" s="64"/>
      <c r="CU1024" s="64"/>
      <c r="CV1024" s="64"/>
      <c r="CW1024" s="64"/>
      <c r="CX1024" s="64"/>
    </row>
    <row r="1025" spans="1:102" x14ac:dyDescent="0.2">
      <c r="A1025" s="64"/>
      <c r="B1025" s="64"/>
      <c r="C1025" s="102"/>
      <c r="D1025" s="102"/>
      <c r="E1025" s="102"/>
      <c r="F1025" s="102"/>
      <c r="G1025" s="102"/>
      <c r="H1025" s="102"/>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M1025" s="64"/>
      <c r="AN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c r="BU1025" s="64"/>
      <c r="BV1025" s="64"/>
      <c r="BW1025" s="64"/>
      <c r="BX1025" s="64"/>
      <c r="BY1025" s="64"/>
      <c r="BZ1025" s="64"/>
      <c r="CA1025" s="64"/>
      <c r="CB1025" s="64"/>
      <c r="CC1025" s="64"/>
      <c r="CD1025" s="64"/>
      <c r="CE1025" s="64"/>
      <c r="CF1025" s="64"/>
      <c r="CG1025" s="64"/>
      <c r="CH1025" s="64"/>
      <c r="CI1025" s="64"/>
      <c r="CJ1025" s="64"/>
      <c r="CK1025" s="64"/>
      <c r="CL1025" s="64"/>
      <c r="CM1025" s="64"/>
      <c r="CN1025" s="64"/>
      <c r="CO1025" s="64"/>
      <c r="CP1025" s="64"/>
      <c r="CQ1025" s="64"/>
      <c r="CR1025" s="64"/>
      <c r="CS1025" s="64"/>
      <c r="CT1025" s="64"/>
      <c r="CU1025" s="64"/>
      <c r="CV1025" s="64"/>
      <c r="CW1025" s="64"/>
      <c r="CX1025" s="64"/>
    </row>
    <row r="1026" spans="1:102" x14ac:dyDescent="0.2">
      <c r="A1026" s="64"/>
      <c r="B1026" s="64"/>
      <c r="C1026" s="102"/>
      <c r="D1026" s="102"/>
      <c r="E1026" s="102"/>
      <c r="F1026" s="102"/>
      <c r="G1026" s="102"/>
      <c r="H1026" s="102"/>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M1026" s="64"/>
      <c r="AN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c r="BU1026" s="64"/>
      <c r="BV1026" s="64"/>
      <c r="BW1026" s="64"/>
      <c r="BX1026" s="64"/>
      <c r="BY1026" s="64"/>
      <c r="BZ1026" s="64"/>
      <c r="CA1026" s="64"/>
      <c r="CB1026" s="64"/>
      <c r="CC1026" s="64"/>
      <c r="CD1026" s="64"/>
      <c r="CE1026" s="64"/>
      <c r="CF1026" s="64"/>
      <c r="CG1026" s="64"/>
      <c r="CH1026" s="64"/>
      <c r="CI1026" s="64"/>
      <c r="CJ1026" s="64"/>
      <c r="CK1026" s="64"/>
      <c r="CL1026" s="64"/>
      <c r="CM1026" s="64"/>
      <c r="CN1026" s="64"/>
      <c r="CO1026" s="64"/>
      <c r="CP1026" s="64"/>
      <c r="CQ1026" s="64"/>
      <c r="CR1026" s="64"/>
      <c r="CS1026" s="64"/>
      <c r="CT1026" s="64"/>
      <c r="CU1026" s="64"/>
      <c r="CV1026" s="64"/>
      <c r="CW1026" s="64"/>
      <c r="CX1026" s="64"/>
    </row>
    <row r="1027" spans="1:102" x14ac:dyDescent="0.2">
      <c r="A1027" s="64"/>
      <c r="B1027" s="64"/>
      <c r="C1027" s="102"/>
      <c r="D1027" s="102"/>
      <c r="E1027" s="102"/>
      <c r="F1027" s="102"/>
      <c r="G1027" s="102"/>
      <c r="H1027" s="102"/>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M1027" s="64"/>
      <c r="AN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c r="BU1027" s="64"/>
      <c r="BV1027" s="64"/>
      <c r="BW1027" s="64"/>
      <c r="BX1027" s="64"/>
      <c r="BY1027" s="64"/>
      <c r="BZ1027" s="64"/>
      <c r="CA1027" s="64"/>
      <c r="CB1027" s="64"/>
      <c r="CC1027" s="64"/>
      <c r="CD1027" s="64"/>
      <c r="CE1027" s="64"/>
      <c r="CF1027" s="64"/>
      <c r="CG1027" s="64"/>
      <c r="CH1027" s="64"/>
      <c r="CI1027" s="64"/>
      <c r="CJ1027" s="64"/>
      <c r="CK1027" s="64"/>
      <c r="CL1027" s="64"/>
      <c r="CM1027" s="64"/>
      <c r="CN1027" s="64"/>
      <c r="CO1027" s="64"/>
      <c r="CP1027" s="64"/>
      <c r="CQ1027" s="64"/>
      <c r="CR1027" s="64"/>
      <c r="CS1027" s="64"/>
      <c r="CT1027" s="64"/>
      <c r="CU1027" s="64"/>
      <c r="CV1027" s="64"/>
      <c r="CW1027" s="64"/>
      <c r="CX1027" s="64"/>
    </row>
    <row r="1028" spans="1:102" x14ac:dyDescent="0.2">
      <c r="A1028" s="64"/>
      <c r="B1028" s="64"/>
      <c r="C1028" s="102"/>
      <c r="D1028" s="102"/>
      <c r="E1028" s="102"/>
      <c r="F1028" s="102"/>
      <c r="G1028" s="102"/>
      <c r="H1028" s="102"/>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M1028" s="64"/>
      <c r="AN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c r="BU1028" s="64"/>
      <c r="BV1028" s="64"/>
      <c r="BW1028" s="64"/>
      <c r="BX1028" s="64"/>
      <c r="BY1028" s="64"/>
      <c r="BZ1028" s="64"/>
      <c r="CA1028" s="64"/>
      <c r="CB1028" s="64"/>
      <c r="CC1028" s="64"/>
      <c r="CD1028" s="64"/>
      <c r="CE1028" s="64"/>
      <c r="CF1028" s="64"/>
      <c r="CG1028" s="64"/>
      <c r="CH1028" s="64"/>
      <c r="CI1028" s="64"/>
      <c r="CJ1028" s="64"/>
      <c r="CK1028" s="64"/>
      <c r="CL1028" s="64"/>
      <c r="CM1028" s="64"/>
      <c r="CN1028" s="64"/>
      <c r="CO1028" s="64"/>
      <c r="CP1028" s="64"/>
      <c r="CQ1028" s="64"/>
      <c r="CR1028" s="64"/>
      <c r="CS1028" s="64"/>
      <c r="CT1028" s="64"/>
      <c r="CU1028" s="64"/>
      <c r="CV1028" s="64"/>
      <c r="CW1028" s="64"/>
      <c r="CX1028" s="64"/>
    </row>
    <row r="1029" spans="1:102" x14ac:dyDescent="0.2">
      <c r="A1029" s="64"/>
      <c r="B1029" s="64"/>
      <c r="C1029" s="102"/>
      <c r="D1029" s="102"/>
      <c r="E1029" s="102"/>
      <c r="F1029" s="102"/>
      <c r="G1029" s="102"/>
      <c r="H1029" s="102"/>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M1029" s="64"/>
      <c r="AN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c r="BU1029" s="64"/>
      <c r="BV1029" s="64"/>
      <c r="BW1029" s="64"/>
      <c r="BX1029" s="64"/>
      <c r="BY1029" s="64"/>
      <c r="BZ1029" s="64"/>
      <c r="CA1029" s="64"/>
      <c r="CB1029" s="64"/>
      <c r="CC1029" s="64"/>
      <c r="CD1029" s="64"/>
      <c r="CE1029" s="64"/>
      <c r="CF1029" s="64"/>
      <c r="CG1029" s="64"/>
      <c r="CH1029" s="64"/>
      <c r="CI1029" s="64"/>
      <c r="CJ1029" s="64"/>
      <c r="CK1029" s="64"/>
      <c r="CL1029" s="64"/>
      <c r="CM1029" s="64"/>
      <c r="CN1029" s="64"/>
      <c r="CO1029" s="64"/>
      <c r="CP1029" s="64"/>
      <c r="CQ1029" s="64"/>
      <c r="CR1029" s="64"/>
      <c r="CS1029" s="64"/>
      <c r="CT1029" s="64"/>
      <c r="CU1029" s="64"/>
      <c r="CV1029" s="64"/>
      <c r="CW1029" s="64"/>
      <c r="CX1029" s="64"/>
    </row>
    <row r="1030" spans="1:102" x14ac:dyDescent="0.2">
      <c r="A1030" s="64"/>
      <c r="B1030" s="64"/>
      <c r="C1030" s="102"/>
      <c r="D1030" s="102"/>
      <c r="E1030" s="102"/>
      <c r="F1030" s="102"/>
      <c r="G1030" s="102"/>
      <c r="H1030" s="102"/>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M1030" s="64"/>
      <c r="AN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c r="BU1030" s="64"/>
      <c r="BV1030" s="64"/>
      <c r="BW1030" s="64"/>
      <c r="BX1030" s="64"/>
      <c r="BY1030" s="64"/>
      <c r="BZ1030" s="64"/>
      <c r="CA1030" s="64"/>
      <c r="CB1030" s="64"/>
      <c r="CC1030" s="64"/>
      <c r="CD1030" s="64"/>
      <c r="CE1030" s="64"/>
      <c r="CF1030" s="64"/>
      <c r="CG1030" s="64"/>
      <c r="CH1030" s="64"/>
      <c r="CI1030" s="64"/>
      <c r="CJ1030" s="64"/>
      <c r="CK1030" s="64"/>
      <c r="CL1030" s="64"/>
      <c r="CM1030" s="64"/>
      <c r="CN1030" s="64"/>
      <c r="CO1030" s="64"/>
      <c r="CP1030" s="64"/>
      <c r="CQ1030" s="64"/>
      <c r="CR1030" s="64"/>
      <c r="CS1030" s="64"/>
      <c r="CT1030" s="64"/>
      <c r="CU1030" s="64"/>
      <c r="CV1030" s="64"/>
      <c r="CW1030" s="64"/>
      <c r="CX1030" s="64"/>
    </row>
    <row r="1031" spans="1:102" x14ac:dyDescent="0.2">
      <c r="A1031" s="64"/>
      <c r="B1031" s="64"/>
      <c r="C1031" s="102"/>
      <c r="D1031" s="102"/>
      <c r="E1031" s="102"/>
      <c r="F1031" s="102"/>
      <c r="G1031" s="102"/>
      <c r="H1031" s="102"/>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M1031" s="64"/>
      <c r="AN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c r="BU1031" s="64"/>
      <c r="BV1031" s="64"/>
      <c r="BW1031" s="64"/>
      <c r="BX1031" s="64"/>
      <c r="BY1031" s="64"/>
      <c r="BZ1031" s="64"/>
      <c r="CA1031" s="64"/>
      <c r="CB1031" s="64"/>
      <c r="CC1031" s="64"/>
      <c r="CD1031" s="64"/>
      <c r="CE1031" s="64"/>
      <c r="CF1031" s="64"/>
      <c r="CG1031" s="64"/>
      <c r="CH1031" s="64"/>
      <c r="CI1031" s="64"/>
      <c r="CJ1031" s="64"/>
      <c r="CK1031" s="64"/>
      <c r="CL1031" s="64"/>
      <c r="CM1031" s="64"/>
      <c r="CN1031" s="64"/>
      <c r="CO1031" s="64"/>
      <c r="CP1031" s="64"/>
      <c r="CQ1031" s="64"/>
      <c r="CR1031" s="64"/>
      <c r="CS1031" s="64"/>
      <c r="CT1031" s="64"/>
      <c r="CU1031" s="64"/>
      <c r="CV1031" s="64"/>
      <c r="CW1031" s="64"/>
      <c r="CX1031" s="64"/>
    </row>
    <row r="1032" spans="1:102" x14ac:dyDescent="0.2">
      <c r="A1032" s="64"/>
      <c r="B1032" s="64"/>
      <c r="C1032" s="102"/>
      <c r="D1032" s="102"/>
      <c r="E1032" s="102"/>
      <c r="F1032" s="102"/>
      <c r="G1032" s="102"/>
      <c r="H1032" s="102"/>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M1032" s="64"/>
      <c r="AN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c r="BU1032" s="64"/>
      <c r="BV1032" s="64"/>
      <c r="BW1032" s="64"/>
      <c r="BX1032" s="64"/>
      <c r="BY1032" s="64"/>
      <c r="BZ1032" s="64"/>
      <c r="CA1032" s="64"/>
      <c r="CB1032" s="64"/>
      <c r="CC1032" s="64"/>
      <c r="CD1032" s="64"/>
      <c r="CE1032" s="64"/>
      <c r="CF1032" s="64"/>
      <c r="CG1032" s="64"/>
      <c r="CH1032" s="64"/>
      <c r="CI1032" s="64"/>
      <c r="CJ1032" s="64"/>
      <c r="CK1032" s="64"/>
      <c r="CL1032" s="64"/>
      <c r="CM1032" s="64"/>
      <c r="CN1032" s="64"/>
      <c r="CO1032" s="64"/>
      <c r="CP1032" s="64"/>
      <c r="CQ1032" s="64"/>
      <c r="CR1032" s="64"/>
      <c r="CS1032" s="64"/>
      <c r="CT1032" s="64"/>
      <c r="CU1032" s="64"/>
      <c r="CV1032" s="64"/>
      <c r="CW1032" s="64"/>
      <c r="CX1032" s="64"/>
    </row>
    <row r="1033" spans="1:102" x14ac:dyDescent="0.2">
      <c r="A1033" s="64"/>
      <c r="B1033" s="64"/>
      <c r="C1033" s="102"/>
      <c r="D1033" s="102"/>
      <c r="E1033" s="102"/>
      <c r="F1033" s="102"/>
      <c r="G1033" s="102"/>
      <c r="H1033" s="102"/>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M1033" s="64"/>
      <c r="AN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c r="BU1033" s="64"/>
      <c r="BV1033" s="64"/>
      <c r="BW1033" s="64"/>
      <c r="BX1033" s="64"/>
      <c r="BY1033" s="64"/>
      <c r="BZ1033" s="64"/>
      <c r="CA1033" s="64"/>
      <c r="CB1033" s="64"/>
      <c r="CC1033" s="64"/>
      <c r="CD1033" s="64"/>
      <c r="CE1033" s="64"/>
      <c r="CF1033" s="64"/>
      <c r="CG1033" s="64"/>
      <c r="CH1033" s="64"/>
      <c r="CI1033" s="64"/>
      <c r="CJ1033" s="64"/>
      <c r="CK1033" s="64"/>
      <c r="CL1033" s="64"/>
      <c r="CM1033" s="64"/>
      <c r="CN1033" s="64"/>
      <c r="CO1033" s="64"/>
      <c r="CP1033" s="64"/>
      <c r="CQ1033" s="64"/>
      <c r="CR1033" s="64"/>
      <c r="CS1033" s="64"/>
      <c r="CT1033" s="64"/>
      <c r="CU1033" s="64"/>
      <c r="CV1033" s="64"/>
      <c r="CW1033" s="64"/>
      <c r="CX1033" s="64"/>
    </row>
    <row r="1034" spans="1:102" x14ac:dyDescent="0.2">
      <c r="A1034" s="64"/>
      <c r="B1034" s="64"/>
      <c r="C1034" s="102"/>
      <c r="D1034" s="102"/>
      <c r="E1034" s="102"/>
      <c r="F1034" s="102"/>
      <c r="G1034" s="102"/>
      <c r="H1034" s="102"/>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M1034" s="64"/>
      <c r="AN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c r="BU1034" s="64"/>
      <c r="BV1034" s="64"/>
      <c r="BW1034" s="64"/>
      <c r="BX1034" s="64"/>
      <c r="BY1034" s="64"/>
      <c r="BZ1034" s="64"/>
      <c r="CA1034" s="64"/>
      <c r="CB1034" s="64"/>
      <c r="CC1034" s="64"/>
      <c r="CD1034" s="64"/>
      <c r="CE1034" s="64"/>
      <c r="CF1034" s="64"/>
      <c r="CG1034" s="64"/>
      <c r="CH1034" s="64"/>
      <c r="CI1034" s="64"/>
      <c r="CJ1034" s="64"/>
      <c r="CK1034" s="64"/>
      <c r="CL1034" s="64"/>
      <c r="CM1034" s="64"/>
      <c r="CN1034" s="64"/>
      <c r="CO1034" s="64"/>
      <c r="CP1034" s="64"/>
      <c r="CQ1034" s="64"/>
      <c r="CR1034" s="64"/>
      <c r="CS1034" s="64"/>
      <c r="CT1034" s="64"/>
      <c r="CU1034" s="64"/>
      <c r="CV1034" s="64"/>
      <c r="CW1034" s="64"/>
      <c r="CX1034" s="64"/>
    </row>
    <row r="1035" spans="1:102" x14ac:dyDescent="0.2">
      <c r="A1035" s="64"/>
      <c r="B1035" s="64"/>
      <c r="C1035" s="102"/>
      <c r="D1035" s="102"/>
      <c r="E1035" s="102"/>
      <c r="F1035" s="102"/>
      <c r="G1035" s="102"/>
      <c r="H1035" s="102"/>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M1035" s="64"/>
      <c r="AN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c r="BU1035" s="64"/>
      <c r="BV1035" s="64"/>
      <c r="BW1035" s="64"/>
      <c r="BX1035" s="64"/>
      <c r="BY1035" s="64"/>
      <c r="BZ1035" s="64"/>
      <c r="CA1035" s="64"/>
      <c r="CB1035" s="64"/>
      <c r="CC1035" s="64"/>
      <c r="CD1035" s="64"/>
      <c r="CE1035" s="64"/>
      <c r="CF1035" s="64"/>
      <c r="CG1035" s="64"/>
      <c r="CH1035" s="64"/>
      <c r="CI1035" s="64"/>
      <c r="CJ1035" s="64"/>
      <c r="CK1035" s="64"/>
      <c r="CL1035" s="64"/>
      <c r="CM1035" s="64"/>
      <c r="CN1035" s="64"/>
      <c r="CO1035" s="64"/>
      <c r="CP1035" s="64"/>
      <c r="CQ1035" s="64"/>
      <c r="CR1035" s="64"/>
      <c r="CS1035" s="64"/>
      <c r="CT1035" s="64"/>
      <c r="CU1035" s="64"/>
      <c r="CV1035" s="64"/>
      <c r="CW1035" s="64"/>
      <c r="CX1035" s="64"/>
    </row>
    <row r="1036" spans="1:102" x14ac:dyDescent="0.2">
      <c r="A1036" s="64"/>
      <c r="B1036" s="64"/>
      <c r="C1036" s="102"/>
      <c r="D1036" s="102"/>
      <c r="E1036" s="102"/>
      <c r="F1036" s="102"/>
      <c r="G1036" s="102"/>
      <c r="H1036" s="102"/>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M1036" s="64"/>
      <c r="AN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c r="BU1036" s="64"/>
      <c r="BV1036" s="64"/>
      <c r="BW1036" s="64"/>
      <c r="BX1036" s="64"/>
      <c r="BY1036" s="64"/>
      <c r="BZ1036" s="64"/>
      <c r="CA1036" s="64"/>
      <c r="CB1036" s="64"/>
      <c r="CC1036" s="64"/>
      <c r="CD1036" s="64"/>
      <c r="CE1036" s="64"/>
      <c r="CF1036" s="64"/>
      <c r="CG1036" s="64"/>
      <c r="CH1036" s="64"/>
      <c r="CI1036" s="64"/>
      <c r="CJ1036" s="64"/>
      <c r="CK1036" s="64"/>
      <c r="CL1036" s="64"/>
      <c r="CM1036" s="64"/>
      <c r="CN1036" s="64"/>
      <c r="CO1036" s="64"/>
      <c r="CP1036" s="64"/>
      <c r="CQ1036" s="64"/>
      <c r="CR1036" s="64"/>
      <c r="CS1036" s="64"/>
      <c r="CT1036" s="64"/>
      <c r="CU1036" s="64"/>
      <c r="CV1036" s="64"/>
      <c r="CW1036" s="64"/>
      <c r="CX1036" s="64"/>
    </row>
    <row r="1037" spans="1:102" x14ac:dyDescent="0.2">
      <c r="A1037" s="64"/>
      <c r="B1037" s="64"/>
      <c r="C1037" s="102"/>
      <c r="D1037" s="102"/>
      <c r="E1037" s="102"/>
      <c r="F1037" s="102"/>
      <c r="G1037" s="102"/>
      <c r="H1037" s="102"/>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M1037" s="64"/>
      <c r="AN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c r="BU1037" s="64"/>
      <c r="BV1037" s="64"/>
      <c r="BW1037" s="64"/>
      <c r="BX1037" s="64"/>
      <c r="BY1037" s="64"/>
      <c r="BZ1037" s="64"/>
      <c r="CA1037" s="64"/>
      <c r="CB1037" s="64"/>
      <c r="CC1037" s="64"/>
      <c r="CD1037" s="64"/>
      <c r="CE1037" s="64"/>
      <c r="CF1037" s="64"/>
      <c r="CG1037" s="64"/>
      <c r="CH1037" s="64"/>
      <c r="CI1037" s="64"/>
      <c r="CJ1037" s="64"/>
      <c r="CK1037" s="64"/>
      <c r="CL1037" s="64"/>
      <c r="CM1037" s="64"/>
      <c r="CN1037" s="64"/>
      <c r="CO1037" s="64"/>
      <c r="CP1037" s="64"/>
      <c r="CQ1037" s="64"/>
      <c r="CR1037" s="64"/>
      <c r="CS1037" s="64"/>
      <c r="CT1037" s="64"/>
      <c r="CU1037" s="64"/>
      <c r="CV1037" s="64"/>
      <c r="CW1037" s="64"/>
      <c r="CX1037" s="64"/>
    </row>
    <row r="1038" spans="1:102" x14ac:dyDescent="0.2">
      <c r="A1038" s="64"/>
      <c r="B1038" s="64"/>
      <c r="C1038" s="102"/>
      <c r="D1038" s="102"/>
      <c r="E1038" s="102"/>
      <c r="F1038" s="102"/>
      <c r="G1038" s="102"/>
      <c r="H1038" s="102"/>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M1038" s="64"/>
      <c r="AN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c r="BU1038" s="64"/>
      <c r="BV1038" s="64"/>
      <c r="BW1038" s="64"/>
      <c r="BX1038" s="64"/>
      <c r="BY1038" s="64"/>
      <c r="BZ1038" s="64"/>
      <c r="CA1038" s="64"/>
      <c r="CB1038" s="64"/>
      <c r="CC1038" s="64"/>
      <c r="CD1038" s="64"/>
      <c r="CE1038" s="64"/>
      <c r="CF1038" s="64"/>
      <c r="CG1038" s="64"/>
      <c r="CH1038" s="64"/>
      <c r="CI1038" s="64"/>
      <c r="CJ1038" s="64"/>
      <c r="CK1038" s="64"/>
      <c r="CL1038" s="64"/>
      <c r="CM1038" s="64"/>
      <c r="CN1038" s="64"/>
      <c r="CO1038" s="64"/>
      <c r="CP1038" s="64"/>
      <c r="CQ1038" s="64"/>
      <c r="CR1038" s="64"/>
      <c r="CS1038" s="64"/>
      <c r="CT1038" s="64"/>
      <c r="CU1038" s="64"/>
      <c r="CV1038" s="64"/>
      <c r="CW1038" s="64"/>
      <c r="CX1038" s="64"/>
    </row>
    <row r="1039" spans="1:102" x14ac:dyDescent="0.2">
      <c r="A1039" s="64"/>
      <c r="B1039" s="64"/>
      <c r="C1039" s="102"/>
      <c r="D1039" s="102"/>
      <c r="E1039" s="102"/>
      <c r="F1039" s="102"/>
      <c r="G1039" s="102"/>
      <c r="H1039" s="102"/>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M1039" s="64"/>
      <c r="AN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c r="BU1039" s="64"/>
      <c r="BV1039" s="64"/>
      <c r="BW1039" s="64"/>
      <c r="BX1039" s="64"/>
      <c r="BY1039" s="64"/>
      <c r="BZ1039" s="64"/>
      <c r="CA1039" s="64"/>
      <c r="CB1039" s="64"/>
      <c r="CC1039" s="64"/>
      <c r="CD1039" s="64"/>
      <c r="CE1039" s="64"/>
      <c r="CF1039" s="64"/>
      <c r="CG1039" s="64"/>
      <c r="CH1039" s="64"/>
      <c r="CI1039" s="64"/>
      <c r="CJ1039" s="64"/>
      <c r="CK1039" s="64"/>
      <c r="CL1039" s="64"/>
      <c r="CM1039" s="64"/>
      <c r="CN1039" s="64"/>
      <c r="CO1039" s="64"/>
      <c r="CP1039" s="64"/>
      <c r="CQ1039" s="64"/>
      <c r="CR1039" s="64"/>
      <c r="CS1039" s="64"/>
      <c r="CT1039" s="64"/>
      <c r="CU1039" s="64"/>
      <c r="CV1039" s="64"/>
      <c r="CW1039" s="64"/>
      <c r="CX1039" s="64"/>
    </row>
    <row r="1040" spans="1:102" x14ac:dyDescent="0.2">
      <c r="A1040" s="64"/>
      <c r="B1040" s="64"/>
      <c r="C1040" s="102"/>
      <c r="D1040" s="102"/>
      <c r="E1040" s="102"/>
      <c r="F1040" s="102"/>
      <c r="G1040" s="102"/>
      <c r="H1040" s="102"/>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M1040" s="64"/>
      <c r="AN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c r="BU1040" s="64"/>
      <c r="BV1040" s="64"/>
      <c r="BW1040" s="64"/>
      <c r="BX1040" s="64"/>
      <c r="BY1040" s="64"/>
      <c r="BZ1040" s="64"/>
      <c r="CA1040" s="64"/>
      <c r="CB1040" s="64"/>
      <c r="CC1040" s="64"/>
      <c r="CD1040" s="64"/>
      <c r="CE1040" s="64"/>
      <c r="CF1040" s="64"/>
      <c r="CG1040" s="64"/>
      <c r="CH1040" s="64"/>
      <c r="CI1040" s="64"/>
      <c r="CJ1040" s="64"/>
      <c r="CK1040" s="64"/>
      <c r="CL1040" s="64"/>
      <c r="CM1040" s="64"/>
      <c r="CN1040" s="64"/>
      <c r="CO1040" s="64"/>
      <c r="CP1040" s="64"/>
      <c r="CQ1040" s="64"/>
      <c r="CR1040" s="64"/>
      <c r="CS1040" s="64"/>
      <c r="CT1040" s="64"/>
      <c r="CU1040" s="64"/>
      <c r="CV1040" s="64"/>
      <c r="CW1040" s="64"/>
      <c r="CX1040" s="64"/>
    </row>
    <row r="1041" spans="1:102" x14ac:dyDescent="0.2">
      <c r="A1041" s="64"/>
      <c r="B1041" s="64"/>
      <c r="C1041" s="102"/>
      <c r="D1041" s="102"/>
      <c r="E1041" s="102"/>
      <c r="F1041" s="102"/>
      <c r="G1041" s="102"/>
      <c r="H1041" s="102"/>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M1041" s="64"/>
      <c r="AN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c r="BU1041" s="64"/>
      <c r="BV1041" s="64"/>
      <c r="BW1041" s="64"/>
      <c r="BX1041" s="64"/>
      <c r="BY1041" s="64"/>
      <c r="BZ1041" s="64"/>
      <c r="CA1041" s="64"/>
      <c r="CB1041" s="64"/>
      <c r="CC1041" s="64"/>
      <c r="CD1041" s="64"/>
      <c r="CE1041" s="64"/>
      <c r="CF1041" s="64"/>
      <c r="CG1041" s="64"/>
      <c r="CH1041" s="64"/>
      <c r="CI1041" s="64"/>
      <c r="CJ1041" s="64"/>
      <c r="CK1041" s="64"/>
      <c r="CL1041" s="64"/>
      <c r="CM1041" s="64"/>
      <c r="CN1041" s="64"/>
      <c r="CO1041" s="64"/>
      <c r="CP1041" s="64"/>
      <c r="CQ1041" s="64"/>
      <c r="CR1041" s="64"/>
      <c r="CS1041" s="64"/>
      <c r="CT1041" s="64"/>
      <c r="CU1041" s="64"/>
      <c r="CV1041" s="64"/>
      <c r="CW1041" s="64"/>
      <c r="CX1041" s="64"/>
    </row>
    <row r="1042" spans="1:102" x14ac:dyDescent="0.2">
      <c r="A1042" s="64"/>
      <c r="B1042" s="64"/>
      <c r="C1042" s="102"/>
      <c r="D1042" s="102"/>
      <c r="E1042" s="102"/>
      <c r="F1042" s="102"/>
      <c r="G1042" s="102"/>
      <c r="H1042" s="102"/>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M1042" s="64"/>
      <c r="AN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c r="BU1042" s="64"/>
      <c r="BV1042" s="64"/>
      <c r="BW1042" s="64"/>
      <c r="BX1042" s="64"/>
      <c r="BY1042" s="64"/>
      <c r="BZ1042" s="64"/>
      <c r="CA1042" s="64"/>
      <c r="CB1042" s="64"/>
      <c r="CC1042" s="64"/>
      <c r="CD1042" s="64"/>
      <c r="CE1042" s="64"/>
      <c r="CF1042" s="64"/>
      <c r="CG1042" s="64"/>
      <c r="CH1042" s="64"/>
      <c r="CI1042" s="64"/>
      <c r="CJ1042" s="64"/>
      <c r="CK1042" s="64"/>
      <c r="CL1042" s="64"/>
      <c r="CM1042" s="64"/>
      <c r="CN1042" s="64"/>
      <c r="CO1042" s="64"/>
      <c r="CP1042" s="64"/>
      <c r="CQ1042" s="64"/>
      <c r="CR1042" s="64"/>
      <c r="CS1042" s="64"/>
      <c r="CT1042" s="64"/>
      <c r="CU1042" s="64"/>
      <c r="CV1042" s="64"/>
      <c r="CW1042" s="64"/>
      <c r="CX1042" s="64"/>
    </row>
    <row r="1043" spans="1:102" x14ac:dyDescent="0.2">
      <c r="A1043" s="64"/>
      <c r="B1043" s="64"/>
      <c r="C1043" s="102"/>
      <c r="D1043" s="102"/>
      <c r="E1043" s="102"/>
      <c r="F1043" s="102"/>
      <c r="G1043" s="102"/>
      <c r="H1043" s="102"/>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M1043" s="64"/>
      <c r="AN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c r="BU1043" s="64"/>
      <c r="BV1043" s="64"/>
      <c r="BW1043" s="64"/>
      <c r="BX1043" s="64"/>
      <c r="BY1043" s="64"/>
      <c r="BZ1043" s="64"/>
      <c r="CA1043" s="64"/>
      <c r="CB1043" s="64"/>
      <c r="CC1043" s="64"/>
      <c r="CD1043" s="64"/>
      <c r="CE1043" s="64"/>
      <c r="CF1043" s="64"/>
      <c r="CG1043" s="64"/>
      <c r="CH1043" s="64"/>
      <c r="CI1043" s="64"/>
      <c r="CJ1043" s="64"/>
      <c r="CK1043" s="64"/>
      <c r="CL1043" s="64"/>
      <c r="CM1043" s="64"/>
      <c r="CN1043" s="64"/>
      <c r="CO1043" s="64"/>
      <c r="CP1043" s="64"/>
      <c r="CQ1043" s="64"/>
      <c r="CR1043" s="64"/>
      <c r="CS1043" s="64"/>
      <c r="CT1043" s="64"/>
      <c r="CU1043" s="64"/>
      <c r="CV1043" s="64"/>
      <c r="CW1043" s="64"/>
      <c r="CX1043" s="64"/>
    </row>
    <row r="1044" spans="1:102" x14ac:dyDescent="0.2">
      <c r="A1044" s="64"/>
      <c r="B1044" s="64"/>
      <c r="C1044" s="102"/>
      <c r="D1044" s="102"/>
      <c r="E1044" s="102"/>
      <c r="F1044" s="102"/>
      <c r="G1044" s="102"/>
      <c r="H1044" s="102"/>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M1044" s="64"/>
      <c r="AN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c r="BU1044" s="64"/>
      <c r="BV1044" s="64"/>
      <c r="BW1044" s="64"/>
      <c r="BX1044" s="64"/>
      <c r="BY1044" s="64"/>
      <c r="BZ1044" s="64"/>
      <c r="CA1044" s="64"/>
      <c r="CB1044" s="64"/>
      <c r="CC1044" s="64"/>
      <c r="CD1044" s="64"/>
      <c r="CE1044" s="64"/>
      <c r="CF1044" s="64"/>
      <c r="CG1044" s="64"/>
      <c r="CH1044" s="64"/>
      <c r="CI1044" s="64"/>
      <c r="CJ1044" s="64"/>
      <c r="CK1044" s="64"/>
      <c r="CL1044" s="64"/>
      <c r="CM1044" s="64"/>
      <c r="CN1044" s="64"/>
      <c r="CO1044" s="64"/>
      <c r="CP1044" s="64"/>
      <c r="CQ1044" s="64"/>
      <c r="CR1044" s="64"/>
      <c r="CS1044" s="64"/>
      <c r="CT1044" s="64"/>
      <c r="CU1044" s="64"/>
      <c r="CV1044" s="64"/>
      <c r="CW1044" s="64"/>
      <c r="CX1044" s="64"/>
    </row>
    <row r="1045" spans="1:102" x14ac:dyDescent="0.2">
      <c r="A1045" s="64"/>
      <c r="B1045" s="64"/>
      <c r="C1045" s="102"/>
      <c r="D1045" s="102"/>
      <c r="E1045" s="102"/>
      <c r="F1045" s="102"/>
      <c r="G1045" s="102"/>
      <c r="H1045" s="102"/>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M1045" s="64"/>
      <c r="AN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c r="BU1045" s="64"/>
      <c r="BV1045" s="64"/>
      <c r="BW1045" s="64"/>
      <c r="BX1045" s="64"/>
      <c r="BY1045" s="64"/>
      <c r="BZ1045" s="64"/>
      <c r="CA1045" s="64"/>
      <c r="CB1045" s="64"/>
      <c r="CC1045" s="64"/>
      <c r="CD1045" s="64"/>
      <c r="CE1045" s="64"/>
      <c r="CF1045" s="64"/>
      <c r="CG1045" s="64"/>
      <c r="CH1045" s="64"/>
      <c r="CI1045" s="64"/>
      <c r="CJ1045" s="64"/>
      <c r="CK1045" s="64"/>
      <c r="CL1045" s="64"/>
      <c r="CM1045" s="64"/>
      <c r="CN1045" s="64"/>
      <c r="CO1045" s="64"/>
      <c r="CP1045" s="64"/>
      <c r="CQ1045" s="64"/>
      <c r="CR1045" s="64"/>
      <c r="CS1045" s="64"/>
      <c r="CT1045" s="64"/>
      <c r="CU1045" s="64"/>
      <c r="CV1045" s="64"/>
      <c r="CW1045" s="64"/>
      <c r="CX1045" s="64"/>
    </row>
    <row r="1046" spans="1:102" x14ac:dyDescent="0.2">
      <c r="A1046" s="64"/>
      <c r="B1046" s="64"/>
      <c r="C1046" s="102"/>
      <c r="D1046" s="102"/>
      <c r="E1046" s="102"/>
      <c r="F1046" s="102"/>
      <c r="G1046" s="102"/>
      <c r="H1046" s="102"/>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M1046" s="64"/>
      <c r="AN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c r="BU1046" s="64"/>
      <c r="BV1046" s="64"/>
      <c r="BW1046" s="64"/>
      <c r="BX1046" s="64"/>
      <c r="BY1046" s="64"/>
      <c r="BZ1046" s="64"/>
      <c r="CA1046" s="64"/>
      <c r="CB1046" s="64"/>
      <c r="CC1046" s="64"/>
      <c r="CD1046" s="64"/>
      <c r="CE1046" s="64"/>
      <c r="CF1046" s="64"/>
      <c r="CG1046" s="64"/>
      <c r="CH1046" s="64"/>
      <c r="CI1046" s="64"/>
      <c r="CJ1046" s="64"/>
      <c r="CK1046" s="64"/>
      <c r="CL1046" s="64"/>
      <c r="CM1046" s="64"/>
      <c r="CN1046" s="64"/>
      <c r="CO1046" s="64"/>
      <c r="CP1046" s="64"/>
      <c r="CQ1046" s="64"/>
      <c r="CR1046" s="64"/>
      <c r="CS1046" s="64"/>
      <c r="CT1046" s="64"/>
      <c r="CU1046" s="64"/>
      <c r="CV1046" s="64"/>
      <c r="CW1046" s="64"/>
      <c r="CX1046" s="64"/>
    </row>
    <row r="1047" spans="1:102" x14ac:dyDescent="0.2">
      <c r="A1047" s="64"/>
      <c r="B1047" s="64"/>
      <c r="C1047" s="102"/>
      <c r="D1047" s="102"/>
      <c r="E1047" s="102"/>
      <c r="F1047" s="102"/>
      <c r="G1047" s="102"/>
      <c r="H1047" s="102"/>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M1047" s="64"/>
      <c r="AN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c r="BU1047" s="64"/>
      <c r="BV1047" s="64"/>
      <c r="BW1047" s="64"/>
      <c r="BX1047" s="64"/>
      <c r="BY1047" s="64"/>
      <c r="BZ1047" s="64"/>
      <c r="CA1047" s="64"/>
      <c r="CB1047" s="64"/>
      <c r="CC1047" s="64"/>
      <c r="CD1047" s="64"/>
      <c r="CE1047" s="64"/>
      <c r="CF1047" s="64"/>
      <c r="CG1047" s="64"/>
      <c r="CH1047" s="64"/>
      <c r="CI1047" s="64"/>
      <c r="CJ1047" s="64"/>
      <c r="CK1047" s="64"/>
      <c r="CL1047" s="64"/>
      <c r="CM1047" s="64"/>
      <c r="CN1047" s="64"/>
      <c r="CO1047" s="64"/>
      <c r="CP1047" s="64"/>
      <c r="CQ1047" s="64"/>
      <c r="CR1047" s="64"/>
      <c r="CS1047" s="64"/>
      <c r="CT1047" s="64"/>
      <c r="CU1047" s="64"/>
      <c r="CV1047" s="64"/>
      <c r="CW1047" s="64"/>
      <c r="CX1047" s="64"/>
    </row>
    <row r="1048" spans="1:102" x14ac:dyDescent="0.2">
      <c r="A1048" s="64"/>
      <c r="B1048" s="64"/>
      <c r="C1048" s="102"/>
      <c r="D1048" s="102"/>
      <c r="E1048" s="102"/>
      <c r="F1048" s="102"/>
      <c r="G1048" s="102"/>
      <c r="H1048" s="102"/>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M1048" s="64"/>
      <c r="AN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c r="BU1048" s="64"/>
      <c r="BV1048" s="64"/>
      <c r="BW1048" s="64"/>
      <c r="BX1048" s="64"/>
      <c r="BY1048" s="64"/>
      <c r="BZ1048" s="64"/>
      <c r="CA1048" s="64"/>
      <c r="CB1048" s="64"/>
      <c r="CC1048" s="64"/>
      <c r="CD1048" s="64"/>
      <c r="CE1048" s="64"/>
      <c r="CF1048" s="64"/>
      <c r="CG1048" s="64"/>
      <c r="CH1048" s="64"/>
      <c r="CI1048" s="64"/>
      <c r="CJ1048" s="64"/>
      <c r="CK1048" s="64"/>
      <c r="CL1048" s="64"/>
      <c r="CM1048" s="64"/>
      <c r="CN1048" s="64"/>
      <c r="CO1048" s="64"/>
      <c r="CP1048" s="64"/>
      <c r="CQ1048" s="64"/>
      <c r="CR1048" s="64"/>
      <c r="CS1048" s="64"/>
      <c r="CT1048" s="64"/>
      <c r="CU1048" s="64"/>
      <c r="CV1048" s="64"/>
      <c r="CW1048" s="64"/>
      <c r="CX1048" s="64"/>
    </row>
    <row r="1049" spans="1:102" x14ac:dyDescent="0.2">
      <c r="A1049" s="64"/>
      <c r="B1049" s="64"/>
      <c r="C1049" s="102"/>
      <c r="D1049" s="102"/>
      <c r="E1049" s="102"/>
      <c r="F1049" s="102"/>
      <c r="G1049" s="102"/>
      <c r="H1049" s="102"/>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M1049" s="64"/>
      <c r="AN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c r="BU1049" s="64"/>
      <c r="BV1049" s="64"/>
      <c r="BW1049" s="64"/>
      <c r="BX1049" s="64"/>
      <c r="BY1049" s="64"/>
      <c r="BZ1049" s="64"/>
      <c r="CA1049" s="64"/>
      <c r="CB1049" s="64"/>
      <c r="CC1049" s="64"/>
      <c r="CD1049" s="64"/>
      <c r="CE1049" s="64"/>
      <c r="CF1049" s="64"/>
      <c r="CG1049" s="64"/>
      <c r="CH1049" s="64"/>
      <c r="CI1049" s="64"/>
      <c r="CJ1049" s="64"/>
      <c r="CK1049" s="64"/>
      <c r="CL1049" s="64"/>
      <c r="CM1049" s="64"/>
      <c r="CN1049" s="64"/>
      <c r="CO1049" s="64"/>
      <c r="CP1049" s="64"/>
      <c r="CQ1049" s="64"/>
      <c r="CR1049" s="64"/>
      <c r="CS1049" s="64"/>
      <c r="CT1049" s="64"/>
      <c r="CU1049" s="64"/>
      <c r="CV1049" s="64"/>
      <c r="CW1049" s="64"/>
      <c r="CX1049" s="64"/>
    </row>
    <row r="1050" spans="1:102" x14ac:dyDescent="0.2">
      <c r="A1050" s="64"/>
      <c r="B1050" s="64"/>
      <c r="C1050" s="102"/>
      <c r="D1050" s="102"/>
      <c r="E1050" s="102"/>
      <c r="F1050" s="102"/>
      <c r="G1050" s="102"/>
      <c r="H1050" s="102"/>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M1050" s="64"/>
      <c r="AN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c r="BU1050" s="64"/>
      <c r="BV1050" s="64"/>
      <c r="BW1050" s="64"/>
      <c r="BX1050" s="64"/>
      <c r="BY1050" s="64"/>
      <c r="BZ1050" s="64"/>
      <c r="CA1050" s="64"/>
      <c r="CB1050" s="64"/>
      <c r="CC1050" s="64"/>
      <c r="CD1050" s="64"/>
      <c r="CE1050" s="64"/>
      <c r="CF1050" s="64"/>
      <c r="CG1050" s="64"/>
      <c r="CH1050" s="64"/>
      <c r="CI1050" s="64"/>
      <c r="CJ1050" s="64"/>
      <c r="CK1050" s="64"/>
      <c r="CL1050" s="64"/>
      <c r="CM1050" s="64"/>
      <c r="CN1050" s="64"/>
      <c r="CO1050" s="64"/>
      <c r="CP1050" s="64"/>
      <c r="CQ1050" s="64"/>
      <c r="CR1050" s="64"/>
      <c r="CS1050" s="64"/>
      <c r="CT1050" s="64"/>
      <c r="CU1050" s="64"/>
      <c r="CV1050" s="64"/>
      <c r="CW1050" s="64"/>
      <c r="CX1050" s="64"/>
    </row>
    <row r="1051" spans="1:102" x14ac:dyDescent="0.2">
      <c r="A1051" s="64"/>
      <c r="B1051" s="64"/>
      <c r="C1051" s="102"/>
      <c r="D1051" s="102"/>
      <c r="E1051" s="102"/>
      <c r="F1051" s="102"/>
      <c r="G1051" s="102"/>
      <c r="H1051" s="102"/>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M1051" s="64"/>
      <c r="AN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c r="BU1051" s="64"/>
      <c r="BV1051" s="64"/>
      <c r="BW1051" s="64"/>
      <c r="BX1051" s="64"/>
      <c r="BY1051" s="64"/>
      <c r="BZ1051" s="64"/>
      <c r="CA1051" s="64"/>
      <c r="CB1051" s="64"/>
      <c r="CC1051" s="64"/>
      <c r="CD1051" s="64"/>
      <c r="CE1051" s="64"/>
      <c r="CF1051" s="64"/>
      <c r="CG1051" s="64"/>
      <c r="CH1051" s="64"/>
      <c r="CI1051" s="64"/>
      <c r="CJ1051" s="64"/>
      <c r="CK1051" s="64"/>
      <c r="CL1051" s="64"/>
      <c r="CM1051" s="64"/>
      <c r="CN1051" s="64"/>
      <c r="CO1051" s="64"/>
      <c r="CP1051" s="64"/>
      <c r="CQ1051" s="64"/>
      <c r="CR1051" s="64"/>
      <c r="CS1051" s="64"/>
      <c r="CT1051" s="64"/>
      <c r="CU1051" s="64"/>
      <c r="CV1051" s="64"/>
      <c r="CW1051" s="64"/>
      <c r="CX1051" s="64"/>
    </row>
    <row r="1052" spans="1:102" x14ac:dyDescent="0.2">
      <c r="A1052" s="64"/>
      <c r="B1052" s="64"/>
      <c r="C1052" s="102"/>
      <c r="D1052" s="102"/>
      <c r="E1052" s="102"/>
      <c r="F1052" s="102"/>
      <c r="G1052" s="102"/>
      <c r="H1052" s="102"/>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M1052" s="64"/>
      <c r="AN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c r="BU1052" s="64"/>
      <c r="BV1052" s="64"/>
      <c r="BW1052" s="64"/>
      <c r="BX1052" s="64"/>
      <c r="BY1052" s="64"/>
      <c r="BZ1052" s="64"/>
      <c r="CA1052" s="64"/>
      <c r="CB1052" s="64"/>
      <c r="CC1052" s="64"/>
      <c r="CD1052" s="64"/>
      <c r="CE1052" s="64"/>
      <c r="CF1052" s="64"/>
      <c r="CG1052" s="64"/>
      <c r="CH1052" s="64"/>
      <c r="CI1052" s="64"/>
      <c r="CJ1052" s="64"/>
      <c r="CK1052" s="64"/>
      <c r="CL1052" s="64"/>
      <c r="CM1052" s="64"/>
      <c r="CN1052" s="64"/>
      <c r="CO1052" s="64"/>
      <c r="CP1052" s="64"/>
      <c r="CQ1052" s="64"/>
      <c r="CR1052" s="64"/>
      <c r="CS1052" s="64"/>
      <c r="CT1052" s="64"/>
      <c r="CU1052" s="64"/>
      <c r="CV1052" s="64"/>
      <c r="CW1052" s="64"/>
      <c r="CX1052" s="64"/>
    </row>
    <row r="1053" spans="1:102" x14ac:dyDescent="0.2">
      <c r="A1053" s="64"/>
      <c r="B1053" s="64"/>
      <c r="C1053" s="102"/>
      <c r="D1053" s="102"/>
      <c r="E1053" s="102"/>
      <c r="F1053" s="102"/>
      <c r="G1053" s="102"/>
      <c r="H1053" s="102"/>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M1053" s="64"/>
      <c r="AN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c r="BU1053" s="64"/>
      <c r="BV1053" s="64"/>
      <c r="BW1053" s="64"/>
      <c r="BX1053" s="64"/>
      <c r="BY1053" s="64"/>
      <c r="BZ1053" s="64"/>
      <c r="CA1053" s="64"/>
      <c r="CB1053" s="64"/>
      <c r="CC1053" s="64"/>
      <c r="CD1053" s="64"/>
      <c r="CE1053" s="64"/>
      <c r="CF1053" s="64"/>
      <c r="CG1053" s="64"/>
      <c r="CH1053" s="64"/>
      <c r="CI1053" s="64"/>
      <c r="CJ1053" s="64"/>
      <c r="CK1053" s="64"/>
      <c r="CL1053" s="64"/>
      <c r="CM1053" s="64"/>
      <c r="CN1053" s="64"/>
      <c r="CO1053" s="64"/>
      <c r="CP1053" s="64"/>
      <c r="CQ1053" s="64"/>
      <c r="CR1053" s="64"/>
      <c r="CS1053" s="64"/>
      <c r="CT1053" s="64"/>
      <c r="CU1053" s="64"/>
      <c r="CV1053" s="64"/>
      <c r="CW1053" s="64"/>
      <c r="CX1053" s="64"/>
    </row>
    <row r="1054" spans="1:102" x14ac:dyDescent="0.2">
      <c r="A1054" s="64"/>
      <c r="B1054" s="64"/>
      <c r="C1054" s="102"/>
      <c r="D1054" s="102"/>
      <c r="E1054" s="102"/>
      <c r="F1054" s="102"/>
      <c r="G1054" s="102"/>
      <c r="H1054" s="102"/>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M1054" s="64"/>
      <c r="AN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c r="BU1054" s="64"/>
      <c r="BV1054" s="64"/>
      <c r="BW1054" s="64"/>
      <c r="BX1054" s="64"/>
      <c r="BY1054" s="64"/>
      <c r="BZ1054" s="64"/>
      <c r="CA1054" s="64"/>
      <c r="CB1054" s="64"/>
      <c r="CC1054" s="64"/>
      <c r="CD1054" s="64"/>
      <c r="CE1054" s="64"/>
      <c r="CF1054" s="64"/>
      <c r="CG1054" s="64"/>
      <c r="CH1054" s="64"/>
      <c r="CI1054" s="64"/>
      <c r="CJ1054" s="64"/>
      <c r="CK1054" s="64"/>
      <c r="CL1054" s="64"/>
      <c r="CM1054" s="64"/>
      <c r="CN1054" s="64"/>
      <c r="CO1054" s="64"/>
      <c r="CP1054" s="64"/>
      <c r="CQ1054" s="64"/>
      <c r="CR1054" s="64"/>
      <c r="CS1054" s="64"/>
      <c r="CT1054" s="64"/>
      <c r="CU1054" s="64"/>
      <c r="CV1054" s="64"/>
      <c r="CW1054" s="64"/>
      <c r="CX1054" s="64"/>
    </row>
    <row r="1055" spans="1:102" x14ac:dyDescent="0.2">
      <c r="A1055" s="64"/>
      <c r="B1055" s="64"/>
      <c r="C1055" s="102"/>
      <c r="D1055" s="102"/>
      <c r="E1055" s="102"/>
      <c r="F1055" s="102"/>
      <c r="G1055" s="102"/>
      <c r="H1055" s="102"/>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M1055" s="64"/>
      <c r="AN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c r="BU1055" s="64"/>
      <c r="BV1055" s="64"/>
      <c r="BW1055" s="64"/>
      <c r="BX1055" s="64"/>
      <c r="BY1055" s="64"/>
      <c r="BZ1055" s="64"/>
      <c r="CA1055" s="64"/>
      <c r="CB1055" s="64"/>
      <c r="CC1055" s="64"/>
      <c r="CD1055" s="64"/>
      <c r="CE1055" s="64"/>
      <c r="CF1055" s="64"/>
      <c r="CG1055" s="64"/>
      <c r="CH1055" s="64"/>
      <c r="CI1055" s="64"/>
      <c r="CJ1055" s="64"/>
      <c r="CK1055" s="64"/>
      <c r="CL1055" s="64"/>
      <c r="CM1055" s="64"/>
      <c r="CN1055" s="64"/>
      <c r="CO1055" s="64"/>
      <c r="CP1055" s="64"/>
      <c r="CQ1055" s="64"/>
      <c r="CR1055" s="64"/>
      <c r="CS1055" s="64"/>
      <c r="CT1055" s="64"/>
      <c r="CU1055" s="64"/>
      <c r="CV1055" s="64"/>
      <c r="CW1055" s="64"/>
      <c r="CX1055" s="64"/>
    </row>
    <row r="1056" spans="1:102" x14ac:dyDescent="0.2">
      <c r="A1056" s="64"/>
      <c r="B1056" s="64"/>
      <c r="C1056" s="102"/>
      <c r="D1056" s="102"/>
      <c r="E1056" s="102"/>
      <c r="F1056" s="102"/>
      <c r="G1056" s="102"/>
      <c r="H1056" s="102"/>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M1056" s="64"/>
      <c r="AN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c r="BU1056" s="64"/>
      <c r="BV1056" s="64"/>
      <c r="BW1056" s="64"/>
      <c r="BX1056" s="64"/>
      <c r="BY1056" s="64"/>
      <c r="BZ1056" s="64"/>
      <c r="CA1056" s="64"/>
      <c r="CB1056" s="64"/>
      <c r="CC1056" s="64"/>
      <c r="CD1056" s="64"/>
      <c r="CE1056" s="64"/>
      <c r="CF1056" s="64"/>
      <c r="CG1056" s="64"/>
      <c r="CH1056" s="64"/>
      <c r="CI1056" s="64"/>
      <c r="CJ1056" s="64"/>
      <c r="CK1056" s="64"/>
      <c r="CL1056" s="64"/>
      <c r="CM1056" s="64"/>
      <c r="CN1056" s="64"/>
      <c r="CO1056" s="64"/>
      <c r="CP1056" s="64"/>
      <c r="CQ1056" s="64"/>
      <c r="CR1056" s="64"/>
      <c r="CS1056" s="64"/>
      <c r="CT1056" s="64"/>
      <c r="CU1056" s="64"/>
      <c r="CV1056" s="64"/>
      <c r="CW1056" s="64"/>
      <c r="CX1056" s="64"/>
    </row>
    <row r="1057" spans="1:102" x14ac:dyDescent="0.2">
      <c r="A1057" s="64"/>
      <c r="B1057" s="64"/>
      <c r="C1057" s="102"/>
      <c r="D1057" s="102"/>
      <c r="E1057" s="102"/>
      <c r="F1057" s="102"/>
      <c r="G1057" s="102"/>
      <c r="H1057" s="102"/>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M1057" s="64"/>
      <c r="AN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c r="BU1057" s="64"/>
      <c r="BV1057" s="64"/>
      <c r="BW1057" s="64"/>
      <c r="BX1057" s="64"/>
      <c r="BY1057" s="64"/>
      <c r="BZ1057" s="64"/>
      <c r="CA1057" s="64"/>
      <c r="CB1057" s="64"/>
      <c r="CC1057" s="64"/>
      <c r="CD1057" s="64"/>
      <c r="CE1057" s="64"/>
      <c r="CF1057" s="64"/>
      <c r="CG1057" s="64"/>
      <c r="CH1057" s="64"/>
      <c r="CI1057" s="64"/>
      <c r="CJ1057" s="64"/>
      <c r="CK1057" s="64"/>
      <c r="CL1057" s="64"/>
      <c r="CM1057" s="64"/>
      <c r="CN1057" s="64"/>
      <c r="CO1057" s="64"/>
      <c r="CP1057" s="64"/>
      <c r="CQ1057" s="64"/>
      <c r="CR1057" s="64"/>
      <c r="CS1057" s="64"/>
      <c r="CT1057" s="64"/>
      <c r="CU1057" s="64"/>
      <c r="CV1057" s="64"/>
      <c r="CW1057" s="64"/>
      <c r="CX1057" s="64"/>
    </row>
    <row r="1058" spans="1:102" x14ac:dyDescent="0.2">
      <c r="A1058" s="64"/>
      <c r="B1058" s="64"/>
      <c r="C1058" s="102"/>
      <c r="D1058" s="102"/>
      <c r="E1058" s="102"/>
      <c r="F1058" s="102"/>
      <c r="G1058" s="102"/>
      <c r="H1058" s="102"/>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M1058" s="64"/>
      <c r="AN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c r="BU1058" s="64"/>
      <c r="BV1058" s="64"/>
      <c r="BW1058" s="64"/>
      <c r="BX1058" s="64"/>
      <c r="BY1058" s="64"/>
      <c r="BZ1058" s="64"/>
      <c r="CA1058" s="64"/>
      <c r="CB1058" s="64"/>
      <c r="CC1058" s="64"/>
      <c r="CD1058" s="64"/>
      <c r="CE1058" s="64"/>
      <c r="CF1058" s="64"/>
      <c r="CG1058" s="64"/>
      <c r="CH1058" s="64"/>
      <c r="CI1058" s="64"/>
      <c r="CJ1058" s="64"/>
      <c r="CK1058" s="64"/>
      <c r="CL1058" s="64"/>
      <c r="CM1058" s="64"/>
      <c r="CN1058" s="64"/>
      <c r="CO1058" s="64"/>
      <c r="CP1058" s="64"/>
      <c r="CQ1058" s="64"/>
      <c r="CR1058" s="64"/>
      <c r="CS1058" s="64"/>
      <c r="CT1058" s="64"/>
      <c r="CU1058" s="64"/>
      <c r="CV1058" s="64"/>
      <c r="CW1058" s="64"/>
      <c r="CX1058" s="64"/>
    </row>
    <row r="1059" spans="1:102" x14ac:dyDescent="0.2">
      <c r="A1059" s="64"/>
      <c r="B1059" s="64"/>
      <c r="C1059" s="102"/>
      <c r="D1059" s="102"/>
      <c r="E1059" s="102"/>
      <c r="F1059" s="102"/>
      <c r="G1059" s="102"/>
      <c r="H1059" s="102"/>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M1059" s="64"/>
      <c r="AN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c r="BU1059" s="64"/>
      <c r="BV1059" s="64"/>
      <c r="BW1059" s="64"/>
      <c r="BX1059" s="64"/>
      <c r="BY1059" s="64"/>
      <c r="BZ1059" s="64"/>
      <c r="CA1059" s="64"/>
      <c r="CB1059" s="64"/>
      <c r="CC1059" s="64"/>
      <c r="CD1059" s="64"/>
      <c r="CE1059" s="64"/>
      <c r="CF1059" s="64"/>
      <c r="CG1059" s="64"/>
      <c r="CH1059" s="64"/>
      <c r="CI1059" s="64"/>
      <c r="CJ1059" s="64"/>
      <c r="CK1059" s="64"/>
      <c r="CL1059" s="64"/>
      <c r="CM1059" s="64"/>
      <c r="CN1059" s="64"/>
      <c r="CO1059" s="64"/>
      <c r="CP1059" s="64"/>
      <c r="CQ1059" s="64"/>
      <c r="CR1059" s="64"/>
      <c r="CS1059" s="64"/>
      <c r="CT1059" s="64"/>
      <c r="CU1059" s="64"/>
      <c r="CV1059" s="64"/>
      <c r="CW1059" s="64"/>
      <c r="CX1059" s="64"/>
    </row>
    <row r="1060" spans="1:102" x14ac:dyDescent="0.2">
      <c r="A1060" s="64"/>
      <c r="B1060" s="64"/>
      <c r="C1060" s="102"/>
      <c r="D1060" s="102"/>
      <c r="E1060" s="102"/>
      <c r="F1060" s="102"/>
      <c r="G1060" s="102"/>
      <c r="H1060" s="102"/>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M1060" s="64"/>
      <c r="AN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c r="BU1060" s="64"/>
      <c r="BV1060" s="64"/>
      <c r="BW1060" s="64"/>
      <c r="BX1060" s="64"/>
      <c r="BY1060" s="64"/>
      <c r="BZ1060" s="64"/>
      <c r="CA1060" s="64"/>
      <c r="CB1060" s="64"/>
      <c r="CC1060" s="64"/>
      <c r="CD1060" s="64"/>
      <c r="CE1060" s="64"/>
      <c r="CF1060" s="64"/>
      <c r="CG1060" s="64"/>
      <c r="CH1060" s="64"/>
      <c r="CI1060" s="64"/>
      <c r="CJ1060" s="64"/>
      <c r="CK1060" s="64"/>
      <c r="CL1060" s="64"/>
      <c r="CM1060" s="64"/>
      <c r="CN1060" s="64"/>
      <c r="CO1060" s="64"/>
      <c r="CP1060" s="64"/>
      <c r="CQ1060" s="64"/>
      <c r="CR1060" s="64"/>
      <c r="CS1060" s="64"/>
      <c r="CT1060" s="64"/>
      <c r="CU1060" s="64"/>
      <c r="CV1060" s="64"/>
      <c r="CW1060" s="64"/>
      <c r="CX1060" s="64"/>
    </row>
    <row r="1061" spans="1:102" x14ac:dyDescent="0.2">
      <c r="A1061" s="64"/>
      <c r="B1061" s="64"/>
      <c r="C1061" s="102"/>
      <c r="D1061" s="102"/>
      <c r="E1061" s="102"/>
      <c r="F1061" s="102"/>
      <c r="G1061" s="102"/>
      <c r="H1061" s="102"/>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M1061" s="64"/>
      <c r="AN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c r="BU1061" s="64"/>
      <c r="BV1061" s="64"/>
      <c r="BW1061" s="64"/>
      <c r="BX1061" s="64"/>
      <c r="BY1061" s="64"/>
      <c r="BZ1061" s="64"/>
      <c r="CA1061" s="64"/>
      <c r="CB1061" s="64"/>
      <c r="CC1061" s="64"/>
      <c r="CD1061" s="64"/>
      <c r="CE1061" s="64"/>
      <c r="CF1061" s="64"/>
      <c r="CG1061" s="64"/>
      <c r="CH1061" s="64"/>
      <c r="CI1061" s="64"/>
      <c r="CJ1061" s="64"/>
      <c r="CK1061" s="64"/>
      <c r="CL1061" s="64"/>
      <c r="CM1061" s="64"/>
      <c r="CN1061" s="64"/>
      <c r="CO1061" s="64"/>
      <c r="CP1061" s="64"/>
      <c r="CQ1061" s="64"/>
      <c r="CR1061" s="64"/>
      <c r="CS1061" s="64"/>
      <c r="CT1061" s="64"/>
      <c r="CU1061" s="64"/>
      <c r="CV1061" s="64"/>
      <c r="CW1061" s="64"/>
      <c r="CX1061" s="64"/>
    </row>
    <row r="1062" spans="1:102" x14ac:dyDescent="0.2">
      <c r="A1062" s="64"/>
      <c r="B1062" s="64"/>
      <c r="C1062" s="102"/>
      <c r="D1062" s="102"/>
      <c r="E1062" s="102"/>
      <c r="F1062" s="102"/>
      <c r="G1062" s="102"/>
      <c r="H1062" s="102"/>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M1062" s="64"/>
      <c r="AN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c r="BU1062" s="64"/>
      <c r="BV1062" s="64"/>
      <c r="BW1062" s="64"/>
      <c r="BX1062" s="64"/>
      <c r="BY1062" s="64"/>
      <c r="BZ1062" s="64"/>
      <c r="CA1062" s="64"/>
      <c r="CB1062" s="64"/>
      <c r="CC1062" s="64"/>
      <c r="CD1062" s="64"/>
      <c r="CE1062" s="64"/>
      <c r="CF1062" s="64"/>
      <c r="CG1062" s="64"/>
      <c r="CH1062" s="64"/>
      <c r="CI1062" s="64"/>
      <c r="CJ1062" s="64"/>
      <c r="CK1062" s="64"/>
      <c r="CL1062" s="64"/>
      <c r="CM1062" s="64"/>
      <c r="CN1062" s="64"/>
      <c r="CO1062" s="64"/>
      <c r="CP1062" s="64"/>
      <c r="CQ1062" s="64"/>
      <c r="CR1062" s="64"/>
      <c r="CS1062" s="64"/>
      <c r="CT1062" s="64"/>
      <c r="CU1062" s="64"/>
      <c r="CV1062" s="64"/>
      <c r="CW1062" s="64"/>
      <c r="CX1062" s="64"/>
    </row>
    <row r="1063" spans="1:102" x14ac:dyDescent="0.2">
      <c r="A1063" s="64"/>
      <c r="B1063" s="64"/>
      <c r="C1063" s="102"/>
      <c r="D1063" s="102"/>
      <c r="E1063" s="102"/>
      <c r="F1063" s="102"/>
      <c r="G1063" s="102"/>
      <c r="H1063" s="102"/>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M1063" s="64"/>
      <c r="AN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c r="BU1063" s="64"/>
      <c r="BV1063" s="64"/>
      <c r="BW1063" s="64"/>
      <c r="BX1063" s="64"/>
      <c r="BY1063" s="64"/>
      <c r="BZ1063" s="64"/>
      <c r="CA1063" s="64"/>
      <c r="CB1063" s="64"/>
      <c r="CC1063" s="64"/>
      <c r="CD1063" s="64"/>
      <c r="CE1063" s="64"/>
      <c r="CF1063" s="64"/>
      <c r="CG1063" s="64"/>
      <c r="CH1063" s="64"/>
      <c r="CI1063" s="64"/>
      <c r="CJ1063" s="64"/>
      <c r="CK1063" s="64"/>
      <c r="CL1063" s="64"/>
      <c r="CM1063" s="64"/>
      <c r="CN1063" s="64"/>
      <c r="CO1063" s="64"/>
      <c r="CP1063" s="64"/>
      <c r="CQ1063" s="64"/>
      <c r="CR1063" s="64"/>
      <c r="CS1063" s="64"/>
      <c r="CT1063" s="64"/>
      <c r="CU1063" s="64"/>
      <c r="CV1063" s="64"/>
      <c r="CW1063" s="64"/>
      <c r="CX1063" s="64"/>
    </row>
    <row r="1064" spans="1:102" x14ac:dyDescent="0.2">
      <c r="A1064" s="64"/>
      <c r="B1064" s="64"/>
      <c r="C1064" s="102"/>
      <c r="D1064" s="102"/>
      <c r="E1064" s="102"/>
      <c r="F1064" s="102"/>
      <c r="G1064" s="102"/>
      <c r="H1064" s="102"/>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M1064" s="64"/>
      <c r="AN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c r="BU1064" s="64"/>
      <c r="BV1064" s="64"/>
      <c r="BW1064" s="64"/>
      <c r="BX1064" s="64"/>
      <c r="BY1064" s="64"/>
      <c r="BZ1064" s="64"/>
      <c r="CA1064" s="64"/>
      <c r="CB1064" s="64"/>
      <c r="CC1064" s="64"/>
      <c r="CD1064" s="64"/>
      <c r="CE1064" s="64"/>
      <c r="CF1064" s="64"/>
      <c r="CG1064" s="64"/>
      <c r="CH1064" s="64"/>
      <c r="CI1064" s="64"/>
      <c r="CJ1064" s="64"/>
      <c r="CK1064" s="64"/>
      <c r="CL1064" s="64"/>
      <c r="CM1064" s="64"/>
      <c r="CN1064" s="64"/>
      <c r="CO1064" s="64"/>
      <c r="CP1064" s="64"/>
      <c r="CQ1064" s="64"/>
      <c r="CR1064" s="64"/>
      <c r="CS1064" s="64"/>
      <c r="CT1064" s="64"/>
      <c r="CU1064" s="64"/>
      <c r="CV1064" s="64"/>
      <c r="CW1064" s="64"/>
      <c r="CX1064" s="64"/>
    </row>
    <row r="1065" spans="1:102" x14ac:dyDescent="0.2">
      <c r="A1065" s="64"/>
      <c r="B1065" s="64"/>
      <c r="C1065" s="102"/>
      <c r="D1065" s="102"/>
      <c r="E1065" s="102"/>
      <c r="F1065" s="102"/>
      <c r="G1065" s="102"/>
      <c r="H1065" s="102"/>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M1065" s="64"/>
      <c r="AN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c r="BU1065" s="64"/>
      <c r="BV1065" s="64"/>
      <c r="BW1065" s="64"/>
      <c r="BX1065" s="64"/>
      <c r="BY1065" s="64"/>
      <c r="BZ1065" s="64"/>
      <c r="CA1065" s="64"/>
      <c r="CB1065" s="64"/>
      <c r="CC1065" s="64"/>
      <c r="CD1065" s="64"/>
      <c r="CE1065" s="64"/>
      <c r="CF1065" s="64"/>
      <c r="CG1065" s="64"/>
      <c r="CH1065" s="64"/>
      <c r="CI1065" s="64"/>
      <c r="CJ1065" s="64"/>
      <c r="CK1065" s="64"/>
      <c r="CL1065" s="64"/>
      <c r="CM1065" s="64"/>
      <c r="CN1065" s="64"/>
      <c r="CO1065" s="64"/>
      <c r="CP1065" s="64"/>
      <c r="CQ1065" s="64"/>
      <c r="CR1065" s="64"/>
      <c r="CS1065" s="64"/>
      <c r="CT1065" s="64"/>
      <c r="CU1065" s="64"/>
      <c r="CV1065" s="64"/>
      <c r="CW1065" s="64"/>
      <c r="CX1065" s="64"/>
    </row>
    <row r="1066" spans="1:102" x14ac:dyDescent="0.2">
      <c r="A1066" s="64"/>
      <c r="B1066" s="64"/>
      <c r="C1066" s="102"/>
      <c r="D1066" s="102"/>
      <c r="E1066" s="102"/>
      <c r="F1066" s="102"/>
      <c r="G1066" s="102"/>
      <c r="H1066" s="102"/>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M1066" s="64"/>
      <c r="AN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c r="BU1066" s="64"/>
      <c r="BV1066" s="64"/>
      <c r="BW1066" s="64"/>
      <c r="BX1066" s="64"/>
      <c r="BY1066" s="64"/>
      <c r="BZ1066" s="64"/>
      <c r="CA1066" s="64"/>
      <c r="CB1066" s="64"/>
      <c r="CC1066" s="64"/>
      <c r="CD1066" s="64"/>
      <c r="CE1066" s="64"/>
      <c r="CF1066" s="64"/>
      <c r="CG1066" s="64"/>
      <c r="CH1066" s="64"/>
      <c r="CI1066" s="64"/>
      <c r="CJ1066" s="64"/>
      <c r="CK1066" s="64"/>
      <c r="CL1066" s="64"/>
      <c r="CM1066" s="64"/>
      <c r="CN1066" s="64"/>
      <c r="CO1066" s="64"/>
      <c r="CP1066" s="64"/>
      <c r="CQ1066" s="64"/>
      <c r="CR1066" s="64"/>
      <c r="CS1066" s="64"/>
      <c r="CT1066" s="64"/>
      <c r="CU1066" s="64"/>
      <c r="CV1066" s="64"/>
      <c r="CW1066" s="64"/>
      <c r="CX1066" s="64"/>
    </row>
    <row r="1067" spans="1:102" x14ac:dyDescent="0.2">
      <c r="A1067" s="64"/>
      <c r="B1067" s="64"/>
      <c r="C1067" s="102"/>
      <c r="D1067" s="102"/>
      <c r="E1067" s="102"/>
      <c r="F1067" s="102"/>
      <c r="G1067" s="102"/>
      <c r="H1067" s="102"/>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M1067" s="64"/>
      <c r="AN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c r="BU1067" s="64"/>
      <c r="BV1067" s="64"/>
      <c r="BW1067" s="64"/>
      <c r="BX1067" s="64"/>
      <c r="BY1067" s="64"/>
      <c r="BZ1067" s="64"/>
      <c r="CA1067" s="64"/>
      <c r="CB1067" s="64"/>
      <c r="CC1067" s="64"/>
      <c r="CD1067" s="64"/>
      <c r="CE1067" s="64"/>
      <c r="CF1067" s="64"/>
      <c r="CG1067" s="64"/>
      <c r="CH1067" s="64"/>
      <c r="CI1067" s="64"/>
      <c r="CJ1067" s="64"/>
      <c r="CK1067" s="64"/>
      <c r="CL1067" s="64"/>
      <c r="CM1067" s="64"/>
      <c r="CN1067" s="64"/>
      <c r="CO1067" s="64"/>
      <c r="CP1067" s="64"/>
      <c r="CQ1067" s="64"/>
      <c r="CR1067" s="64"/>
      <c r="CS1067" s="64"/>
      <c r="CT1067" s="64"/>
      <c r="CU1067" s="64"/>
      <c r="CV1067" s="64"/>
      <c r="CW1067" s="64"/>
      <c r="CX1067" s="64"/>
    </row>
    <row r="1068" spans="1:102" x14ac:dyDescent="0.2">
      <c r="A1068" s="64"/>
      <c r="B1068" s="64"/>
      <c r="C1068" s="102"/>
      <c r="D1068" s="102"/>
      <c r="E1068" s="102"/>
      <c r="F1068" s="102"/>
      <c r="G1068" s="102"/>
      <c r="H1068" s="102"/>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M1068" s="64"/>
      <c r="AN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c r="BU1068" s="64"/>
      <c r="BV1068" s="64"/>
      <c r="BW1068" s="64"/>
      <c r="BX1068" s="64"/>
      <c r="BY1068" s="64"/>
      <c r="BZ1068" s="64"/>
      <c r="CA1068" s="64"/>
      <c r="CB1068" s="64"/>
      <c r="CC1068" s="64"/>
      <c r="CD1068" s="64"/>
      <c r="CE1068" s="64"/>
      <c r="CF1068" s="64"/>
      <c r="CG1068" s="64"/>
      <c r="CH1068" s="64"/>
      <c r="CI1068" s="64"/>
      <c r="CJ1068" s="64"/>
      <c r="CK1068" s="64"/>
      <c r="CL1068" s="64"/>
      <c r="CM1068" s="64"/>
      <c r="CN1068" s="64"/>
      <c r="CO1068" s="64"/>
      <c r="CP1068" s="64"/>
      <c r="CQ1068" s="64"/>
      <c r="CR1068" s="64"/>
      <c r="CS1068" s="64"/>
      <c r="CT1068" s="64"/>
      <c r="CU1068" s="64"/>
      <c r="CV1068" s="64"/>
      <c r="CW1068" s="64"/>
      <c r="CX1068" s="64"/>
    </row>
    <row r="1069" spans="1:102" x14ac:dyDescent="0.2">
      <c r="A1069" s="64"/>
      <c r="B1069" s="64"/>
      <c r="C1069" s="102"/>
      <c r="D1069" s="102"/>
      <c r="E1069" s="102"/>
      <c r="F1069" s="102"/>
      <c r="G1069" s="102"/>
      <c r="H1069" s="102"/>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M1069" s="64"/>
      <c r="AN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c r="BU1069" s="64"/>
      <c r="BV1069" s="64"/>
      <c r="BW1069" s="64"/>
      <c r="BX1069" s="64"/>
      <c r="BY1069" s="64"/>
      <c r="BZ1069" s="64"/>
      <c r="CA1069" s="64"/>
      <c r="CB1069" s="64"/>
      <c r="CC1069" s="64"/>
      <c r="CD1069" s="64"/>
      <c r="CE1069" s="64"/>
      <c r="CF1069" s="64"/>
      <c r="CG1069" s="64"/>
      <c r="CH1069" s="64"/>
      <c r="CI1069" s="64"/>
      <c r="CJ1069" s="64"/>
      <c r="CK1069" s="64"/>
      <c r="CL1069" s="64"/>
      <c r="CM1069" s="64"/>
      <c r="CN1069" s="64"/>
      <c r="CO1069" s="64"/>
      <c r="CP1069" s="64"/>
      <c r="CQ1069" s="64"/>
      <c r="CR1069" s="64"/>
      <c r="CS1069" s="64"/>
      <c r="CT1069" s="64"/>
      <c r="CU1069" s="64"/>
      <c r="CV1069" s="64"/>
      <c r="CW1069" s="64"/>
      <c r="CX1069" s="64"/>
    </row>
    <row r="1070" spans="1:102" x14ac:dyDescent="0.2">
      <c r="A1070" s="64"/>
      <c r="B1070" s="64"/>
      <c r="C1070" s="102"/>
      <c r="D1070" s="102"/>
      <c r="E1070" s="102"/>
      <c r="F1070" s="102"/>
      <c r="G1070" s="102"/>
      <c r="H1070" s="102"/>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M1070" s="64"/>
      <c r="AN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c r="BU1070" s="64"/>
      <c r="BV1070" s="64"/>
      <c r="BW1070" s="64"/>
      <c r="BX1070" s="64"/>
      <c r="BY1070" s="64"/>
      <c r="BZ1070" s="64"/>
      <c r="CA1070" s="64"/>
      <c r="CB1070" s="64"/>
      <c r="CC1070" s="64"/>
      <c r="CD1070" s="64"/>
      <c r="CE1070" s="64"/>
      <c r="CF1070" s="64"/>
      <c r="CG1070" s="64"/>
      <c r="CH1070" s="64"/>
      <c r="CI1070" s="64"/>
      <c r="CJ1070" s="64"/>
      <c r="CK1070" s="64"/>
      <c r="CL1070" s="64"/>
      <c r="CM1070" s="64"/>
      <c r="CN1070" s="64"/>
      <c r="CO1070" s="64"/>
      <c r="CP1070" s="64"/>
      <c r="CQ1070" s="64"/>
      <c r="CR1070" s="64"/>
      <c r="CS1070" s="64"/>
      <c r="CT1070" s="64"/>
      <c r="CU1070" s="64"/>
      <c r="CV1070" s="64"/>
      <c r="CW1070" s="64"/>
      <c r="CX1070" s="64"/>
    </row>
    <row r="1071" spans="1:102" x14ac:dyDescent="0.2">
      <c r="A1071" s="64"/>
      <c r="B1071" s="64"/>
      <c r="C1071" s="102"/>
      <c r="D1071" s="102"/>
      <c r="E1071" s="102"/>
      <c r="F1071" s="102"/>
      <c r="G1071" s="102"/>
      <c r="H1071" s="102"/>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M1071" s="64"/>
      <c r="AN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c r="BU1071" s="64"/>
      <c r="BV1071" s="64"/>
      <c r="BW1071" s="64"/>
      <c r="BX1071" s="64"/>
      <c r="BY1071" s="64"/>
      <c r="BZ1071" s="64"/>
      <c r="CA1071" s="64"/>
      <c r="CB1071" s="64"/>
      <c r="CC1071" s="64"/>
      <c r="CD1071" s="64"/>
      <c r="CE1071" s="64"/>
      <c r="CF1071" s="64"/>
      <c r="CG1071" s="64"/>
      <c r="CH1071" s="64"/>
      <c r="CI1071" s="64"/>
      <c r="CJ1071" s="64"/>
      <c r="CK1071" s="64"/>
      <c r="CL1071" s="64"/>
      <c r="CM1071" s="64"/>
      <c r="CN1071" s="64"/>
      <c r="CO1071" s="64"/>
      <c r="CP1071" s="64"/>
      <c r="CQ1071" s="64"/>
      <c r="CR1071" s="64"/>
      <c r="CS1071" s="64"/>
      <c r="CT1071" s="64"/>
      <c r="CU1071" s="64"/>
      <c r="CV1071" s="64"/>
      <c r="CW1071" s="64"/>
      <c r="CX1071" s="64"/>
    </row>
    <row r="1072" spans="1:102" x14ac:dyDescent="0.2">
      <c r="A1072" s="64"/>
      <c r="B1072" s="64"/>
      <c r="C1072" s="102"/>
      <c r="D1072" s="102"/>
      <c r="E1072" s="102"/>
      <c r="F1072" s="102"/>
      <c r="G1072" s="102"/>
      <c r="H1072" s="102"/>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M1072" s="64"/>
      <c r="AN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c r="BU1072" s="64"/>
      <c r="BV1072" s="64"/>
      <c r="BW1072" s="64"/>
      <c r="BX1072" s="64"/>
      <c r="BY1072" s="64"/>
      <c r="BZ1072" s="64"/>
      <c r="CA1072" s="64"/>
      <c r="CB1072" s="64"/>
      <c r="CC1072" s="64"/>
      <c r="CD1072" s="64"/>
      <c r="CE1072" s="64"/>
      <c r="CF1072" s="64"/>
      <c r="CG1072" s="64"/>
      <c r="CH1072" s="64"/>
      <c r="CI1072" s="64"/>
      <c r="CJ1072" s="64"/>
      <c r="CK1072" s="64"/>
      <c r="CL1072" s="64"/>
      <c r="CM1072" s="64"/>
      <c r="CN1072" s="64"/>
      <c r="CO1072" s="64"/>
      <c r="CP1072" s="64"/>
      <c r="CQ1072" s="64"/>
      <c r="CR1072" s="64"/>
      <c r="CS1072" s="64"/>
      <c r="CT1072" s="64"/>
      <c r="CU1072" s="64"/>
      <c r="CV1072" s="64"/>
      <c r="CW1072" s="64"/>
      <c r="CX1072" s="64"/>
    </row>
    <row r="1073" spans="1:102" x14ac:dyDescent="0.2">
      <c r="A1073" s="64"/>
      <c r="B1073" s="64"/>
      <c r="C1073" s="102"/>
      <c r="D1073" s="102"/>
      <c r="E1073" s="102"/>
      <c r="F1073" s="102"/>
      <c r="G1073" s="102"/>
      <c r="H1073" s="102"/>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M1073" s="64"/>
      <c r="AN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c r="BU1073" s="64"/>
      <c r="BV1073" s="64"/>
      <c r="BW1073" s="64"/>
      <c r="BX1073" s="64"/>
      <c r="BY1073" s="64"/>
      <c r="BZ1073" s="64"/>
      <c r="CA1073" s="64"/>
      <c r="CB1073" s="64"/>
      <c r="CC1073" s="64"/>
      <c r="CD1073" s="64"/>
      <c r="CE1073" s="64"/>
      <c r="CF1073" s="64"/>
      <c r="CG1073" s="64"/>
      <c r="CH1073" s="64"/>
      <c r="CI1073" s="64"/>
      <c r="CJ1073" s="64"/>
      <c r="CK1073" s="64"/>
      <c r="CL1073" s="64"/>
      <c r="CM1073" s="64"/>
      <c r="CN1073" s="64"/>
      <c r="CO1073" s="64"/>
      <c r="CP1073" s="64"/>
      <c r="CQ1073" s="64"/>
      <c r="CR1073" s="64"/>
      <c r="CS1073" s="64"/>
      <c r="CT1073" s="64"/>
      <c r="CU1073" s="64"/>
      <c r="CV1073" s="64"/>
      <c r="CW1073" s="64"/>
      <c r="CX1073" s="64"/>
    </row>
    <row r="1074" spans="1:102" x14ac:dyDescent="0.2">
      <c r="A1074" s="64"/>
      <c r="B1074" s="64"/>
      <c r="C1074" s="102"/>
      <c r="D1074" s="102"/>
      <c r="E1074" s="102"/>
      <c r="F1074" s="102"/>
      <c r="G1074" s="102"/>
      <c r="H1074" s="102"/>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M1074" s="64"/>
      <c r="AN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c r="BU1074" s="64"/>
      <c r="BV1074" s="64"/>
      <c r="BW1074" s="64"/>
      <c r="BX1074" s="64"/>
      <c r="BY1074" s="64"/>
      <c r="BZ1074" s="64"/>
      <c r="CA1074" s="64"/>
      <c r="CB1074" s="64"/>
      <c r="CC1074" s="64"/>
      <c r="CD1074" s="64"/>
      <c r="CE1074" s="64"/>
      <c r="CF1074" s="64"/>
      <c r="CG1074" s="64"/>
      <c r="CH1074" s="64"/>
      <c r="CI1074" s="64"/>
      <c r="CJ1074" s="64"/>
      <c r="CK1074" s="64"/>
      <c r="CL1074" s="64"/>
      <c r="CM1074" s="64"/>
      <c r="CN1074" s="64"/>
      <c r="CO1074" s="64"/>
      <c r="CP1074" s="64"/>
      <c r="CQ1074" s="64"/>
      <c r="CR1074" s="64"/>
      <c r="CS1074" s="64"/>
      <c r="CT1074" s="64"/>
      <c r="CU1074" s="64"/>
      <c r="CV1074" s="64"/>
      <c r="CW1074" s="64"/>
      <c r="CX1074" s="64"/>
    </row>
    <row r="1075" spans="1:102" x14ac:dyDescent="0.2">
      <c r="A1075" s="64"/>
      <c r="B1075" s="64"/>
      <c r="C1075" s="102"/>
      <c r="D1075" s="102"/>
      <c r="E1075" s="102"/>
      <c r="F1075" s="102"/>
      <c r="G1075" s="102"/>
      <c r="H1075" s="102"/>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M1075" s="64"/>
      <c r="AN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c r="BU1075" s="64"/>
      <c r="BV1075" s="64"/>
      <c r="BW1075" s="64"/>
      <c r="BX1075" s="64"/>
      <c r="BY1075" s="64"/>
      <c r="BZ1075" s="64"/>
      <c r="CA1075" s="64"/>
      <c r="CB1075" s="64"/>
      <c r="CC1075" s="64"/>
      <c r="CD1075" s="64"/>
      <c r="CE1075" s="64"/>
      <c r="CF1075" s="64"/>
      <c r="CG1075" s="64"/>
      <c r="CH1075" s="64"/>
      <c r="CI1075" s="64"/>
      <c r="CJ1075" s="64"/>
      <c r="CK1075" s="64"/>
      <c r="CL1075" s="64"/>
      <c r="CM1075" s="64"/>
      <c r="CN1075" s="64"/>
      <c r="CO1075" s="64"/>
      <c r="CP1075" s="64"/>
      <c r="CQ1075" s="64"/>
      <c r="CR1075" s="64"/>
      <c r="CS1075" s="64"/>
      <c r="CT1075" s="64"/>
      <c r="CU1075" s="64"/>
      <c r="CV1075" s="64"/>
      <c r="CW1075" s="64"/>
      <c r="CX1075" s="64"/>
    </row>
    <row r="1076" spans="1:102" x14ac:dyDescent="0.2">
      <c r="A1076" s="64"/>
      <c r="B1076" s="64"/>
      <c r="C1076" s="102"/>
      <c r="D1076" s="102"/>
      <c r="E1076" s="102"/>
      <c r="F1076" s="102"/>
      <c r="G1076" s="102"/>
      <c r="H1076" s="102"/>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M1076" s="64"/>
      <c r="AN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c r="BU1076" s="64"/>
      <c r="BV1076" s="64"/>
      <c r="BW1076" s="64"/>
      <c r="BX1076" s="64"/>
      <c r="BY1076" s="64"/>
      <c r="BZ1076" s="64"/>
      <c r="CA1076" s="64"/>
      <c r="CB1076" s="64"/>
      <c r="CC1076" s="64"/>
      <c r="CD1076" s="64"/>
      <c r="CE1076" s="64"/>
      <c r="CF1076" s="64"/>
      <c r="CG1076" s="64"/>
      <c r="CH1076" s="64"/>
      <c r="CI1076" s="64"/>
      <c r="CJ1076" s="64"/>
      <c r="CK1076" s="64"/>
      <c r="CL1076" s="64"/>
      <c r="CM1076" s="64"/>
      <c r="CN1076" s="64"/>
      <c r="CO1076" s="64"/>
      <c r="CP1076" s="64"/>
      <c r="CQ1076" s="64"/>
      <c r="CR1076" s="64"/>
      <c r="CS1076" s="64"/>
      <c r="CT1076" s="64"/>
      <c r="CU1076" s="64"/>
      <c r="CV1076" s="64"/>
      <c r="CW1076" s="64"/>
      <c r="CX1076" s="64"/>
    </row>
    <row r="1077" spans="1:102" x14ac:dyDescent="0.2">
      <c r="A1077" s="64"/>
      <c r="B1077" s="64"/>
      <c r="C1077" s="102"/>
      <c r="D1077" s="102"/>
      <c r="E1077" s="102"/>
      <c r="F1077" s="102"/>
      <c r="G1077" s="102"/>
      <c r="H1077" s="102"/>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M1077" s="64"/>
      <c r="AN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c r="BU1077" s="64"/>
      <c r="BV1077" s="64"/>
      <c r="BW1077" s="64"/>
      <c r="BX1077" s="64"/>
      <c r="BY1077" s="64"/>
      <c r="BZ1077" s="64"/>
      <c r="CA1077" s="64"/>
      <c r="CB1077" s="64"/>
      <c r="CC1077" s="64"/>
      <c r="CD1077" s="64"/>
      <c r="CE1077" s="64"/>
      <c r="CF1077" s="64"/>
      <c r="CG1077" s="64"/>
      <c r="CH1077" s="64"/>
      <c r="CI1077" s="64"/>
      <c r="CJ1077" s="64"/>
      <c r="CK1077" s="64"/>
      <c r="CL1077" s="64"/>
      <c r="CM1077" s="64"/>
      <c r="CN1077" s="64"/>
      <c r="CO1077" s="64"/>
      <c r="CP1077" s="64"/>
      <c r="CQ1077" s="64"/>
      <c r="CR1077" s="64"/>
      <c r="CS1077" s="64"/>
      <c r="CT1077" s="64"/>
      <c r="CU1077" s="64"/>
      <c r="CV1077" s="64"/>
      <c r="CW1077" s="64"/>
      <c r="CX1077" s="64"/>
    </row>
    <row r="1078" spans="1:102" x14ac:dyDescent="0.2">
      <c r="A1078" s="64"/>
      <c r="B1078" s="64"/>
      <c r="C1078" s="102"/>
      <c r="D1078" s="102"/>
      <c r="E1078" s="102"/>
      <c r="F1078" s="102"/>
      <c r="G1078" s="102"/>
      <c r="H1078" s="102"/>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M1078" s="64"/>
      <c r="AN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c r="BU1078" s="64"/>
      <c r="BV1078" s="64"/>
      <c r="BW1078" s="64"/>
      <c r="BX1078" s="64"/>
      <c r="BY1078" s="64"/>
      <c r="BZ1078" s="64"/>
      <c r="CA1078" s="64"/>
      <c r="CB1078" s="64"/>
      <c r="CC1078" s="64"/>
      <c r="CD1078" s="64"/>
      <c r="CE1078" s="64"/>
      <c r="CF1078" s="64"/>
      <c r="CG1078" s="64"/>
      <c r="CH1078" s="64"/>
      <c r="CI1078" s="64"/>
      <c r="CJ1078" s="64"/>
      <c r="CK1078" s="64"/>
      <c r="CL1078" s="64"/>
      <c r="CM1078" s="64"/>
      <c r="CN1078" s="64"/>
      <c r="CO1078" s="64"/>
      <c r="CP1078" s="64"/>
      <c r="CQ1078" s="64"/>
      <c r="CR1078" s="64"/>
      <c r="CS1078" s="64"/>
      <c r="CT1078" s="64"/>
      <c r="CU1078" s="64"/>
      <c r="CV1078" s="64"/>
      <c r="CW1078" s="64"/>
      <c r="CX1078" s="64"/>
    </row>
    <row r="1079" spans="1:102" x14ac:dyDescent="0.2">
      <c r="A1079" s="64"/>
      <c r="B1079" s="64"/>
      <c r="C1079" s="102"/>
      <c r="D1079" s="102"/>
      <c r="E1079" s="102"/>
      <c r="F1079" s="102"/>
      <c r="G1079" s="102"/>
      <c r="H1079" s="102"/>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M1079" s="64"/>
      <c r="AN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c r="BU1079" s="64"/>
      <c r="BV1079" s="64"/>
      <c r="BW1079" s="64"/>
      <c r="BX1079" s="64"/>
      <c r="BY1079" s="64"/>
      <c r="BZ1079" s="64"/>
      <c r="CA1079" s="64"/>
      <c r="CB1079" s="64"/>
      <c r="CC1079" s="64"/>
      <c r="CD1079" s="64"/>
      <c r="CE1079" s="64"/>
      <c r="CF1079" s="64"/>
      <c r="CG1079" s="64"/>
      <c r="CH1079" s="64"/>
      <c r="CI1079" s="64"/>
      <c r="CJ1079" s="64"/>
      <c r="CK1079" s="64"/>
      <c r="CL1079" s="64"/>
      <c r="CM1079" s="64"/>
      <c r="CN1079" s="64"/>
      <c r="CO1079" s="64"/>
      <c r="CP1079" s="64"/>
      <c r="CQ1079" s="64"/>
      <c r="CR1079" s="64"/>
      <c r="CS1079" s="64"/>
      <c r="CT1079" s="64"/>
      <c r="CU1079" s="64"/>
      <c r="CV1079" s="64"/>
      <c r="CW1079" s="64"/>
      <c r="CX1079" s="64"/>
    </row>
    <row r="1080" spans="1:102" x14ac:dyDescent="0.2">
      <c r="A1080" s="64"/>
      <c r="B1080" s="64"/>
      <c r="C1080" s="102"/>
      <c r="D1080" s="102"/>
      <c r="E1080" s="102"/>
      <c r="F1080" s="102"/>
      <c r="G1080" s="102"/>
      <c r="H1080" s="102"/>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M1080" s="64"/>
      <c r="AN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c r="BU1080" s="64"/>
      <c r="BV1080" s="64"/>
      <c r="BW1080" s="64"/>
      <c r="BX1080" s="64"/>
      <c r="BY1080" s="64"/>
      <c r="BZ1080" s="64"/>
      <c r="CA1080" s="64"/>
      <c r="CB1080" s="64"/>
      <c r="CC1080" s="64"/>
      <c r="CD1080" s="64"/>
      <c r="CE1080" s="64"/>
      <c r="CF1080" s="64"/>
      <c r="CG1080" s="64"/>
      <c r="CH1080" s="64"/>
      <c r="CI1080" s="64"/>
      <c r="CJ1080" s="64"/>
      <c r="CK1080" s="64"/>
      <c r="CL1080" s="64"/>
      <c r="CM1080" s="64"/>
      <c r="CN1080" s="64"/>
      <c r="CO1080" s="64"/>
      <c r="CP1080" s="64"/>
      <c r="CQ1080" s="64"/>
      <c r="CR1080" s="64"/>
      <c r="CS1080" s="64"/>
      <c r="CT1080" s="64"/>
      <c r="CU1080" s="64"/>
      <c r="CV1080" s="64"/>
      <c r="CW1080" s="64"/>
      <c r="CX1080" s="64"/>
    </row>
    <row r="1081" spans="1:102" x14ac:dyDescent="0.2">
      <c r="A1081" s="64"/>
      <c r="B1081" s="64"/>
      <c r="C1081" s="102"/>
      <c r="D1081" s="102"/>
      <c r="E1081" s="102"/>
      <c r="F1081" s="102"/>
      <c r="G1081" s="102"/>
      <c r="H1081" s="102"/>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M1081" s="64"/>
      <c r="AN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c r="BU1081" s="64"/>
      <c r="BV1081" s="64"/>
      <c r="BW1081" s="64"/>
      <c r="BX1081" s="64"/>
      <c r="BY1081" s="64"/>
      <c r="BZ1081" s="64"/>
      <c r="CA1081" s="64"/>
      <c r="CB1081" s="64"/>
      <c r="CC1081" s="64"/>
      <c r="CD1081" s="64"/>
      <c r="CE1081" s="64"/>
      <c r="CF1081" s="64"/>
      <c r="CG1081" s="64"/>
      <c r="CH1081" s="64"/>
      <c r="CI1081" s="64"/>
      <c r="CJ1081" s="64"/>
      <c r="CK1081" s="64"/>
      <c r="CL1081" s="64"/>
      <c r="CM1081" s="64"/>
      <c r="CN1081" s="64"/>
      <c r="CO1081" s="64"/>
      <c r="CP1081" s="64"/>
      <c r="CQ1081" s="64"/>
      <c r="CR1081" s="64"/>
      <c r="CS1081" s="64"/>
      <c r="CT1081" s="64"/>
      <c r="CU1081" s="64"/>
      <c r="CV1081" s="64"/>
      <c r="CW1081" s="64"/>
      <c r="CX1081" s="64"/>
    </row>
    <row r="1082" spans="1:102" x14ac:dyDescent="0.2">
      <c r="A1082" s="64"/>
      <c r="B1082" s="64"/>
      <c r="C1082" s="102"/>
      <c r="D1082" s="102"/>
      <c r="E1082" s="102"/>
      <c r="F1082" s="102"/>
      <c r="G1082" s="102"/>
      <c r="H1082" s="102"/>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M1082" s="64"/>
      <c r="AN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c r="BU1082" s="64"/>
      <c r="BV1082" s="64"/>
      <c r="BW1082" s="64"/>
      <c r="BX1082" s="64"/>
      <c r="BY1082" s="64"/>
      <c r="BZ1082" s="64"/>
      <c r="CA1082" s="64"/>
      <c r="CB1082" s="64"/>
      <c r="CC1082" s="64"/>
      <c r="CD1082" s="64"/>
      <c r="CE1082" s="64"/>
      <c r="CF1082" s="64"/>
      <c r="CG1082" s="64"/>
      <c r="CH1082" s="64"/>
      <c r="CI1082" s="64"/>
      <c r="CJ1082" s="64"/>
      <c r="CK1082" s="64"/>
      <c r="CL1082" s="64"/>
      <c r="CM1082" s="64"/>
      <c r="CN1082" s="64"/>
      <c r="CO1082" s="64"/>
      <c r="CP1082" s="64"/>
      <c r="CQ1082" s="64"/>
      <c r="CR1082" s="64"/>
      <c r="CS1082" s="64"/>
      <c r="CT1082" s="64"/>
      <c r="CU1082" s="64"/>
      <c r="CV1082" s="64"/>
      <c r="CW1082" s="64"/>
      <c r="CX1082" s="64"/>
    </row>
    <row r="1083" spans="1:102" x14ac:dyDescent="0.2">
      <c r="A1083" s="64"/>
      <c r="B1083" s="64"/>
      <c r="C1083" s="102"/>
      <c r="D1083" s="102"/>
      <c r="E1083" s="102"/>
      <c r="F1083" s="102"/>
      <c r="G1083" s="102"/>
      <c r="H1083" s="102"/>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M1083" s="64"/>
      <c r="AN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c r="BU1083" s="64"/>
      <c r="BV1083" s="64"/>
      <c r="BW1083" s="64"/>
      <c r="BX1083" s="64"/>
      <c r="BY1083" s="64"/>
      <c r="BZ1083" s="64"/>
      <c r="CA1083" s="64"/>
      <c r="CB1083" s="64"/>
      <c r="CC1083" s="64"/>
      <c r="CD1083" s="64"/>
      <c r="CE1083" s="64"/>
      <c r="CF1083" s="64"/>
      <c r="CG1083" s="64"/>
      <c r="CH1083" s="64"/>
      <c r="CI1083" s="64"/>
      <c r="CJ1083" s="64"/>
      <c r="CK1083" s="64"/>
      <c r="CL1083" s="64"/>
      <c r="CM1083" s="64"/>
      <c r="CN1083" s="64"/>
      <c r="CO1083" s="64"/>
      <c r="CP1083" s="64"/>
      <c r="CQ1083" s="64"/>
      <c r="CR1083" s="64"/>
      <c r="CS1083" s="64"/>
      <c r="CT1083" s="64"/>
      <c r="CU1083" s="64"/>
      <c r="CV1083" s="64"/>
      <c r="CW1083" s="64"/>
      <c r="CX1083" s="64"/>
    </row>
    <row r="1084" spans="1:102" x14ac:dyDescent="0.2">
      <c r="A1084" s="64"/>
      <c r="B1084" s="64"/>
      <c r="C1084" s="102"/>
      <c r="D1084" s="102"/>
      <c r="E1084" s="102"/>
      <c r="F1084" s="102"/>
      <c r="G1084" s="102"/>
      <c r="H1084" s="102"/>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M1084" s="64"/>
      <c r="AN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c r="BU1084" s="64"/>
      <c r="BV1084" s="64"/>
      <c r="BW1084" s="64"/>
      <c r="BX1084" s="64"/>
      <c r="BY1084" s="64"/>
      <c r="BZ1084" s="64"/>
      <c r="CA1084" s="64"/>
      <c r="CB1084" s="64"/>
      <c r="CC1084" s="64"/>
      <c r="CD1084" s="64"/>
      <c r="CE1084" s="64"/>
      <c r="CF1084" s="64"/>
      <c r="CG1084" s="64"/>
      <c r="CH1084" s="64"/>
      <c r="CI1084" s="64"/>
      <c r="CJ1084" s="64"/>
      <c r="CK1084" s="64"/>
      <c r="CL1084" s="64"/>
      <c r="CM1084" s="64"/>
      <c r="CN1084" s="64"/>
      <c r="CO1084" s="64"/>
      <c r="CP1084" s="64"/>
      <c r="CQ1084" s="64"/>
      <c r="CR1084" s="64"/>
      <c r="CS1084" s="64"/>
      <c r="CT1084" s="64"/>
      <c r="CU1084" s="64"/>
      <c r="CV1084" s="64"/>
      <c r="CW1084" s="64"/>
      <c r="CX1084" s="64"/>
    </row>
    <row r="1085" spans="1:102" x14ac:dyDescent="0.2">
      <c r="A1085" s="64"/>
      <c r="B1085" s="64"/>
      <c r="C1085" s="102"/>
      <c r="D1085" s="102"/>
      <c r="E1085" s="102"/>
      <c r="F1085" s="102"/>
      <c r="G1085" s="102"/>
      <c r="H1085" s="102"/>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M1085" s="64"/>
      <c r="AN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c r="BU1085" s="64"/>
      <c r="BV1085" s="64"/>
      <c r="BW1085" s="64"/>
      <c r="BX1085" s="64"/>
      <c r="BY1085" s="64"/>
      <c r="BZ1085" s="64"/>
      <c r="CA1085" s="64"/>
      <c r="CB1085" s="64"/>
      <c r="CC1085" s="64"/>
      <c r="CD1085" s="64"/>
      <c r="CE1085" s="64"/>
      <c r="CF1085" s="64"/>
      <c r="CG1085" s="64"/>
      <c r="CH1085" s="64"/>
      <c r="CI1085" s="64"/>
      <c r="CJ1085" s="64"/>
      <c r="CK1085" s="64"/>
      <c r="CL1085" s="64"/>
      <c r="CM1085" s="64"/>
      <c r="CN1085" s="64"/>
      <c r="CO1085" s="64"/>
      <c r="CP1085" s="64"/>
      <c r="CQ1085" s="64"/>
      <c r="CR1085" s="64"/>
      <c r="CS1085" s="64"/>
      <c r="CT1085" s="64"/>
      <c r="CU1085" s="64"/>
      <c r="CV1085" s="64"/>
      <c r="CW1085" s="64"/>
      <c r="CX1085" s="64"/>
    </row>
    <row r="1086" spans="1:102" x14ac:dyDescent="0.2">
      <c r="A1086" s="64"/>
      <c r="B1086" s="64"/>
      <c r="C1086" s="102"/>
      <c r="D1086" s="102"/>
      <c r="E1086" s="102"/>
      <c r="F1086" s="102"/>
      <c r="G1086" s="102"/>
      <c r="H1086" s="102"/>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M1086" s="64"/>
      <c r="AN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c r="BU1086" s="64"/>
      <c r="BV1086" s="64"/>
      <c r="BW1086" s="64"/>
      <c r="BX1086" s="64"/>
      <c r="BY1086" s="64"/>
      <c r="BZ1086" s="64"/>
      <c r="CA1086" s="64"/>
      <c r="CB1086" s="64"/>
      <c r="CC1086" s="64"/>
      <c r="CD1086" s="64"/>
      <c r="CE1086" s="64"/>
      <c r="CF1086" s="64"/>
      <c r="CG1086" s="64"/>
      <c r="CH1086" s="64"/>
      <c r="CI1086" s="64"/>
      <c r="CJ1086" s="64"/>
      <c r="CK1086" s="64"/>
      <c r="CL1086" s="64"/>
      <c r="CM1086" s="64"/>
      <c r="CN1086" s="64"/>
      <c r="CO1086" s="64"/>
      <c r="CP1086" s="64"/>
      <c r="CQ1086" s="64"/>
      <c r="CR1086" s="64"/>
      <c r="CS1086" s="64"/>
      <c r="CT1086" s="64"/>
      <c r="CU1086" s="64"/>
      <c r="CV1086" s="64"/>
      <c r="CW1086" s="64"/>
      <c r="CX1086" s="64"/>
    </row>
    <row r="1087" spans="1:102" x14ac:dyDescent="0.2">
      <c r="A1087" s="64"/>
      <c r="B1087" s="64"/>
      <c r="C1087" s="102"/>
      <c r="D1087" s="102"/>
      <c r="E1087" s="102"/>
      <c r="F1087" s="102"/>
      <c r="G1087" s="102"/>
      <c r="H1087" s="102"/>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M1087" s="64"/>
      <c r="AN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c r="BU1087" s="64"/>
      <c r="BV1087" s="64"/>
      <c r="BW1087" s="64"/>
      <c r="BX1087" s="64"/>
      <c r="BY1087" s="64"/>
      <c r="BZ1087" s="64"/>
      <c r="CA1087" s="64"/>
      <c r="CB1087" s="64"/>
      <c r="CC1087" s="64"/>
      <c r="CD1087" s="64"/>
      <c r="CE1087" s="64"/>
      <c r="CF1087" s="64"/>
      <c r="CG1087" s="64"/>
      <c r="CH1087" s="64"/>
      <c r="CI1087" s="64"/>
      <c r="CJ1087" s="64"/>
      <c r="CK1087" s="64"/>
      <c r="CL1087" s="64"/>
      <c r="CM1087" s="64"/>
      <c r="CN1087" s="64"/>
      <c r="CO1087" s="64"/>
      <c r="CP1087" s="64"/>
      <c r="CQ1087" s="64"/>
      <c r="CR1087" s="64"/>
      <c r="CS1087" s="64"/>
      <c r="CT1087" s="64"/>
      <c r="CU1087" s="64"/>
      <c r="CV1087" s="64"/>
      <c r="CW1087" s="64"/>
      <c r="CX1087" s="64"/>
    </row>
    <row r="1088" spans="1:102" x14ac:dyDescent="0.2">
      <c r="A1088" s="64"/>
      <c r="B1088" s="64"/>
      <c r="C1088" s="102"/>
      <c r="D1088" s="102"/>
      <c r="E1088" s="102"/>
      <c r="F1088" s="102"/>
      <c r="G1088" s="102"/>
      <c r="H1088" s="102"/>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M1088" s="64"/>
      <c r="AN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c r="BU1088" s="64"/>
      <c r="BV1088" s="64"/>
      <c r="BW1088" s="64"/>
      <c r="BX1088" s="64"/>
      <c r="BY1088" s="64"/>
      <c r="BZ1088" s="64"/>
      <c r="CA1088" s="64"/>
      <c r="CB1088" s="64"/>
      <c r="CC1088" s="64"/>
      <c r="CD1088" s="64"/>
      <c r="CE1088" s="64"/>
      <c r="CF1088" s="64"/>
      <c r="CG1088" s="64"/>
      <c r="CH1088" s="64"/>
      <c r="CI1088" s="64"/>
      <c r="CJ1088" s="64"/>
      <c r="CK1088" s="64"/>
      <c r="CL1088" s="64"/>
      <c r="CM1088" s="64"/>
      <c r="CN1088" s="64"/>
      <c r="CO1088" s="64"/>
      <c r="CP1088" s="64"/>
      <c r="CQ1088" s="64"/>
      <c r="CR1088" s="64"/>
      <c r="CS1088" s="64"/>
      <c r="CT1088" s="64"/>
      <c r="CU1088" s="64"/>
      <c r="CV1088" s="64"/>
      <c r="CW1088" s="64"/>
      <c r="CX1088" s="64"/>
    </row>
    <row r="1089" spans="1:102" x14ac:dyDescent="0.2">
      <c r="A1089" s="64"/>
      <c r="B1089" s="64"/>
      <c r="C1089" s="102"/>
      <c r="D1089" s="102"/>
      <c r="E1089" s="102"/>
      <c r="F1089" s="102"/>
      <c r="G1089" s="102"/>
      <c r="H1089" s="102"/>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M1089" s="64"/>
      <c r="AN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c r="BU1089" s="64"/>
      <c r="BV1089" s="64"/>
      <c r="BW1089" s="64"/>
      <c r="BX1089" s="64"/>
      <c r="BY1089" s="64"/>
      <c r="BZ1089" s="64"/>
      <c r="CA1089" s="64"/>
      <c r="CB1089" s="64"/>
      <c r="CC1089" s="64"/>
      <c r="CD1089" s="64"/>
      <c r="CE1089" s="64"/>
      <c r="CF1089" s="64"/>
      <c r="CG1089" s="64"/>
      <c r="CH1089" s="64"/>
      <c r="CI1089" s="64"/>
      <c r="CJ1089" s="64"/>
      <c r="CK1089" s="64"/>
      <c r="CL1089" s="64"/>
      <c r="CM1089" s="64"/>
      <c r="CN1089" s="64"/>
      <c r="CO1089" s="64"/>
      <c r="CP1089" s="64"/>
      <c r="CQ1089" s="64"/>
      <c r="CR1089" s="64"/>
      <c r="CS1089" s="64"/>
      <c r="CT1089" s="64"/>
      <c r="CU1089" s="64"/>
      <c r="CV1089" s="64"/>
      <c r="CW1089" s="64"/>
      <c r="CX1089" s="64"/>
    </row>
    <row r="1090" spans="1:102" x14ac:dyDescent="0.2">
      <c r="A1090" s="64"/>
      <c r="B1090" s="64"/>
      <c r="C1090" s="102"/>
      <c r="D1090" s="102"/>
      <c r="E1090" s="102"/>
      <c r="F1090" s="102"/>
      <c r="G1090" s="102"/>
      <c r="H1090" s="102"/>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M1090" s="64"/>
      <c r="AN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c r="BU1090" s="64"/>
      <c r="BV1090" s="64"/>
      <c r="BW1090" s="64"/>
      <c r="BX1090" s="64"/>
      <c r="BY1090" s="64"/>
      <c r="BZ1090" s="64"/>
      <c r="CA1090" s="64"/>
      <c r="CB1090" s="64"/>
      <c r="CC1090" s="64"/>
      <c r="CD1090" s="64"/>
      <c r="CE1090" s="64"/>
      <c r="CF1090" s="64"/>
      <c r="CG1090" s="64"/>
      <c r="CH1090" s="64"/>
      <c r="CI1090" s="64"/>
      <c r="CJ1090" s="64"/>
      <c r="CK1090" s="64"/>
      <c r="CL1090" s="64"/>
      <c r="CM1090" s="64"/>
      <c r="CN1090" s="64"/>
      <c r="CO1090" s="64"/>
      <c r="CP1090" s="64"/>
      <c r="CQ1090" s="64"/>
      <c r="CR1090" s="64"/>
      <c r="CS1090" s="64"/>
      <c r="CT1090" s="64"/>
      <c r="CU1090" s="64"/>
      <c r="CV1090" s="64"/>
      <c r="CW1090" s="64"/>
      <c r="CX1090" s="64"/>
    </row>
    <row r="1091" spans="1:102" x14ac:dyDescent="0.2">
      <c r="A1091" s="64"/>
      <c r="B1091" s="64"/>
      <c r="C1091" s="102"/>
      <c r="D1091" s="102"/>
      <c r="E1091" s="102"/>
      <c r="F1091" s="102"/>
      <c r="G1091" s="102"/>
      <c r="H1091" s="102"/>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M1091" s="64"/>
      <c r="AN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c r="BU1091" s="64"/>
      <c r="BV1091" s="64"/>
      <c r="BW1091" s="64"/>
      <c r="BX1091" s="64"/>
      <c r="BY1091" s="64"/>
      <c r="BZ1091" s="64"/>
      <c r="CA1091" s="64"/>
      <c r="CB1091" s="64"/>
      <c r="CC1091" s="64"/>
      <c r="CD1091" s="64"/>
      <c r="CE1091" s="64"/>
      <c r="CF1091" s="64"/>
      <c r="CG1091" s="64"/>
      <c r="CH1091" s="64"/>
      <c r="CI1091" s="64"/>
      <c r="CJ1091" s="64"/>
      <c r="CK1091" s="64"/>
      <c r="CL1091" s="64"/>
      <c r="CM1091" s="64"/>
      <c r="CN1091" s="64"/>
      <c r="CO1091" s="64"/>
      <c r="CP1091" s="64"/>
      <c r="CQ1091" s="64"/>
      <c r="CR1091" s="64"/>
      <c r="CS1091" s="64"/>
      <c r="CT1091" s="64"/>
      <c r="CU1091" s="64"/>
      <c r="CV1091" s="64"/>
      <c r="CW1091" s="64"/>
      <c r="CX1091" s="64"/>
    </row>
    <row r="1092" spans="1:102" x14ac:dyDescent="0.2">
      <c r="A1092" s="64"/>
      <c r="B1092" s="64"/>
      <c r="C1092" s="102"/>
      <c r="D1092" s="102"/>
      <c r="E1092" s="102"/>
      <c r="F1092" s="102"/>
      <c r="G1092" s="102"/>
      <c r="H1092" s="102"/>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M1092" s="64"/>
      <c r="AN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c r="BU1092" s="64"/>
      <c r="BV1092" s="64"/>
      <c r="BW1092" s="64"/>
      <c r="BX1092" s="64"/>
      <c r="BY1092" s="64"/>
      <c r="BZ1092" s="64"/>
      <c r="CA1092" s="64"/>
      <c r="CB1092" s="64"/>
      <c r="CC1092" s="64"/>
      <c r="CD1092" s="64"/>
      <c r="CE1092" s="64"/>
      <c r="CF1092" s="64"/>
      <c r="CG1092" s="64"/>
      <c r="CH1092" s="64"/>
      <c r="CI1092" s="64"/>
      <c r="CJ1092" s="64"/>
      <c r="CK1092" s="64"/>
      <c r="CL1092" s="64"/>
      <c r="CM1092" s="64"/>
      <c r="CN1092" s="64"/>
      <c r="CO1092" s="64"/>
      <c r="CP1092" s="64"/>
      <c r="CQ1092" s="64"/>
      <c r="CR1092" s="64"/>
      <c r="CS1092" s="64"/>
      <c r="CT1092" s="64"/>
      <c r="CU1092" s="64"/>
      <c r="CV1092" s="64"/>
      <c r="CW1092" s="64"/>
      <c r="CX1092" s="64"/>
    </row>
    <row r="1093" spans="1:102" x14ac:dyDescent="0.2">
      <c r="A1093" s="64"/>
      <c r="B1093" s="64"/>
      <c r="C1093" s="102"/>
      <c r="D1093" s="102"/>
      <c r="E1093" s="102"/>
      <c r="F1093" s="102"/>
      <c r="G1093" s="102"/>
      <c r="H1093" s="102"/>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M1093" s="64"/>
      <c r="AN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c r="BU1093" s="64"/>
      <c r="BV1093" s="64"/>
      <c r="BW1093" s="64"/>
      <c r="BX1093" s="64"/>
      <c r="BY1093" s="64"/>
      <c r="BZ1093" s="64"/>
      <c r="CA1093" s="64"/>
      <c r="CB1093" s="64"/>
      <c r="CC1093" s="64"/>
      <c r="CD1093" s="64"/>
      <c r="CE1093" s="64"/>
      <c r="CF1093" s="64"/>
      <c r="CG1093" s="64"/>
      <c r="CH1093" s="64"/>
      <c r="CI1093" s="64"/>
      <c r="CJ1093" s="64"/>
      <c r="CK1093" s="64"/>
      <c r="CL1093" s="64"/>
      <c r="CM1093" s="64"/>
      <c r="CN1093" s="64"/>
      <c r="CO1093" s="64"/>
      <c r="CP1093" s="64"/>
      <c r="CQ1093" s="64"/>
      <c r="CR1093" s="64"/>
      <c r="CS1093" s="64"/>
      <c r="CT1093" s="64"/>
      <c r="CU1093" s="64"/>
      <c r="CV1093" s="64"/>
      <c r="CW1093" s="64"/>
      <c r="CX1093" s="64"/>
    </row>
    <row r="1094" spans="1:102" x14ac:dyDescent="0.2">
      <c r="A1094" s="64"/>
      <c r="B1094" s="64"/>
      <c r="C1094" s="102"/>
      <c r="D1094" s="102"/>
      <c r="E1094" s="102"/>
      <c r="F1094" s="102"/>
      <c r="G1094" s="102"/>
      <c r="H1094" s="102"/>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M1094" s="64"/>
      <c r="AN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c r="BU1094" s="64"/>
      <c r="BV1094" s="64"/>
      <c r="BW1094" s="64"/>
      <c r="BX1094" s="64"/>
      <c r="BY1094" s="64"/>
      <c r="BZ1094" s="64"/>
      <c r="CA1094" s="64"/>
      <c r="CB1094" s="64"/>
      <c r="CC1094" s="64"/>
      <c r="CD1094" s="64"/>
      <c r="CE1094" s="64"/>
      <c r="CF1094" s="64"/>
      <c r="CG1094" s="64"/>
      <c r="CH1094" s="64"/>
      <c r="CI1094" s="64"/>
      <c r="CJ1094" s="64"/>
      <c r="CK1094" s="64"/>
      <c r="CL1094" s="64"/>
      <c r="CM1094" s="64"/>
      <c r="CN1094" s="64"/>
      <c r="CO1094" s="64"/>
      <c r="CP1094" s="64"/>
      <c r="CQ1094" s="64"/>
      <c r="CR1094" s="64"/>
      <c r="CS1094" s="64"/>
      <c r="CT1094" s="64"/>
      <c r="CU1094" s="64"/>
      <c r="CV1094" s="64"/>
      <c r="CW1094" s="64"/>
      <c r="CX1094" s="64"/>
    </row>
    <row r="1095" spans="1:102" x14ac:dyDescent="0.2">
      <c r="A1095" s="64"/>
      <c r="B1095" s="64"/>
      <c r="C1095" s="102"/>
      <c r="D1095" s="102"/>
      <c r="E1095" s="102"/>
      <c r="F1095" s="102"/>
      <c r="G1095" s="102"/>
      <c r="H1095" s="102"/>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M1095" s="64"/>
      <c r="AN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c r="BU1095" s="64"/>
      <c r="BV1095" s="64"/>
      <c r="BW1095" s="64"/>
      <c r="BX1095" s="64"/>
      <c r="BY1095" s="64"/>
      <c r="BZ1095" s="64"/>
      <c r="CA1095" s="64"/>
      <c r="CB1095" s="64"/>
      <c r="CC1095" s="64"/>
      <c r="CD1095" s="64"/>
      <c r="CE1095" s="64"/>
      <c r="CF1095" s="64"/>
      <c r="CG1095" s="64"/>
      <c r="CH1095" s="64"/>
      <c r="CI1095" s="64"/>
      <c r="CJ1095" s="64"/>
      <c r="CK1095" s="64"/>
      <c r="CL1095" s="64"/>
      <c r="CM1095" s="64"/>
      <c r="CN1095" s="64"/>
      <c r="CO1095" s="64"/>
      <c r="CP1095" s="64"/>
      <c r="CQ1095" s="64"/>
      <c r="CR1095" s="64"/>
      <c r="CS1095" s="64"/>
      <c r="CT1095" s="64"/>
      <c r="CU1095" s="64"/>
      <c r="CV1095" s="64"/>
      <c r="CW1095" s="64"/>
      <c r="CX1095" s="64"/>
    </row>
    <row r="1096" spans="1:102" x14ac:dyDescent="0.2">
      <c r="A1096" s="64"/>
      <c r="B1096" s="64"/>
      <c r="C1096" s="102"/>
      <c r="D1096" s="102"/>
      <c r="E1096" s="102"/>
      <c r="F1096" s="102"/>
      <c r="G1096" s="102"/>
      <c r="H1096" s="102"/>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M1096" s="64"/>
      <c r="AN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c r="BU1096" s="64"/>
      <c r="BV1096" s="64"/>
      <c r="BW1096" s="64"/>
      <c r="BX1096" s="64"/>
      <c r="BY1096" s="64"/>
      <c r="BZ1096" s="64"/>
      <c r="CA1096" s="64"/>
      <c r="CB1096" s="64"/>
      <c r="CC1096" s="64"/>
      <c r="CD1096" s="64"/>
      <c r="CE1096" s="64"/>
      <c r="CF1096" s="64"/>
      <c r="CG1096" s="64"/>
      <c r="CH1096" s="64"/>
      <c r="CI1096" s="64"/>
      <c r="CJ1096" s="64"/>
      <c r="CK1096" s="64"/>
      <c r="CL1096" s="64"/>
      <c r="CM1096" s="64"/>
      <c r="CN1096" s="64"/>
      <c r="CO1096" s="64"/>
      <c r="CP1096" s="64"/>
      <c r="CQ1096" s="64"/>
      <c r="CR1096" s="64"/>
      <c r="CS1096" s="64"/>
      <c r="CT1096" s="64"/>
      <c r="CU1096" s="64"/>
      <c r="CV1096" s="64"/>
      <c r="CW1096" s="64"/>
      <c r="CX1096" s="64"/>
    </row>
    <row r="1097" spans="1:102" x14ac:dyDescent="0.2">
      <c r="A1097" s="64"/>
      <c r="B1097" s="64"/>
      <c r="C1097" s="102"/>
      <c r="D1097" s="102"/>
      <c r="E1097" s="102"/>
      <c r="F1097" s="102"/>
      <c r="G1097" s="102"/>
      <c r="H1097" s="102"/>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M1097" s="64"/>
      <c r="AN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c r="BU1097" s="64"/>
      <c r="BV1097" s="64"/>
      <c r="BW1097" s="64"/>
      <c r="BX1097" s="64"/>
      <c r="BY1097" s="64"/>
      <c r="BZ1097" s="64"/>
      <c r="CA1097" s="64"/>
      <c r="CB1097" s="64"/>
      <c r="CC1097" s="64"/>
      <c r="CD1097" s="64"/>
      <c r="CE1097" s="64"/>
      <c r="CF1097" s="64"/>
      <c r="CG1097" s="64"/>
      <c r="CH1097" s="64"/>
      <c r="CI1097" s="64"/>
      <c r="CJ1097" s="64"/>
      <c r="CK1097" s="64"/>
      <c r="CL1097" s="64"/>
      <c r="CM1097" s="64"/>
      <c r="CN1097" s="64"/>
      <c r="CO1097" s="64"/>
      <c r="CP1097" s="64"/>
      <c r="CQ1097" s="64"/>
      <c r="CR1097" s="64"/>
      <c r="CS1097" s="64"/>
      <c r="CT1097" s="64"/>
      <c r="CU1097" s="64"/>
      <c r="CV1097" s="64"/>
      <c r="CW1097" s="64"/>
      <c r="CX1097" s="64"/>
    </row>
    <row r="1098" spans="1:102" x14ac:dyDescent="0.2">
      <c r="A1098" s="64"/>
      <c r="B1098" s="64"/>
      <c r="C1098" s="102"/>
      <c r="D1098" s="102"/>
      <c r="E1098" s="102"/>
      <c r="F1098" s="102"/>
      <c r="G1098" s="102"/>
      <c r="H1098" s="102"/>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M1098" s="64"/>
      <c r="AN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c r="BU1098" s="64"/>
      <c r="BV1098" s="64"/>
      <c r="BW1098" s="64"/>
      <c r="BX1098" s="64"/>
      <c r="BY1098" s="64"/>
      <c r="BZ1098" s="64"/>
      <c r="CA1098" s="64"/>
      <c r="CB1098" s="64"/>
      <c r="CC1098" s="64"/>
      <c r="CD1098" s="64"/>
      <c r="CE1098" s="64"/>
      <c r="CF1098" s="64"/>
      <c r="CG1098" s="64"/>
      <c r="CH1098" s="64"/>
      <c r="CI1098" s="64"/>
      <c r="CJ1098" s="64"/>
      <c r="CK1098" s="64"/>
      <c r="CL1098" s="64"/>
      <c r="CM1098" s="64"/>
      <c r="CN1098" s="64"/>
      <c r="CO1098" s="64"/>
      <c r="CP1098" s="64"/>
      <c r="CQ1098" s="64"/>
      <c r="CR1098" s="64"/>
      <c r="CS1098" s="64"/>
      <c r="CT1098" s="64"/>
      <c r="CU1098" s="64"/>
      <c r="CV1098" s="64"/>
      <c r="CW1098" s="64"/>
      <c r="CX1098" s="64"/>
    </row>
    <row r="1099" spans="1:102" x14ac:dyDescent="0.2">
      <c r="A1099" s="64"/>
      <c r="B1099" s="64"/>
      <c r="C1099" s="102"/>
      <c r="D1099" s="102"/>
      <c r="E1099" s="102"/>
      <c r="F1099" s="102"/>
      <c r="G1099" s="102"/>
      <c r="H1099" s="102"/>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M1099" s="64"/>
      <c r="AN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c r="BU1099" s="64"/>
      <c r="BV1099" s="64"/>
      <c r="BW1099" s="64"/>
      <c r="BX1099" s="64"/>
      <c r="BY1099" s="64"/>
      <c r="BZ1099" s="64"/>
      <c r="CA1099" s="64"/>
      <c r="CB1099" s="64"/>
      <c r="CC1099" s="64"/>
      <c r="CD1099" s="64"/>
      <c r="CE1099" s="64"/>
      <c r="CF1099" s="64"/>
      <c r="CG1099" s="64"/>
      <c r="CH1099" s="64"/>
      <c r="CI1099" s="64"/>
      <c r="CJ1099" s="64"/>
      <c r="CK1099" s="64"/>
      <c r="CL1099" s="64"/>
      <c r="CM1099" s="64"/>
      <c r="CN1099" s="64"/>
      <c r="CO1099" s="64"/>
      <c r="CP1099" s="64"/>
      <c r="CQ1099" s="64"/>
      <c r="CR1099" s="64"/>
      <c r="CS1099" s="64"/>
      <c r="CT1099" s="64"/>
      <c r="CU1099" s="64"/>
      <c r="CV1099" s="64"/>
      <c r="CW1099" s="64"/>
      <c r="CX1099" s="64"/>
    </row>
    <row r="1100" spans="1:102" x14ac:dyDescent="0.2">
      <c r="A1100" s="64"/>
      <c r="B1100" s="64"/>
      <c r="C1100" s="102"/>
      <c r="D1100" s="102"/>
      <c r="E1100" s="102"/>
      <c r="F1100" s="102"/>
      <c r="G1100" s="102"/>
      <c r="H1100" s="102"/>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M1100" s="64"/>
      <c r="AN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c r="BU1100" s="64"/>
      <c r="BV1100" s="64"/>
      <c r="BW1100" s="64"/>
      <c r="BX1100" s="64"/>
      <c r="BY1100" s="64"/>
      <c r="BZ1100" s="64"/>
      <c r="CA1100" s="64"/>
      <c r="CB1100" s="64"/>
      <c r="CC1100" s="64"/>
      <c r="CD1100" s="64"/>
      <c r="CE1100" s="64"/>
      <c r="CF1100" s="64"/>
      <c r="CG1100" s="64"/>
      <c r="CH1100" s="64"/>
      <c r="CI1100" s="64"/>
      <c r="CJ1100" s="64"/>
      <c r="CK1100" s="64"/>
      <c r="CL1100" s="64"/>
      <c r="CM1100" s="64"/>
      <c r="CN1100" s="64"/>
      <c r="CO1100" s="64"/>
      <c r="CP1100" s="64"/>
      <c r="CQ1100" s="64"/>
      <c r="CR1100" s="64"/>
      <c r="CS1100" s="64"/>
      <c r="CT1100" s="64"/>
      <c r="CU1100" s="64"/>
      <c r="CV1100" s="64"/>
      <c r="CW1100" s="64"/>
      <c r="CX1100" s="64"/>
    </row>
    <row r="1101" spans="1:102" x14ac:dyDescent="0.2">
      <c r="A1101" s="64"/>
      <c r="B1101" s="64"/>
      <c r="C1101" s="102"/>
      <c r="D1101" s="102"/>
      <c r="E1101" s="102"/>
      <c r="F1101" s="102"/>
      <c r="G1101" s="102"/>
      <c r="H1101" s="102"/>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M1101" s="64"/>
      <c r="AN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c r="BU1101" s="64"/>
      <c r="BV1101" s="64"/>
      <c r="BW1101" s="64"/>
      <c r="BX1101" s="64"/>
      <c r="BY1101" s="64"/>
      <c r="BZ1101" s="64"/>
      <c r="CA1101" s="64"/>
      <c r="CB1101" s="64"/>
      <c r="CC1101" s="64"/>
      <c r="CD1101" s="64"/>
      <c r="CE1101" s="64"/>
      <c r="CF1101" s="64"/>
      <c r="CG1101" s="64"/>
      <c r="CH1101" s="64"/>
      <c r="CI1101" s="64"/>
      <c r="CJ1101" s="64"/>
      <c r="CK1101" s="64"/>
      <c r="CL1101" s="64"/>
      <c r="CM1101" s="64"/>
      <c r="CN1101" s="64"/>
      <c r="CO1101" s="64"/>
      <c r="CP1101" s="64"/>
      <c r="CQ1101" s="64"/>
      <c r="CR1101" s="64"/>
      <c r="CS1101" s="64"/>
      <c r="CT1101" s="64"/>
      <c r="CU1101" s="64"/>
      <c r="CV1101" s="64"/>
      <c r="CW1101" s="64"/>
      <c r="CX1101" s="64"/>
    </row>
    <row r="1102" spans="1:102" x14ac:dyDescent="0.2">
      <c r="A1102" s="64"/>
      <c r="B1102" s="64"/>
      <c r="C1102" s="102"/>
      <c r="D1102" s="102"/>
      <c r="E1102" s="102"/>
      <c r="F1102" s="102"/>
      <c r="G1102" s="102"/>
      <c r="H1102" s="102"/>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M1102" s="64"/>
      <c r="AN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c r="BU1102" s="64"/>
      <c r="BV1102" s="64"/>
      <c r="BW1102" s="64"/>
      <c r="BX1102" s="64"/>
      <c r="BY1102" s="64"/>
      <c r="BZ1102" s="64"/>
      <c r="CA1102" s="64"/>
      <c r="CB1102" s="64"/>
      <c r="CC1102" s="64"/>
      <c r="CD1102" s="64"/>
      <c r="CE1102" s="64"/>
      <c r="CF1102" s="64"/>
      <c r="CG1102" s="64"/>
      <c r="CH1102" s="64"/>
      <c r="CI1102" s="64"/>
      <c r="CJ1102" s="64"/>
      <c r="CK1102" s="64"/>
      <c r="CL1102" s="64"/>
      <c r="CM1102" s="64"/>
      <c r="CN1102" s="64"/>
      <c r="CO1102" s="64"/>
      <c r="CP1102" s="64"/>
      <c r="CQ1102" s="64"/>
      <c r="CR1102" s="64"/>
      <c r="CS1102" s="64"/>
      <c r="CT1102" s="64"/>
      <c r="CU1102" s="64"/>
      <c r="CV1102" s="64"/>
      <c r="CW1102" s="64"/>
      <c r="CX1102" s="64"/>
    </row>
    <row r="1103" spans="1:102" x14ac:dyDescent="0.2">
      <c r="A1103" s="64"/>
      <c r="B1103" s="64"/>
      <c r="C1103" s="102"/>
      <c r="D1103" s="102"/>
      <c r="E1103" s="102"/>
      <c r="F1103" s="102"/>
      <c r="G1103" s="102"/>
      <c r="H1103" s="102"/>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M1103" s="64"/>
      <c r="AN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c r="BU1103" s="64"/>
      <c r="BV1103" s="64"/>
      <c r="BW1103" s="64"/>
      <c r="BX1103" s="64"/>
      <c r="BY1103" s="64"/>
      <c r="BZ1103" s="64"/>
      <c r="CA1103" s="64"/>
      <c r="CB1103" s="64"/>
      <c r="CC1103" s="64"/>
      <c r="CD1103" s="64"/>
      <c r="CE1103" s="64"/>
      <c r="CF1103" s="64"/>
      <c r="CG1103" s="64"/>
      <c r="CH1103" s="64"/>
      <c r="CI1103" s="64"/>
      <c r="CJ1103" s="64"/>
      <c r="CK1103" s="64"/>
      <c r="CL1103" s="64"/>
      <c r="CM1103" s="64"/>
      <c r="CN1103" s="64"/>
      <c r="CO1103" s="64"/>
      <c r="CP1103" s="64"/>
      <c r="CQ1103" s="64"/>
      <c r="CR1103" s="64"/>
      <c r="CS1103" s="64"/>
      <c r="CT1103" s="64"/>
      <c r="CU1103" s="64"/>
      <c r="CV1103" s="64"/>
      <c r="CW1103" s="64"/>
      <c r="CX1103" s="64"/>
    </row>
    <row r="1104" spans="1:102" x14ac:dyDescent="0.2">
      <c r="A1104" s="64"/>
      <c r="B1104" s="64"/>
      <c r="C1104" s="102"/>
      <c r="D1104" s="102"/>
      <c r="E1104" s="102"/>
      <c r="F1104" s="102"/>
      <c r="G1104" s="102"/>
      <c r="H1104" s="102"/>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M1104" s="64"/>
      <c r="AN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c r="BU1104" s="64"/>
      <c r="BV1104" s="64"/>
      <c r="BW1104" s="64"/>
      <c r="BX1104" s="64"/>
      <c r="BY1104" s="64"/>
      <c r="BZ1104" s="64"/>
      <c r="CA1104" s="64"/>
      <c r="CB1104" s="64"/>
      <c r="CC1104" s="64"/>
      <c r="CD1104" s="64"/>
      <c r="CE1104" s="64"/>
      <c r="CF1104" s="64"/>
      <c r="CG1104" s="64"/>
      <c r="CH1104" s="64"/>
      <c r="CI1104" s="64"/>
      <c r="CJ1104" s="64"/>
      <c r="CK1104" s="64"/>
      <c r="CL1104" s="64"/>
      <c r="CM1104" s="64"/>
      <c r="CN1104" s="64"/>
      <c r="CO1104" s="64"/>
      <c r="CP1104" s="64"/>
      <c r="CQ1104" s="64"/>
      <c r="CR1104" s="64"/>
      <c r="CS1104" s="64"/>
      <c r="CT1104" s="64"/>
      <c r="CU1104" s="64"/>
      <c r="CV1104" s="64"/>
      <c r="CW1104" s="64"/>
      <c r="CX1104" s="64"/>
    </row>
    <row r="1105" spans="1:102" x14ac:dyDescent="0.2">
      <c r="A1105" s="64"/>
      <c r="B1105" s="64"/>
      <c r="C1105" s="102"/>
      <c r="D1105" s="102"/>
      <c r="E1105" s="102"/>
      <c r="F1105" s="102"/>
      <c r="G1105" s="102"/>
      <c r="H1105" s="102"/>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M1105" s="64"/>
      <c r="AN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c r="BU1105" s="64"/>
      <c r="BV1105" s="64"/>
      <c r="BW1105" s="64"/>
      <c r="BX1105" s="64"/>
      <c r="BY1105" s="64"/>
      <c r="BZ1105" s="64"/>
      <c r="CA1105" s="64"/>
      <c r="CB1105" s="64"/>
      <c r="CC1105" s="64"/>
      <c r="CD1105" s="64"/>
      <c r="CE1105" s="64"/>
      <c r="CF1105" s="64"/>
      <c r="CG1105" s="64"/>
      <c r="CH1105" s="64"/>
      <c r="CI1105" s="64"/>
      <c r="CJ1105" s="64"/>
      <c r="CK1105" s="64"/>
      <c r="CL1105" s="64"/>
      <c r="CM1105" s="64"/>
      <c r="CN1105" s="64"/>
      <c r="CO1105" s="64"/>
      <c r="CP1105" s="64"/>
      <c r="CQ1105" s="64"/>
      <c r="CR1105" s="64"/>
      <c r="CS1105" s="64"/>
      <c r="CT1105" s="64"/>
      <c r="CU1105" s="64"/>
      <c r="CV1105" s="64"/>
      <c r="CW1105" s="64"/>
      <c r="CX1105" s="64"/>
    </row>
    <row r="1106" spans="1:102" x14ac:dyDescent="0.2">
      <c r="A1106" s="64"/>
      <c r="B1106" s="64"/>
      <c r="C1106" s="102"/>
      <c r="D1106" s="102"/>
      <c r="E1106" s="102"/>
      <c r="F1106" s="102"/>
      <c r="G1106" s="102"/>
      <c r="H1106" s="102"/>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M1106" s="64"/>
      <c r="AN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c r="BU1106" s="64"/>
      <c r="BV1106" s="64"/>
      <c r="BW1106" s="64"/>
      <c r="BX1106" s="64"/>
      <c r="BY1106" s="64"/>
      <c r="BZ1106" s="64"/>
      <c r="CA1106" s="64"/>
      <c r="CB1106" s="64"/>
      <c r="CC1106" s="64"/>
      <c r="CD1106" s="64"/>
      <c r="CE1106" s="64"/>
      <c r="CF1106" s="64"/>
      <c r="CG1106" s="64"/>
      <c r="CH1106" s="64"/>
      <c r="CI1106" s="64"/>
      <c r="CJ1106" s="64"/>
      <c r="CK1106" s="64"/>
      <c r="CL1106" s="64"/>
      <c r="CM1106" s="64"/>
      <c r="CN1106" s="64"/>
      <c r="CO1106" s="64"/>
      <c r="CP1106" s="64"/>
      <c r="CQ1106" s="64"/>
      <c r="CR1106" s="64"/>
      <c r="CS1106" s="64"/>
      <c r="CT1106" s="64"/>
      <c r="CU1106" s="64"/>
      <c r="CV1106" s="64"/>
      <c r="CW1106" s="64"/>
      <c r="CX1106" s="64"/>
    </row>
    <row r="1107" spans="1:102" x14ac:dyDescent="0.2">
      <c r="A1107" s="64"/>
      <c r="B1107" s="64"/>
      <c r="C1107" s="102"/>
      <c r="D1107" s="102"/>
      <c r="E1107" s="102"/>
      <c r="F1107" s="102"/>
      <c r="G1107" s="102"/>
      <c r="H1107" s="102"/>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M1107" s="64"/>
      <c r="AN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c r="BU1107" s="64"/>
      <c r="BV1107" s="64"/>
      <c r="BW1107" s="64"/>
      <c r="BX1107" s="64"/>
      <c r="BY1107" s="64"/>
      <c r="BZ1107" s="64"/>
      <c r="CA1107" s="64"/>
      <c r="CB1107" s="64"/>
      <c r="CC1107" s="64"/>
      <c r="CD1107" s="64"/>
      <c r="CE1107" s="64"/>
      <c r="CF1107" s="64"/>
      <c r="CG1107" s="64"/>
      <c r="CH1107" s="64"/>
      <c r="CI1107" s="64"/>
      <c r="CJ1107" s="64"/>
      <c r="CK1107" s="64"/>
      <c r="CL1107" s="64"/>
      <c r="CM1107" s="64"/>
      <c r="CN1107" s="64"/>
      <c r="CO1107" s="64"/>
      <c r="CP1107" s="64"/>
      <c r="CQ1107" s="64"/>
      <c r="CR1107" s="64"/>
      <c r="CS1107" s="64"/>
      <c r="CT1107" s="64"/>
      <c r="CU1107" s="64"/>
      <c r="CV1107" s="64"/>
      <c r="CW1107" s="64"/>
      <c r="CX1107" s="64"/>
    </row>
    <row r="1108" spans="1:102" x14ac:dyDescent="0.2">
      <c r="A1108" s="64"/>
      <c r="B1108" s="64"/>
      <c r="C1108" s="102"/>
      <c r="D1108" s="102"/>
      <c r="E1108" s="102"/>
      <c r="F1108" s="102"/>
      <c r="G1108" s="102"/>
      <c r="H1108" s="102"/>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M1108" s="64"/>
      <c r="AN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c r="BU1108" s="64"/>
      <c r="BV1108" s="64"/>
      <c r="BW1108" s="64"/>
      <c r="BX1108" s="64"/>
      <c r="BY1108" s="64"/>
      <c r="BZ1108" s="64"/>
      <c r="CA1108" s="64"/>
      <c r="CB1108" s="64"/>
      <c r="CC1108" s="64"/>
      <c r="CD1108" s="64"/>
      <c r="CE1108" s="64"/>
      <c r="CF1108" s="64"/>
      <c r="CG1108" s="64"/>
      <c r="CH1108" s="64"/>
      <c r="CI1108" s="64"/>
      <c r="CJ1108" s="64"/>
      <c r="CK1108" s="64"/>
      <c r="CL1108" s="64"/>
      <c r="CM1108" s="64"/>
      <c r="CN1108" s="64"/>
      <c r="CO1108" s="64"/>
      <c r="CP1108" s="64"/>
      <c r="CQ1108" s="64"/>
      <c r="CR1108" s="64"/>
      <c r="CS1108" s="64"/>
      <c r="CT1108" s="64"/>
      <c r="CU1108" s="64"/>
      <c r="CV1108" s="64"/>
      <c r="CW1108" s="64"/>
      <c r="CX1108" s="64"/>
    </row>
    <row r="1109" spans="1:102" x14ac:dyDescent="0.2">
      <c r="A1109" s="64"/>
      <c r="B1109" s="64"/>
      <c r="C1109" s="102"/>
      <c r="D1109" s="102"/>
      <c r="E1109" s="102"/>
      <c r="F1109" s="102"/>
      <c r="G1109" s="102"/>
      <c r="H1109" s="102"/>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M1109" s="64"/>
      <c r="AN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c r="BU1109" s="64"/>
      <c r="BV1109" s="64"/>
      <c r="BW1109" s="64"/>
      <c r="BX1109" s="64"/>
      <c r="BY1109" s="64"/>
      <c r="BZ1109" s="64"/>
      <c r="CA1109" s="64"/>
      <c r="CB1109" s="64"/>
      <c r="CC1109" s="64"/>
      <c r="CD1109" s="64"/>
      <c r="CE1109" s="64"/>
      <c r="CF1109" s="64"/>
      <c r="CG1109" s="64"/>
      <c r="CH1109" s="64"/>
      <c r="CI1109" s="64"/>
      <c r="CJ1109" s="64"/>
      <c r="CK1109" s="64"/>
      <c r="CL1109" s="64"/>
      <c r="CM1109" s="64"/>
      <c r="CN1109" s="64"/>
      <c r="CO1109" s="64"/>
      <c r="CP1109" s="64"/>
      <c r="CQ1109" s="64"/>
      <c r="CR1109" s="64"/>
      <c r="CS1109" s="64"/>
      <c r="CT1109" s="64"/>
      <c r="CU1109" s="64"/>
      <c r="CV1109" s="64"/>
      <c r="CW1109" s="64"/>
      <c r="CX1109" s="64"/>
    </row>
    <row r="1110" spans="1:102" x14ac:dyDescent="0.2">
      <c r="A1110" s="64"/>
      <c r="B1110" s="64"/>
      <c r="C1110" s="102"/>
      <c r="D1110" s="102"/>
      <c r="E1110" s="102"/>
      <c r="F1110" s="102"/>
      <c r="G1110" s="102"/>
      <c r="H1110" s="102"/>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M1110" s="64"/>
      <c r="AN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c r="BU1110" s="64"/>
      <c r="BV1110" s="64"/>
      <c r="BW1110" s="64"/>
      <c r="BX1110" s="64"/>
      <c r="BY1110" s="64"/>
      <c r="BZ1110" s="64"/>
      <c r="CA1110" s="64"/>
      <c r="CB1110" s="64"/>
      <c r="CC1110" s="64"/>
      <c r="CD1110" s="64"/>
      <c r="CE1110" s="64"/>
      <c r="CF1110" s="64"/>
      <c r="CG1110" s="64"/>
      <c r="CH1110" s="64"/>
      <c r="CI1110" s="64"/>
      <c r="CJ1110" s="64"/>
      <c r="CK1110" s="64"/>
      <c r="CL1110" s="64"/>
      <c r="CM1110" s="64"/>
      <c r="CN1110" s="64"/>
      <c r="CO1110" s="64"/>
      <c r="CP1110" s="64"/>
      <c r="CQ1110" s="64"/>
      <c r="CR1110" s="64"/>
      <c r="CS1110" s="64"/>
      <c r="CT1110" s="64"/>
      <c r="CU1110" s="64"/>
      <c r="CV1110" s="64"/>
      <c r="CW1110" s="64"/>
      <c r="CX1110" s="64"/>
    </row>
    <row r="1111" spans="1:102" x14ac:dyDescent="0.2">
      <c r="A1111" s="64"/>
      <c r="B1111" s="64"/>
      <c r="C1111" s="102"/>
      <c r="D1111" s="102"/>
      <c r="E1111" s="102"/>
      <c r="F1111" s="102"/>
      <c r="G1111" s="102"/>
      <c r="H1111" s="102"/>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M1111" s="64"/>
      <c r="AN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c r="BU1111" s="64"/>
      <c r="BV1111" s="64"/>
      <c r="BW1111" s="64"/>
      <c r="BX1111" s="64"/>
      <c r="BY1111" s="64"/>
      <c r="BZ1111" s="64"/>
      <c r="CA1111" s="64"/>
      <c r="CB1111" s="64"/>
      <c r="CC1111" s="64"/>
      <c r="CD1111" s="64"/>
      <c r="CE1111" s="64"/>
      <c r="CF1111" s="64"/>
      <c r="CG1111" s="64"/>
      <c r="CH1111" s="64"/>
      <c r="CI1111" s="64"/>
      <c r="CJ1111" s="64"/>
      <c r="CK1111" s="64"/>
      <c r="CL1111" s="64"/>
      <c r="CM1111" s="64"/>
      <c r="CN1111" s="64"/>
      <c r="CO1111" s="64"/>
      <c r="CP1111" s="64"/>
      <c r="CQ1111" s="64"/>
      <c r="CR1111" s="64"/>
      <c r="CS1111" s="64"/>
      <c r="CT1111" s="64"/>
      <c r="CU1111" s="64"/>
      <c r="CV1111" s="64"/>
      <c r="CW1111" s="64"/>
      <c r="CX1111" s="64"/>
    </row>
    <row r="1112" spans="1:102" x14ac:dyDescent="0.2">
      <c r="A1112" s="64"/>
      <c r="B1112" s="64"/>
      <c r="C1112" s="102"/>
      <c r="D1112" s="102"/>
      <c r="E1112" s="102"/>
      <c r="F1112" s="102"/>
      <c r="G1112" s="102"/>
      <c r="H1112" s="102"/>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M1112" s="64"/>
      <c r="AN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c r="BU1112" s="64"/>
      <c r="BV1112" s="64"/>
      <c r="BW1112" s="64"/>
      <c r="BX1112" s="64"/>
      <c r="BY1112" s="64"/>
      <c r="BZ1112" s="64"/>
      <c r="CA1112" s="64"/>
      <c r="CB1112" s="64"/>
      <c r="CC1112" s="64"/>
      <c r="CD1112" s="64"/>
      <c r="CE1112" s="64"/>
      <c r="CF1112" s="64"/>
      <c r="CG1112" s="64"/>
      <c r="CH1112" s="64"/>
      <c r="CI1112" s="64"/>
      <c r="CJ1112" s="64"/>
      <c r="CK1112" s="64"/>
      <c r="CL1112" s="64"/>
      <c r="CM1112" s="64"/>
      <c r="CN1112" s="64"/>
      <c r="CO1112" s="64"/>
      <c r="CP1112" s="64"/>
      <c r="CQ1112" s="64"/>
      <c r="CR1112" s="64"/>
      <c r="CS1112" s="64"/>
      <c r="CT1112" s="64"/>
      <c r="CU1112" s="64"/>
      <c r="CV1112" s="64"/>
      <c r="CW1112" s="64"/>
      <c r="CX1112" s="64"/>
    </row>
    <row r="1113" spans="1:102" x14ac:dyDescent="0.2">
      <c r="A1113" s="64"/>
      <c r="B1113" s="64"/>
      <c r="C1113" s="102"/>
      <c r="D1113" s="102"/>
      <c r="E1113" s="102"/>
      <c r="F1113" s="102"/>
      <c r="G1113" s="102"/>
      <c r="H1113" s="102"/>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M1113" s="64"/>
      <c r="AN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c r="BU1113" s="64"/>
      <c r="BV1113" s="64"/>
      <c r="BW1113" s="64"/>
      <c r="BX1113" s="64"/>
      <c r="BY1113" s="64"/>
      <c r="BZ1113" s="64"/>
      <c r="CA1113" s="64"/>
      <c r="CB1113" s="64"/>
      <c r="CC1113" s="64"/>
      <c r="CD1113" s="64"/>
      <c r="CE1113" s="64"/>
      <c r="CF1113" s="64"/>
      <c r="CG1113" s="64"/>
      <c r="CH1113" s="64"/>
      <c r="CI1113" s="64"/>
      <c r="CJ1113" s="64"/>
      <c r="CK1113" s="64"/>
      <c r="CL1113" s="64"/>
      <c r="CM1113" s="64"/>
      <c r="CN1113" s="64"/>
      <c r="CO1113" s="64"/>
      <c r="CP1113" s="64"/>
      <c r="CQ1113" s="64"/>
      <c r="CR1113" s="64"/>
      <c r="CS1113" s="64"/>
      <c r="CT1113" s="64"/>
      <c r="CU1113" s="64"/>
      <c r="CV1113" s="64"/>
      <c r="CW1113" s="64"/>
      <c r="CX1113" s="64"/>
    </row>
    <row r="1114" spans="1:102" x14ac:dyDescent="0.2">
      <c r="A1114" s="64"/>
      <c r="B1114" s="64"/>
      <c r="C1114" s="102"/>
      <c r="D1114" s="102"/>
      <c r="E1114" s="102"/>
      <c r="F1114" s="102"/>
      <c r="G1114" s="102"/>
      <c r="H1114" s="102"/>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M1114" s="64"/>
      <c r="AN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c r="BU1114" s="64"/>
      <c r="BV1114" s="64"/>
      <c r="BW1114" s="64"/>
      <c r="BX1114" s="64"/>
      <c r="BY1114" s="64"/>
      <c r="BZ1114" s="64"/>
      <c r="CA1114" s="64"/>
      <c r="CB1114" s="64"/>
      <c r="CC1114" s="64"/>
      <c r="CD1114" s="64"/>
      <c r="CE1114" s="64"/>
      <c r="CF1114" s="64"/>
      <c r="CG1114" s="64"/>
      <c r="CH1114" s="64"/>
      <c r="CI1114" s="64"/>
      <c r="CJ1114" s="64"/>
      <c r="CK1114" s="64"/>
      <c r="CL1114" s="64"/>
      <c r="CM1114" s="64"/>
      <c r="CN1114" s="64"/>
      <c r="CO1114" s="64"/>
      <c r="CP1114" s="64"/>
      <c r="CQ1114" s="64"/>
      <c r="CR1114" s="64"/>
      <c r="CS1114" s="64"/>
      <c r="CT1114" s="64"/>
      <c r="CU1114" s="64"/>
      <c r="CV1114" s="64"/>
      <c r="CW1114" s="64"/>
      <c r="CX1114" s="64"/>
    </row>
    <row r="1115" spans="1:102" x14ac:dyDescent="0.2">
      <c r="A1115" s="64"/>
      <c r="B1115" s="64"/>
      <c r="C1115" s="102"/>
      <c r="D1115" s="102"/>
      <c r="E1115" s="102"/>
      <c r="F1115" s="102"/>
      <c r="G1115" s="102"/>
      <c r="H1115" s="102"/>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M1115" s="64"/>
      <c r="AN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c r="BU1115" s="64"/>
      <c r="BV1115" s="64"/>
      <c r="BW1115" s="64"/>
      <c r="BX1115" s="64"/>
      <c r="BY1115" s="64"/>
      <c r="BZ1115" s="64"/>
      <c r="CA1115" s="64"/>
      <c r="CB1115" s="64"/>
      <c r="CC1115" s="64"/>
      <c r="CD1115" s="64"/>
      <c r="CE1115" s="64"/>
      <c r="CF1115" s="64"/>
      <c r="CG1115" s="64"/>
      <c r="CH1115" s="64"/>
      <c r="CI1115" s="64"/>
      <c r="CJ1115" s="64"/>
      <c r="CK1115" s="64"/>
      <c r="CL1115" s="64"/>
      <c r="CM1115" s="64"/>
      <c r="CN1115" s="64"/>
      <c r="CO1115" s="64"/>
      <c r="CP1115" s="64"/>
      <c r="CQ1115" s="64"/>
      <c r="CR1115" s="64"/>
      <c r="CS1115" s="64"/>
      <c r="CT1115" s="64"/>
      <c r="CU1115" s="64"/>
      <c r="CV1115" s="64"/>
      <c r="CW1115" s="64"/>
      <c r="CX1115" s="64"/>
    </row>
    <row r="1116" spans="1:102" x14ac:dyDescent="0.2">
      <c r="A1116" s="64"/>
      <c r="B1116" s="64"/>
      <c r="C1116" s="102"/>
      <c r="D1116" s="102"/>
      <c r="E1116" s="102"/>
      <c r="F1116" s="102"/>
      <c r="G1116" s="102"/>
      <c r="H1116" s="102"/>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M1116" s="64"/>
      <c r="AN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c r="BU1116" s="64"/>
      <c r="BV1116" s="64"/>
      <c r="BW1116" s="64"/>
      <c r="BX1116" s="64"/>
      <c r="BY1116" s="64"/>
      <c r="BZ1116" s="64"/>
      <c r="CA1116" s="64"/>
      <c r="CB1116" s="64"/>
      <c r="CC1116" s="64"/>
      <c r="CD1116" s="64"/>
      <c r="CE1116" s="64"/>
      <c r="CF1116" s="64"/>
      <c r="CG1116" s="64"/>
      <c r="CH1116" s="64"/>
      <c r="CI1116" s="64"/>
      <c r="CJ1116" s="64"/>
      <c r="CK1116" s="64"/>
      <c r="CL1116" s="64"/>
      <c r="CM1116" s="64"/>
      <c r="CN1116" s="64"/>
      <c r="CO1116" s="64"/>
      <c r="CP1116" s="64"/>
      <c r="CQ1116" s="64"/>
      <c r="CR1116" s="64"/>
      <c r="CS1116" s="64"/>
      <c r="CT1116" s="64"/>
      <c r="CU1116" s="64"/>
      <c r="CV1116" s="64"/>
      <c r="CW1116" s="64"/>
      <c r="CX1116" s="64"/>
    </row>
    <row r="1117" spans="1:102" x14ac:dyDescent="0.2">
      <c r="A1117" s="64"/>
      <c r="B1117" s="64"/>
      <c r="C1117" s="102"/>
      <c r="D1117" s="102"/>
      <c r="E1117" s="102"/>
      <c r="F1117" s="102"/>
      <c r="G1117" s="102"/>
      <c r="H1117" s="102"/>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M1117" s="64"/>
      <c r="AN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c r="BU1117" s="64"/>
      <c r="BV1117" s="64"/>
      <c r="BW1117" s="64"/>
      <c r="BX1117" s="64"/>
      <c r="BY1117" s="64"/>
      <c r="BZ1117" s="64"/>
      <c r="CA1117" s="64"/>
      <c r="CB1117" s="64"/>
      <c r="CC1117" s="64"/>
      <c r="CD1117" s="64"/>
      <c r="CE1117" s="64"/>
      <c r="CF1117" s="64"/>
      <c r="CG1117" s="64"/>
      <c r="CH1117" s="64"/>
      <c r="CI1117" s="64"/>
      <c r="CJ1117" s="64"/>
      <c r="CK1117" s="64"/>
      <c r="CL1117" s="64"/>
      <c r="CM1117" s="64"/>
      <c r="CN1117" s="64"/>
      <c r="CO1117" s="64"/>
      <c r="CP1117" s="64"/>
      <c r="CQ1117" s="64"/>
      <c r="CR1117" s="64"/>
      <c r="CS1117" s="64"/>
      <c r="CT1117" s="64"/>
      <c r="CU1117" s="64"/>
      <c r="CV1117" s="64"/>
      <c r="CW1117" s="64"/>
      <c r="CX1117" s="64"/>
    </row>
    <row r="1118" spans="1:102" x14ac:dyDescent="0.2">
      <c r="A1118" s="64"/>
      <c r="B1118" s="64"/>
      <c r="C1118" s="102"/>
      <c r="D1118" s="102"/>
      <c r="E1118" s="102"/>
      <c r="F1118" s="102"/>
      <c r="G1118" s="102"/>
      <c r="H1118" s="102"/>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M1118" s="64"/>
      <c r="AN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c r="BU1118" s="64"/>
      <c r="BV1118" s="64"/>
      <c r="BW1118" s="64"/>
      <c r="BX1118" s="64"/>
      <c r="BY1118" s="64"/>
      <c r="BZ1118" s="64"/>
      <c r="CA1118" s="64"/>
      <c r="CB1118" s="64"/>
      <c r="CC1118" s="64"/>
      <c r="CD1118" s="64"/>
      <c r="CE1118" s="64"/>
      <c r="CF1118" s="64"/>
      <c r="CG1118" s="64"/>
      <c r="CH1118" s="64"/>
      <c r="CI1118" s="64"/>
      <c r="CJ1118" s="64"/>
      <c r="CK1118" s="64"/>
      <c r="CL1118" s="64"/>
      <c r="CM1118" s="64"/>
      <c r="CN1118" s="64"/>
      <c r="CO1118" s="64"/>
      <c r="CP1118" s="64"/>
      <c r="CQ1118" s="64"/>
      <c r="CR1118" s="64"/>
      <c r="CS1118" s="64"/>
      <c r="CT1118" s="64"/>
      <c r="CU1118" s="64"/>
      <c r="CV1118" s="64"/>
      <c r="CW1118" s="64"/>
      <c r="CX1118" s="64"/>
    </row>
    <row r="1119" spans="1:102" x14ac:dyDescent="0.2">
      <c r="A1119" s="64"/>
      <c r="B1119" s="64"/>
      <c r="C1119" s="102"/>
      <c r="D1119" s="102"/>
      <c r="E1119" s="102"/>
      <c r="F1119" s="102"/>
      <c r="G1119" s="102"/>
      <c r="H1119" s="102"/>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M1119" s="64"/>
      <c r="AN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c r="BU1119" s="64"/>
      <c r="BV1119" s="64"/>
      <c r="BW1119" s="64"/>
      <c r="BX1119" s="64"/>
      <c r="BY1119" s="64"/>
      <c r="BZ1119" s="64"/>
      <c r="CA1119" s="64"/>
      <c r="CB1119" s="64"/>
      <c r="CC1119" s="64"/>
      <c r="CD1119" s="64"/>
      <c r="CE1119" s="64"/>
      <c r="CF1119" s="64"/>
      <c r="CG1119" s="64"/>
      <c r="CH1119" s="64"/>
      <c r="CI1119" s="64"/>
      <c r="CJ1119" s="64"/>
      <c r="CK1119" s="64"/>
      <c r="CL1119" s="64"/>
      <c r="CM1119" s="64"/>
      <c r="CN1119" s="64"/>
      <c r="CO1119" s="64"/>
      <c r="CP1119" s="64"/>
      <c r="CQ1119" s="64"/>
      <c r="CR1119" s="64"/>
      <c r="CS1119" s="64"/>
      <c r="CT1119" s="64"/>
      <c r="CU1119" s="64"/>
      <c r="CV1119" s="64"/>
      <c r="CW1119" s="64"/>
      <c r="CX1119" s="64"/>
    </row>
    <row r="1120" spans="1:102" x14ac:dyDescent="0.2">
      <c r="A1120" s="64"/>
      <c r="B1120" s="64"/>
      <c r="C1120" s="102"/>
      <c r="D1120" s="102"/>
      <c r="E1120" s="102"/>
      <c r="F1120" s="102"/>
      <c r="G1120" s="102"/>
      <c r="H1120" s="102"/>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M1120" s="64"/>
      <c r="AN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c r="BU1120" s="64"/>
      <c r="BV1120" s="64"/>
      <c r="BW1120" s="64"/>
      <c r="BX1120" s="64"/>
      <c r="BY1120" s="64"/>
      <c r="BZ1120" s="64"/>
      <c r="CA1120" s="64"/>
      <c r="CB1120" s="64"/>
      <c r="CC1120" s="64"/>
      <c r="CD1120" s="64"/>
      <c r="CE1120" s="64"/>
      <c r="CF1120" s="64"/>
      <c r="CG1120" s="64"/>
      <c r="CH1120" s="64"/>
      <c r="CI1120" s="64"/>
      <c r="CJ1120" s="64"/>
      <c r="CK1120" s="64"/>
      <c r="CL1120" s="64"/>
      <c r="CM1120" s="64"/>
      <c r="CN1120" s="64"/>
      <c r="CO1120" s="64"/>
      <c r="CP1120" s="64"/>
      <c r="CQ1120" s="64"/>
      <c r="CR1120" s="64"/>
      <c r="CS1120" s="64"/>
      <c r="CT1120" s="64"/>
      <c r="CU1120" s="64"/>
      <c r="CV1120" s="64"/>
      <c r="CW1120" s="64"/>
      <c r="CX1120" s="64"/>
    </row>
    <row r="1121" spans="1:102" x14ac:dyDescent="0.2">
      <c r="A1121" s="64"/>
      <c r="B1121" s="64"/>
      <c r="C1121" s="102"/>
      <c r="D1121" s="102"/>
      <c r="E1121" s="102"/>
      <c r="F1121" s="102"/>
      <c r="G1121" s="102"/>
      <c r="H1121" s="102"/>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M1121" s="64"/>
      <c r="AN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c r="BU1121" s="64"/>
      <c r="BV1121" s="64"/>
      <c r="BW1121" s="64"/>
      <c r="BX1121" s="64"/>
      <c r="BY1121" s="64"/>
      <c r="BZ1121" s="64"/>
      <c r="CA1121" s="64"/>
      <c r="CB1121" s="64"/>
      <c r="CC1121" s="64"/>
      <c r="CD1121" s="64"/>
      <c r="CE1121" s="64"/>
      <c r="CF1121" s="64"/>
      <c r="CG1121" s="64"/>
      <c r="CH1121" s="64"/>
      <c r="CI1121" s="64"/>
      <c r="CJ1121" s="64"/>
      <c r="CK1121" s="64"/>
      <c r="CL1121" s="64"/>
      <c r="CM1121" s="64"/>
      <c r="CN1121" s="64"/>
      <c r="CO1121" s="64"/>
      <c r="CP1121" s="64"/>
      <c r="CQ1121" s="64"/>
      <c r="CR1121" s="64"/>
      <c r="CS1121" s="64"/>
      <c r="CT1121" s="64"/>
      <c r="CU1121" s="64"/>
      <c r="CV1121" s="64"/>
      <c r="CW1121" s="64"/>
      <c r="CX1121" s="64"/>
    </row>
    <row r="1122" spans="1:102" x14ac:dyDescent="0.2">
      <c r="A1122" s="64"/>
      <c r="B1122" s="64"/>
      <c r="C1122" s="102"/>
      <c r="D1122" s="102"/>
      <c r="E1122" s="102"/>
      <c r="F1122" s="102"/>
      <c r="G1122" s="102"/>
      <c r="H1122" s="102"/>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M1122" s="64"/>
      <c r="AN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c r="BU1122" s="64"/>
      <c r="BV1122" s="64"/>
      <c r="BW1122" s="64"/>
      <c r="BX1122" s="64"/>
      <c r="BY1122" s="64"/>
      <c r="BZ1122" s="64"/>
      <c r="CA1122" s="64"/>
      <c r="CB1122" s="64"/>
      <c r="CC1122" s="64"/>
      <c r="CD1122" s="64"/>
      <c r="CE1122" s="64"/>
      <c r="CF1122" s="64"/>
      <c r="CG1122" s="64"/>
      <c r="CH1122" s="64"/>
      <c r="CI1122" s="64"/>
      <c r="CJ1122" s="64"/>
      <c r="CK1122" s="64"/>
      <c r="CL1122" s="64"/>
      <c r="CM1122" s="64"/>
      <c r="CN1122" s="64"/>
      <c r="CO1122" s="64"/>
      <c r="CP1122" s="64"/>
      <c r="CQ1122" s="64"/>
      <c r="CR1122" s="64"/>
      <c r="CS1122" s="64"/>
      <c r="CT1122" s="64"/>
      <c r="CU1122" s="64"/>
      <c r="CV1122" s="64"/>
      <c r="CW1122" s="64"/>
      <c r="CX1122" s="64"/>
    </row>
    <row r="1123" spans="1:102" x14ac:dyDescent="0.2">
      <c r="A1123" s="64"/>
      <c r="B1123" s="64"/>
      <c r="C1123" s="102"/>
      <c r="D1123" s="102"/>
      <c r="E1123" s="102"/>
      <c r="F1123" s="102"/>
      <c r="G1123" s="102"/>
      <c r="H1123" s="102"/>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M1123" s="64"/>
      <c r="AN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c r="BU1123" s="64"/>
      <c r="BV1123" s="64"/>
      <c r="BW1123" s="64"/>
      <c r="BX1123" s="64"/>
      <c r="BY1123" s="64"/>
      <c r="BZ1123" s="64"/>
      <c r="CA1123" s="64"/>
      <c r="CB1123" s="64"/>
      <c r="CC1123" s="64"/>
      <c r="CD1123" s="64"/>
      <c r="CE1123" s="64"/>
      <c r="CF1123" s="64"/>
      <c r="CG1123" s="64"/>
      <c r="CH1123" s="64"/>
      <c r="CI1123" s="64"/>
      <c r="CJ1123" s="64"/>
      <c r="CK1123" s="64"/>
      <c r="CL1123" s="64"/>
      <c r="CM1123" s="64"/>
      <c r="CN1123" s="64"/>
      <c r="CO1123" s="64"/>
      <c r="CP1123" s="64"/>
      <c r="CQ1123" s="64"/>
      <c r="CR1123" s="64"/>
      <c r="CS1123" s="64"/>
      <c r="CT1123" s="64"/>
      <c r="CU1123" s="64"/>
      <c r="CV1123" s="64"/>
      <c r="CW1123" s="64"/>
      <c r="CX1123" s="64"/>
    </row>
    <row r="1124" spans="1:102" x14ac:dyDescent="0.2">
      <c r="A1124" s="64"/>
      <c r="B1124" s="64"/>
      <c r="C1124" s="102"/>
      <c r="D1124" s="102"/>
      <c r="E1124" s="102"/>
      <c r="F1124" s="102"/>
      <c r="G1124" s="102"/>
      <c r="H1124" s="102"/>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M1124" s="64"/>
      <c r="AN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c r="BU1124" s="64"/>
      <c r="BV1124" s="64"/>
      <c r="BW1124" s="64"/>
      <c r="BX1124" s="64"/>
      <c r="BY1124" s="64"/>
      <c r="BZ1124" s="64"/>
      <c r="CA1124" s="64"/>
      <c r="CB1124" s="64"/>
      <c r="CC1124" s="64"/>
      <c r="CD1124" s="64"/>
      <c r="CE1124" s="64"/>
      <c r="CF1124" s="64"/>
      <c r="CG1124" s="64"/>
      <c r="CH1124" s="64"/>
      <c r="CI1124" s="64"/>
      <c r="CJ1124" s="64"/>
      <c r="CK1124" s="64"/>
      <c r="CL1124" s="64"/>
      <c r="CM1124" s="64"/>
      <c r="CN1124" s="64"/>
      <c r="CO1124" s="64"/>
      <c r="CP1124" s="64"/>
      <c r="CQ1124" s="64"/>
      <c r="CR1124" s="64"/>
      <c r="CS1124" s="64"/>
      <c r="CT1124" s="64"/>
      <c r="CU1124" s="64"/>
      <c r="CV1124" s="64"/>
      <c r="CW1124" s="64"/>
      <c r="CX1124" s="64"/>
    </row>
    <row r="1125" spans="1:102" x14ac:dyDescent="0.2">
      <c r="A1125" s="64"/>
      <c r="B1125" s="64"/>
      <c r="C1125" s="102"/>
      <c r="D1125" s="102"/>
      <c r="E1125" s="102"/>
      <c r="F1125" s="102"/>
      <c r="G1125" s="102"/>
      <c r="H1125" s="102"/>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M1125" s="64"/>
      <c r="AN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c r="BU1125" s="64"/>
      <c r="BV1125" s="64"/>
      <c r="BW1125" s="64"/>
      <c r="BX1125" s="64"/>
      <c r="BY1125" s="64"/>
      <c r="BZ1125" s="64"/>
      <c r="CA1125" s="64"/>
      <c r="CB1125" s="64"/>
      <c r="CC1125" s="64"/>
      <c r="CD1125" s="64"/>
      <c r="CE1125" s="64"/>
      <c r="CF1125" s="64"/>
      <c r="CG1125" s="64"/>
      <c r="CH1125" s="64"/>
      <c r="CI1125" s="64"/>
      <c r="CJ1125" s="64"/>
      <c r="CK1125" s="64"/>
      <c r="CL1125" s="64"/>
      <c r="CM1125" s="64"/>
      <c r="CN1125" s="64"/>
      <c r="CO1125" s="64"/>
      <c r="CP1125" s="64"/>
      <c r="CQ1125" s="64"/>
      <c r="CR1125" s="64"/>
      <c r="CS1125" s="64"/>
      <c r="CT1125" s="64"/>
      <c r="CU1125" s="64"/>
      <c r="CV1125" s="64"/>
      <c r="CW1125" s="64"/>
      <c r="CX1125" s="64"/>
    </row>
    <row r="1126" spans="1:102" x14ac:dyDescent="0.2">
      <c r="A1126" s="64"/>
      <c r="B1126" s="64"/>
      <c r="C1126" s="102"/>
      <c r="D1126" s="102"/>
      <c r="E1126" s="102"/>
      <c r="F1126" s="102"/>
      <c r="G1126" s="102"/>
      <c r="H1126" s="102"/>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M1126" s="64"/>
      <c r="AN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c r="BU1126" s="64"/>
      <c r="BV1126" s="64"/>
      <c r="BW1126" s="64"/>
      <c r="BX1126" s="64"/>
      <c r="BY1126" s="64"/>
      <c r="BZ1126" s="64"/>
      <c r="CA1126" s="64"/>
      <c r="CB1126" s="64"/>
      <c r="CC1126" s="64"/>
      <c r="CD1126" s="64"/>
      <c r="CE1126" s="64"/>
      <c r="CF1126" s="64"/>
      <c r="CG1126" s="64"/>
      <c r="CH1126" s="64"/>
      <c r="CI1126" s="64"/>
      <c r="CJ1126" s="64"/>
      <c r="CK1126" s="64"/>
      <c r="CL1126" s="64"/>
      <c r="CM1126" s="64"/>
      <c r="CN1126" s="64"/>
      <c r="CO1126" s="64"/>
      <c r="CP1126" s="64"/>
      <c r="CQ1126" s="64"/>
      <c r="CR1126" s="64"/>
      <c r="CS1126" s="64"/>
      <c r="CT1126" s="64"/>
      <c r="CU1126" s="64"/>
      <c r="CV1126" s="64"/>
      <c r="CW1126" s="64"/>
      <c r="CX1126" s="64"/>
    </row>
    <row r="1127" spans="1:102" x14ac:dyDescent="0.2">
      <c r="A1127" s="64"/>
      <c r="B1127" s="64"/>
      <c r="C1127" s="102"/>
      <c r="D1127" s="102"/>
      <c r="E1127" s="102"/>
      <c r="F1127" s="102"/>
      <c r="G1127" s="102"/>
      <c r="H1127" s="102"/>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M1127" s="64"/>
      <c r="AN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c r="BU1127" s="64"/>
      <c r="BV1127" s="64"/>
      <c r="BW1127" s="64"/>
      <c r="BX1127" s="64"/>
      <c r="BY1127" s="64"/>
      <c r="BZ1127" s="64"/>
      <c r="CA1127" s="64"/>
      <c r="CB1127" s="64"/>
      <c r="CC1127" s="64"/>
      <c r="CD1127" s="64"/>
      <c r="CE1127" s="64"/>
      <c r="CF1127" s="64"/>
      <c r="CG1127" s="64"/>
      <c r="CH1127" s="64"/>
      <c r="CI1127" s="64"/>
      <c r="CJ1127" s="64"/>
      <c r="CK1127" s="64"/>
      <c r="CL1127" s="64"/>
      <c r="CM1127" s="64"/>
      <c r="CN1127" s="64"/>
      <c r="CO1127" s="64"/>
      <c r="CP1127" s="64"/>
      <c r="CQ1127" s="64"/>
      <c r="CR1127" s="64"/>
      <c r="CS1127" s="64"/>
      <c r="CT1127" s="64"/>
      <c r="CU1127" s="64"/>
      <c r="CV1127" s="64"/>
      <c r="CW1127" s="64"/>
      <c r="CX1127" s="64"/>
    </row>
    <row r="1128" spans="1:102" x14ac:dyDescent="0.2">
      <c r="A1128" s="64"/>
      <c r="B1128" s="64"/>
      <c r="C1128" s="102"/>
      <c r="D1128" s="102"/>
      <c r="E1128" s="102"/>
      <c r="F1128" s="102"/>
      <c r="G1128" s="102"/>
      <c r="H1128" s="102"/>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M1128" s="64"/>
      <c r="AN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c r="BU1128" s="64"/>
      <c r="BV1128" s="64"/>
      <c r="BW1128" s="64"/>
      <c r="BX1128" s="64"/>
      <c r="BY1128" s="64"/>
      <c r="BZ1128" s="64"/>
      <c r="CA1128" s="64"/>
      <c r="CB1128" s="64"/>
      <c r="CC1128" s="64"/>
      <c r="CD1128" s="64"/>
      <c r="CE1128" s="64"/>
      <c r="CF1128" s="64"/>
      <c r="CG1128" s="64"/>
      <c r="CH1128" s="64"/>
      <c r="CI1128" s="64"/>
      <c r="CJ1128" s="64"/>
      <c r="CK1128" s="64"/>
      <c r="CL1128" s="64"/>
      <c r="CM1128" s="64"/>
      <c r="CN1128" s="64"/>
      <c r="CO1128" s="64"/>
      <c r="CP1128" s="64"/>
      <c r="CQ1128" s="64"/>
      <c r="CR1128" s="64"/>
      <c r="CS1128" s="64"/>
      <c r="CT1128" s="64"/>
      <c r="CU1128" s="64"/>
      <c r="CV1128" s="64"/>
      <c r="CW1128" s="64"/>
      <c r="CX1128" s="64"/>
    </row>
    <row r="1129" spans="1:102" x14ac:dyDescent="0.2">
      <c r="A1129" s="64"/>
      <c r="B1129" s="64"/>
      <c r="C1129" s="102"/>
      <c r="D1129" s="102"/>
      <c r="E1129" s="102"/>
      <c r="F1129" s="102"/>
      <c r="G1129" s="102"/>
      <c r="H1129" s="102"/>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M1129" s="64"/>
      <c r="AN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c r="BU1129" s="64"/>
      <c r="BV1129" s="64"/>
      <c r="BW1129" s="64"/>
      <c r="BX1129" s="64"/>
      <c r="BY1129" s="64"/>
      <c r="BZ1129" s="64"/>
      <c r="CA1129" s="64"/>
      <c r="CB1129" s="64"/>
      <c r="CC1129" s="64"/>
      <c r="CD1129" s="64"/>
      <c r="CE1129" s="64"/>
      <c r="CF1129" s="64"/>
      <c r="CG1129" s="64"/>
      <c r="CH1129" s="64"/>
      <c r="CI1129" s="64"/>
      <c r="CJ1129" s="64"/>
      <c r="CK1129" s="64"/>
      <c r="CL1129" s="64"/>
      <c r="CM1129" s="64"/>
      <c r="CN1129" s="64"/>
      <c r="CO1129" s="64"/>
      <c r="CP1129" s="64"/>
      <c r="CQ1129" s="64"/>
      <c r="CR1129" s="64"/>
      <c r="CS1129" s="64"/>
      <c r="CT1129" s="64"/>
      <c r="CU1129" s="64"/>
      <c r="CV1129" s="64"/>
      <c r="CW1129" s="64"/>
      <c r="CX1129" s="64"/>
    </row>
    <row r="1130" spans="1:102" x14ac:dyDescent="0.2">
      <c r="A1130" s="64"/>
      <c r="B1130" s="64"/>
      <c r="C1130" s="102"/>
      <c r="D1130" s="102"/>
      <c r="E1130" s="102"/>
      <c r="F1130" s="102"/>
      <c r="G1130" s="102"/>
      <c r="H1130" s="102"/>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M1130" s="64"/>
      <c r="AN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c r="BU1130" s="64"/>
      <c r="BV1130" s="64"/>
      <c r="BW1130" s="64"/>
      <c r="BX1130" s="64"/>
      <c r="BY1130" s="64"/>
      <c r="BZ1130" s="64"/>
      <c r="CA1130" s="64"/>
      <c r="CB1130" s="64"/>
      <c r="CC1130" s="64"/>
      <c r="CD1130" s="64"/>
      <c r="CE1130" s="64"/>
      <c r="CF1130" s="64"/>
      <c r="CG1130" s="64"/>
      <c r="CH1130" s="64"/>
      <c r="CI1130" s="64"/>
      <c r="CJ1130" s="64"/>
      <c r="CK1130" s="64"/>
      <c r="CL1130" s="64"/>
      <c r="CM1130" s="64"/>
      <c r="CN1130" s="64"/>
      <c r="CO1130" s="64"/>
      <c r="CP1130" s="64"/>
      <c r="CQ1130" s="64"/>
      <c r="CR1130" s="64"/>
      <c r="CS1130" s="64"/>
      <c r="CT1130" s="64"/>
      <c r="CU1130" s="64"/>
      <c r="CV1130" s="64"/>
      <c r="CW1130" s="64"/>
      <c r="CX1130" s="64"/>
    </row>
    <row r="1131" spans="1:102" x14ac:dyDescent="0.2">
      <c r="A1131" s="64"/>
      <c r="B1131" s="64"/>
      <c r="C1131" s="102"/>
      <c r="D1131" s="102"/>
      <c r="E1131" s="102"/>
      <c r="F1131" s="102"/>
      <c r="G1131" s="102"/>
      <c r="H1131" s="102"/>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M1131" s="64"/>
      <c r="AN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c r="BU1131" s="64"/>
      <c r="BV1131" s="64"/>
      <c r="BW1131" s="64"/>
      <c r="BX1131" s="64"/>
      <c r="BY1131" s="64"/>
      <c r="BZ1131" s="64"/>
      <c r="CA1131" s="64"/>
      <c r="CB1131" s="64"/>
      <c r="CC1131" s="64"/>
      <c r="CD1131" s="64"/>
      <c r="CE1131" s="64"/>
      <c r="CF1131" s="64"/>
      <c r="CG1131" s="64"/>
      <c r="CH1131" s="64"/>
      <c r="CI1131" s="64"/>
      <c r="CJ1131" s="64"/>
      <c r="CK1131" s="64"/>
      <c r="CL1131" s="64"/>
      <c r="CM1131" s="64"/>
      <c r="CN1131" s="64"/>
      <c r="CO1131" s="64"/>
      <c r="CP1131" s="64"/>
      <c r="CQ1131" s="64"/>
      <c r="CR1131" s="64"/>
      <c r="CS1131" s="64"/>
      <c r="CT1131" s="64"/>
      <c r="CU1131" s="64"/>
      <c r="CV1131" s="64"/>
      <c r="CW1131" s="64"/>
      <c r="CX1131" s="64"/>
    </row>
    <row r="1132" spans="1:102" x14ac:dyDescent="0.2">
      <c r="A1132" s="64"/>
      <c r="B1132" s="64"/>
      <c r="C1132" s="102"/>
      <c r="D1132" s="102"/>
      <c r="E1132" s="102"/>
      <c r="F1132" s="102"/>
      <c r="G1132" s="102"/>
      <c r="H1132" s="102"/>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M1132" s="64"/>
      <c r="AN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c r="BU1132" s="64"/>
      <c r="BV1132" s="64"/>
      <c r="BW1132" s="64"/>
      <c r="BX1132" s="64"/>
      <c r="BY1132" s="64"/>
      <c r="BZ1132" s="64"/>
      <c r="CA1132" s="64"/>
      <c r="CB1132" s="64"/>
      <c r="CC1132" s="64"/>
      <c r="CD1132" s="64"/>
      <c r="CE1132" s="64"/>
      <c r="CF1132" s="64"/>
      <c r="CG1132" s="64"/>
      <c r="CH1132" s="64"/>
      <c r="CI1132" s="64"/>
      <c r="CJ1132" s="64"/>
      <c r="CK1132" s="64"/>
      <c r="CL1132" s="64"/>
      <c r="CM1132" s="64"/>
      <c r="CN1132" s="64"/>
      <c r="CO1132" s="64"/>
      <c r="CP1132" s="64"/>
      <c r="CQ1132" s="64"/>
      <c r="CR1132" s="64"/>
      <c r="CS1132" s="64"/>
      <c r="CT1132" s="64"/>
      <c r="CU1132" s="64"/>
      <c r="CV1132" s="64"/>
      <c r="CW1132" s="64"/>
      <c r="CX1132" s="64"/>
    </row>
    <row r="1133" spans="1:102" x14ac:dyDescent="0.2">
      <c r="A1133" s="64"/>
      <c r="B1133" s="64"/>
      <c r="C1133" s="102"/>
      <c r="D1133" s="102"/>
      <c r="E1133" s="102"/>
      <c r="F1133" s="102"/>
      <c r="G1133" s="102"/>
      <c r="H1133" s="102"/>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M1133" s="64"/>
      <c r="AN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c r="BU1133" s="64"/>
      <c r="BV1133" s="64"/>
      <c r="BW1133" s="64"/>
      <c r="BX1133" s="64"/>
      <c r="BY1133" s="64"/>
      <c r="BZ1133" s="64"/>
      <c r="CA1133" s="64"/>
      <c r="CB1133" s="64"/>
      <c r="CC1133" s="64"/>
      <c r="CD1133" s="64"/>
      <c r="CE1133" s="64"/>
      <c r="CF1133" s="64"/>
      <c r="CG1133" s="64"/>
      <c r="CH1133" s="64"/>
      <c r="CI1133" s="64"/>
      <c r="CJ1133" s="64"/>
      <c r="CK1133" s="64"/>
      <c r="CL1133" s="64"/>
      <c r="CM1133" s="64"/>
      <c r="CN1133" s="64"/>
      <c r="CO1133" s="64"/>
      <c r="CP1133" s="64"/>
      <c r="CQ1133" s="64"/>
      <c r="CR1133" s="64"/>
      <c r="CS1133" s="64"/>
      <c r="CT1133" s="64"/>
      <c r="CU1133" s="64"/>
      <c r="CV1133" s="64"/>
      <c r="CW1133" s="64"/>
      <c r="CX1133" s="64"/>
    </row>
    <row r="1134" spans="1:102" x14ac:dyDescent="0.2">
      <c r="A1134" s="64"/>
      <c r="B1134" s="64"/>
      <c r="C1134" s="102"/>
      <c r="D1134" s="102"/>
      <c r="E1134" s="102"/>
      <c r="F1134" s="102"/>
      <c r="G1134" s="102"/>
      <c r="H1134" s="102"/>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M1134" s="64"/>
      <c r="AN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c r="BU1134" s="64"/>
      <c r="BV1134" s="64"/>
      <c r="BW1134" s="64"/>
      <c r="BX1134" s="64"/>
      <c r="BY1134" s="64"/>
      <c r="BZ1134" s="64"/>
      <c r="CA1134" s="64"/>
      <c r="CB1134" s="64"/>
      <c r="CC1134" s="64"/>
      <c r="CD1134" s="64"/>
      <c r="CE1134" s="64"/>
      <c r="CF1134" s="64"/>
      <c r="CG1134" s="64"/>
      <c r="CH1134" s="64"/>
      <c r="CI1134" s="64"/>
      <c r="CJ1134" s="64"/>
      <c r="CK1134" s="64"/>
      <c r="CL1134" s="64"/>
      <c r="CM1134" s="64"/>
      <c r="CN1134" s="64"/>
      <c r="CO1134" s="64"/>
      <c r="CP1134" s="64"/>
      <c r="CQ1134" s="64"/>
      <c r="CR1134" s="64"/>
      <c r="CS1134" s="64"/>
      <c r="CT1134" s="64"/>
      <c r="CU1134" s="64"/>
      <c r="CV1134" s="64"/>
      <c r="CW1134" s="64"/>
      <c r="CX1134" s="64"/>
    </row>
    <row r="1135" spans="1:102" x14ac:dyDescent="0.2">
      <c r="A1135" s="64"/>
      <c r="B1135" s="64"/>
      <c r="C1135" s="102"/>
      <c r="D1135" s="102"/>
      <c r="E1135" s="102"/>
      <c r="F1135" s="102"/>
      <c r="G1135" s="102"/>
      <c r="H1135" s="102"/>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M1135" s="64"/>
      <c r="AN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c r="BU1135" s="64"/>
      <c r="BV1135" s="64"/>
      <c r="BW1135" s="64"/>
      <c r="BX1135" s="64"/>
      <c r="BY1135" s="64"/>
      <c r="BZ1135" s="64"/>
      <c r="CA1135" s="64"/>
      <c r="CB1135" s="64"/>
      <c r="CC1135" s="64"/>
      <c r="CD1135" s="64"/>
      <c r="CE1135" s="64"/>
      <c r="CF1135" s="64"/>
      <c r="CG1135" s="64"/>
      <c r="CH1135" s="64"/>
      <c r="CI1135" s="64"/>
      <c r="CJ1135" s="64"/>
      <c r="CK1135" s="64"/>
      <c r="CL1135" s="64"/>
      <c r="CM1135" s="64"/>
      <c r="CN1135" s="64"/>
      <c r="CO1135" s="64"/>
      <c r="CP1135" s="64"/>
      <c r="CQ1135" s="64"/>
      <c r="CR1135" s="64"/>
      <c r="CS1135" s="64"/>
      <c r="CT1135" s="64"/>
      <c r="CU1135" s="64"/>
      <c r="CV1135" s="64"/>
      <c r="CW1135" s="64"/>
      <c r="CX1135" s="64"/>
    </row>
    <row r="1136" spans="1:102" x14ac:dyDescent="0.2">
      <c r="A1136" s="64"/>
      <c r="B1136" s="64"/>
      <c r="C1136" s="102"/>
      <c r="D1136" s="102"/>
      <c r="E1136" s="102"/>
      <c r="F1136" s="102"/>
      <c r="G1136" s="102"/>
      <c r="H1136" s="102"/>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M1136" s="64"/>
      <c r="AN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c r="BU1136" s="64"/>
      <c r="BV1136" s="64"/>
      <c r="BW1136" s="64"/>
      <c r="BX1136" s="64"/>
      <c r="BY1136" s="64"/>
      <c r="BZ1136" s="64"/>
      <c r="CA1136" s="64"/>
      <c r="CB1136" s="64"/>
      <c r="CC1136" s="64"/>
      <c r="CD1136" s="64"/>
      <c r="CE1136" s="64"/>
      <c r="CF1136" s="64"/>
      <c r="CG1136" s="64"/>
      <c r="CH1136" s="64"/>
      <c r="CI1136" s="64"/>
      <c r="CJ1136" s="64"/>
      <c r="CK1136" s="64"/>
      <c r="CL1136" s="64"/>
      <c r="CM1136" s="64"/>
      <c r="CN1136" s="64"/>
      <c r="CO1136" s="64"/>
      <c r="CP1136" s="64"/>
      <c r="CQ1136" s="64"/>
      <c r="CR1136" s="64"/>
      <c r="CS1136" s="64"/>
      <c r="CT1136" s="64"/>
      <c r="CU1136" s="64"/>
      <c r="CV1136" s="64"/>
      <c r="CW1136" s="64"/>
      <c r="CX1136" s="64"/>
    </row>
    <row r="1137" spans="1:102" x14ac:dyDescent="0.2">
      <c r="A1137" s="64"/>
      <c r="B1137" s="64"/>
      <c r="C1137" s="102"/>
      <c r="D1137" s="102"/>
      <c r="E1137" s="102"/>
      <c r="F1137" s="102"/>
      <c r="G1137" s="102"/>
      <c r="H1137" s="102"/>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M1137" s="64"/>
      <c r="AN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c r="BU1137" s="64"/>
      <c r="BV1137" s="64"/>
      <c r="BW1137" s="64"/>
      <c r="BX1137" s="64"/>
      <c r="BY1137" s="64"/>
      <c r="BZ1137" s="64"/>
      <c r="CA1137" s="64"/>
      <c r="CB1137" s="64"/>
      <c r="CC1137" s="64"/>
      <c r="CD1137" s="64"/>
      <c r="CE1137" s="64"/>
      <c r="CF1137" s="64"/>
      <c r="CG1137" s="64"/>
      <c r="CH1137" s="64"/>
      <c r="CI1137" s="64"/>
      <c r="CJ1137" s="64"/>
      <c r="CK1137" s="64"/>
      <c r="CL1137" s="64"/>
      <c r="CM1137" s="64"/>
      <c r="CN1137" s="64"/>
      <c r="CO1137" s="64"/>
      <c r="CP1137" s="64"/>
      <c r="CQ1137" s="64"/>
      <c r="CR1137" s="64"/>
      <c r="CS1137" s="64"/>
      <c r="CT1137" s="64"/>
      <c r="CU1137" s="64"/>
      <c r="CV1137" s="64"/>
      <c r="CW1137" s="64"/>
      <c r="CX1137" s="64"/>
    </row>
    <row r="1138" spans="1:102" x14ac:dyDescent="0.2">
      <c r="A1138" s="64"/>
      <c r="B1138" s="64"/>
      <c r="C1138" s="102"/>
      <c r="D1138" s="102"/>
      <c r="E1138" s="102"/>
      <c r="F1138" s="102"/>
      <c r="G1138" s="102"/>
      <c r="H1138" s="102"/>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M1138" s="64"/>
      <c r="AN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c r="BU1138" s="64"/>
      <c r="BV1138" s="64"/>
      <c r="BW1138" s="64"/>
      <c r="BX1138" s="64"/>
      <c r="BY1138" s="64"/>
      <c r="BZ1138" s="64"/>
      <c r="CA1138" s="64"/>
      <c r="CB1138" s="64"/>
      <c r="CC1138" s="64"/>
      <c r="CD1138" s="64"/>
      <c r="CE1138" s="64"/>
      <c r="CF1138" s="64"/>
      <c r="CG1138" s="64"/>
      <c r="CH1138" s="64"/>
      <c r="CI1138" s="64"/>
      <c r="CJ1138" s="64"/>
      <c r="CK1138" s="64"/>
      <c r="CL1138" s="64"/>
      <c r="CM1138" s="64"/>
      <c r="CN1138" s="64"/>
      <c r="CO1138" s="64"/>
      <c r="CP1138" s="64"/>
      <c r="CQ1138" s="64"/>
      <c r="CR1138" s="64"/>
      <c r="CS1138" s="64"/>
      <c r="CT1138" s="64"/>
      <c r="CU1138" s="64"/>
      <c r="CV1138" s="64"/>
      <c r="CW1138" s="64"/>
      <c r="CX1138" s="64"/>
    </row>
    <row r="1139" spans="1:102" x14ac:dyDescent="0.2">
      <c r="A1139" s="64"/>
      <c r="B1139" s="64"/>
      <c r="C1139" s="102"/>
      <c r="D1139" s="102"/>
      <c r="E1139" s="102"/>
      <c r="F1139" s="102"/>
      <c r="G1139" s="102"/>
      <c r="H1139" s="102"/>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M1139" s="64"/>
      <c r="AN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c r="BU1139" s="64"/>
      <c r="BV1139" s="64"/>
      <c r="BW1139" s="64"/>
      <c r="BX1139" s="64"/>
      <c r="BY1139" s="64"/>
      <c r="BZ1139" s="64"/>
      <c r="CA1139" s="64"/>
      <c r="CB1139" s="64"/>
      <c r="CC1139" s="64"/>
      <c r="CD1139" s="64"/>
      <c r="CE1139" s="64"/>
      <c r="CF1139" s="64"/>
      <c r="CG1139" s="64"/>
      <c r="CH1139" s="64"/>
      <c r="CI1139" s="64"/>
      <c r="CJ1139" s="64"/>
      <c r="CK1139" s="64"/>
      <c r="CL1139" s="64"/>
      <c r="CM1139" s="64"/>
      <c r="CN1139" s="64"/>
      <c r="CO1139" s="64"/>
      <c r="CP1139" s="64"/>
      <c r="CQ1139" s="64"/>
      <c r="CR1139" s="64"/>
      <c r="CS1139" s="64"/>
      <c r="CT1139" s="64"/>
      <c r="CU1139" s="64"/>
      <c r="CV1139" s="64"/>
      <c r="CW1139" s="64"/>
      <c r="CX1139" s="64"/>
    </row>
    <row r="1140" spans="1:102" x14ac:dyDescent="0.2">
      <c r="A1140" s="64"/>
      <c r="B1140" s="64"/>
      <c r="C1140" s="102"/>
      <c r="D1140" s="102"/>
      <c r="E1140" s="102"/>
      <c r="F1140" s="102"/>
      <c r="G1140" s="102"/>
      <c r="H1140" s="102"/>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M1140" s="64"/>
      <c r="AN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c r="BU1140" s="64"/>
      <c r="BV1140" s="64"/>
      <c r="BW1140" s="64"/>
      <c r="BX1140" s="64"/>
      <c r="BY1140" s="64"/>
      <c r="BZ1140" s="64"/>
      <c r="CA1140" s="64"/>
      <c r="CB1140" s="64"/>
      <c r="CC1140" s="64"/>
      <c r="CD1140" s="64"/>
      <c r="CE1140" s="64"/>
      <c r="CF1140" s="64"/>
      <c r="CG1140" s="64"/>
      <c r="CH1140" s="64"/>
      <c r="CI1140" s="64"/>
      <c r="CJ1140" s="64"/>
      <c r="CK1140" s="64"/>
      <c r="CL1140" s="64"/>
      <c r="CM1140" s="64"/>
      <c r="CN1140" s="64"/>
      <c r="CO1140" s="64"/>
      <c r="CP1140" s="64"/>
      <c r="CQ1140" s="64"/>
      <c r="CR1140" s="64"/>
      <c r="CS1140" s="64"/>
      <c r="CT1140" s="64"/>
      <c r="CU1140" s="64"/>
      <c r="CV1140" s="64"/>
      <c r="CW1140" s="64"/>
      <c r="CX1140" s="64"/>
    </row>
    <row r="1141" spans="1:102" x14ac:dyDescent="0.2">
      <c r="A1141" s="64"/>
      <c r="B1141" s="64"/>
      <c r="C1141" s="102"/>
      <c r="D1141" s="102"/>
      <c r="E1141" s="102"/>
      <c r="F1141" s="102"/>
      <c r="G1141" s="102"/>
      <c r="H1141" s="102"/>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M1141" s="64"/>
      <c r="AN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c r="BU1141" s="64"/>
      <c r="BV1141" s="64"/>
      <c r="BW1141" s="64"/>
      <c r="BX1141" s="64"/>
      <c r="BY1141" s="64"/>
      <c r="BZ1141" s="64"/>
      <c r="CA1141" s="64"/>
      <c r="CB1141" s="64"/>
      <c r="CC1141" s="64"/>
      <c r="CD1141" s="64"/>
      <c r="CE1141" s="64"/>
      <c r="CF1141" s="64"/>
      <c r="CG1141" s="64"/>
      <c r="CH1141" s="64"/>
      <c r="CI1141" s="64"/>
      <c r="CJ1141" s="64"/>
      <c r="CK1141" s="64"/>
      <c r="CL1141" s="64"/>
      <c r="CM1141" s="64"/>
      <c r="CN1141" s="64"/>
      <c r="CO1141" s="64"/>
      <c r="CP1141" s="64"/>
      <c r="CQ1141" s="64"/>
      <c r="CR1141" s="64"/>
      <c r="CS1141" s="64"/>
      <c r="CT1141" s="64"/>
      <c r="CU1141" s="64"/>
      <c r="CV1141" s="64"/>
      <c r="CW1141" s="64"/>
      <c r="CX1141" s="64"/>
    </row>
    <row r="1142" spans="1:102" x14ac:dyDescent="0.2">
      <c r="A1142" s="64"/>
      <c r="B1142" s="64"/>
      <c r="C1142" s="102"/>
      <c r="D1142" s="102"/>
      <c r="E1142" s="102"/>
      <c r="F1142" s="102"/>
      <c r="G1142" s="102"/>
      <c r="H1142" s="102"/>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M1142" s="64"/>
      <c r="AN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c r="BU1142" s="64"/>
      <c r="BV1142" s="64"/>
      <c r="BW1142" s="64"/>
      <c r="BX1142" s="64"/>
      <c r="BY1142" s="64"/>
      <c r="BZ1142" s="64"/>
      <c r="CA1142" s="64"/>
      <c r="CB1142" s="64"/>
      <c r="CC1142" s="64"/>
      <c r="CD1142" s="64"/>
      <c r="CE1142" s="64"/>
      <c r="CF1142" s="64"/>
      <c r="CG1142" s="64"/>
      <c r="CH1142" s="64"/>
      <c r="CI1142" s="64"/>
      <c r="CJ1142" s="64"/>
      <c r="CK1142" s="64"/>
      <c r="CL1142" s="64"/>
      <c r="CM1142" s="64"/>
      <c r="CN1142" s="64"/>
      <c r="CO1142" s="64"/>
      <c r="CP1142" s="64"/>
      <c r="CQ1142" s="64"/>
      <c r="CR1142" s="64"/>
      <c r="CS1142" s="64"/>
      <c r="CT1142" s="64"/>
      <c r="CU1142" s="64"/>
      <c r="CV1142" s="64"/>
      <c r="CW1142" s="64"/>
      <c r="CX1142" s="64"/>
    </row>
    <row r="1143" spans="1:102" x14ac:dyDescent="0.2">
      <c r="A1143" s="64"/>
      <c r="B1143" s="64"/>
      <c r="C1143" s="102"/>
      <c r="D1143" s="102"/>
      <c r="E1143" s="102"/>
      <c r="F1143" s="102"/>
      <c r="G1143" s="102"/>
      <c r="H1143" s="102"/>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M1143" s="64"/>
      <c r="AN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c r="BU1143" s="64"/>
      <c r="BV1143" s="64"/>
      <c r="BW1143" s="64"/>
      <c r="BX1143" s="64"/>
      <c r="BY1143" s="64"/>
      <c r="BZ1143" s="64"/>
      <c r="CA1143" s="64"/>
      <c r="CB1143" s="64"/>
      <c r="CC1143" s="64"/>
      <c r="CD1143" s="64"/>
      <c r="CE1143" s="64"/>
      <c r="CF1143" s="64"/>
      <c r="CG1143" s="64"/>
      <c r="CH1143" s="64"/>
      <c r="CI1143" s="64"/>
      <c r="CJ1143" s="64"/>
      <c r="CK1143" s="64"/>
      <c r="CL1143" s="64"/>
      <c r="CM1143" s="64"/>
      <c r="CN1143" s="64"/>
      <c r="CO1143" s="64"/>
      <c r="CP1143" s="64"/>
      <c r="CQ1143" s="64"/>
      <c r="CR1143" s="64"/>
      <c r="CS1143" s="64"/>
      <c r="CT1143" s="64"/>
      <c r="CU1143" s="64"/>
      <c r="CV1143" s="64"/>
      <c r="CW1143" s="64"/>
      <c r="CX1143" s="64"/>
    </row>
    <row r="1144" spans="1:102" x14ac:dyDescent="0.2">
      <c r="A1144" s="64"/>
      <c r="B1144" s="64"/>
      <c r="C1144" s="102"/>
      <c r="D1144" s="102"/>
      <c r="E1144" s="102"/>
      <c r="F1144" s="102"/>
      <c r="G1144" s="102"/>
      <c r="H1144" s="102"/>
      <c r="I1144" s="64"/>
      <c r="J1144" s="64"/>
      <c r="K1144" s="64"/>
      <c r="L1144" s="64"/>
      <c r="M1144" s="64"/>
      <c r="N1144" s="64"/>
      <c r="O1144" s="64"/>
      <c r="P1144" s="64"/>
      <c r="Q1144" s="64"/>
      <c r="R1144" s="64"/>
      <c r="S1144" s="64"/>
      <c r="T1144" s="64"/>
      <c r="U1144" s="64"/>
      <c r="V1144" s="64"/>
      <c r="W1144" s="64"/>
      <c r="X1144" s="64"/>
      <c r="Y1144" s="64"/>
      <c r="Z1144" s="64"/>
      <c r="AA1144" s="64"/>
      <c r="AB1144" s="64"/>
      <c r="AC1144" s="64"/>
      <c r="AD1144" s="64"/>
      <c r="AE1144" s="64"/>
      <c r="AF1144" s="64"/>
      <c r="AG1144" s="64"/>
      <c r="AH1144" s="64"/>
      <c r="AI1144" s="64"/>
      <c r="AJ1144" s="64"/>
      <c r="AK1144" s="64"/>
      <c r="AL1144" s="64"/>
      <c r="AM1144" s="64"/>
      <c r="AN1144" s="64"/>
      <c r="AO1144" s="64"/>
      <c r="AP1144" s="64"/>
      <c r="AQ1144" s="64"/>
      <c r="AR1144" s="64"/>
      <c r="AS1144" s="64"/>
      <c r="AT1144" s="64"/>
      <c r="AU1144" s="64"/>
      <c r="AV1144" s="64"/>
      <c r="AW1144" s="64"/>
      <c r="AX1144" s="64"/>
      <c r="AY1144" s="64"/>
      <c r="AZ1144" s="64"/>
      <c r="BA1144" s="64"/>
      <c r="BB1144" s="64"/>
      <c r="BC1144" s="64"/>
      <c r="BD1144" s="64"/>
      <c r="BE1144" s="64"/>
      <c r="BF1144" s="64"/>
      <c r="BG1144" s="64"/>
      <c r="BH1144" s="64"/>
      <c r="BI1144" s="64"/>
      <c r="BJ1144" s="64"/>
      <c r="BK1144" s="64"/>
      <c r="BL1144" s="64"/>
      <c r="BM1144" s="64"/>
      <c r="BN1144" s="64"/>
      <c r="BO1144" s="64"/>
      <c r="BP1144" s="64"/>
      <c r="BQ1144" s="64"/>
      <c r="BR1144" s="64"/>
      <c r="BS1144" s="64"/>
      <c r="BT1144" s="64"/>
      <c r="BU1144" s="64"/>
      <c r="BV1144" s="64"/>
      <c r="BW1144" s="64"/>
      <c r="BX1144" s="64"/>
      <c r="BY1144" s="64"/>
      <c r="BZ1144" s="64"/>
      <c r="CA1144" s="64"/>
      <c r="CB1144" s="64"/>
      <c r="CC1144" s="64"/>
      <c r="CD1144" s="64"/>
      <c r="CE1144" s="64"/>
      <c r="CF1144" s="64"/>
      <c r="CG1144" s="64"/>
      <c r="CH1144" s="64"/>
      <c r="CI1144" s="64"/>
      <c r="CJ1144" s="64"/>
      <c r="CK1144" s="64"/>
      <c r="CL1144" s="64"/>
      <c r="CM1144" s="64"/>
      <c r="CN1144" s="64"/>
      <c r="CO1144" s="64"/>
      <c r="CP1144" s="64"/>
      <c r="CQ1144" s="64"/>
      <c r="CR1144" s="64"/>
      <c r="CS1144" s="64"/>
      <c r="CT1144" s="64"/>
      <c r="CU1144" s="64"/>
      <c r="CV1144" s="64"/>
      <c r="CW1144" s="64"/>
      <c r="CX1144" s="64"/>
    </row>
    <row r="1145" spans="1:102" x14ac:dyDescent="0.2">
      <c r="A1145" s="64"/>
      <c r="B1145" s="64"/>
      <c r="C1145" s="102"/>
      <c r="D1145" s="102"/>
      <c r="E1145" s="102"/>
      <c r="F1145" s="102"/>
      <c r="G1145" s="102"/>
      <c r="H1145" s="102"/>
      <c r="I1145" s="64"/>
      <c r="J1145" s="64"/>
      <c r="K1145" s="64"/>
      <c r="L1145" s="64"/>
      <c r="M1145" s="64"/>
      <c r="N1145" s="64"/>
      <c r="O1145" s="64"/>
      <c r="P1145" s="64"/>
      <c r="Q1145" s="64"/>
      <c r="R1145" s="64"/>
      <c r="S1145" s="64"/>
      <c r="T1145" s="64"/>
      <c r="U1145" s="64"/>
      <c r="V1145" s="64"/>
      <c r="W1145" s="64"/>
      <c r="X1145" s="64"/>
      <c r="Y1145" s="64"/>
      <c r="Z1145" s="64"/>
      <c r="AA1145" s="64"/>
      <c r="AB1145" s="64"/>
      <c r="AC1145" s="64"/>
      <c r="AD1145" s="64"/>
      <c r="AE1145" s="64"/>
      <c r="AF1145" s="64"/>
      <c r="AG1145" s="64"/>
      <c r="AH1145" s="64"/>
      <c r="AI1145" s="64"/>
      <c r="AJ1145" s="64"/>
      <c r="AK1145" s="64"/>
      <c r="AL1145" s="64"/>
      <c r="AM1145" s="64"/>
      <c r="AN1145" s="64"/>
      <c r="AO1145" s="64"/>
      <c r="AP1145" s="64"/>
      <c r="AQ1145" s="64"/>
      <c r="AR1145" s="64"/>
      <c r="AS1145" s="64"/>
      <c r="AT1145" s="64"/>
      <c r="AU1145" s="64"/>
      <c r="AV1145" s="64"/>
      <c r="AW1145" s="64"/>
      <c r="AX1145" s="64"/>
      <c r="AY1145" s="64"/>
      <c r="AZ1145" s="64"/>
      <c r="BA1145" s="64"/>
      <c r="BB1145" s="64"/>
      <c r="BC1145" s="64"/>
      <c r="BD1145" s="64"/>
      <c r="BE1145" s="64"/>
      <c r="BF1145" s="64"/>
      <c r="BG1145" s="64"/>
      <c r="BH1145" s="64"/>
      <c r="BI1145" s="64"/>
      <c r="BJ1145" s="64"/>
      <c r="BK1145" s="64"/>
      <c r="BL1145" s="64"/>
      <c r="BM1145" s="64"/>
      <c r="BN1145" s="64"/>
      <c r="BO1145" s="64"/>
      <c r="BP1145" s="64"/>
      <c r="BQ1145" s="64"/>
      <c r="BR1145" s="64"/>
      <c r="BS1145" s="64"/>
      <c r="BT1145" s="64"/>
      <c r="BU1145" s="64"/>
      <c r="BV1145" s="64"/>
      <c r="BW1145" s="64"/>
      <c r="BX1145" s="64"/>
      <c r="BY1145" s="64"/>
      <c r="BZ1145" s="64"/>
      <c r="CA1145" s="64"/>
      <c r="CB1145" s="64"/>
      <c r="CC1145" s="64"/>
      <c r="CD1145" s="64"/>
      <c r="CE1145" s="64"/>
      <c r="CF1145" s="64"/>
      <c r="CG1145" s="64"/>
      <c r="CH1145" s="64"/>
      <c r="CI1145" s="64"/>
      <c r="CJ1145" s="64"/>
      <c r="CK1145" s="64"/>
      <c r="CL1145" s="64"/>
      <c r="CM1145" s="64"/>
      <c r="CN1145" s="64"/>
      <c r="CO1145" s="64"/>
      <c r="CP1145" s="64"/>
      <c r="CQ1145" s="64"/>
      <c r="CR1145" s="64"/>
      <c r="CS1145" s="64"/>
      <c r="CT1145" s="64"/>
      <c r="CU1145" s="64"/>
      <c r="CV1145" s="64"/>
      <c r="CW1145" s="64"/>
      <c r="CX1145" s="64"/>
    </row>
    <row r="1146" spans="1:102" x14ac:dyDescent="0.2">
      <c r="A1146" s="64"/>
      <c r="B1146" s="64"/>
      <c r="C1146" s="102"/>
      <c r="D1146" s="102"/>
      <c r="E1146" s="102"/>
      <c r="F1146" s="102"/>
      <c r="G1146" s="102"/>
      <c r="H1146" s="102"/>
      <c r="I1146" s="64"/>
      <c r="J1146" s="64"/>
      <c r="K1146" s="64"/>
      <c r="L1146" s="64"/>
      <c r="M1146" s="64"/>
      <c r="N1146" s="64"/>
      <c r="O1146" s="64"/>
      <c r="P1146" s="64"/>
      <c r="Q1146" s="64"/>
      <c r="R1146" s="64"/>
      <c r="S1146" s="64"/>
      <c r="T1146" s="64"/>
      <c r="U1146" s="64"/>
      <c r="V1146" s="64"/>
      <c r="W1146" s="64"/>
      <c r="X1146" s="64"/>
      <c r="Y1146" s="64"/>
      <c r="Z1146" s="64"/>
      <c r="AA1146" s="64"/>
      <c r="AB1146" s="64"/>
      <c r="AC1146" s="64"/>
      <c r="AD1146" s="64"/>
      <c r="AE1146" s="64"/>
      <c r="AF1146" s="64"/>
      <c r="AG1146" s="64"/>
      <c r="AH1146" s="64"/>
      <c r="AI1146" s="64"/>
      <c r="AJ1146" s="64"/>
      <c r="AK1146" s="64"/>
      <c r="AL1146" s="64"/>
      <c r="AM1146" s="64"/>
      <c r="AN1146" s="64"/>
      <c r="AO1146" s="64"/>
      <c r="AP1146" s="64"/>
      <c r="AQ1146" s="64"/>
      <c r="AR1146" s="64"/>
      <c r="AS1146" s="64"/>
      <c r="AT1146" s="64"/>
      <c r="AU1146" s="64"/>
      <c r="AV1146" s="64"/>
      <c r="AW1146" s="64"/>
      <c r="AX1146" s="64"/>
      <c r="AY1146" s="64"/>
      <c r="AZ1146" s="64"/>
      <c r="BA1146" s="64"/>
      <c r="BB1146" s="64"/>
      <c r="BC1146" s="64"/>
      <c r="BD1146" s="64"/>
      <c r="BE1146" s="64"/>
      <c r="BF1146" s="64"/>
      <c r="BG1146" s="64"/>
      <c r="BH1146" s="64"/>
      <c r="BI1146" s="64"/>
      <c r="BJ1146" s="64"/>
      <c r="BK1146" s="64"/>
      <c r="BL1146" s="64"/>
      <c r="BM1146" s="64"/>
      <c r="BN1146" s="64"/>
      <c r="BO1146" s="64"/>
      <c r="BP1146" s="64"/>
      <c r="BQ1146" s="64"/>
      <c r="BR1146" s="64"/>
      <c r="BS1146" s="64"/>
      <c r="BT1146" s="64"/>
      <c r="BU1146" s="64"/>
      <c r="BV1146" s="64"/>
      <c r="BW1146" s="64"/>
      <c r="BX1146" s="64"/>
      <c r="BY1146" s="64"/>
      <c r="BZ1146" s="64"/>
      <c r="CA1146" s="64"/>
      <c r="CB1146" s="64"/>
      <c r="CC1146" s="64"/>
      <c r="CD1146" s="64"/>
      <c r="CE1146" s="64"/>
      <c r="CF1146" s="64"/>
      <c r="CG1146" s="64"/>
      <c r="CH1146" s="64"/>
      <c r="CI1146" s="64"/>
      <c r="CJ1146" s="64"/>
      <c r="CK1146" s="64"/>
      <c r="CL1146" s="64"/>
      <c r="CM1146" s="64"/>
      <c r="CN1146" s="64"/>
      <c r="CO1146" s="64"/>
      <c r="CP1146" s="64"/>
      <c r="CQ1146" s="64"/>
      <c r="CR1146" s="64"/>
      <c r="CS1146" s="64"/>
      <c r="CT1146" s="64"/>
      <c r="CU1146" s="64"/>
      <c r="CV1146" s="64"/>
      <c r="CW1146" s="64"/>
      <c r="CX1146" s="64"/>
    </row>
    <row r="1147" spans="1:102" x14ac:dyDescent="0.2">
      <c r="A1147" s="64"/>
      <c r="B1147" s="64"/>
      <c r="C1147" s="102"/>
      <c r="D1147" s="102"/>
      <c r="E1147" s="102"/>
      <c r="F1147" s="102"/>
      <c r="G1147" s="102"/>
      <c r="H1147" s="102"/>
      <c r="I1147" s="64"/>
      <c r="J1147" s="64"/>
      <c r="K1147" s="64"/>
      <c r="L1147" s="64"/>
      <c r="M1147" s="64"/>
      <c r="N1147" s="64"/>
      <c r="O1147" s="64"/>
      <c r="P1147" s="64"/>
      <c r="Q1147" s="64"/>
      <c r="R1147" s="64"/>
      <c r="S1147" s="64"/>
      <c r="T1147" s="64"/>
      <c r="U1147" s="64"/>
      <c r="V1147" s="64"/>
      <c r="W1147" s="64"/>
      <c r="X1147" s="64"/>
      <c r="Y1147" s="64"/>
      <c r="Z1147" s="64"/>
      <c r="AA1147" s="64"/>
      <c r="AB1147" s="64"/>
      <c r="AC1147" s="64"/>
      <c r="AD1147" s="64"/>
      <c r="AE1147" s="64"/>
      <c r="AF1147" s="64"/>
      <c r="AG1147" s="64"/>
      <c r="AH1147" s="64"/>
      <c r="AI1147" s="64"/>
      <c r="AJ1147" s="64"/>
      <c r="AK1147" s="64"/>
      <c r="AL1147" s="64"/>
      <c r="AM1147" s="64"/>
      <c r="AN1147" s="64"/>
      <c r="AO1147" s="64"/>
      <c r="AP1147" s="64"/>
      <c r="AQ1147" s="64"/>
      <c r="AR1147" s="64"/>
      <c r="AS1147" s="64"/>
      <c r="AT1147" s="64"/>
      <c r="AU1147" s="64"/>
      <c r="AV1147" s="64"/>
      <c r="AW1147" s="64"/>
      <c r="AX1147" s="64"/>
      <c r="AY1147" s="64"/>
      <c r="AZ1147" s="64"/>
      <c r="BA1147" s="64"/>
      <c r="BB1147" s="64"/>
      <c r="BC1147" s="64"/>
      <c r="BD1147" s="64"/>
      <c r="BE1147" s="64"/>
      <c r="BF1147" s="64"/>
      <c r="BG1147" s="64"/>
      <c r="BH1147" s="64"/>
      <c r="BI1147" s="64"/>
      <c r="BJ1147" s="64"/>
      <c r="BK1147" s="64"/>
      <c r="BL1147" s="64"/>
      <c r="BM1147" s="64"/>
      <c r="BN1147" s="64"/>
      <c r="BO1147" s="64"/>
      <c r="BP1147" s="64"/>
      <c r="BQ1147" s="64"/>
      <c r="BR1147" s="64"/>
      <c r="BS1147" s="64"/>
      <c r="BT1147" s="64"/>
      <c r="BU1147" s="64"/>
      <c r="BV1147" s="64"/>
      <c r="BW1147" s="64"/>
      <c r="BX1147" s="64"/>
      <c r="BY1147" s="64"/>
      <c r="BZ1147" s="64"/>
      <c r="CA1147" s="64"/>
      <c r="CB1147" s="64"/>
      <c r="CC1147" s="64"/>
      <c r="CD1147" s="64"/>
      <c r="CE1147" s="64"/>
      <c r="CF1147" s="64"/>
      <c r="CG1147" s="64"/>
      <c r="CH1147" s="64"/>
      <c r="CI1147" s="64"/>
      <c r="CJ1147" s="64"/>
      <c r="CK1147" s="64"/>
      <c r="CL1147" s="64"/>
      <c r="CM1147" s="64"/>
      <c r="CN1147" s="64"/>
      <c r="CO1147" s="64"/>
      <c r="CP1147" s="64"/>
      <c r="CQ1147" s="64"/>
      <c r="CR1147" s="64"/>
      <c r="CS1147" s="64"/>
      <c r="CT1147" s="64"/>
      <c r="CU1147" s="64"/>
      <c r="CV1147" s="64"/>
      <c r="CW1147" s="64"/>
      <c r="CX1147" s="64"/>
    </row>
    <row r="1148" spans="1:102" x14ac:dyDescent="0.2">
      <c r="A1148" s="64"/>
      <c r="B1148" s="64"/>
      <c r="C1148" s="102"/>
      <c r="D1148" s="102"/>
      <c r="E1148" s="102"/>
      <c r="F1148" s="102"/>
      <c r="G1148" s="102"/>
      <c r="H1148" s="102"/>
      <c r="I1148" s="64"/>
      <c r="J1148" s="64"/>
      <c r="K1148" s="64"/>
      <c r="L1148" s="64"/>
      <c r="M1148" s="64"/>
      <c r="N1148" s="64"/>
      <c r="O1148" s="64"/>
      <c r="P1148" s="64"/>
      <c r="Q1148" s="64"/>
      <c r="R1148" s="64"/>
      <c r="S1148" s="64"/>
      <c r="T1148" s="64"/>
      <c r="U1148" s="64"/>
      <c r="V1148" s="64"/>
      <c r="W1148" s="64"/>
      <c r="X1148" s="64"/>
      <c r="Y1148" s="64"/>
      <c r="Z1148" s="64"/>
      <c r="AA1148" s="64"/>
      <c r="AB1148" s="64"/>
      <c r="AC1148" s="64"/>
      <c r="AD1148" s="64"/>
      <c r="AE1148" s="64"/>
      <c r="AF1148" s="64"/>
      <c r="AG1148" s="64"/>
      <c r="AH1148" s="64"/>
      <c r="AI1148" s="64"/>
      <c r="AJ1148" s="64"/>
      <c r="AK1148" s="64"/>
      <c r="AL1148" s="64"/>
      <c r="AM1148" s="64"/>
      <c r="AN1148" s="64"/>
      <c r="AO1148" s="64"/>
      <c r="AP1148" s="64"/>
      <c r="AQ1148" s="64"/>
      <c r="AR1148" s="64"/>
      <c r="AS1148" s="64"/>
      <c r="AT1148" s="64"/>
      <c r="AU1148" s="64"/>
      <c r="AV1148" s="64"/>
      <c r="AW1148" s="64"/>
      <c r="AX1148" s="64"/>
      <c r="AY1148" s="64"/>
      <c r="AZ1148" s="64"/>
      <c r="BA1148" s="64"/>
      <c r="BB1148" s="64"/>
      <c r="BC1148" s="64"/>
      <c r="BD1148" s="64"/>
      <c r="BE1148" s="64"/>
      <c r="BF1148" s="64"/>
      <c r="BG1148" s="64"/>
      <c r="BH1148" s="64"/>
      <c r="BI1148" s="64"/>
      <c r="BJ1148" s="64"/>
      <c r="BK1148" s="64"/>
      <c r="BL1148" s="64"/>
      <c r="BM1148" s="64"/>
      <c r="BN1148" s="64"/>
      <c r="BO1148" s="64"/>
      <c r="BP1148" s="64"/>
      <c r="BQ1148" s="64"/>
      <c r="BR1148" s="64"/>
      <c r="BS1148" s="64"/>
      <c r="BT1148" s="64"/>
      <c r="BU1148" s="64"/>
      <c r="BV1148" s="64"/>
      <c r="BW1148" s="64"/>
      <c r="BX1148" s="64"/>
      <c r="BY1148" s="64"/>
      <c r="BZ1148" s="64"/>
      <c r="CA1148" s="64"/>
      <c r="CB1148" s="64"/>
      <c r="CC1148" s="64"/>
      <c r="CD1148" s="64"/>
      <c r="CE1148" s="64"/>
      <c r="CF1148" s="64"/>
      <c r="CG1148" s="64"/>
      <c r="CH1148" s="64"/>
      <c r="CI1148" s="64"/>
      <c r="CJ1148" s="64"/>
      <c r="CK1148" s="64"/>
      <c r="CL1148" s="64"/>
      <c r="CM1148" s="64"/>
      <c r="CN1148" s="64"/>
      <c r="CO1148" s="64"/>
      <c r="CP1148" s="64"/>
      <c r="CQ1148" s="64"/>
      <c r="CR1148" s="64"/>
      <c r="CS1148" s="64"/>
      <c r="CT1148" s="64"/>
      <c r="CU1148" s="64"/>
      <c r="CV1148" s="64"/>
      <c r="CW1148" s="64"/>
      <c r="CX1148" s="64"/>
    </row>
    <row r="1149" spans="1:102" x14ac:dyDescent="0.2">
      <c r="A1149" s="64"/>
      <c r="B1149" s="64"/>
      <c r="C1149" s="102"/>
      <c r="D1149" s="102"/>
      <c r="E1149" s="102"/>
      <c r="F1149" s="102"/>
      <c r="G1149" s="102"/>
      <c r="H1149" s="102"/>
      <c r="I1149" s="64"/>
      <c r="J1149" s="64"/>
      <c r="K1149" s="64"/>
      <c r="L1149" s="64"/>
      <c r="M1149" s="64"/>
      <c r="N1149" s="64"/>
      <c r="O1149" s="64"/>
      <c r="P1149" s="64"/>
      <c r="Q1149" s="64"/>
      <c r="R1149" s="64"/>
      <c r="S1149" s="64"/>
      <c r="T1149" s="64"/>
      <c r="U1149" s="64"/>
      <c r="V1149" s="64"/>
      <c r="W1149" s="64"/>
      <c r="X1149" s="64"/>
      <c r="Y1149" s="64"/>
      <c r="Z1149" s="64"/>
      <c r="AA1149" s="64"/>
      <c r="AB1149" s="64"/>
      <c r="AC1149" s="64"/>
      <c r="AD1149" s="64"/>
      <c r="AE1149" s="64"/>
      <c r="AF1149" s="64"/>
      <c r="AG1149" s="64"/>
      <c r="AH1149" s="64"/>
      <c r="AI1149" s="64"/>
      <c r="AJ1149" s="64"/>
      <c r="AK1149" s="64"/>
      <c r="AL1149" s="64"/>
      <c r="AM1149" s="64"/>
      <c r="AN1149" s="64"/>
      <c r="AO1149" s="64"/>
      <c r="AP1149" s="64"/>
      <c r="AQ1149" s="64"/>
      <c r="AR1149" s="64"/>
      <c r="AS1149" s="64"/>
      <c r="AT1149" s="64"/>
      <c r="AU1149" s="64"/>
      <c r="AV1149" s="64"/>
      <c r="AW1149" s="64"/>
      <c r="AX1149" s="64"/>
      <c r="AY1149" s="64"/>
      <c r="AZ1149" s="64"/>
      <c r="BA1149" s="64"/>
      <c r="BB1149" s="64"/>
      <c r="BC1149" s="64"/>
      <c r="BD1149" s="64"/>
      <c r="BE1149" s="64"/>
      <c r="BF1149" s="64"/>
      <c r="BG1149" s="64"/>
      <c r="BH1149" s="64"/>
      <c r="BI1149" s="64"/>
      <c r="BJ1149" s="64"/>
      <c r="BK1149" s="64"/>
      <c r="BL1149" s="64"/>
      <c r="BM1149" s="64"/>
      <c r="BN1149" s="64"/>
      <c r="BO1149" s="64"/>
      <c r="BP1149" s="64"/>
      <c r="BQ1149" s="64"/>
      <c r="BR1149" s="64"/>
      <c r="BS1149" s="64"/>
      <c r="BT1149" s="64"/>
      <c r="BU1149" s="64"/>
      <c r="BV1149" s="64"/>
      <c r="BW1149" s="64"/>
      <c r="BX1149" s="64"/>
      <c r="BY1149" s="64"/>
      <c r="BZ1149" s="64"/>
      <c r="CA1149" s="64"/>
      <c r="CB1149" s="64"/>
      <c r="CC1149" s="64"/>
      <c r="CD1149" s="64"/>
      <c r="CE1149" s="64"/>
      <c r="CF1149" s="64"/>
      <c r="CG1149" s="64"/>
      <c r="CH1149" s="64"/>
      <c r="CI1149" s="64"/>
      <c r="CJ1149" s="64"/>
      <c r="CK1149" s="64"/>
      <c r="CL1149" s="64"/>
      <c r="CM1149" s="64"/>
      <c r="CN1149" s="64"/>
      <c r="CO1149" s="64"/>
      <c r="CP1149" s="64"/>
      <c r="CQ1149" s="64"/>
      <c r="CR1149" s="64"/>
      <c r="CS1149" s="64"/>
      <c r="CT1149" s="64"/>
      <c r="CU1149" s="64"/>
      <c r="CV1149" s="64"/>
      <c r="CW1149" s="64"/>
      <c r="CX1149" s="64"/>
    </row>
    <row r="1150" spans="1:102" x14ac:dyDescent="0.2">
      <c r="A1150" s="64"/>
      <c r="B1150" s="64"/>
      <c r="C1150" s="102"/>
      <c r="D1150" s="102"/>
      <c r="E1150" s="102"/>
      <c r="F1150" s="102"/>
      <c r="G1150" s="102"/>
      <c r="H1150" s="102"/>
      <c r="I1150" s="64"/>
      <c r="J1150" s="64"/>
      <c r="K1150" s="64"/>
      <c r="L1150" s="64"/>
      <c r="M1150" s="64"/>
      <c r="N1150" s="64"/>
      <c r="O1150" s="64"/>
      <c r="P1150" s="64"/>
      <c r="Q1150" s="64"/>
      <c r="R1150" s="64"/>
      <c r="S1150" s="64"/>
      <c r="T1150" s="64"/>
      <c r="U1150" s="64"/>
      <c r="V1150" s="64"/>
      <c r="W1150" s="64"/>
      <c r="X1150" s="64"/>
      <c r="Y1150" s="64"/>
      <c r="Z1150" s="64"/>
      <c r="AA1150" s="64"/>
      <c r="AB1150" s="64"/>
      <c r="AC1150" s="64"/>
      <c r="AD1150" s="64"/>
      <c r="AE1150" s="64"/>
      <c r="AF1150" s="64"/>
      <c r="AG1150" s="64"/>
      <c r="AH1150" s="64"/>
      <c r="AI1150" s="64"/>
      <c r="AJ1150" s="64"/>
      <c r="AK1150" s="64"/>
      <c r="AL1150" s="64"/>
      <c r="AM1150" s="64"/>
      <c r="AN1150" s="64"/>
      <c r="AO1150" s="64"/>
      <c r="AP1150" s="64"/>
      <c r="AQ1150" s="64"/>
      <c r="AR1150" s="64"/>
      <c r="AS1150" s="64"/>
      <c r="AT1150" s="64"/>
      <c r="AU1150" s="64"/>
      <c r="AV1150" s="64"/>
      <c r="AW1150" s="64"/>
      <c r="AX1150" s="64"/>
      <c r="AY1150" s="64"/>
      <c r="AZ1150" s="64"/>
      <c r="BA1150" s="64"/>
      <c r="BB1150" s="64"/>
      <c r="BC1150" s="64"/>
      <c r="BD1150" s="64"/>
      <c r="BE1150" s="64"/>
      <c r="BF1150" s="64"/>
      <c r="BG1150" s="64"/>
      <c r="BH1150" s="64"/>
      <c r="BI1150" s="64"/>
      <c r="BJ1150" s="64"/>
      <c r="BK1150" s="64"/>
      <c r="BL1150" s="64"/>
      <c r="BM1150" s="64"/>
      <c r="BN1150" s="64"/>
      <c r="BO1150" s="64"/>
      <c r="BP1150" s="64"/>
      <c r="BQ1150" s="64"/>
      <c r="BR1150" s="64"/>
      <c r="BS1150" s="64"/>
      <c r="BT1150" s="64"/>
      <c r="BU1150" s="64"/>
      <c r="BV1150" s="64"/>
      <c r="BW1150" s="64"/>
      <c r="BX1150" s="64"/>
      <c r="BY1150" s="64"/>
      <c r="BZ1150" s="64"/>
      <c r="CA1150" s="64"/>
      <c r="CB1150" s="64"/>
      <c r="CC1150" s="64"/>
      <c r="CD1150" s="64"/>
      <c r="CE1150" s="64"/>
      <c r="CF1150" s="64"/>
      <c r="CG1150" s="64"/>
      <c r="CH1150" s="64"/>
      <c r="CI1150" s="64"/>
      <c r="CJ1150" s="64"/>
      <c r="CK1150" s="64"/>
      <c r="CL1150" s="64"/>
      <c r="CM1150" s="64"/>
      <c r="CN1150" s="64"/>
      <c r="CO1150" s="64"/>
      <c r="CP1150" s="64"/>
      <c r="CQ1150" s="64"/>
      <c r="CR1150" s="64"/>
      <c r="CS1150" s="64"/>
      <c r="CT1150" s="64"/>
      <c r="CU1150" s="64"/>
      <c r="CV1150" s="64"/>
      <c r="CW1150" s="64"/>
      <c r="CX1150" s="64"/>
    </row>
    <row r="1151" spans="1:102" x14ac:dyDescent="0.2">
      <c r="A1151" s="64"/>
      <c r="B1151" s="64"/>
      <c r="C1151" s="102"/>
      <c r="D1151" s="102"/>
      <c r="E1151" s="102"/>
      <c r="F1151" s="102"/>
      <c r="G1151" s="102"/>
      <c r="H1151" s="102"/>
      <c r="I1151" s="64"/>
      <c r="J1151" s="64"/>
      <c r="K1151" s="64"/>
      <c r="L1151" s="64"/>
      <c r="M1151" s="64"/>
      <c r="N1151" s="64"/>
      <c r="O1151" s="64"/>
      <c r="P1151" s="64"/>
      <c r="Q1151" s="64"/>
      <c r="R1151" s="64"/>
      <c r="S1151" s="64"/>
      <c r="T1151" s="64"/>
      <c r="U1151" s="64"/>
      <c r="V1151" s="64"/>
      <c r="W1151" s="64"/>
      <c r="X1151" s="64"/>
      <c r="Y1151" s="64"/>
      <c r="Z1151" s="64"/>
      <c r="AA1151" s="64"/>
      <c r="AB1151" s="64"/>
      <c r="AC1151" s="64"/>
      <c r="AD1151" s="64"/>
      <c r="AE1151" s="64"/>
      <c r="AF1151" s="64"/>
      <c r="AG1151" s="64"/>
      <c r="AH1151" s="64"/>
      <c r="AI1151" s="64"/>
      <c r="AJ1151" s="64"/>
      <c r="AK1151" s="64"/>
      <c r="AL1151" s="64"/>
      <c r="AM1151" s="64"/>
      <c r="AN1151" s="64"/>
      <c r="AO1151" s="64"/>
      <c r="AP1151" s="64"/>
      <c r="AQ1151" s="64"/>
      <c r="AR1151" s="64"/>
      <c r="AS1151" s="64"/>
      <c r="AT1151" s="64"/>
      <c r="AU1151" s="64"/>
      <c r="AV1151" s="64"/>
      <c r="AW1151" s="64"/>
      <c r="AX1151" s="64"/>
      <c r="AY1151" s="64"/>
      <c r="AZ1151" s="64"/>
      <c r="BA1151" s="64"/>
      <c r="BB1151" s="64"/>
      <c r="BC1151" s="64"/>
      <c r="BD1151" s="64"/>
      <c r="BE1151" s="64"/>
      <c r="BF1151" s="64"/>
      <c r="BG1151" s="64"/>
      <c r="BH1151" s="64"/>
      <c r="BI1151" s="64"/>
      <c r="BJ1151" s="64"/>
      <c r="BK1151" s="64"/>
      <c r="BL1151" s="64"/>
      <c r="BM1151" s="64"/>
      <c r="BN1151" s="64"/>
      <c r="BO1151" s="64"/>
      <c r="BP1151" s="64"/>
      <c r="BQ1151" s="64"/>
      <c r="BR1151" s="64"/>
      <c r="BS1151" s="64"/>
      <c r="BT1151" s="64"/>
      <c r="BU1151" s="64"/>
      <c r="BV1151" s="64"/>
      <c r="BW1151" s="64"/>
      <c r="BX1151" s="64"/>
      <c r="BY1151" s="64"/>
      <c r="BZ1151" s="64"/>
      <c r="CA1151" s="64"/>
      <c r="CB1151" s="64"/>
      <c r="CC1151" s="64"/>
      <c r="CD1151" s="64"/>
      <c r="CE1151" s="64"/>
      <c r="CF1151" s="64"/>
      <c r="CG1151" s="64"/>
      <c r="CH1151" s="64"/>
      <c r="CI1151" s="64"/>
      <c r="CJ1151" s="64"/>
      <c r="CK1151" s="64"/>
      <c r="CL1151" s="64"/>
      <c r="CM1151" s="64"/>
      <c r="CN1151" s="64"/>
      <c r="CO1151" s="64"/>
      <c r="CP1151" s="64"/>
      <c r="CQ1151" s="64"/>
      <c r="CR1151" s="64"/>
      <c r="CS1151" s="64"/>
      <c r="CT1151" s="64"/>
      <c r="CU1151" s="64"/>
      <c r="CV1151" s="64"/>
      <c r="CW1151" s="64"/>
      <c r="CX1151" s="64"/>
    </row>
    <row r="1152" spans="1:102" x14ac:dyDescent="0.2">
      <c r="A1152" s="64"/>
      <c r="B1152" s="64"/>
      <c r="C1152" s="102"/>
      <c r="D1152" s="102"/>
      <c r="E1152" s="102"/>
      <c r="F1152" s="102"/>
      <c r="G1152" s="102"/>
      <c r="H1152" s="102"/>
      <c r="I1152" s="64"/>
      <c r="J1152" s="64"/>
      <c r="K1152" s="64"/>
      <c r="L1152" s="64"/>
      <c r="M1152" s="64"/>
      <c r="N1152" s="64"/>
      <c r="O1152" s="64"/>
      <c r="P1152" s="64"/>
      <c r="Q1152" s="64"/>
      <c r="R1152" s="64"/>
      <c r="S1152" s="64"/>
      <c r="T1152" s="64"/>
      <c r="U1152" s="64"/>
      <c r="V1152" s="64"/>
      <c r="W1152" s="64"/>
      <c r="X1152" s="64"/>
      <c r="Y1152" s="64"/>
      <c r="Z1152" s="64"/>
      <c r="AA1152" s="64"/>
      <c r="AB1152" s="64"/>
      <c r="AC1152" s="64"/>
      <c r="AD1152" s="64"/>
      <c r="AE1152" s="64"/>
      <c r="AF1152" s="64"/>
      <c r="AG1152" s="64"/>
      <c r="AH1152" s="64"/>
      <c r="AI1152" s="64"/>
      <c r="AJ1152" s="64"/>
      <c r="AK1152" s="64"/>
      <c r="AL1152" s="64"/>
      <c r="AM1152" s="64"/>
      <c r="AN1152" s="64"/>
      <c r="AO1152" s="64"/>
      <c r="AP1152" s="64"/>
      <c r="AQ1152" s="64"/>
      <c r="AR1152" s="64"/>
      <c r="AS1152" s="64"/>
      <c r="AT1152" s="64"/>
      <c r="AU1152" s="64"/>
      <c r="AV1152" s="64"/>
      <c r="AW1152" s="64"/>
      <c r="AX1152" s="64"/>
      <c r="AY1152" s="64"/>
      <c r="AZ1152" s="64"/>
      <c r="BA1152" s="64"/>
      <c r="BB1152" s="64"/>
      <c r="BC1152" s="64"/>
      <c r="BD1152" s="64"/>
      <c r="BE1152" s="64"/>
      <c r="BF1152" s="64"/>
      <c r="BG1152" s="64"/>
      <c r="BH1152" s="64"/>
      <c r="BI1152" s="64"/>
      <c r="BJ1152" s="64"/>
      <c r="BK1152" s="64"/>
      <c r="BL1152" s="64"/>
      <c r="BM1152" s="64"/>
      <c r="BN1152" s="64"/>
      <c r="BO1152" s="64"/>
      <c r="BP1152" s="64"/>
      <c r="BQ1152" s="64"/>
      <c r="BR1152" s="64"/>
      <c r="BS1152" s="64"/>
      <c r="BT1152" s="64"/>
      <c r="BU1152" s="64"/>
      <c r="BV1152" s="64"/>
      <c r="BW1152" s="64"/>
      <c r="BX1152" s="64"/>
      <c r="BY1152" s="64"/>
      <c r="BZ1152" s="64"/>
      <c r="CA1152" s="64"/>
      <c r="CB1152" s="64"/>
      <c r="CC1152" s="64"/>
      <c r="CD1152" s="64"/>
      <c r="CE1152" s="64"/>
      <c r="CF1152" s="64"/>
      <c r="CG1152" s="64"/>
      <c r="CH1152" s="64"/>
      <c r="CI1152" s="64"/>
      <c r="CJ1152" s="64"/>
      <c r="CK1152" s="64"/>
      <c r="CL1152" s="64"/>
      <c r="CM1152" s="64"/>
      <c r="CN1152" s="64"/>
      <c r="CO1152" s="64"/>
      <c r="CP1152" s="64"/>
      <c r="CQ1152" s="64"/>
      <c r="CR1152" s="64"/>
      <c r="CS1152" s="64"/>
      <c r="CT1152" s="64"/>
      <c r="CU1152" s="64"/>
      <c r="CV1152" s="64"/>
      <c r="CW1152" s="64"/>
      <c r="CX1152" s="64"/>
    </row>
    <row r="1153" spans="1:102" x14ac:dyDescent="0.2">
      <c r="A1153" s="64"/>
      <c r="B1153" s="64"/>
      <c r="C1153" s="102"/>
      <c r="D1153" s="102"/>
      <c r="E1153" s="102"/>
      <c r="F1153" s="102"/>
      <c r="G1153" s="102"/>
      <c r="H1153" s="102"/>
      <c r="I1153" s="64"/>
      <c r="J1153" s="64"/>
      <c r="K1153" s="64"/>
      <c r="L1153" s="64"/>
      <c r="M1153" s="64"/>
      <c r="N1153" s="64"/>
      <c r="O1153" s="64"/>
      <c r="P1153" s="64"/>
      <c r="Q1153" s="64"/>
      <c r="R1153" s="64"/>
      <c r="S1153" s="64"/>
      <c r="T1153" s="64"/>
      <c r="U1153" s="64"/>
      <c r="V1153" s="64"/>
      <c r="W1153" s="64"/>
      <c r="X1153" s="64"/>
      <c r="Y1153" s="64"/>
      <c r="Z1153" s="64"/>
      <c r="AA1153" s="64"/>
      <c r="AB1153" s="64"/>
      <c r="AC1153" s="64"/>
      <c r="AD1153" s="64"/>
      <c r="AE1153" s="64"/>
      <c r="AF1153" s="64"/>
      <c r="AG1153" s="64"/>
      <c r="AH1153" s="64"/>
      <c r="AI1153" s="64"/>
      <c r="AJ1153" s="64"/>
      <c r="AK1153" s="64"/>
      <c r="AL1153" s="64"/>
      <c r="AM1153" s="64"/>
      <c r="AN1153" s="64"/>
      <c r="AO1153" s="64"/>
      <c r="AP1153" s="64"/>
      <c r="AQ1153" s="64"/>
      <c r="AR1153" s="64"/>
      <c r="AS1153" s="64"/>
      <c r="AT1153" s="64"/>
      <c r="AU1153" s="64"/>
      <c r="AV1153" s="64"/>
      <c r="AW1153" s="64"/>
      <c r="AX1153" s="64"/>
      <c r="AY1153" s="64"/>
      <c r="AZ1153" s="64"/>
      <c r="BA1153" s="64"/>
      <c r="BB1153" s="64"/>
      <c r="BC1153" s="64"/>
      <c r="BD1153" s="64"/>
      <c r="BE1153" s="64"/>
      <c r="BF1153" s="64"/>
      <c r="BG1153" s="64"/>
      <c r="BH1153" s="64"/>
      <c r="BI1153" s="64"/>
      <c r="BJ1153" s="64"/>
      <c r="BK1153" s="64"/>
      <c r="BL1153" s="64"/>
      <c r="BM1153" s="64"/>
      <c r="BN1153" s="64"/>
      <c r="BO1153" s="64"/>
      <c r="BP1153" s="64"/>
      <c r="BQ1153" s="64"/>
      <c r="BR1153" s="64"/>
      <c r="BS1153" s="64"/>
      <c r="BT1153" s="64"/>
      <c r="BU1153" s="64"/>
      <c r="BV1153" s="64"/>
      <c r="BW1153" s="64"/>
      <c r="BX1153" s="64"/>
      <c r="BY1153" s="64"/>
      <c r="BZ1153" s="64"/>
      <c r="CA1153" s="64"/>
      <c r="CB1153" s="64"/>
      <c r="CC1153" s="64"/>
      <c r="CD1153" s="64"/>
      <c r="CE1153" s="64"/>
      <c r="CF1153" s="64"/>
      <c r="CG1153" s="64"/>
      <c r="CH1153" s="64"/>
      <c r="CI1153" s="64"/>
      <c r="CJ1153" s="64"/>
      <c r="CK1153" s="64"/>
      <c r="CL1153" s="64"/>
      <c r="CM1153" s="64"/>
      <c r="CN1153" s="64"/>
      <c r="CO1153" s="64"/>
      <c r="CP1153" s="64"/>
      <c r="CQ1153" s="64"/>
      <c r="CR1153" s="64"/>
      <c r="CS1153" s="64"/>
      <c r="CT1153" s="64"/>
      <c r="CU1153" s="64"/>
      <c r="CV1153" s="64"/>
      <c r="CW1153" s="64"/>
      <c r="CX1153" s="64"/>
    </row>
    <row r="1154" spans="1:102" x14ac:dyDescent="0.2">
      <c r="A1154" s="64"/>
      <c r="B1154" s="64"/>
      <c r="C1154" s="102"/>
      <c r="D1154" s="102"/>
      <c r="E1154" s="102"/>
      <c r="F1154" s="102"/>
      <c r="G1154" s="102"/>
      <c r="H1154" s="102"/>
      <c r="I1154" s="64"/>
      <c r="J1154" s="64"/>
      <c r="K1154" s="64"/>
      <c r="L1154" s="64"/>
      <c r="M1154" s="64"/>
      <c r="N1154" s="64"/>
      <c r="O1154" s="64"/>
      <c r="P1154" s="64"/>
      <c r="Q1154" s="64"/>
      <c r="R1154" s="64"/>
      <c r="S1154" s="64"/>
      <c r="T1154" s="64"/>
      <c r="U1154" s="64"/>
      <c r="V1154" s="64"/>
      <c r="W1154" s="64"/>
      <c r="X1154" s="64"/>
      <c r="Y1154" s="64"/>
      <c r="Z1154" s="64"/>
      <c r="AA1154" s="64"/>
      <c r="AB1154" s="64"/>
      <c r="AC1154" s="64"/>
      <c r="AD1154" s="64"/>
      <c r="AE1154" s="64"/>
      <c r="AF1154" s="64"/>
      <c r="AG1154" s="64"/>
      <c r="AH1154" s="64"/>
      <c r="AI1154" s="64"/>
      <c r="AJ1154" s="64"/>
      <c r="AK1154" s="64"/>
      <c r="AL1154" s="64"/>
      <c r="AM1154" s="64"/>
      <c r="AN1154" s="64"/>
      <c r="AO1154" s="64"/>
      <c r="AP1154" s="64"/>
      <c r="AQ1154" s="64"/>
      <c r="AR1154" s="64"/>
      <c r="AS1154" s="64"/>
      <c r="AT1154" s="64"/>
      <c r="AU1154" s="64"/>
      <c r="AV1154" s="64"/>
      <c r="AW1154" s="64"/>
      <c r="AX1154" s="64"/>
      <c r="AY1154" s="64"/>
      <c r="AZ1154" s="64"/>
      <c r="BA1154" s="64"/>
      <c r="BB1154" s="64"/>
      <c r="BC1154" s="64"/>
      <c r="BD1154" s="64"/>
      <c r="BE1154" s="64"/>
      <c r="BF1154" s="64"/>
      <c r="BG1154" s="64"/>
      <c r="BH1154" s="64"/>
      <c r="BI1154" s="64"/>
      <c r="BJ1154" s="64"/>
      <c r="BK1154" s="64"/>
      <c r="BL1154" s="64"/>
      <c r="BM1154" s="64"/>
      <c r="BN1154" s="64"/>
      <c r="BO1154" s="64"/>
      <c r="BP1154" s="64"/>
      <c r="BQ1154" s="64"/>
      <c r="BR1154" s="64"/>
      <c r="BS1154" s="64"/>
      <c r="BT1154" s="64"/>
      <c r="BU1154" s="64"/>
      <c r="BV1154" s="64"/>
      <c r="BW1154" s="64"/>
      <c r="BX1154" s="64"/>
      <c r="BY1154" s="64"/>
      <c r="BZ1154" s="64"/>
      <c r="CA1154" s="64"/>
      <c r="CB1154" s="64"/>
      <c r="CC1154" s="64"/>
      <c r="CD1154" s="64"/>
      <c r="CE1154" s="64"/>
      <c r="CF1154" s="64"/>
      <c r="CG1154" s="64"/>
      <c r="CH1154" s="64"/>
      <c r="CI1154" s="64"/>
      <c r="CJ1154" s="64"/>
      <c r="CK1154" s="64"/>
      <c r="CL1154" s="64"/>
      <c r="CM1154" s="64"/>
      <c r="CN1154" s="64"/>
      <c r="CO1154" s="64"/>
      <c r="CP1154" s="64"/>
      <c r="CQ1154" s="64"/>
      <c r="CR1154" s="64"/>
      <c r="CS1154" s="64"/>
      <c r="CT1154" s="64"/>
      <c r="CU1154" s="64"/>
      <c r="CV1154" s="64"/>
      <c r="CW1154" s="64"/>
      <c r="CX1154" s="64"/>
    </row>
    <row r="1155" spans="1:102" x14ac:dyDescent="0.2">
      <c r="A1155" s="64"/>
      <c r="B1155" s="64"/>
      <c r="C1155" s="102"/>
      <c r="D1155" s="102"/>
      <c r="E1155" s="102"/>
      <c r="F1155" s="102"/>
      <c r="G1155" s="102"/>
      <c r="H1155" s="102"/>
      <c r="I1155" s="64"/>
      <c r="J1155" s="64"/>
      <c r="K1155" s="64"/>
      <c r="L1155" s="64"/>
      <c r="M1155" s="64"/>
      <c r="N1155" s="64"/>
      <c r="O1155" s="64"/>
      <c r="P1155" s="64"/>
      <c r="Q1155" s="64"/>
      <c r="R1155" s="64"/>
      <c r="S1155" s="64"/>
      <c r="T1155" s="64"/>
      <c r="U1155" s="64"/>
      <c r="V1155" s="64"/>
      <c r="W1155" s="64"/>
      <c r="X1155" s="64"/>
      <c r="Y1155" s="64"/>
      <c r="Z1155" s="64"/>
      <c r="AA1155" s="64"/>
      <c r="AB1155" s="64"/>
      <c r="AC1155" s="64"/>
      <c r="AD1155" s="64"/>
      <c r="AE1155" s="64"/>
      <c r="AF1155" s="64"/>
      <c r="AG1155" s="64"/>
      <c r="AH1155" s="64"/>
      <c r="AI1155" s="64"/>
      <c r="AJ1155" s="64"/>
      <c r="AK1155" s="64"/>
      <c r="AL1155" s="64"/>
      <c r="AM1155" s="64"/>
      <c r="AN1155" s="64"/>
      <c r="AO1155" s="64"/>
      <c r="AP1155" s="64"/>
      <c r="AQ1155" s="64"/>
      <c r="AR1155" s="64"/>
      <c r="AS1155" s="64"/>
      <c r="AT1155" s="64"/>
      <c r="AU1155" s="64"/>
      <c r="AV1155" s="64"/>
      <c r="AW1155" s="64"/>
      <c r="AX1155" s="64"/>
      <c r="AY1155" s="64"/>
      <c r="AZ1155" s="64"/>
      <c r="BA1155" s="64"/>
      <c r="BB1155" s="64"/>
      <c r="BC1155" s="64"/>
      <c r="BD1155" s="64"/>
      <c r="BE1155" s="64"/>
      <c r="BF1155" s="64"/>
      <c r="BG1155" s="64"/>
      <c r="BH1155" s="64"/>
      <c r="BI1155" s="64"/>
      <c r="BJ1155" s="64"/>
      <c r="BK1155" s="64"/>
      <c r="BL1155" s="64"/>
      <c r="BM1155" s="64"/>
      <c r="BN1155" s="64"/>
      <c r="BO1155" s="64"/>
      <c r="BP1155" s="64"/>
      <c r="BQ1155" s="64"/>
      <c r="BR1155" s="64"/>
      <c r="BS1155" s="64"/>
      <c r="BT1155" s="64"/>
      <c r="BU1155" s="64"/>
      <c r="BV1155" s="64"/>
      <c r="BW1155" s="64"/>
      <c r="BX1155" s="64"/>
      <c r="BY1155" s="64"/>
      <c r="BZ1155" s="64"/>
      <c r="CA1155" s="64"/>
      <c r="CB1155" s="64"/>
      <c r="CC1155" s="64"/>
      <c r="CD1155" s="64"/>
      <c r="CE1155" s="64"/>
      <c r="CF1155" s="64"/>
      <c r="CG1155" s="64"/>
      <c r="CH1155" s="64"/>
      <c r="CI1155" s="64"/>
      <c r="CJ1155" s="64"/>
      <c r="CK1155" s="64"/>
      <c r="CL1155" s="64"/>
      <c r="CM1155" s="64"/>
      <c r="CN1155" s="64"/>
      <c r="CO1155" s="64"/>
      <c r="CP1155" s="64"/>
      <c r="CQ1155" s="64"/>
      <c r="CR1155" s="64"/>
      <c r="CS1155" s="64"/>
      <c r="CT1155" s="64"/>
      <c r="CU1155" s="64"/>
      <c r="CV1155" s="64"/>
      <c r="CW1155" s="64"/>
      <c r="CX1155" s="64"/>
    </row>
    <row r="1156" spans="1:102" x14ac:dyDescent="0.2">
      <c r="A1156" s="64"/>
      <c r="B1156" s="64"/>
      <c r="C1156" s="102"/>
      <c r="D1156" s="102"/>
      <c r="E1156" s="102"/>
      <c r="F1156" s="102"/>
      <c r="G1156" s="102"/>
      <c r="H1156" s="102"/>
      <c r="I1156" s="64"/>
      <c r="J1156" s="64"/>
      <c r="K1156" s="64"/>
      <c r="L1156" s="64"/>
      <c r="M1156" s="64"/>
      <c r="N1156" s="64"/>
      <c r="O1156" s="64"/>
      <c r="P1156" s="64"/>
      <c r="Q1156" s="64"/>
      <c r="R1156" s="64"/>
      <c r="S1156" s="64"/>
      <c r="T1156" s="64"/>
      <c r="U1156" s="64"/>
      <c r="V1156" s="64"/>
      <c r="W1156" s="64"/>
      <c r="X1156" s="64"/>
      <c r="Y1156" s="64"/>
      <c r="Z1156" s="64"/>
      <c r="AA1156" s="64"/>
      <c r="AB1156" s="64"/>
      <c r="AC1156" s="64"/>
      <c r="AD1156" s="64"/>
      <c r="AE1156" s="64"/>
      <c r="AF1156" s="64"/>
      <c r="AG1156" s="64"/>
      <c r="AH1156" s="64"/>
      <c r="AI1156" s="64"/>
      <c r="AJ1156" s="64"/>
      <c r="AK1156" s="64"/>
      <c r="AL1156" s="64"/>
      <c r="AM1156" s="64"/>
      <c r="AN1156" s="64"/>
      <c r="AO1156" s="64"/>
      <c r="AP1156" s="64"/>
      <c r="AQ1156" s="64"/>
      <c r="AR1156" s="64"/>
      <c r="AS1156" s="64"/>
      <c r="AT1156" s="64"/>
      <c r="AU1156" s="64"/>
      <c r="AV1156" s="64"/>
      <c r="AW1156" s="64"/>
      <c r="AX1156" s="64"/>
      <c r="AY1156" s="64"/>
      <c r="AZ1156" s="64"/>
      <c r="BA1156" s="64"/>
      <c r="BB1156" s="64"/>
      <c r="BC1156" s="64"/>
      <c r="BD1156" s="64"/>
      <c r="BE1156" s="64"/>
      <c r="BF1156" s="64"/>
      <c r="BG1156" s="64"/>
      <c r="BH1156" s="64"/>
      <c r="BI1156" s="64"/>
      <c r="BJ1156" s="64"/>
      <c r="BK1156" s="64"/>
      <c r="BL1156" s="64"/>
      <c r="BM1156" s="64"/>
      <c r="BN1156" s="64"/>
      <c r="BO1156" s="64"/>
      <c r="BP1156" s="64"/>
      <c r="BQ1156" s="64"/>
      <c r="BR1156" s="64"/>
      <c r="BS1156" s="64"/>
      <c r="BT1156" s="64"/>
      <c r="BU1156" s="64"/>
      <c r="BV1156" s="64"/>
      <c r="BW1156" s="64"/>
      <c r="BX1156" s="64"/>
      <c r="BY1156" s="64"/>
      <c r="BZ1156" s="64"/>
      <c r="CA1156" s="64"/>
      <c r="CB1156" s="64"/>
      <c r="CC1156" s="64"/>
      <c r="CD1156" s="64"/>
      <c r="CE1156" s="64"/>
      <c r="CF1156" s="64"/>
      <c r="CG1156" s="64"/>
      <c r="CH1156" s="64"/>
      <c r="CI1156" s="64"/>
      <c r="CJ1156" s="64"/>
      <c r="CK1156" s="64"/>
      <c r="CL1156" s="64"/>
      <c r="CM1156" s="64"/>
      <c r="CN1156" s="64"/>
      <c r="CO1156" s="64"/>
      <c r="CP1156" s="64"/>
      <c r="CQ1156" s="64"/>
      <c r="CR1156" s="64"/>
      <c r="CS1156" s="64"/>
      <c r="CT1156" s="64"/>
      <c r="CU1156" s="64"/>
      <c r="CV1156" s="64"/>
      <c r="CW1156" s="64"/>
      <c r="CX1156" s="64"/>
    </row>
    <row r="1157" spans="1:102" x14ac:dyDescent="0.2">
      <c r="A1157" s="64"/>
      <c r="B1157" s="64"/>
      <c r="C1157" s="102"/>
      <c r="D1157" s="102"/>
      <c r="E1157" s="102"/>
      <c r="F1157" s="102"/>
      <c r="G1157" s="102"/>
      <c r="H1157" s="102"/>
      <c r="I1157" s="64"/>
      <c r="J1157" s="64"/>
      <c r="K1157" s="64"/>
      <c r="L1157" s="64"/>
      <c r="M1157" s="64"/>
      <c r="N1157" s="64"/>
      <c r="O1157" s="64"/>
      <c r="P1157" s="64"/>
      <c r="Q1157" s="64"/>
      <c r="R1157" s="64"/>
      <c r="S1157" s="64"/>
      <c r="T1157" s="64"/>
      <c r="U1157" s="64"/>
      <c r="V1157" s="64"/>
      <c r="W1157" s="64"/>
      <c r="X1157" s="64"/>
      <c r="Y1157" s="64"/>
      <c r="Z1157" s="64"/>
      <c r="AA1157" s="64"/>
      <c r="AB1157" s="64"/>
      <c r="AC1157" s="64"/>
      <c r="AD1157" s="64"/>
      <c r="AE1157" s="64"/>
      <c r="AF1157" s="64"/>
      <c r="AG1157" s="64"/>
      <c r="AH1157" s="64"/>
      <c r="AI1157" s="64"/>
      <c r="AJ1157" s="64"/>
      <c r="AK1157" s="64"/>
      <c r="AL1157" s="64"/>
      <c r="AM1157" s="64"/>
      <c r="AN1157" s="64"/>
      <c r="AO1157" s="64"/>
      <c r="AP1157" s="64"/>
      <c r="AQ1157" s="64"/>
      <c r="AR1157" s="64"/>
      <c r="AS1157" s="64"/>
      <c r="AT1157" s="64"/>
      <c r="AU1157" s="64"/>
      <c r="AV1157" s="64"/>
      <c r="AW1157" s="64"/>
      <c r="AX1157" s="64"/>
      <c r="AY1157" s="64"/>
      <c r="AZ1157" s="64"/>
      <c r="BA1157" s="64"/>
      <c r="BB1157" s="64"/>
      <c r="BC1157" s="64"/>
      <c r="BD1157" s="64"/>
      <c r="BE1157" s="64"/>
      <c r="BF1157" s="64"/>
      <c r="BG1157" s="64"/>
      <c r="BH1157" s="64"/>
      <c r="BI1157" s="64"/>
      <c r="BJ1157" s="64"/>
      <c r="BK1157" s="64"/>
      <c r="BL1157" s="64"/>
      <c r="BM1157" s="64"/>
      <c r="BN1157" s="64"/>
      <c r="BO1157" s="64"/>
      <c r="BP1157" s="64"/>
      <c r="BQ1157" s="64"/>
      <c r="BR1157" s="64"/>
      <c r="BS1157" s="64"/>
      <c r="BT1157" s="64"/>
      <c r="BU1157" s="64"/>
      <c r="BV1157" s="64"/>
      <c r="BW1157" s="64"/>
      <c r="BX1157" s="64"/>
      <c r="BY1157" s="64"/>
      <c r="BZ1157" s="64"/>
      <c r="CA1157" s="64"/>
      <c r="CB1157" s="64"/>
      <c r="CC1157" s="64"/>
      <c r="CD1157" s="64"/>
      <c r="CE1157" s="64"/>
      <c r="CF1157" s="64"/>
      <c r="CG1157" s="64"/>
      <c r="CH1157" s="64"/>
      <c r="CI1157" s="64"/>
      <c r="CJ1157" s="64"/>
      <c r="CK1157" s="64"/>
      <c r="CL1157" s="64"/>
      <c r="CM1157" s="64"/>
      <c r="CN1157" s="64"/>
      <c r="CO1157" s="64"/>
      <c r="CP1157" s="64"/>
      <c r="CQ1157" s="64"/>
      <c r="CR1157" s="64"/>
      <c r="CS1157" s="64"/>
      <c r="CT1157" s="64"/>
      <c r="CU1157" s="64"/>
      <c r="CV1157" s="64"/>
      <c r="CW1157" s="64"/>
      <c r="CX1157" s="64"/>
    </row>
    <row r="1158" spans="1:102" x14ac:dyDescent="0.2">
      <c r="A1158" s="64"/>
      <c r="B1158" s="64"/>
      <c r="C1158" s="102"/>
      <c r="D1158" s="102"/>
      <c r="E1158" s="102"/>
      <c r="F1158" s="102"/>
      <c r="G1158" s="102"/>
      <c r="H1158" s="102"/>
      <c r="I1158" s="64"/>
      <c r="J1158" s="64"/>
      <c r="K1158" s="64"/>
      <c r="L1158" s="64"/>
      <c r="M1158" s="64"/>
      <c r="N1158" s="64"/>
      <c r="O1158" s="64"/>
      <c r="P1158" s="64"/>
      <c r="Q1158" s="64"/>
      <c r="R1158" s="64"/>
      <c r="S1158" s="64"/>
      <c r="T1158" s="64"/>
      <c r="U1158" s="64"/>
      <c r="V1158" s="64"/>
      <c r="W1158" s="64"/>
      <c r="X1158" s="64"/>
      <c r="Y1158" s="64"/>
      <c r="Z1158" s="64"/>
      <c r="AA1158" s="64"/>
      <c r="AB1158" s="64"/>
      <c r="AC1158" s="64"/>
      <c r="AD1158" s="64"/>
      <c r="AE1158" s="64"/>
      <c r="AF1158" s="64"/>
      <c r="AG1158" s="64"/>
      <c r="AH1158" s="64"/>
      <c r="AI1158" s="64"/>
      <c r="AJ1158" s="64"/>
      <c r="AK1158" s="64"/>
      <c r="AL1158" s="64"/>
      <c r="AM1158" s="64"/>
      <c r="AN1158" s="64"/>
      <c r="AO1158" s="64"/>
      <c r="AP1158" s="64"/>
      <c r="AQ1158" s="64"/>
      <c r="AR1158" s="64"/>
      <c r="AS1158" s="64"/>
      <c r="AT1158" s="64"/>
      <c r="AU1158" s="64"/>
      <c r="AV1158" s="64"/>
      <c r="AW1158" s="64"/>
      <c r="AX1158" s="64"/>
      <c r="AY1158" s="64"/>
      <c r="AZ1158" s="64"/>
      <c r="BA1158" s="64"/>
      <c r="BB1158" s="64"/>
      <c r="BC1158" s="64"/>
      <c r="BD1158" s="64"/>
      <c r="BE1158" s="64"/>
      <c r="BF1158" s="64"/>
      <c r="BG1158" s="64"/>
      <c r="BH1158" s="64"/>
      <c r="BI1158" s="64"/>
      <c r="BJ1158" s="64"/>
      <c r="BK1158" s="64"/>
      <c r="BL1158" s="64"/>
      <c r="BM1158" s="64"/>
      <c r="BN1158" s="64"/>
      <c r="BO1158" s="64"/>
      <c r="BP1158" s="64"/>
      <c r="BQ1158" s="64"/>
      <c r="BR1158" s="64"/>
      <c r="BS1158" s="64"/>
      <c r="BT1158" s="64"/>
      <c r="BU1158" s="64"/>
      <c r="BV1158" s="64"/>
      <c r="BW1158" s="64"/>
      <c r="BX1158" s="64"/>
      <c r="BY1158" s="64"/>
      <c r="BZ1158" s="64"/>
      <c r="CA1158" s="64"/>
      <c r="CB1158" s="64"/>
      <c r="CC1158" s="64"/>
      <c r="CD1158" s="64"/>
      <c r="CE1158" s="64"/>
      <c r="CF1158" s="64"/>
      <c r="CG1158" s="64"/>
      <c r="CH1158" s="64"/>
      <c r="CI1158" s="64"/>
      <c r="CJ1158" s="64"/>
      <c r="CK1158" s="64"/>
      <c r="CL1158" s="64"/>
      <c r="CM1158" s="64"/>
      <c r="CN1158" s="64"/>
      <c r="CO1158" s="64"/>
      <c r="CP1158" s="64"/>
      <c r="CQ1158" s="64"/>
      <c r="CR1158" s="64"/>
      <c r="CS1158" s="64"/>
      <c r="CT1158" s="64"/>
      <c r="CU1158" s="64"/>
      <c r="CV1158" s="64"/>
      <c r="CW1158" s="64"/>
      <c r="CX1158" s="64"/>
    </row>
    <row r="1159" spans="1:102" x14ac:dyDescent="0.2">
      <c r="A1159" s="64"/>
      <c r="B1159" s="64"/>
      <c r="C1159" s="102"/>
      <c r="D1159" s="102"/>
      <c r="E1159" s="102"/>
      <c r="F1159" s="102"/>
      <c r="G1159" s="102"/>
      <c r="H1159" s="102"/>
      <c r="I1159" s="64"/>
      <c r="J1159" s="64"/>
      <c r="K1159" s="64"/>
      <c r="L1159" s="64"/>
      <c r="M1159" s="64"/>
      <c r="N1159" s="64"/>
      <c r="O1159" s="64"/>
      <c r="P1159" s="64"/>
      <c r="Q1159" s="64"/>
      <c r="R1159" s="64"/>
      <c r="S1159" s="64"/>
      <c r="T1159" s="64"/>
      <c r="U1159" s="64"/>
      <c r="V1159" s="64"/>
      <c r="W1159" s="64"/>
      <c r="X1159" s="64"/>
      <c r="Y1159" s="64"/>
      <c r="Z1159" s="64"/>
      <c r="AA1159" s="64"/>
      <c r="AB1159" s="64"/>
      <c r="AC1159" s="64"/>
      <c r="AD1159" s="64"/>
      <c r="AE1159" s="64"/>
      <c r="AF1159" s="64"/>
      <c r="AG1159" s="64"/>
      <c r="AH1159" s="64"/>
      <c r="AI1159" s="64"/>
      <c r="AJ1159" s="64"/>
      <c r="AK1159" s="64"/>
      <c r="AL1159" s="64"/>
      <c r="AM1159" s="64"/>
      <c r="AN1159" s="64"/>
      <c r="AO1159" s="64"/>
      <c r="AP1159" s="64"/>
      <c r="AQ1159" s="64"/>
      <c r="AR1159" s="64"/>
      <c r="AS1159" s="64"/>
      <c r="AT1159" s="64"/>
      <c r="AU1159" s="64"/>
      <c r="AV1159" s="64"/>
      <c r="AW1159" s="64"/>
      <c r="AX1159" s="64"/>
      <c r="AY1159" s="64"/>
      <c r="AZ1159" s="64"/>
      <c r="BA1159" s="64"/>
      <c r="BB1159" s="64"/>
      <c r="BC1159" s="64"/>
      <c r="BD1159" s="64"/>
      <c r="BE1159" s="64"/>
      <c r="BF1159" s="64"/>
      <c r="BG1159" s="64"/>
      <c r="BH1159" s="64"/>
      <c r="BI1159" s="64"/>
      <c r="BJ1159" s="64"/>
      <c r="BK1159" s="64"/>
      <c r="BL1159" s="64"/>
      <c r="BM1159" s="64"/>
      <c r="BN1159" s="64"/>
      <c r="BO1159" s="64"/>
      <c r="BP1159" s="64"/>
      <c r="BQ1159" s="64"/>
      <c r="BR1159" s="64"/>
      <c r="BS1159" s="64"/>
      <c r="BT1159" s="64"/>
      <c r="BU1159" s="64"/>
      <c r="BV1159" s="64"/>
      <c r="BW1159" s="64"/>
      <c r="BX1159" s="64"/>
      <c r="BY1159" s="64"/>
      <c r="BZ1159" s="64"/>
      <c r="CA1159" s="64"/>
      <c r="CB1159" s="64"/>
      <c r="CC1159" s="64"/>
      <c r="CD1159" s="64"/>
      <c r="CE1159" s="64"/>
      <c r="CF1159" s="64"/>
      <c r="CG1159" s="64"/>
      <c r="CH1159" s="64"/>
      <c r="CI1159" s="64"/>
      <c r="CJ1159" s="64"/>
      <c r="CK1159" s="64"/>
      <c r="CL1159" s="64"/>
      <c r="CM1159" s="64"/>
      <c r="CN1159" s="64"/>
      <c r="CO1159" s="64"/>
      <c r="CP1159" s="64"/>
      <c r="CQ1159" s="64"/>
      <c r="CR1159" s="64"/>
      <c r="CS1159" s="64"/>
      <c r="CT1159" s="64"/>
      <c r="CU1159" s="64"/>
      <c r="CV1159" s="64"/>
      <c r="CW1159" s="64"/>
      <c r="CX1159" s="64"/>
    </row>
    <row r="1160" spans="1:102" x14ac:dyDescent="0.2">
      <c r="A1160" s="64"/>
      <c r="B1160" s="64"/>
      <c r="C1160" s="102"/>
      <c r="D1160" s="102"/>
      <c r="E1160" s="102"/>
      <c r="F1160" s="102"/>
      <c r="G1160" s="102"/>
      <c r="H1160" s="102"/>
      <c r="I1160" s="64"/>
      <c r="J1160" s="64"/>
      <c r="K1160" s="64"/>
      <c r="L1160" s="64"/>
      <c r="M1160" s="64"/>
      <c r="N1160" s="64"/>
      <c r="O1160" s="64"/>
      <c r="P1160" s="64"/>
      <c r="Q1160" s="64"/>
      <c r="R1160" s="64"/>
      <c r="S1160" s="64"/>
      <c r="T1160" s="64"/>
      <c r="U1160" s="64"/>
      <c r="V1160" s="64"/>
      <c r="W1160" s="64"/>
      <c r="X1160" s="64"/>
      <c r="Y1160" s="64"/>
      <c r="Z1160" s="64"/>
      <c r="AA1160" s="64"/>
      <c r="AB1160" s="64"/>
      <c r="AC1160" s="64"/>
      <c r="AD1160" s="64"/>
      <c r="AE1160" s="64"/>
      <c r="AF1160" s="64"/>
      <c r="AG1160" s="64"/>
      <c r="AH1160" s="64"/>
      <c r="AI1160" s="64"/>
      <c r="AJ1160" s="64"/>
      <c r="AK1160" s="64"/>
      <c r="AL1160" s="64"/>
      <c r="AM1160" s="64"/>
      <c r="AN1160" s="64"/>
      <c r="AO1160" s="64"/>
      <c r="AP1160" s="64"/>
      <c r="AQ1160" s="64"/>
      <c r="AR1160" s="64"/>
      <c r="AS1160" s="64"/>
      <c r="AT1160" s="64"/>
      <c r="AU1160" s="64"/>
      <c r="AV1160" s="64"/>
      <c r="AW1160" s="64"/>
      <c r="AX1160" s="64"/>
      <c r="AY1160" s="64"/>
      <c r="AZ1160" s="64"/>
      <c r="BA1160" s="64"/>
      <c r="BB1160" s="64"/>
      <c r="BC1160" s="64"/>
      <c r="BD1160" s="64"/>
      <c r="BE1160" s="64"/>
      <c r="BF1160" s="64"/>
      <c r="BG1160" s="64"/>
      <c r="BH1160" s="64"/>
      <c r="BI1160" s="64"/>
      <c r="BJ1160" s="64"/>
      <c r="BK1160" s="64"/>
      <c r="BL1160" s="64"/>
      <c r="BM1160" s="64"/>
      <c r="BN1160" s="64"/>
      <c r="BO1160" s="64"/>
      <c r="BP1160" s="64"/>
      <c r="BQ1160" s="64"/>
      <c r="BR1160" s="64"/>
      <c r="BS1160" s="64"/>
      <c r="BT1160" s="64"/>
      <c r="BU1160" s="64"/>
      <c r="BV1160" s="64"/>
      <c r="BW1160" s="64"/>
      <c r="BX1160" s="64"/>
      <c r="BY1160" s="64"/>
      <c r="BZ1160" s="64"/>
      <c r="CA1160" s="64"/>
      <c r="CB1160" s="64"/>
      <c r="CC1160" s="64"/>
      <c r="CD1160" s="64"/>
      <c r="CE1160" s="64"/>
      <c r="CF1160" s="64"/>
      <c r="CG1160" s="64"/>
      <c r="CH1160" s="64"/>
      <c r="CI1160" s="64"/>
      <c r="CJ1160" s="64"/>
      <c r="CK1160" s="64"/>
      <c r="CL1160" s="64"/>
      <c r="CM1160" s="64"/>
      <c r="CN1160" s="64"/>
      <c r="CO1160" s="64"/>
      <c r="CP1160" s="64"/>
      <c r="CQ1160" s="64"/>
      <c r="CR1160" s="64"/>
      <c r="CS1160" s="64"/>
      <c r="CT1160" s="64"/>
      <c r="CU1160" s="64"/>
      <c r="CV1160" s="64"/>
      <c r="CW1160" s="64"/>
      <c r="CX1160" s="64"/>
    </row>
    <row r="1161" spans="1:102" x14ac:dyDescent="0.2">
      <c r="A1161" s="64"/>
      <c r="B1161" s="64"/>
      <c r="C1161" s="102"/>
      <c r="D1161" s="102"/>
      <c r="E1161" s="102"/>
      <c r="F1161" s="102"/>
      <c r="G1161" s="102"/>
      <c r="H1161" s="102"/>
      <c r="I1161" s="64"/>
      <c r="J1161" s="64"/>
      <c r="K1161" s="64"/>
      <c r="L1161" s="64"/>
      <c r="M1161" s="64"/>
      <c r="N1161" s="64"/>
      <c r="O1161" s="64"/>
      <c r="P1161" s="64"/>
      <c r="Q1161" s="64"/>
      <c r="R1161" s="64"/>
      <c r="S1161" s="64"/>
      <c r="T1161" s="64"/>
      <c r="U1161" s="64"/>
      <c r="V1161" s="64"/>
      <c r="W1161" s="64"/>
      <c r="X1161" s="64"/>
      <c r="Y1161" s="64"/>
      <c r="Z1161" s="64"/>
      <c r="AA1161" s="64"/>
      <c r="AB1161" s="64"/>
      <c r="AC1161" s="64"/>
      <c r="AD1161" s="64"/>
      <c r="AE1161" s="64"/>
      <c r="AF1161" s="64"/>
      <c r="AG1161" s="64"/>
      <c r="AH1161" s="64"/>
      <c r="AI1161" s="64"/>
      <c r="AJ1161" s="64"/>
      <c r="AK1161" s="64"/>
      <c r="AL1161" s="64"/>
      <c r="AM1161" s="64"/>
      <c r="AN1161" s="64"/>
      <c r="AO1161" s="64"/>
      <c r="AP1161" s="64"/>
      <c r="AQ1161" s="64"/>
      <c r="AR1161" s="64"/>
      <c r="AS1161" s="64"/>
      <c r="AT1161" s="64"/>
      <c r="AU1161" s="64"/>
      <c r="AV1161" s="64"/>
      <c r="AW1161" s="64"/>
      <c r="AX1161" s="64"/>
      <c r="AY1161" s="64"/>
      <c r="AZ1161" s="64"/>
      <c r="BA1161" s="64"/>
      <c r="BB1161" s="64"/>
      <c r="BC1161" s="64"/>
      <c r="BD1161" s="64"/>
      <c r="BE1161" s="64"/>
      <c r="BF1161" s="64"/>
      <c r="BG1161" s="64"/>
      <c r="BH1161" s="64"/>
      <c r="BI1161" s="64"/>
      <c r="BJ1161" s="64"/>
      <c r="BK1161" s="64"/>
      <c r="BL1161" s="64"/>
      <c r="BM1161" s="64"/>
      <c r="BN1161" s="64"/>
      <c r="BO1161" s="64"/>
      <c r="BP1161" s="64"/>
      <c r="BQ1161" s="64"/>
      <c r="BR1161" s="64"/>
      <c r="BS1161" s="64"/>
      <c r="BT1161" s="64"/>
      <c r="BU1161" s="64"/>
      <c r="BV1161" s="64"/>
      <c r="BW1161" s="64"/>
      <c r="BX1161" s="64"/>
      <c r="BY1161" s="64"/>
      <c r="BZ1161" s="64"/>
      <c r="CA1161" s="64"/>
      <c r="CB1161" s="64"/>
      <c r="CC1161" s="64"/>
      <c r="CD1161" s="64"/>
      <c r="CE1161" s="64"/>
      <c r="CF1161" s="64"/>
      <c r="CG1161" s="64"/>
      <c r="CH1161" s="64"/>
      <c r="CI1161" s="64"/>
      <c r="CJ1161" s="64"/>
      <c r="CK1161" s="64"/>
      <c r="CL1161" s="64"/>
      <c r="CM1161" s="64"/>
      <c r="CN1161" s="64"/>
      <c r="CO1161" s="64"/>
      <c r="CP1161" s="64"/>
      <c r="CQ1161" s="64"/>
      <c r="CR1161" s="64"/>
      <c r="CS1161" s="64"/>
      <c r="CT1161" s="64"/>
      <c r="CU1161" s="64"/>
      <c r="CV1161" s="64"/>
      <c r="CW1161" s="64"/>
      <c r="CX1161" s="64"/>
    </row>
    <row r="1162" spans="1:102" x14ac:dyDescent="0.2">
      <c r="A1162" s="64"/>
      <c r="B1162" s="64"/>
      <c r="C1162" s="102"/>
      <c r="D1162" s="102"/>
      <c r="E1162" s="102"/>
      <c r="F1162" s="102"/>
      <c r="G1162" s="102"/>
      <c r="H1162" s="102"/>
      <c r="I1162" s="64"/>
      <c r="J1162" s="64"/>
      <c r="K1162" s="64"/>
      <c r="L1162" s="64"/>
      <c r="M1162" s="64"/>
      <c r="N1162" s="64"/>
      <c r="O1162" s="64"/>
      <c r="P1162" s="64"/>
      <c r="Q1162" s="64"/>
      <c r="R1162" s="64"/>
      <c r="S1162" s="64"/>
      <c r="T1162" s="64"/>
      <c r="U1162" s="64"/>
      <c r="V1162" s="64"/>
      <c r="W1162" s="64"/>
      <c r="X1162" s="64"/>
      <c r="Y1162" s="64"/>
      <c r="Z1162" s="64"/>
      <c r="AA1162" s="64"/>
      <c r="AB1162" s="64"/>
      <c r="AC1162" s="64"/>
      <c r="AD1162" s="64"/>
      <c r="AE1162" s="64"/>
      <c r="AF1162" s="64"/>
      <c r="AG1162" s="64"/>
      <c r="AH1162" s="64"/>
      <c r="AI1162" s="64"/>
      <c r="AJ1162" s="64"/>
      <c r="AK1162" s="64"/>
      <c r="AL1162" s="64"/>
      <c r="AM1162" s="64"/>
      <c r="AN1162" s="64"/>
      <c r="AO1162" s="64"/>
      <c r="AP1162" s="64"/>
      <c r="AQ1162" s="64"/>
      <c r="AR1162" s="64"/>
      <c r="AS1162" s="64"/>
      <c r="AT1162" s="64"/>
      <c r="AU1162" s="64"/>
      <c r="AV1162" s="64"/>
      <c r="AW1162" s="64"/>
      <c r="AX1162" s="64"/>
      <c r="AY1162" s="64"/>
      <c r="AZ1162" s="64"/>
      <c r="BA1162" s="64"/>
      <c r="BB1162" s="64"/>
      <c r="BC1162" s="64"/>
      <c r="BD1162" s="64"/>
      <c r="BE1162" s="64"/>
      <c r="BF1162" s="64"/>
      <c r="BG1162" s="64"/>
      <c r="BH1162" s="64"/>
      <c r="BI1162" s="64"/>
      <c r="BJ1162" s="64"/>
      <c r="BK1162" s="64"/>
      <c r="BL1162" s="64"/>
      <c r="BM1162" s="64"/>
      <c r="BN1162" s="64"/>
      <c r="BO1162" s="64"/>
      <c r="BP1162" s="64"/>
      <c r="BQ1162" s="64"/>
      <c r="BR1162" s="64"/>
      <c r="BS1162" s="64"/>
      <c r="BT1162" s="64"/>
      <c r="BU1162" s="64"/>
      <c r="BV1162" s="64"/>
      <c r="BW1162" s="64"/>
      <c r="BX1162" s="64"/>
      <c r="BY1162" s="64"/>
      <c r="BZ1162" s="64"/>
      <c r="CA1162" s="64"/>
      <c r="CB1162" s="64"/>
      <c r="CC1162" s="64"/>
      <c r="CD1162" s="64"/>
      <c r="CE1162" s="64"/>
      <c r="CF1162" s="64"/>
      <c r="CG1162" s="64"/>
      <c r="CH1162" s="64"/>
      <c r="CI1162" s="64"/>
      <c r="CJ1162" s="64"/>
      <c r="CK1162" s="64"/>
      <c r="CL1162" s="64"/>
      <c r="CM1162" s="64"/>
      <c r="CN1162" s="64"/>
      <c r="CO1162" s="64"/>
      <c r="CP1162" s="64"/>
      <c r="CQ1162" s="64"/>
      <c r="CR1162" s="64"/>
      <c r="CS1162" s="64"/>
      <c r="CT1162" s="64"/>
      <c r="CU1162" s="64"/>
      <c r="CV1162" s="64"/>
      <c r="CW1162" s="64"/>
      <c r="CX1162" s="64"/>
    </row>
    <row r="1163" spans="1:102" x14ac:dyDescent="0.2">
      <c r="A1163" s="64"/>
      <c r="B1163" s="64"/>
      <c r="C1163" s="102"/>
      <c r="D1163" s="102"/>
      <c r="E1163" s="102"/>
      <c r="F1163" s="102"/>
      <c r="G1163" s="102"/>
      <c r="H1163" s="102"/>
      <c r="I1163" s="64"/>
      <c r="J1163" s="64"/>
      <c r="K1163" s="64"/>
      <c r="L1163" s="64"/>
      <c r="M1163" s="64"/>
      <c r="N1163" s="64"/>
      <c r="O1163" s="64"/>
      <c r="P1163" s="64"/>
      <c r="Q1163" s="64"/>
      <c r="R1163" s="64"/>
      <c r="S1163" s="64"/>
      <c r="T1163" s="64"/>
      <c r="U1163" s="64"/>
      <c r="V1163" s="64"/>
      <c r="W1163" s="64"/>
      <c r="X1163" s="64"/>
      <c r="Y1163" s="64"/>
      <c r="Z1163" s="64"/>
      <c r="AA1163" s="64"/>
      <c r="AB1163" s="64"/>
      <c r="AC1163" s="64"/>
      <c r="AD1163" s="64"/>
      <c r="AE1163" s="64"/>
      <c r="AF1163" s="64"/>
      <c r="AG1163" s="64"/>
      <c r="AH1163" s="64"/>
      <c r="AI1163" s="64"/>
      <c r="AJ1163" s="64"/>
      <c r="AK1163" s="64"/>
      <c r="AL1163" s="64"/>
      <c r="AM1163" s="64"/>
      <c r="AN1163" s="64"/>
      <c r="AO1163" s="64"/>
      <c r="AP1163" s="64"/>
      <c r="AQ1163" s="64"/>
      <c r="AR1163" s="64"/>
      <c r="AS1163" s="64"/>
      <c r="AT1163" s="64"/>
      <c r="AU1163" s="64"/>
      <c r="AV1163" s="64"/>
      <c r="AW1163" s="64"/>
      <c r="AX1163" s="64"/>
      <c r="AY1163" s="64"/>
      <c r="AZ1163" s="64"/>
      <c r="BA1163" s="64"/>
      <c r="BB1163" s="64"/>
      <c r="BC1163" s="64"/>
      <c r="BD1163" s="64"/>
      <c r="BE1163" s="64"/>
      <c r="BF1163" s="64"/>
      <c r="BG1163" s="64"/>
      <c r="BH1163" s="64"/>
      <c r="BI1163" s="64"/>
      <c r="BJ1163" s="64"/>
      <c r="BK1163" s="64"/>
      <c r="BL1163" s="64"/>
      <c r="BM1163" s="64"/>
      <c r="BN1163" s="64"/>
      <c r="BO1163" s="64"/>
      <c r="BP1163" s="64"/>
      <c r="BQ1163" s="64"/>
      <c r="BR1163" s="64"/>
      <c r="BS1163" s="64"/>
      <c r="BT1163" s="64"/>
      <c r="BU1163" s="64"/>
      <c r="BV1163" s="64"/>
      <c r="BW1163" s="64"/>
      <c r="BX1163" s="64"/>
      <c r="BY1163" s="64"/>
      <c r="BZ1163" s="64"/>
      <c r="CA1163" s="64"/>
      <c r="CB1163" s="64"/>
      <c r="CC1163" s="64"/>
      <c r="CD1163" s="64"/>
      <c r="CE1163" s="64"/>
      <c r="CF1163" s="64"/>
      <c r="CG1163" s="64"/>
      <c r="CH1163" s="64"/>
      <c r="CI1163" s="64"/>
      <c r="CJ1163" s="64"/>
      <c r="CK1163" s="64"/>
      <c r="CL1163" s="64"/>
      <c r="CM1163" s="64"/>
      <c r="CN1163" s="64"/>
      <c r="CO1163" s="64"/>
      <c r="CP1163" s="64"/>
      <c r="CQ1163" s="64"/>
      <c r="CR1163" s="64"/>
      <c r="CS1163" s="64"/>
      <c r="CT1163" s="64"/>
      <c r="CU1163" s="64"/>
      <c r="CV1163" s="64"/>
      <c r="CW1163" s="64"/>
      <c r="CX1163" s="64"/>
    </row>
    <row r="1164" spans="1:102" x14ac:dyDescent="0.2">
      <c r="A1164" s="64"/>
      <c r="B1164" s="64"/>
      <c r="C1164" s="102"/>
      <c r="D1164" s="102"/>
      <c r="E1164" s="102"/>
      <c r="F1164" s="102"/>
      <c r="G1164" s="102"/>
      <c r="H1164" s="102"/>
      <c r="I1164" s="64"/>
      <c r="J1164" s="64"/>
      <c r="K1164" s="64"/>
      <c r="L1164" s="64"/>
      <c r="M1164" s="64"/>
      <c r="N1164" s="64"/>
      <c r="O1164" s="64"/>
      <c r="P1164" s="64"/>
      <c r="Q1164" s="64"/>
      <c r="R1164" s="64"/>
      <c r="S1164" s="64"/>
      <c r="T1164" s="64"/>
      <c r="U1164" s="64"/>
      <c r="V1164" s="64"/>
      <c r="W1164" s="64"/>
      <c r="X1164" s="64"/>
      <c r="Y1164" s="64"/>
      <c r="Z1164" s="64"/>
      <c r="AA1164" s="64"/>
      <c r="AB1164" s="64"/>
      <c r="AC1164" s="64"/>
      <c r="AD1164" s="64"/>
      <c r="AE1164" s="64"/>
      <c r="AF1164" s="64"/>
      <c r="AG1164" s="64"/>
      <c r="AH1164" s="64"/>
      <c r="AI1164" s="64"/>
      <c r="AJ1164" s="64"/>
      <c r="AK1164" s="64"/>
      <c r="AL1164" s="64"/>
      <c r="AM1164" s="64"/>
      <c r="AN1164" s="64"/>
      <c r="AO1164" s="64"/>
      <c r="AP1164" s="64"/>
      <c r="AQ1164" s="64"/>
      <c r="AR1164" s="64"/>
      <c r="AS1164" s="64"/>
      <c r="AT1164" s="64"/>
      <c r="AU1164" s="64"/>
      <c r="AV1164" s="64"/>
      <c r="AW1164" s="64"/>
      <c r="AX1164" s="64"/>
      <c r="AY1164" s="64"/>
      <c r="AZ1164" s="64"/>
      <c r="BA1164" s="64"/>
      <c r="BB1164" s="64"/>
      <c r="BC1164" s="64"/>
      <c r="BD1164" s="64"/>
      <c r="BE1164" s="64"/>
      <c r="BF1164" s="64"/>
      <c r="BG1164" s="64"/>
      <c r="BH1164" s="64"/>
      <c r="BI1164" s="64"/>
      <c r="BJ1164" s="64"/>
      <c r="BK1164" s="64"/>
      <c r="BL1164" s="64"/>
      <c r="BM1164" s="64"/>
      <c r="BN1164" s="64"/>
      <c r="BO1164" s="64"/>
      <c r="BP1164" s="64"/>
      <c r="BQ1164" s="64"/>
      <c r="BR1164" s="64"/>
      <c r="BS1164" s="64"/>
      <c r="BT1164" s="64"/>
      <c r="BU1164" s="64"/>
      <c r="BV1164" s="64"/>
      <c r="BW1164" s="64"/>
      <c r="BX1164" s="64"/>
      <c r="BY1164" s="64"/>
      <c r="BZ1164" s="64"/>
      <c r="CA1164" s="64"/>
      <c r="CB1164" s="64"/>
      <c r="CC1164" s="64"/>
      <c r="CD1164" s="64"/>
      <c r="CE1164" s="64"/>
      <c r="CF1164" s="64"/>
      <c r="CG1164" s="64"/>
      <c r="CH1164" s="64"/>
      <c r="CI1164" s="64"/>
      <c r="CJ1164" s="64"/>
      <c r="CK1164" s="64"/>
      <c r="CL1164" s="64"/>
      <c r="CM1164" s="64"/>
      <c r="CN1164" s="64"/>
      <c r="CO1164" s="64"/>
      <c r="CP1164" s="64"/>
      <c r="CQ1164" s="64"/>
      <c r="CR1164" s="64"/>
      <c r="CS1164" s="64"/>
      <c r="CT1164" s="64"/>
      <c r="CU1164" s="64"/>
      <c r="CV1164" s="64"/>
      <c r="CW1164" s="64"/>
      <c r="CX1164" s="64"/>
    </row>
    <row r="1165" spans="1:102" x14ac:dyDescent="0.2">
      <c r="A1165" s="64"/>
      <c r="B1165" s="64"/>
      <c r="C1165" s="102"/>
      <c r="D1165" s="102"/>
      <c r="E1165" s="102"/>
      <c r="F1165" s="102"/>
      <c r="G1165" s="102"/>
      <c r="H1165" s="102"/>
      <c r="I1165" s="64"/>
      <c r="J1165" s="64"/>
      <c r="K1165" s="64"/>
      <c r="L1165" s="64"/>
      <c r="M1165" s="64"/>
      <c r="N1165" s="64"/>
      <c r="O1165" s="64"/>
      <c r="P1165" s="64"/>
      <c r="Q1165" s="64"/>
      <c r="R1165" s="64"/>
      <c r="S1165" s="64"/>
      <c r="T1165" s="64"/>
      <c r="U1165" s="64"/>
      <c r="V1165" s="64"/>
      <c r="W1165" s="64"/>
      <c r="X1165" s="64"/>
      <c r="Y1165" s="64"/>
      <c r="Z1165" s="64"/>
      <c r="AA1165" s="64"/>
      <c r="AB1165" s="64"/>
      <c r="AC1165" s="64"/>
      <c r="AD1165" s="64"/>
      <c r="AE1165" s="64"/>
      <c r="AF1165" s="64"/>
      <c r="AG1165" s="64"/>
      <c r="AH1165" s="64"/>
      <c r="AI1165" s="64"/>
      <c r="AJ1165" s="64"/>
      <c r="AK1165" s="64"/>
      <c r="AL1165" s="64"/>
      <c r="AM1165" s="64"/>
      <c r="AN1165" s="64"/>
      <c r="AO1165" s="64"/>
      <c r="AP1165" s="64"/>
      <c r="AQ1165" s="64"/>
      <c r="AR1165" s="64"/>
      <c r="AS1165" s="64"/>
      <c r="AT1165" s="64"/>
      <c r="AU1165" s="64"/>
      <c r="AV1165" s="64"/>
      <c r="AW1165" s="64"/>
      <c r="AX1165" s="64"/>
      <c r="AY1165" s="64"/>
      <c r="AZ1165" s="64"/>
      <c r="BA1165" s="64"/>
      <c r="BB1165" s="64"/>
      <c r="BC1165" s="64"/>
      <c r="BD1165" s="64"/>
      <c r="BE1165" s="64"/>
      <c r="BF1165" s="64"/>
      <c r="BG1165" s="64"/>
      <c r="BH1165" s="64"/>
      <c r="BI1165" s="64"/>
      <c r="BJ1165" s="64"/>
      <c r="BK1165" s="64"/>
      <c r="BL1165" s="64"/>
      <c r="BM1165" s="64"/>
      <c r="BN1165" s="64"/>
      <c r="BO1165" s="64"/>
      <c r="BP1165" s="64"/>
      <c r="BQ1165" s="64"/>
      <c r="BR1165" s="64"/>
      <c r="BS1165" s="64"/>
      <c r="BT1165" s="64"/>
      <c r="BU1165" s="64"/>
      <c r="BV1165" s="64"/>
      <c r="BW1165" s="64"/>
      <c r="BX1165" s="64"/>
      <c r="BY1165" s="64"/>
      <c r="BZ1165" s="64"/>
      <c r="CA1165" s="64"/>
      <c r="CB1165" s="64"/>
      <c r="CC1165" s="64"/>
      <c r="CD1165" s="64"/>
      <c r="CE1165" s="64"/>
      <c r="CF1165" s="64"/>
      <c r="CG1165" s="64"/>
      <c r="CH1165" s="64"/>
      <c r="CI1165" s="64"/>
      <c r="CJ1165" s="64"/>
      <c r="CK1165" s="64"/>
      <c r="CL1165" s="64"/>
      <c r="CM1165" s="64"/>
      <c r="CN1165" s="64"/>
      <c r="CO1165" s="64"/>
      <c r="CP1165" s="64"/>
      <c r="CQ1165" s="64"/>
      <c r="CR1165" s="64"/>
      <c r="CS1165" s="64"/>
      <c r="CT1165" s="64"/>
      <c r="CU1165" s="64"/>
      <c r="CV1165" s="64"/>
      <c r="CW1165" s="64"/>
      <c r="CX1165" s="64"/>
    </row>
    <row r="1166" spans="1:102" x14ac:dyDescent="0.2">
      <c r="A1166" s="64"/>
      <c r="B1166" s="64"/>
      <c r="C1166" s="102"/>
      <c r="D1166" s="102"/>
      <c r="E1166" s="102"/>
      <c r="F1166" s="102"/>
      <c r="G1166" s="102"/>
      <c r="H1166" s="102"/>
      <c r="I1166" s="64"/>
      <c r="J1166" s="64"/>
      <c r="K1166" s="64"/>
      <c r="L1166" s="64"/>
      <c r="M1166" s="64"/>
      <c r="N1166" s="64"/>
      <c r="O1166" s="64"/>
      <c r="P1166" s="64"/>
      <c r="Q1166" s="64"/>
      <c r="R1166" s="64"/>
      <c r="S1166" s="64"/>
      <c r="T1166" s="64"/>
      <c r="U1166" s="64"/>
      <c r="V1166" s="64"/>
      <c r="W1166" s="64"/>
      <c r="X1166" s="64"/>
      <c r="Y1166" s="64"/>
      <c r="Z1166" s="64"/>
      <c r="AA1166" s="64"/>
      <c r="AB1166" s="64"/>
      <c r="AC1166" s="64"/>
      <c r="AD1166" s="64"/>
      <c r="AE1166" s="64"/>
      <c r="AF1166" s="64"/>
      <c r="AG1166" s="64"/>
      <c r="AH1166" s="64"/>
      <c r="AI1166" s="64"/>
      <c r="AJ1166" s="64"/>
      <c r="AK1166" s="64"/>
      <c r="AL1166" s="64"/>
      <c r="AM1166" s="64"/>
      <c r="AN1166" s="64"/>
      <c r="AO1166" s="64"/>
      <c r="AP1166" s="64"/>
      <c r="AQ1166" s="64"/>
      <c r="AR1166" s="64"/>
      <c r="AS1166" s="64"/>
      <c r="AT1166" s="64"/>
      <c r="AU1166" s="64"/>
      <c r="AV1166" s="64"/>
      <c r="AW1166" s="64"/>
      <c r="AX1166" s="64"/>
      <c r="AY1166" s="64"/>
      <c r="AZ1166" s="64"/>
      <c r="BA1166" s="64"/>
      <c r="BB1166" s="64"/>
      <c r="BC1166" s="64"/>
      <c r="BD1166" s="64"/>
      <c r="BE1166" s="64"/>
      <c r="BF1166" s="64"/>
      <c r="BG1166" s="64"/>
      <c r="BH1166" s="64"/>
      <c r="BI1166" s="64"/>
      <c r="BJ1166" s="64"/>
      <c r="BK1166" s="64"/>
      <c r="BL1166" s="64"/>
      <c r="BM1166" s="64"/>
      <c r="BN1166" s="64"/>
      <c r="BO1166" s="64"/>
      <c r="BP1166" s="64"/>
      <c r="BQ1166" s="64"/>
      <c r="BR1166" s="64"/>
      <c r="BS1166" s="64"/>
      <c r="BT1166" s="64"/>
      <c r="BU1166" s="64"/>
      <c r="BV1166" s="64"/>
      <c r="BW1166" s="64"/>
      <c r="BX1166" s="64"/>
      <c r="BY1166" s="64"/>
      <c r="BZ1166" s="64"/>
      <c r="CA1166" s="64"/>
      <c r="CB1166" s="64"/>
      <c r="CC1166" s="64"/>
      <c r="CD1166" s="64"/>
      <c r="CE1166" s="64"/>
      <c r="CF1166" s="64"/>
      <c r="CG1166" s="64"/>
      <c r="CH1166" s="64"/>
      <c r="CI1166" s="64"/>
      <c r="CJ1166" s="64"/>
      <c r="CK1166" s="64"/>
      <c r="CL1166" s="64"/>
      <c r="CM1166" s="64"/>
      <c r="CN1166" s="64"/>
      <c r="CO1166" s="64"/>
      <c r="CP1166" s="64"/>
      <c r="CQ1166" s="64"/>
      <c r="CR1166" s="64"/>
      <c r="CS1166" s="64"/>
      <c r="CT1166" s="64"/>
      <c r="CU1166" s="64"/>
      <c r="CV1166" s="64"/>
      <c r="CW1166" s="64"/>
      <c r="CX1166" s="64"/>
    </row>
    <row r="1167" spans="1:102" x14ac:dyDescent="0.2">
      <c r="A1167" s="64"/>
      <c r="B1167" s="64"/>
      <c r="C1167" s="102"/>
      <c r="D1167" s="102"/>
      <c r="E1167" s="102"/>
      <c r="F1167" s="102"/>
      <c r="G1167" s="102"/>
      <c r="H1167" s="102"/>
      <c r="I1167" s="64"/>
      <c r="J1167" s="64"/>
      <c r="K1167" s="64"/>
      <c r="L1167" s="64"/>
      <c r="M1167" s="64"/>
      <c r="N1167" s="64"/>
      <c r="O1167" s="64"/>
      <c r="P1167" s="64"/>
      <c r="Q1167" s="64"/>
      <c r="R1167" s="64"/>
      <c r="S1167" s="64"/>
      <c r="T1167" s="64"/>
      <c r="U1167" s="64"/>
      <c r="V1167" s="64"/>
      <c r="W1167" s="64"/>
      <c r="X1167" s="64"/>
      <c r="Y1167" s="64"/>
      <c r="Z1167" s="64"/>
      <c r="AA1167" s="64"/>
      <c r="AB1167" s="64"/>
      <c r="AC1167" s="64"/>
      <c r="AD1167" s="64"/>
      <c r="AE1167" s="64"/>
      <c r="AF1167" s="64"/>
      <c r="AG1167" s="64"/>
      <c r="AH1167" s="64"/>
      <c r="AI1167" s="64"/>
      <c r="AJ1167" s="64"/>
      <c r="AK1167" s="64"/>
      <c r="AL1167" s="64"/>
      <c r="AM1167" s="64"/>
      <c r="AN1167" s="64"/>
      <c r="AO1167" s="64"/>
      <c r="AP1167" s="64"/>
      <c r="AQ1167" s="64"/>
      <c r="AR1167" s="64"/>
      <c r="AS1167" s="64"/>
      <c r="AT1167" s="64"/>
      <c r="AU1167" s="64"/>
      <c r="AV1167" s="64"/>
      <c r="AW1167" s="64"/>
      <c r="AX1167" s="64"/>
      <c r="AY1167" s="64"/>
      <c r="AZ1167" s="64"/>
      <c r="BA1167" s="64"/>
      <c r="BB1167" s="64"/>
      <c r="BC1167" s="64"/>
      <c r="BD1167" s="64"/>
      <c r="BE1167" s="64"/>
      <c r="BF1167" s="64"/>
      <c r="BG1167" s="64"/>
      <c r="BH1167" s="64"/>
      <c r="BI1167" s="64"/>
      <c r="BJ1167" s="64"/>
      <c r="BK1167" s="64"/>
      <c r="BL1167" s="64"/>
      <c r="BM1167" s="64"/>
      <c r="BN1167" s="64"/>
      <c r="BO1167" s="64"/>
      <c r="BP1167" s="64"/>
      <c r="BQ1167" s="64"/>
      <c r="BR1167" s="64"/>
      <c r="BS1167" s="64"/>
      <c r="BT1167" s="64"/>
      <c r="BU1167" s="64"/>
      <c r="BV1167" s="64"/>
      <c r="BW1167" s="64"/>
      <c r="BX1167" s="64"/>
      <c r="BY1167" s="64"/>
      <c r="BZ1167" s="64"/>
      <c r="CA1167" s="64"/>
      <c r="CB1167" s="64"/>
      <c r="CC1167" s="64"/>
      <c r="CD1167" s="64"/>
      <c r="CE1167" s="64"/>
      <c r="CF1167" s="64"/>
      <c r="CG1167" s="64"/>
      <c r="CH1167" s="64"/>
      <c r="CI1167" s="64"/>
      <c r="CJ1167" s="64"/>
      <c r="CK1167" s="64"/>
      <c r="CL1167" s="64"/>
      <c r="CM1167" s="64"/>
      <c r="CN1167" s="64"/>
      <c r="CO1167" s="64"/>
      <c r="CP1167" s="64"/>
      <c r="CQ1167" s="64"/>
      <c r="CR1167" s="64"/>
      <c r="CS1167" s="64"/>
      <c r="CT1167" s="64"/>
      <c r="CU1167" s="64"/>
      <c r="CV1167" s="64"/>
      <c r="CW1167" s="64"/>
      <c r="CX1167" s="64"/>
    </row>
    <row r="1168" spans="1:102" x14ac:dyDescent="0.2">
      <c r="A1168" s="64"/>
      <c r="B1168" s="64"/>
      <c r="C1168" s="102"/>
      <c r="D1168" s="102"/>
      <c r="E1168" s="102"/>
      <c r="F1168" s="102"/>
      <c r="G1168" s="102"/>
      <c r="H1168" s="102"/>
      <c r="I1168" s="64"/>
      <c r="J1168" s="64"/>
      <c r="K1168" s="64"/>
      <c r="L1168" s="64"/>
      <c r="M1168" s="64"/>
      <c r="N1168" s="64"/>
      <c r="O1168" s="64"/>
      <c r="P1168" s="64"/>
      <c r="Q1168" s="64"/>
      <c r="R1168" s="64"/>
      <c r="S1168" s="64"/>
      <c r="T1168" s="64"/>
      <c r="U1168" s="64"/>
      <c r="V1168" s="64"/>
      <c r="W1168" s="64"/>
      <c r="X1168" s="64"/>
      <c r="Y1168" s="64"/>
      <c r="Z1168" s="64"/>
      <c r="AA1168" s="64"/>
      <c r="AB1168" s="64"/>
      <c r="AC1168" s="64"/>
      <c r="AD1168" s="64"/>
      <c r="AE1168" s="64"/>
      <c r="AF1168" s="64"/>
      <c r="AG1168" s="64"/>
      <c r="AH1168" s="64"/>
      <c r="AI1168" s="64"/>
      <c r="AJ1168" s="64"/>
      <c r="AK1168" s="64"/>
      <c r="AL1168" s="64"/>
      <c r="AM1168" s="64"/>
      <c r="AN1168" s="64"/>
      <c r="AO1168" s="64"/>
      <c r="AP1168" s="64"/>
      <c r="AQ1168" s="64"/>
      <c r="AR1168" s="64"/>
      <c r="AS1168" s="64"/>
      <c r="AT1168" s="64"/>
      <c r="AU1168" s="64"/>
      <c r="AV1168" s="64"/>
      <c r="AW1168" s="64"/>
      <c r="AX1168" s="64"/>
      <c r="AY1168" s="64"/>
      <c r="AZ1168" s="64"/>
      <c r="BA1168" s="64"/>
      <c r="BB1168" s="64"/>
      <c r="BC1168" s="64"/>
      <c r="BD1168" s="64"/>
      <c r="BE1168" s="64"/>
      <c r="BF1168" s="64"/>
      <c r="BG1168" s="64"/>
      <c r="BH1168" s="64"/>
      <c r="BI1168" s="64"/>
      <c r="BJ1168" s="64"/>
      <c r="BK1168" s="64"/>
      <c r="BL1168" s="64"/>
      <c r="BM1168" s="64"/>
      <c r="BN1168" s="64"/>
      <c r="BO1168" s="64"/>
      <c r="BP1168" s="64"/>
      <c r="BQ1168" s="64"/>
      <c r="BR1168" s="64"/>
      <c r="BS1168" s="64"/>
      <c r="BT1168" s="64"/>
      <c r="BU1168" s="64"/>
      <c r="BV1168" s="64"/>
      <c r="BW1168" s="64"/>
      <c r="BX1168" s="64"/>
      <c r="BY1168" s="64"/>
      <c r="BZ1168" s="64"/>
      <c r="CA1168" s="64"/>
      <c r="CB1168" s="64"/>
      <c r="CC1168" s="64"/>
      <c r="CD1168" s="64"/>
      <c r="CE1168" s="64"/>
      <c r="CF1168" s="64"/>
      <c r="CG1168" s="64"/>
      <c r="CH1168" s="64"/>
      <c r="CI1168" s="64"/>
      <c r="CJ1168" s="64"/>
      <c r="CK1168" s="64"/>
      <c r="CL1168" s="64"/>
      <c r="CM1168" s="64"/>
      <c r="CN1168" s="64"/>
      <c r="CO1168" s="64"/>
      <c r="CP1168" s="64"/>
      <c r="CQ1168" s="64"/>
      <c r="CR1168" s="64"/>
      <c r="CS1168" s="64"/>
      <c r="CT1168" s="64"/>
      <c r="CU1168" s="64"/>
      <c r="CV1168" s="64"/>
      <c r="CW1168" s="64"/>
      <c r="CX1168" s="64"/>
    </row>
    <row r="1169" spans="1:102" x14ac:dyDescent="0.2">
      <c r="A1169" s="64"/>
      <c r="B1169" s="64"/>
      <c r="C1169" s="102"/>
      <c r="D1169" s="102"/>
      <c r="E1169" s="102"/>
      <c r="F1169" s="102"/>
      <c r="G1169" s="102"/>
      <c r="H1169" s="102"/>
      <c r="I1169" s="64"/>
      <c r="J1169" s="64"/>
      <c r="K1169" s="64"/>
      <c r="L1169" s="64"/>
      <c r="M1169" s="64"/>
      <c r="N1169" s="64"/>
      <c r="O1169" s="64"/>
      <c r="P1169" s="64"/>
      <c r="Q1169" s="64"/>
      <c r="R1169" s="64"/>
      <c r="S1169" s="64"/>
      <c r="T1169" s="64"/>
      <c r="U1169" s="64"/>
      <c r="V1169" s="64"/>
      <c r="W1169" s="64"/>
      <c r="X1169" s="64"/>
      <c r="Y1169" s="64"/>
      <c r="Z1169" s="64"/>
      <c r="AA1169" s="64"/>
      <c r="AB1169" s="64"/>
      <c r="AC1169" s="64"/>
      <c r="AD1169" s="64"/>
      <c r="AE1169" s="64"/>
      <c r="AF1169" s="64"/>
      <c r="AG1169" s="64"/>
      <c r="AH1169" s="64"/>
      <c r="AI1169" s="64"/>
      <c r="AJ1169" s="64"/>
      <c r="AK1169" s="64"/>
      <c r="AL1169" s="64"/>
      <c r="AM1169" s="64"/>
      <c r="AN1169" s="64"/>
      <c r="AO1169" s="64"/>
      <c r="AP1169" s="64"/>
      <c r="AQ1169" s="64"/>
      <c r="AR1169" s="64"/>
      <c r="AS1169" s="64"/>
      <c r="AT1169" s="64"/>
      <c r="AU1169" s="64"/>
      <c r="AV1169" s="64"/>
      <c r="AW1169" s="64"/>
      <c r="AX1169" s="64"/>
      <c r="AY1169" s="64"/>
      <c r="AZ1169" s="64"/>
      <c r="BA1169" s="64"/>
      <c r="BB1169" s="64"/>
      <c r="BC1169" s="64"/>
      <c r="BD1169" s="64"/>
      <c r="BE1169" s="64"/>
      <c r="BF1169" s="64"/>
      <c r="BG1169" s="64"/>
      <c r="BH1169" s="64"/>
      <c r="BI1169" s="64"/>
      <c r="BJ1169" s="64"/>
      <c r="BK1169" s="64"/>
      <c r="BL1169" s="64"/>
      <c r="BM1169" s="64"/>
      <c r="BN1169" s="64"/>
      <c r="BO1169" s="64"/>
      <c r="BP1169" s="64"/>
      <c r="BQ1169" s="64"/>
      <c r="BR1169" s="64"/>
      <c r="BS1169" s="64"/>
      <c r="BT1169" s="64"/>
      <c r="BU1169" s="64"/>
      <c r="BV1169" s="64"/>
      <c r="BW1169" s="64"/>
      <c r="BX1169" s="64"/>
      <c r="BY1169" s="64"/>
      <c r="BZ1169" s="64"/>
      <c r="CA1169" s="64"/>
      <c r="CB1169" s="64"/>
      <c r="CC1169" s="64"/>
      <c r="CD1169" s="64"/>
      <c r="CE1169" s="64"/>
      <c r="CF1169" s="64"/>
      <c r="CG1169" s="64"/>
      <c r="CH1169" s="64"/>
      <c r="CI1169" s="64"/>
      <c r="CJ1169" s="64"/>
      <c r="CK1169" s="64"/>
      <c r="CL1169" s="64"/>
      <c r="CM1169" s="64"/>
      <c r="CN1169" s="64"/>
      <c r="CO1169" s="64"/>
      <c r="CP1169" s="64"/>
      <c r="CQ1169" s="64"/>
      <c r="CR1169" s="64"/>
      <c r="CS1169" s="64"/>
      <c r="CT1169" s="64"/>
      <c r="CU1169" s="64"/>
      <c r="CV1169" s="64"/>
      <c r="CW1169" s="64"/>
      <c r="CX1169" s="64"/>
    </row>
    <row r="1170" spans="1:102" x14ac:dyDescent="0.2">
      <c r="A1170" s="64"/>
      <c r="B1170" s="64"/>
      <c r="C1170" s="102"/>
      <c r="D1170" s="102"/>
      <c r="E1170" s="102"/>
      <c r="F1170" s="102"/>
      <c r="G1170" s="102"/>
      <c r="H1170" s="102"/>
      <c r="I1170" s="64"/>
      <c r="J1170" s="64"/>
      <c r="K1170" s="64"/>
      <c r="L1170" s="64"/>
      <c r="M1170" s="64"/>
      <c r="N1170" s="64"/>
      <c r="O1170" s="64"/>
      <c r="P1170" s="64"/>
      <c r="Q1170" s="64"/>
      <c r="R1170" s="64"/>
      <c r="S1170" s="64"/>
      <c r="T1170" s="64"/>
      <c r="U1170" s="64"/>
      <c r="V1170" s="64"/>
      <c r="W1170" s="64"/>
      <c r="X1170" s="64"/>
      <c r="Y1170" s="64"/>
      <c r="Z1170" s="64"/>
      <c r="AA1170" s="64"/>
      <c r="AB1170" s="64"/>
      <c r="AC1170" s="64"/>
      <c r="AD1170" s="64"/>
      <c r="AE1170" s="64"/>
      <c r="AF1170" s="64"/>
      <c r="AG1170" s="64"/>
      <c r="AH1170" s="64"/>
      <c r="AI1170" s="64"/>
      <c r="AJ1170" s="64"/>
      <c r="AK1170" s="64"/>
      <c r="AL1170" s="64"/>
      <c r="AM1170" s="64"/>
      <c r="AN1170" s="64"/>
      <c r="AO1170" s="64"/>
      <c r="AP1170" s="64"/>
      <c r="AQ1170" s="64"/>
      <c r="AR1170" s="64"/>
      <c r="AS1170" s="64"/>
      <c r="AT1170" s="64"/>
      <c r="AU1170" s="64"/>
      <c r="AV1170" s="64"/>
      <c r="AW1170" s="64"/>
      <c r="AX1170" s="64"/>
      <c r="AY1170" s="64"/>
      <c r="AZ1170" s="64"/>
      <c r="BA1170" s="64"/>
      <c r="BB1170" s="64"/>
      <c r="BC1170" s="64"/>
      <c r="BD1170" s="64"/>
      <c r="BE1170" s="64"/>
      <c r="BF1170" s="64"/>
      <c r="BG1170" s="64"/>
      <c r="BH1170" s="64"/>
      <c r="BI1170" s="64"/>
      <c r="BJ1170" s="64"/>
      <c r="BK1170" s="64"/>
      <c r="BL1170" s="64"/>
      <c r="BM1170" s="64"/>
      <c r="BN1170" s="64"/>
      <c r="BO1170" s="64"/>
      <c r="BP1170" s="64"/>
      <c r="BQ1170" s="64"/>
      <c r="BR1170" s="64"/>
      <c r="BS1170" s="64"/>
      <c r="BT1170" s="64"/>
      <c r="BU1170" s="64"/>
      <c r="BV1170" s="64"/>
      <c r="BW1170" s="64"/>
      <c r="BX1170" s="64"/>
      <c r="BY1170" s="64"/>
      <c r="BZ1170" s="64"/>
      <c r="CA1170" s="64"/>
      <c r="CB1170" s="64"/>
      <c r="CC1170" s="64"/>
      <c r="CD1170" s="64"/>
      <c r="CE1170" s="64"/>
      <c r="CF1170" s="64"/>
      <c r="CG1170" s="64"/>
      <c r="CH1170" s="64"/>
      <c r="CI1170" s="64"/>
      <c r="CJ1170" s="64"/>
      <c r="CK1170" s="64"/>
      <c r="CL1170" s="64"/>
      <c r="CM1170" s="64"/>
      <c r="CN1170" s="64"/>
      <c r="CO1170" s="64"/>
      <c r="CP1170" s="64"/>
      <c r="CQ1170" s="64"/>
      <c r="CR1170" s="64"/>
      <c r="CS1170" s="64"/>
      <c r="CT1170" s="64"/>
      <c r="CU1170" s="64"/>
      <c r="CV1170" s="64"/>
      <c r="CW1170" s="64"/>
      <c r="CX1170" s="64"/>
    </row>
    <row r="1171" spans="1:102" x14ac:dyDescent="0.2">
      <c r="A1171" s="64"/>
      <c r="B1171" s="64"/>
      <c r="C1171" s="102"/>
      <c r="D1171" s="102"/>
      <c r="E1171" s="102"/>
      <c r="F1171" s="102"/>
      <c r="G1171" s="102"/>
      <c r="H1171" s="102"/>
      <c r="I1171" s="64"/>
      <c r="J1171" s="64"/>
      <c r="K1171" s="64"/>
      <c r="L1171" s="64"/>
      <c r="M1171" s="64"/>
      <c r="N1171" s="64"/>
      <c r="O1171" s="64"/>
      <c r="P1171" s="64"/>
      <c r="Q1171" s="64"/>
      <c r="R1171" s="64"/>
      <c r="S1171" s="64"/>
      <c r="T1171" s="64"/>
      <c r="U1171" s="64"/>
      <c r="V1171" s="64"/>
      <c r="W1171" s="64"/>
      <c r="X1171" s="64"/>
      <c r="Y1171" s="64"/>
      <c r="Z1171" s="64"/>
      <c r="AA1171" s="64"/>
      <c r="AB1171" s="64"/>
      <c r="AC1171" s="64"/>
      <c r="AD1171" s="64"/>
      <c r="AE1171" s="64"/>
      <c r="AF1171" s="64"/>
      <c r="AG1171" s="64"/>
      <c r="AH1171" s="64"/>
      <c r="AI1171" s="64"/>
      <c r="AJ1171" s="64"/>
      <c r="AK1171" s="64"/>
      <c r="AL1171" s="64"/>
      <c r="AM1171" s="64"/>
      <c r="AN1171" s="64"/>
      <c r="AO1171" s="64"/>
      <c r="AP1171" s="64"/>
      <c r="AQ1171" s="64"/>
      <c r="AR1171" s="64"/>
      <c r="AS1171" s="64"/>
      <c r="AT1171" s="64"/>
      <c r="AU1171" s="64"/>
      <c r="AV1171" s="64"/>
      <c r="AW1171" s="64"/>
      <c r="AX1171" s="64"/>
      <c r="AY1171" s="64"/>
      <c r="AZ1171" s="64"/>
      <c r="BA1171" s="64"/>
      <c r="BB1171" s="64"/>
      <c r="BC1171" s="64"/>
      <c r="BD1171" s="64"/>
      <c r="BE1171" s="64"/>
      <c r="BF1171" s="64"/>
      <c r="BG1171" s="64"/>
      <c r="BH1171" s="64"/>
      <c r="BI1171" s="64"/>
      <c r="BJ1171" s="64"/>
      <c r="BK1171" s="64"/>
      <c r="BL1171" s="64"/>
      <c r="BM1171" s="64"/>
      <c r="BN1171" s="64"/>
      <c r="BO1171" s="64"/>
      <c r="BP1171" s="64"/>
      <c r="BQ1171" s="64"/>
      <c r="BR1171" s="64"/>
      <c r="BS1171" s="64"/>
      <c r="BT1171" s="64"/>
      <c r="BU1171" s="64"/>
      <c r="BV1171" s="64"/>
      <c r="BW1171" s="64"/>
      <c r="BX1171" s="64"/>
      <c r="BY1171" s="64"/>
      <c r="BZ1171" s="64"/>
      <c r="CA1171" s="64"/>
      <c r="CB1171" s="64"/>
      <c r="CC1171" s="64"/>
      <c r="CD1171" s="64"/>
      <c r="CE1171" s="64"/>
      <c r="CF1171" s="64"/>
      <c r="CG1171" s="64"/>
      <c r="CH1171" s="64"/>
      <c r="CI1171" s="64"/>
      <c r="CJ1171" s="64"/>
      <c r="CK1171" s="64"/>
      <c r="CL1171" s="64"/>
      <c r="CM1171" s="64"/>
      <c r="CN1171" s="64"/>
      <c r="CO1171" s="64"/>
      <c r="CP1171" s="64"/>
      <c r="CQ1171" s="64"/>
      <c r="CR1171" s="64"/>
      <c r="CS1171" s="64"/>
      <c r="CT1171" s="64"/>
      <c r="CU1171" s="64"/>
      <c r="CV1171" s="64"/>
      <c r="CW1171" s="64"/>
      <c r="CX1171" s="64"/>
    </row>
    <row r="1172" spans="1:102" x14ac:dyDescent="0.2">
      <c r="A1172" s="64"/>
      <c r="B1172" s="64"/>
      <c r="C1172" s="102"/>
      <c r="D1172" s="102"/>
      <c r="E1172" s="102"/>
      <c r="F1172" s="102"/>
      <c r="G1172" s="102"/>
      <c r="H1172" s="102"/>
      <c r="I1172" s="64"/>
      <c r="J1172" s="64"/>
      <c r="K1172" s="64"/>
      <c r="L1172" s="64"/>
      <c r="M1172" s="64"/>
      <c r="N1172" s="64"/>
      <c r="O1172" s="64"/>
      <c r="P1172" s="64"/>
      <c r="Q1172" s="64"/>
      <c r="R1172" s="64"/>
      <c r="S1172" s="64"/>
      <c r="T1172" s="64"/>
      <c r="U1172" s="64"/>
      <c r="V1172" s="64"/>
      <c r="W1172" s="64"/>
      <c r="X1172" s="64"/>
      <c r="Y1172" s="64"/>
      <c r="Z1172" s="64"/>
      <c r="AA1172" s="64"/>
      <c r="AB1172" s="64"/>
      <c r="AC1172" s="64"/>
      <c r="AD1172" s="64"/>
      <c r="AE1172" s="64"/>
      <c r="AF1172" s="64"/>
      <c r="AG1172" s="64"/>
      <c r="AH1172" s="64"/>
      <c r="AI1172" s="64"/>
      <c r="AJ1172" s="64"/>
      <c r="AK1172" s="64"/>
      <c r="AL1172" s="64"/>
      <c r="AM1172" s="64"/>
      <c r="AN1172" s="64"/>
      <c r="AO1172" s="64"/>
      <c r="AP1172" s="64"/>
      <c r="AQ1172" s="64"/>
      <c r="AR1172" s="64"/>
      <c r="AS1172" s="64"/>
      <c r="AT1172" s="64"/>
      <c r="AU1172" s="64"/>
      <c r="AV1172" s="64"/>
      <c r="AW1172" s="64"/>
      <c r="AX1172" s="64"/>
      <c r="AY1172" s="64"/>
      <c r="AZ1172" s="64"/>
      <c r="BA1172" s="64"/>
      <c r="BB1172" s="64"/>
      <c r="BC1172" s="64"/>
      <c r="BD1172" s="64"/>
      <c r="BE1172" s="64"/>
      <c r="BF1172" s="64"/>
      <c r="BG1172" s="64"/>
      <c r="BH1172" s="64"/>
      <c r="BI1172" s="64"/>
      <c r="BJ1172" s="64"/>
      <c r="BK1172" s="64"/>
      <c r="BL1172" s="64"/>
      <c r="BM1172" s="64"/>
      <c r="BN1172" s="64"/>
      <c r="BO1172" s="64"/>
      <c r="BP1172" s="64"/>
      <c r="BQ1172" s="64"/>
      <c r="BR1172" s="64"/>
      <c r="BS1172" s="64"/>
      <c r="BT1172" s="64"/>
      <c r="BU1172" s="64"/>
      <c r="BV1172" s="64"/>
      <c r="BW1172" s="64"/>
      <c r="BX1172" s="64"/>
      <c r="BY1172" s="64"/>
      <c r="BZ1172" s="64"/>
      <c r="CA1172" s="64"/>
      <c r="CB1172" s="64"/>
      <c r="CC1172" s="64"/>
      <c r="CD1172" s="64"/>
      <c r="CE1172" s="64"/>
      <c r="CF1172" s="64"/>
      <c r="CG1172" s="64"/>
      <c r="CH1172" s="64"/>
      <c r="CI1172" s="64"/>
      <c r="CJ1172" s="64"/>
      <c r="CK1172" s="64"/>
      <c r="CL1172" s="64"/>
      <c r="CM1172" s="64"/>
      <c r="CN1172" s="64"/>
      <c r="CO1172" s="64"/>
      <c r="CP1172" s="64"/>
      <c r="CQ1172" s="64"/>
      <c r="CR1172" s="64"/>
      <c r="CS1172" s="64"/>
      <c r="CT1172" s="64"/>
      <c r="CU1172" s="64"/>
      <c r="CV1172" s="64"/>
      <c r="CW1172" s="64"/>
      <c r="CX1172" s="64"/>
    </row>
    <row r="1173" spans="1:102" x14ac:dyDescent="0.2">
      <c r="A1173" s="64"/>
      <c r="B1173" s="64"/>
      <c r="C1173" s="102"/>
      <c r="D1173" s="102"/>
      <c r="E1173" s="102"/>
      <c r="F1173" s="102"/>
      <c r="G1173" s="102"/>
      <c r="H1173" s="102"/>
      <c r="I1173" s="64"/>
      <c r="J1173" s="64"/>
      <c r="K1173" s="64"/>
      <c r="L1173" s="64"/>
      <c r="M1173" s="64"/>
      <c r="N1173" s="64"/>
      <c r="O1173" s="64"/>
      <c r="P1173" s="64"/>
      <c r="Q1173" s="64"/>
      <c r="R1173" s="64"/>
      <c r="S1173" s="64"/>
      <c r="T1173" s="64"/>
      <c r="U1173" s="64"/>
      <c r="V1173" s="64"/>
      <c r="W1173" s="64"/>
      <c r="X1173" s="64"/>
      <c r="Y1173" s="64"/>
      <c r="Z1173" s="64"/>
      <c r="AA1173" s="64"/>
      <c r="AB1173" s="64"/>
      <c r="AC1173" s="64"/>
      <c r="AD1173" s="64"/>
      <c r="AE1173" s="64"/>
      <c r="AF1173" s="64"/>
      <c r="AG1173" s="64"/>
      <c r="AH1173" s="64"/>
      <c r="AI1173" s="64"/>
      <c r="AJ1173" s="64"/>
      <c r="AK1173" s="64"/>
      <c r="AL1173" s="64"/>
      <c r="AM1173" s="64"/>
      <c r="AN1173" s="64"/>
      <c r="AO1173" s="64"/>
      <c r="AP1173" s="64"/>
      <c r="AQ1173" s="64"/>
      <c r="AR1173" s="64"/>
      <c r="AS1173" s="64"/>
      <c r="AT1173" s="64"/>
      <c r="AU1173" s="64"/>
      <c r="AV1173" s="64"/>
      <c r="AW1173" s="64"/>
      <c r="AX1173" s="64"/>
      <c r="AY1173" s="64"/>
      <c r="AZ1173" s="64"/>
      <c r="BA1173" s="64"/>
      <c r="BB1173" s="64"/>
      <c r="BC1173" s="64"/>
      <c r="BD1173" s="64"/>
      <c r="BE1173" s="64"/>
      <c r="BF1173" s="64"/>
      <c r="BG1173" s="64"/>
      <c r="BH1173" s="64"/>
      <c r="BI1173" s="64"/>
      <c r="BJ1173" s="64"/>
      <c r="BK1173" s="64"/>
      <c r="BL1173" s="64"/>
      <c r="BM1173" s="64"/>
      <c r="BN1173" s="64"/>
      <c r="BO1173" s="64"/>
      <c r="BP1173" s="64"/>
      <c r="BQ1173" s="64"/>
      <c r="BR1173" s="64"/>
      <c r="BS1173" s="64"/>
      <c r="BT1173" s="64"/>
      <c r="BU1173" s="64"/>
      <c r="BV1173" s="64"/>
      <c r="BW1173" s="64"/>
      <c r="BX1173" s="64"/>
      <c r="BY1173" s="64"/>
      <c r="BZ1173" s="64"/>
      <c r="CA1173" s="64"/>
      <c r="CB1173" s="64"/>
      <c r="CC1173" s="64"/>
      <c r="CD1173" s="64"/>
      <c r="CE1173" s="64"/>
      <c r="CF1173" s="64"/>
      <c r="CG1173" s="64"/>
      <c r="CH1173" s="64"/>
      <c r="CI1173" s="64"/>
      <c r="CJ1173" s="64"/>
      <c r="CK1173" s="64"/>
      <c r="CL1173" s="64"/>
      <c r="CM1173" s="64"/>
      <c r="CN1173" s="64"/>
      <c r="CO1173" s="64"/>
      <c r="CP1173" s="64"/>
      <c r="CQ1173" s="64"/>
      <c r="CR1173" s="64"/>
      <c r="CS1173" s="64"/>
      <c r="CT1173" s="64"/>
      <c r="CU1173" s="64"/>
      <c r="CV1173" s="64"/>
      <c r="CW1173" s="64"/>
      <c r="CX1173" s="64"/>
    </row>
    <row r="1174" spans="1:102" x14ac:dyDescent="0.2">
      <c r="A1174" s="64"/>
      <c r="B1174" s="64"/>
      <c r="C1174" s="102"/>
      <c r="D1174" s="102"/>
      <c r="E1174" s="102"/>
      <c r="F1174" s="102"/>
      <c r="G1174" s="102"/>
      <c r="H1174" s="102"/>
      <c r="I1174" s="64"/>
      <c r="J1174" s="64"/>
      <c r="K1174" s="64"/>
      <c r="L1174" s="64"/>
      <c r="M1174" s="64"/>
      <c r="N1174" s="64"/>
      <c r="O1174" s="64"/>
      <c r="P1174" s="64"/>
      <c r="Q1174" s="64"/>
      <c r="R1174" s="64"/>
      <c r="S1174" s="64"/>
      <c r="T1174" s="64"/>
      <c r="U1174" s="64"/>
      <c r="V1174" s="64"/>
      <c r="W1174" s="64"/>
      <c r="X1174" s="64"/>
      <c r="Y1174" s="64"/>
      <c r="Z1174" s="64"/>
      <c r="AA1174" s="64"/>
      <c r="AB1174" s="64"/>
      <c r="AC1174" s="64"/>
      <c r="AD1174" s="64"/>
      <c r="AE1174" s="64"/>
      <c r="AF1174" s="64"/>
      <c r="AG1174" s="64"/>
      <c r="AH1174" s="64"/>
      <c r="AI1174" s="64"/>
      <c r="AJ1174" s="64"/>
      <c r="AK1174" s="64"/>
      <c r="AL1174" s="64"/>
      <c r="AM1174" s="64"/>
      <c r="AN1174" s="64"/>
      <c r="AO1174" s="64"/>
      <c r="AP1174" s="64"/>
      <c r="AQ1174" s="64"/>
      <c r="AR1174" s="64"/>
      <c r="AS1174" s="64"/>
      <c r="AT1174" s="64"/>
      <c r="AU1174" s="64"/>
      <c r="AV1174" s="64"/>
      <c r="AW1174" s="64"/>
      <c r="AX1174" s="64"/>
      <c r="AY1174" s="64"/>
      <c r="AZ1174" s="64"/>
      <c r="BA1174" s="64"/>
      <c r="BB1174" s="64"/>
      <c r="BC1174" s="64"/>
      <c r="BD1174" s="64"/>
      <c r="BE1174" s="64"/>
      <c r="BF1174" s="64"/>
      <c r="BG1174" s="64"/>
      <c r="BH1174" s="64"/>
      <c r="BI1174" s="64"/>
      <c r="BJ1174" s="64"/>
      <c r="BK1174" s="64"/>
      <c r="BL1174" s="64"/>
      <c r="BM1174" s="64"/>
      <c r="BN1174" s="64"/>
      <c r="BO1174" s="64"/>
      <c r="BP1174" s="64"/>
      <c r="BQ1174" s="64"/>
      <c r="BR1174" s="64"/>
      <c r="BS1174" s="64"/>
      <c r="BT1174" s="64"/>
      <c r="BU1174" s="64"/>
      <c r="BV1174" s="64"/>
      <c r="BW1174" s="64"/>
      <c r="BX1174" s="64"/>
      <c r="BY1174" s="64"/>
      <c r="BZ1174" s="64"/>
      <c r="CA1174" s="64"/>
      <c r="CB1174" s="64"/>
      <c r="CC1174" s="64"/>
      <c r="CD1174" s="64"/>
      <c r="CE1174" s="64"/>
      <c r="CF1174" s="64"/>
      <c r="CG1174" s="64"/>
      <c r="CH1174" s="64"/>
      <c r="CI1174" s="64"/>
      <c r="CJ1174" s="64"/>
      <c r="CK1174" s="64"/>
      <c r="CL1174" s="64"/>
      <c r="CM1174" s="64"/>
      <c r="CN1174" s="64"/>
      <c r="CO1174" s="64"/>
      <c r="CP1174" s="64"/>
      <c r="CQ1174" s="64"/>
      <c r="CR1174" s="64"/>
      <c r="CS1174" s="64"/>
      <c r="CT1174" s="64"/>
      <c r="CU1174" s="64"/>
      <c r="CV1174" s="64"/>
      <c r="CW1174" s="64"/>
      <c r="CX1174" s="64"/>
    </row>
    <row r="1175" spans="1:102" x14ac:dyDescent="0.2">
      <c r="A1175" s="64"/>
      <c r="B1175" s="64"/>
      <c r="C1175" s="102"/>
      <c r="D1175" s="102"/>
      <c r="E1175" s="102"/>
      <c r="F1175" s="102"/>
      <c r="G1175" s="102"/>
      <c r="H1175" s="102"/>
      <c r="I1175" s="64"/>
      <c r="J1175" s="64"/>
      <c r="K1175" s="64"/>
      <c r="L1175" s="64"/>
      <c r="M1175" s="64"/>
      <c r="N1175" s="64"/>
      <c r="O1175" s="64"/>
      <c r="P1175" s="64"/>
      <c r="Q1175" s="64"/>
      <c r="R1175" s="64"/>
      <c r="S1175" s="64"/>
      <c r="T1175" s="64"/>
      <c r="U1175" s="64"/>
      <c r="V1175" s="64"/>
      <c r="W1175" s="64"/>
      <c r="X1175" s="64"/>
      <c r="Y1175" s="64"/>
      <c r="Z1175" s="64"/>
      <c r="AA1175" s="64"/>
      <c r="AB1175" s="64"/>
      <c r="AC1175" s="64"/>
      <c r="AD1175" s="64"/>
      <c r="AE1175" s="64"/>
      <c r="AF1175" s="64"/>
      <c r="AG1175" s="64"/>
      <c r="AH1175" s="64"/>
      <c r="AI1175" s="64"/>
      <c r="AJ1175" s="64"/>
      <c r="AK1175" s="64"/>
      <c r="AL1175" s="64"/>
      <c r="AM1175" s="64"/>
      <c r="AN1175" s="64"/>
      <c r="AO1175" s="64"/>
      <c r="AP1175" s="64"/>
      <c r="AQ1175" s="64"/>
      <c r="AR1175" s="64"/>
      <c r="AS1175" s="64"/>
      <c r="AT1175" s="64"/>
      <c r="AU1175" s="64"/>
      <c r="AV1175" s="64"/>
      <c r="AW1175" s="64"/>
      <c r="AX1175" s="64"/>
      <c r="AY1175" s="64"/>
      <c r="AZ1175" s="64"/>
      <c r="BA1175" s="64"/>
      <c r="BB1175" s="64"/>
      <c r="BC1175" s="64"/>
      <c r="BD1175" s="64"/>
      <c r="BE1175" s="64"/>
      <c r="BF1175" s="64"/>
      <c r="BG1175" s="64"/>
      <c r="BH1175" s="64"/>
      <c r="BI1175" s="64"/>
      <c r="BJ1175" s="64"/>
      <c r="BK1175" s="64"/>
      <c r="BL1175" s="64"/>
      <c r="BM1175" s="64"/>
      <c r="BN1175" s="64"/>
      <c r="BO1175" s="64"/>
      <c r="BP1175" s="64"/>
      <c r="BQ1175" s="64"/>
      <c r="BR1175" s="64"/>
      <c r="BS1175" s="64"/>
      <c r="BT1175" s="64"/>
      <c r="BU1175" s="64"/>
      <c r="BV1175" s="64"/>
      <c r="BW1175" s="64"/>
      <c r="BX1175" s="64"/>
      <c r="BY1175" s="64"/>
      <c r="BZ1175" s="64"/>
      <c r="CA1175" s="64"/>
      <c r="CB1175" s="64"/>
      <c r="CC1175" s="64"/>
      <c r="CD1175" s="64"/>
      <c r="CE1175" s="64"/>
      <c r="CF1175" s="64"/>
      <c r="CG1175" s="64"/>
      <c r="CH1175" s="64"/>
      <c r="CI1175" s="64"/>
      <c r="CJ1175" s="64"/>
      <c r="CK1175" s="64"/>
      <c r="CL1175" s="64"/>
      <c r="CM1175" s="64"/>
      <c r="CN1175" s="64"/>
      <c r="CO1175" s="64"/>
      <c r="CP1175" s="64"/>
      <c r="CQ1175" s="64"/>
      <c r="CR1175" s="64"/>
      <c r="CS1175" s="64"/>
      <c r="CT1175" s="64"/>
      <c r="CU1175" s="64"/>
      <c r="CV1175" s="64"/>
      <c r="CW1175" s="64"/>
      <c r="CX1175" s="64"/>
    </row>
    <row r="1176" spans="1:102" x14ac:dyDescent="0.2">
      <c r="A1176" s="64"/>
      <c r="B1176" s="64"/>
      <c r="C1176" s="102"/>
      <c r="D1176" s="102"/>
      <c r="E1176" s="102"/>
      <c r="F1176" s="102"/>
      <c r="G1176" s="102"/>
      <c r="H1176" s="102"/>
      <c r="I1176" s="64"/>
      <c r="J1176" s="64"/>
      <c r="K1176" s="64"/>
      <c r="L1176" s="64"/>
      <c r="M1176" s="64"/>
      <c r="N1176" s="64"/>
      <c r="O1176" s="64"/>
      <c r="P1176" s="64"/>
      <c r="Q1176" s="64"/>
      <c r="R1176" s="64"/>
      <c r="S1176" s="64"/>
      <c r="T1176" s="64"/>
      <c r="U1176" s="64"/>
      <c r="V1176" s="64"/>
      <c r="W1176" s="64"/>
      <c r="X1176" s="64"/>
      <c r="Y1176" s="64"/>
      <c r="Z1176" s="64"/>
      <c r="AA1176" s="64"/>
      <c r="AB1176" s="64"/>
      <c r="AC1176" s="64"/>
      <c r="AD1176" s="64"/>
      <c r="AE1176" s="64"/>
      <c r="AF1176" s="64"/>
      <c r="AG1176" s="64"/>
      <c r="AH1176" s="64"/>
      <c r="AI1176" s="64"/>
      <c r="AJ1176" s="64"/>
      <c r="AK1176" s="64"/>
      <c r="AL1176" s="64"/>
      <c r="AM1176" s="64"/>
      <c r="AN1176" s="64"/>
      <c r="AO1176" s="64"/>
      <c r="AP1176" s="64"/>
      <c r="AQ1176" s="64"/>
      <c r="AR1176" s="64"/>
      <c r="AS1176" s="64"/>
      <c r="AT1176" s="64"/>
      <c r="AU1176" s="64"/>
      <c r="AV1176" s="64"/>
      <c r="AW1176" s="64"/>
      <c r="AX1176" s="64"/>
      <c r="AY1176" s="64"/>
      <c r="AZ1176" s="64"/>
      <c r="BA1176" s="64"/>
      <c r="BB1176" s="64"/>
      <c r="BC1176" s="64"/>
      <c r="BD1176" s="64"/>
      <c r="BE1176" s="64"/>
      <c r="BF1176" s="64"/>
      <c r="BG1176" s="64"/>
      <c r="BH1176" s="64"/>
      <c r="BI1176" s="64"/>
      <c r="BJ1176" s="64"/>
      <c r="BK1176" s="64"/>
      <c r="BL1176" s="64"/>
      <c r="BM1176" s="64"/>
      <c r="BN1176" s="64"/>
      <c r="BO1176" s="64"/>
      <c r="BP1176" s="64"/>
      <c r="BQ1176" s="64"/>
      <c r="BR1176" s="64"/>
      <c r="BS1176" s="64"/>
      <c r="BT1176" s="64"/>
      <c r="BU1176" s="64"/>
      <c r="BV1176" s="64"/>
      <c r="BW1176" s="64"/>
      <c r="BX1176" s="64"/>
      <c r="BY1176" s="64"/>
      <c r="BZ1176" s="64"/>
      <c r="CA1176" s="64"/>
      <c r="CB1176" s="64"/>
      <c r="CC1176" s="64"/>
      <c r="CD1176" s="64"/>
      <c r="CE1176" s="64"/>
      <c r="CF1176" s="64"/>
      <c r="CG1176" s="64"/>
      <c r="CH1176" s="64"/>
      <c r="CI1176" s="64"/>
      <c r="CJ1176" s="64"/>
      <c r="CK1176" s="64"/>
      <c r="CL1176" s="64"/>
      <c r="CM1176" s="64"/>
      <c r="CN1176" s="64"/>
      <c r="CO1176" s="64"/>
      <c r="CP1176" s="64"/>
      <c r="CQ1176" s="64"/>
      <c r="CR1176" s="64"/>
      <c r="CS1176" s="64"/>
      <c r="CT1176" s="64"/>
      <c r="CU1176" s="64"/>
      <c r="CV1176" s="64"/>
      <c r="CW1176" s="64"/>
      <c r="CX1176" s="64"/>
    </row>
    <row r="1177" spans="1:102" x14ac:dyDescent="0.2">
      <c r="A1177" s="64"/>
      <c r="B1177" s="64"/>
      <c r="C1177" s="102"/>
      <c r="D1177" s="102"/>
      <c r="E1177" s="102"/>
      <c r="F1177" s="102"/>
      <c r="G1177" s="102"/>
      <c r="H1177" s="102"/>
      <c r="I1177" s="64"/>
      <c r="J1177" s="64"/>
      <c r="K1177" s="64"/>
      <c r="L1177" s="64"/>
      <c r="M1177" s="64"/>
      <c r="N1177" s="64"/>
      <c r="O1177" s="64"/>
      <c r="P1177" s="64"/>
      <c r="Q1177" s="64"/>
      <c r="R1177" s="64"/>
      <c r="S1177" s="64"/>
      <c r="T1177" s="64"/>
      <c r="U1177" s="64"/>
      <c r="V1177" s="64"/>
      <c r="W1177" s="64"/>
      <c r="X1177" s="64"/>
      <c r="Y1177" s="64"/>
      <c r="Z1177" s="64"/>
      <c r="AA1177" s="64"/>
      <c r="AB1177" s="64"/>
      <c r="AC1177" s="64"/>
      <c r="AD1177" s="64"/>
      <c r="AE1177" s="64"/>
      <c r="AF1177" s="64"/>
      <c r="AG1177" s="64"/>
      <c r="AH1177" s="64"/>
      <c r="AI1177" s="64"/>
      <c r="AJ1177" s="64"/>
      <c r="AK1177" s="64"/>
      <c r="AL1177" s="64"/>
      <c r="AM1177" s="64"/>
      <c r="AN1177" s="64"/>
      <c r="AO1177" s="64"/>
      <c r="AP1177" s="64"/>
      <c r="AQ1177" s="64"/>
      <c r="AR1177" s="64"/>
      <c r="AS1177" s="64"/>
      <c r="AT1177" s="64"/>
      <c r="AU1177" s="64"/>
      <c r="AV1177" s="64"/>
      <c r="AW1177" s="64"/>
      <c r="AX1177" s="64"/>
      <c r="AY1177" s="64"/>
      <c r="AZ1177" s="64"/>
      <c r="BA1177" s="64"/>
      <c r="BB1177" s="64"/>
      <c r="BC1177" s="64"/>
      <c r="BD1177" s="64"/>
      <c r="BE1177" s="64"/>
      <c r="BF1177" s="64"/>
      <c r="BG1177" s="64"/>
      <c r="BH1177" s="64"/>
      <c r="BI1177" s="64"/>
      <c r="BJ1177" s="64"/>
      <c r="BK1177" s="64"/>
      <c r="BL1177" s="64"/>
      <c r="BM1177" s="64"/>
      <c r="BN1177" s="64"/>
      <c r="BO1177" s="64"/>
      <c r="BP1177" s="64"/>
      <c r="BQ1177" s="64"/>
      <c r="BR1177" s="64"/>
      <c r="BS1177" s="64"/>
      <c r="BT1177" s="64"/>
      <c r="BU1177" s="64"/>
      <c r="BV1177" s="64"/>
      <c r="BW1177" s="64"/>
      <c r="BX1177" s="64"/>
      <c r="BY1177" s="64"/>
      <c r="BZ1177" s="64"/>
      <c r="CA1177" s="64"/>
      <c r="CB1177" s="64"/>
      <c r="CC1177" s="64"/>
      <c r="CD1177" s="64"/>
      <c r="CE1177" s="64"/>
      <c r="CF1177" s="64"/>
      <c r="CG1177" s="64"/>
      <c r="CH1177" s="64"/>
      <c r="CI1177" s="64"/>
      <c r="CJ1177" s="64"/>
      <c r="CK1177" s="64"/>
      <c r="CL1177" s="64"/>
      <c r="CM1177" s="64"/>
      <c r="CN1177" s="64"/>
      <c r="CO1177" s="64"/>
      <c r="CP1177" s="64"/>
      <c r="CQ1177" s="64"/>
      <c r="CR1177" s="64"/>
      <c r="CS1177" s="64"/>
      <c r="CT1177" s="64"/>
      <c r="CU1177" s="64"/>
      <c r="CV1177" s="64"/>
      <c r="CW1177" s="64"/>
      <c r="CX1177" s="64"/>
    </row>
    <row r="1178" spans="1:102" x14ac:dyDescent="0.2">
      <c r="A1178" s="64"/>
      <c r="B1178" s="64"/>
      <c r="C1178" s="102"/>
      <c r="D1178" s="102"/>
      <c r="E1178" s="102"/>
      <c r="F1178" s="102"/>
      <c r="G1178" s="102"/>
      <c r="H1178" s="102"/>
      <c r="I1178" s="64"/>
      <c r="J1178" s="64"/>
      <c r="K1178" s="64"/>
      <c r="L1178" s="64"/>
      <c r="M1178" s="64"/>
      <c r="N1178" s="64"/>
      <c r="O1178" s="64"/>
      <c r="P1178" s="64"/>
      <c r="Q1178" s="64"/>
      <c r="R1178" s="64"/>
      <c r="S1178" s="64"/>
      <c r="T1178" s="64"/>
      <c r="U1178" s="64"/>
      <c r="V1178" s="64"/>
      <c r="W1178" s="64"/>
      <c r="X1178" s="64"/>
      <c r="Y1178" s="64"/>
      <c r="Z1178" s="64"/>
      <c r="AA1178" s="64"/>
      <c r="AB1178" s="64"/>
      <c r="AC1178" s="64"/>
      <c r="AD1178" s="64"/>
      <c r="AE1178" s="64"/>
      <c r="AF1178" s="64"/>
      <c r="AG1178" s="64"/>
      <c r="AH1178" s="64"/>
      <c r="AI1178" s="64"/>
      <c r="AJ1178" s="64"/>
      <c r="AK1178" s="64"/>
      <c r="AL1178" s="64"/>
      <c r="AM1178" s="64"/>
      <c r="AN1178" s="64"/>
      <c r="AO1178" s="64"/>
      <c r="AP1178" s="64"/>
      <c r="AQ1178" s="64"/>
      <c r="AR1178" s="64"/>
      <c r="AS1178" s="64"/>
      <c r="AT1178" s="64"/>
      <c r="AU1178" s="64"/>
      <c r="AV1178" s="64"/>
      <c r="AW1178" s="64"/>
      <c r="AX1178" s="64"/>
      <c r="AY1178" s="64"/>
      <c r="AZ1178" s="64"/>
      <c r="BA1178" s="64"/>
      <c r="BB1178" s="64"/>
      <c r="BC1178" s="64"/>
      <c r="BD1178" s="64"/>
      <c r="BE1178" s="64"/>
      <c r="BF1178" s="64"/>
      <c r="BG1178" s="64"/>
      <c r="BH1178" s="64"/>
      <c r="BI1178" s="64"/>
      <c r="BJ1178" s="64"/>
      <c r="BK1178" s="64"/>
      <c r="BL1178" s="64"/>
      <c r="BM1178" s="64"/>
      <c r="BN1178" s="64"/>
      <c r="BO1178" s="64"/>
      <c r="BP1178" s="64"/>
      <c r="BQ1178" s="64"/>
      <c r="BR1178" s="64"/>
      <c r="BS1178" s="64"/>
      <c r="BT1178" s="64"/>
      <c r="BU1178" s="64"/>
      <c r="BV1178" s="64"/>
      <c r="BW1178" s="64"/>
      <c r="BX1178" s="64"/>
      <c r="BY1178" s="64"/>
      <c r="BZ1178" s="64"/>
      <c r="CA1178" s="64"/>
      <c r="CB1178" s="64"/>
      <c r="CC1178" s="64"/>
      <c r="CD1178" s="64"/>
      <c r="CE1178" s="64"/>
      <c r="CF1178" s="64"/>
      <c r="CG1178" s="64"/>
      <c r="CH1178" s="64"/>
      <c r="CI1178" s="64"/>
      <c r="CJ1178" s="64"/>
      <c r="CK1178" s="64"/>
      <c r="CL1178" s="64"/>
      <c r="CM1178" s="64"/>
      <c r="CN1178" s="64"/>
      <c r="CO1178" s="64"/>
      <c r="CP1178" s="64"/>
      <c r="CQ1178" s="64"/>
      <c r="CR1178" s="64"/>
      <c r="CS1178" s="64"/>
      <c r="CT1178" s="64"/>
      <c r="CU1178" s="64"/>
      <c r="CV1178" s="64"/>
      <c r="CW1178" s="64"/>
      <c r="CX1178" s="64"/>
    </row>
    <row r="1179" spans="1:102" x14ac:dyDescent="0.2">
      <c r="A1179" s="64"/>
      <c r="B1179" s="64"/>
      <c r="C1179" s="102"/>
      <c r="D1179" s="102"/>
      <c r="E1179" s="102"/>
      <c r="F1179" s="102"/>
      <c r="G1179" s="102"/>
      <c r="H1179" s="102"/>
      <c r="I1179" s="64"/>
      <c r="J1179" s="64"/>
      <c r="K1179" s="64"/>
      <c r="L1179" s="64"/>
      <c r="M1179" s="64"/>
      <c r="N1179" s="64"/>
      <c r="O1179" s="64"/>
      <c r="P1179" s="64"/>
      <c r="Q1179" s="64"/>
      <c r="R1179" s="64"/>
      <c r="S1179" s="64"/>
      <c r="T1179" s="64"/>
      <c r="U1179" s="64"/>
      <c r="V1179" s="64"/>
      <c r="W1179" s="64"/>
      <c r="X1179" s="64"/>
      <c r="Y1179" s="64"/>
      <c r="Z1179" s="64"/>
      <c r="AA1179" s="64"/>
      <c r="AB1179" s="64"/>
      <c r="AC1179" s="64"/>
      <c r="AD1179" s="64"/>
      <c r="AE1179" s="64"/>
      <c r="AF1179" s="64"/>
      <c r="AG1179" s="64"/>
      <c r="AH1179" s="64"/>
      <c r="AI1179" s="64"/>
      <c r="AJ1179" s="64"/>
      <c r="AK1179" s="64"/>
      <c r="AL1179" s="64"/>
      <c r="AM1179" s="64"/>
      <c r="AN1179" s="64"/>
      <c r="AO1179" s="64"/>
      <c r="AP1179" s="64"/>
      <c r="AQ1179" s="64"/>
      <c r="AR1179" s="64"/>
      <c r="AS1179" s="64"/>
      <c r="AT1179" s="64"/>
      <c r="AU1179" s="64"/>
      <c r="AV1179" s="64"/>
      <c r="AW1179" s="64"/>
      <c r="AX1179" s="64"/>
      <c r="AY1179" s="64"/>
      <c r="AZ1179" s="64"/>
      <c r="BA1179" s="64"/>
      <c r="BB1179" s="64"/>
      <c r="BC1179" s="64"/>
      <c r="BD1179" s="64"/>
      <c r="BE1179" s="64"/>
      <c r="BF1179" s="64"/>
      <c r="BG1179" s="64"/>
      <c r="BH1179" s="64"/>
      <c r="BI1179" s="64"/>
      <c r="BJ1179" s="64"/>
      <c r="BK1179" s="64"/>
      <c r="BL1179" s="64"/>
      <c r="BM1179" s="64"/>
      <c r="BN1179" s="64"/>
      <c r="BO1179" s="64"/>
      <c r="BP1179" s="64"/>
      <c r="BQ1179" s="64"/>
      <c r="BR1179" s="64"/>
      <c r="BS1179" s="64"/>
      <c r="BT1179" s="64"/>
      <c r="BU1179" s="64"/>
      <c r="BV1179" s="64"/>
      <c r="BW1179" s="64"/>
      <c r="BX1179" s="64"/>
      <c r="BY1179" s="64"/>
      <c r="BZ1179" s="64"/>
      <c r="CA1179" s="64"/>
      <c r="CB1179" s="64"/>
      <c r="CC1179" s="64"/>
      <c r="CD1179" s="64"/>
      <c r="CE1179" s="64"/>
      <c r="CF1179" s="64"/>
      <c r="CG1179" s="64"/>
      <c r="CH1179" s="64"/>
      <c r="CI1179" s="64"/>
      <c r="CJ1179" s="64"/>
      <c r="CK1179" s="64"/>
      <c r="CL1179" s="64"/>
      <c r="CM1179" s="64"/>
      <c r="CN1179" s="64"/>
      <c r="CO1179" s="64"/>
      <c r="CP1179" s="64"/>
      <c r="CQ1179" s="64"/>
      <c r="CR1179" s="64"/>
      <c r="CS1179" s="64"/>
      <c r="CT1179" s="64"/>
      <c r="CU1179" s="64"/>
      <c r="CV1179" s="64"/>
      <c r="CW1179" s="64"/>
      <c r="CX1179" s="64"/>
    </row>
    <row r="1180" spans="1:102" x14ac:dyDescent="0.2">
      <c r="A1180" s="64"/>
      <c r="B1180" s="64"/>
      <c r="C1180" s="102"/>
      <c r="D1180" s="102"/>
      <c r="E1180" s="102"/>
      <c r="F1180" s="102"/>
      <c r="G1180" s="102"/>
      <c r="H1180" s="102"/>
      <c r="I1180" s="64"/>
      <c r="J1180" s="64"/>
      <c r="K1180" s="64"/>
      <c r="L1180" s="64"/>
      <c r="M1180" s="64"/>
      <c r="N1180" s="64"/>
      <c r="O1180" s="64"/>
      <c r="P1180" s="64"/>
      <c r="Q1180" s="64"/>
      <c r="R1180" s="64"/>
      <c r="S1180" s="64"/>
      <c r="T1180" s="64"/>
      <c r="U1180" s="64"/>
      <c r="V1180" s="64"/>
      <c r="W1180" s="64"/>
      <c r="X1180" s="64"/>
      <c r="Y1180" s="64"/>
      <c r="Z1180" s="64"/>
      <c r="AA1180" s="64"/>
      <c r="AB1180" s="64"/>
      <c r="AC1180" s="64"/>
      <c r="AD1180" s="64"/>
      <c r="AE1180" s="64"/>
      <c r="AF1180" s="64"/>
      <c r="AG1180" s="64"/>
      <c r="AH1180" s="64"/>
      <c r="AI1180" s="64"/>
      <c r="AJ1180" s="64"/>
      <c r="AK1180" s="64"/>
      <c r="AL1180" s="64"/>
      <c r="AM1180" s="64"/>
      <c r="AN1180" s="64"/>
      <c r="AO1180" s="64"/>
      <c r="AP1180" s="64"/>
      <c r="AQ1180" s="64"/>
      <c r="AR1180" s="64"/>
      <c r="AS1180" s="64"/>
      <c r="AT1180" s="64"/>
      <c r="AU1180" s="64"/>
      <c r="AV1180" s="64"/>
      <c r="AW1180" s="64"/>
      <c r="AX1180" s="64"/>
      <c r="AY1180" s="64"/>
      <c r="AZ1180" s="64"/>
      <c r="BA1180" s="64"/>
      <c r="BB1180" s="64"/>
      <c r="BC1180" s="64"/>
      <c r="BD1180" s="64"/>
      <c r="BE1180" s="64"/>
      <c r="BF1180" s="64"/>
      <c r="BG1180" s="64"/>
      <c r="BH1180" s="64"/>
      <c r="BI1180" s="64"/>
      <c r="BJ1180" s="64"/>
      <c r="BK1180" s="64"/>
      <c r="BL1180" s="64"/>
      <c r="BM1180" s="64"/>
      <c r="BN1180" s="64"/>
      <c r="BO1180" s="64"/>
      <c r="BP1180" s="64"/>
      <c r="BQ1180" s="64"/>
      <c r="BR1180" s="64"/>
      <c r="BS1180" s="64"/>
      <c r="BT1180" s="64"/>
      <c r="BU1180" s="64"/>
      <c r="BV1180" s="64"/>
      <c r="BW1180" s="64"/>
      <c r="BX1180" s="64"/>
      <c r="BY1180" s="64"/>
      <c r="BZ1180" s="64"/>
      <c r="CA1180" s="64"/>
      <c r="CB1180" s="64"/>
      <c r="CC1180" s="64"/>
      <c r="CD1180" s="64"/>
      <c r="CE1180" s="64"/>
      <c r="CF1180" s="64"/>
      <c r="CG1180" s="64"/>
      <c r="CH1180" s="64"/>
      <c r="CI1180" s="64"/>
      <c r="CJ1180" s="64"/>
      <c r="CK1180" s="64"/>
      <c r="CL1180" s="64"/>
      <c r="CM1180" s="64"/>
      <c r="CN1180" s="64"/>
      <c r="CO1180" s="64"/>
      <c r="CP1180" s="64"/>
      <c r="CQ1180" s="64"/>
      <c r="CR1180" s="64"/>
      <c r="CS1180" s="64"/>
      <c r="CT1180" s="64"/>
      <c r="CU1180" s="64"/>
      <c r="CV1180" s="64"/>
      <c r="CW1180" s="64"/>
      <c r="CX1180" s="64"/>
    </row>
    <row r="1181" spans="1:102" x14ac:dyDescent="0.2">
      <c r="A1181" s="64"/>
      <c r="B1181" s="64"/>
      <c r="C1181" s="102"/>
      <c r="D1181" s="102"/>
      <c r="E1181" s="102"/>
      <c r="F1181" s="102"/>
      <c r="G1181" s="102"/>
      <c r="H1181" s="102"/>
      <c r="I1181" s="64"/>
      <c r="J1181" s="64"/>
      <c r="K1181" s="64"/>
      <c r="L1181" s="64"/>
      <c r="M1181" s="64"/>
      <c r="N1181" s="64"/>
      <c r="O1181" s="64"/>
      <c r="P1181" s="64"/>
      <c r="Q1181" s="64"/>
      <c r="R1181" s="64"/>
      <c r="S1181" s="64"/>
      <c r="T1181" s="64"/>
      <c r="U1181" s="64"/>
      <c r="V1181" s="64"/>
      <c r="W1181" s="64"/>
      <c r="X1181" s="64"/>
      <c r="Y1181" s="64"/>
      <c r="Z1181" s="64"/>
      <c r="AA1181" s="64"/>
      <c r="AB1181" s="64"/>
      <c r="AC1181" s="64"/>
      <c r="AD1181" s="64"/>
      <c r="AE1181" s="64"/>
      <c r="AF1181" s="64"/>
      <c r="AG1181" s="64"/>
      <c r="AH1181" s="64"/>
      <c r="AI1181" s="64"/>
      <c r="AJ1181" s="64"/>
      <c r="AK1181" s="64"/>
      <c r="AL1181" s="64"/>
      <c r="AM1181" s="64"/>
      <c r="AN1181" s="64"/>
      <c r="AO1181" s="64"/>
      <c r="AP1181" s="64"/>
      <c r="AQ1181" s="64"/>
      <c r="AR1181" s="64"/>
      <c r="AS1181" s="64"/>
      <c r="AT1181" s="64"/>
      <c r="AU1181" s="64"/>
      <c r="AV1181" s="64"/>
      <c r="AW1181" s="64"/>
      <c r="AX1181" s="64"/>
      <c r="AY1181" s="64"/>
      <c r="AZ1181" s="64"/>
      <c r="BA1181" s="64"/>
      <c r="BB1181" s="64"/>
      <c r="BC1181" s="64"/>
      <c r="BD1181" s="64"/>
      <c r="BE1181" s="64"/>
      <c r="BF1181" s="64"/>
      <c r="BG1181" s="64"/>
      <c r="BH1181" s="64"/>
      <c r="BI1181" s="64"/>
      <c r="BJ1181" s="64"/>
      <c r="BK1181" s="64"/>
      <c r="BL1181" s="64"/>
      <c r="BM1181" s="64"/>
      <c r="BN1181" s="64"/>
      <c r="BO1181" s="64"/>
      <c r="BP1181" s="64"/>
      <c r="BQ1181" s="64"/>
      <c r="BR1181" s="64"/>
      <c r="BS1181" s="64"/>
      <c r="BT1181" s="64"/>
      <c r="BU1181" s="64"/>
      <c r="BV1181" s="64"/>
      <c r="BW1181" s="64"/>
      <c r="BX1181" s="64"/>
      <c r="BY1181" s="64"/>
      <c r="BZ1181" s="64"/>
      <c r="CA1181" s="64"/>
      <c r="CB1181" s="64"/>
      <c r="CC1181" s="64"/>
      <c r="CD1181" s="64"/>
      <c r="CE1181" s="64"/>
      <c r="CF1181" s="64"/>
      <c r="CG1181" s="64"/>
      <c r="CH1181" s="64"/>
      <c r="CI1181" s="64"/>
      <c r="CJ1181" s="64"/>
      <c r="CK1181" s="64"/>
      <c r="CL1181" s="64"/>
      <c r="CM1181" s="64"/>
      <c r="CN1181" s="64"/>
      <c r="CO1181" s="64"/>
      <c r="CP1181" s="64"/>
      <c r="CQ1181" s="64"/>
      <c r="CR1181" s="64"/>
      <c r="CS1181" s="64"/>
      <c r="CT1181" s="64"/>
      <c r="CU1181" s="64"/>
      <c r="CV1181" s="64"/>
      <c r="CW1181" s="64"/>
      <c r="CX1181" s="64"/>
    </row>
    <row r="1182" spans="1:102" x14ac:dyDescent="0.2">
      <c r="A1182" s="64"/>
      <c r="B1182" s="64"/>
      <c r="C1182" s="102"/>
      <c r="D1182" s="102"/>
      <c r="E1182" s="102"/>
      <c r="F1182" s="102"/>
      <c r="G1182" s="102"/>
      <c r="H1182" s="102"/>
      <c r="I1182" s="64"/>
      <c r="J1182" s="64"/>
      <c r="K1182" s="64"/>
      <c r="L1182" s="64"/>
      <c r="M1182" s="64"/>
      <c r="N1182" s="64"/>
      <c r="O1182" s="64"/>
      <c r="P1182" s="64"/>
      <c r="Q1182" s="64"/>
      <c r="R1182" s="64"/>
      <c r="S1182" s="64"/>
      <c r="T1182" s="64"/>
      <c r="U1182" s="64"/>
      <c r="V1182" s="64"/>
      <c r="W1182" s="64"/>
      <c r="X1182" s="64"/>
      <c r="Y1182" s="64"/>
      <c r="Z1182" s="64"/>
      <c r="AA1182" s="64"/>
      <c r="AB1182" s="64"/>
      <c r="AC1182" s="64"/>
      <c r="AD1182" s="64"/>
      <c r="AE1182" s="64"/>
      <c r="AF1182" s="64"/>
      <c r="AG1182" s="64"/>
      <c r="AH1182" s="64"/>
      <c r="AI1182" s="64"/>
      <c r="AJ1182" s="64"/>
      <c r="AK1182" s="64"/>
      <c r="AL1182" s="64"/>
      <c r="AM1182" s="64"/>
      <c r="AN1182" s="64"/>
      <c r="AO1182" s="64"/>
      <c r="AP1182" s="64"/>
      <c r="AQ1182" s="64"/>
      <c r="AR1182" s="64"/>
      <c r="AS1182" s="64"/>
      <c r="AT1182" s="64"/>
      <c r="AU1182" s="64"/>
      <c r="AV1182" s="64"/>
      <c r="AW1182" s="64"/>
      <c r="AX1182" s="64"/>
      <c r="AY1182" s="64"/>
      <c r="AZ1182" s="64"/>
      <c r="BA1182" s="64"/>
      <c r="BB1182" s="64"/>
      <c r="BC1182" s="64"/>
      <c r="BD1182" s="64"/>
      <c r="BE1182" s="64"/>
      <c r="BF1182" s="64"/>
      <c r="BG1182" s="64"/>
      <c r="BH1182" s="64"/>
      <c r="BI1182" s="64"/>
      <c r="BJ1182" s="64"/>
      <c r="BK1182" s="64"/>
      <c r="BL1182" s="64"/>
      <c r="BM1182" s="64"/>
      <c r="BN1182" s="64"/>
      <c r="BO1182" s="64"/>
      <c r="BP1182" s="64"/>
      <c r="BQ1182" s="64"/>
      <c r="BR1182" s="64"/>
      <c r="BS1182" s="64"/>
      <c r="BT1182" s="64"/>
      <c r="BU1182" s="64"/>
      <c r="BV1182" s="64"/>
      <c r="BW1182" s="64"/>
      <c r="BX1182" s="64"/>
      <c r="BY1182" s="64"/>
      <c r="BZ1182" s="64"/>
      <c r="CA1182" s="64"/>
      <c r="CB1182" s="64"/>
      <c r="CC1182" s="64"/>
      <c r="CD1182" s="64"/>
      <c r="CE1182" s="64"/>
      <c r="CF1182" s="64"/>
      <c r="CG1182" s="64"/>
      <c r="CH1182" s="64"/>
      <c r="CI1182" s="64"/>
      <c r="CJ1182" s="64"/>
      <c r="CK1182" s="64"/>
      <c r="CL1182" s="64"/>
      <c r="CM1182" s="64"/>
      <c r="CN1182" s="64"/>
      <c r="CO1182" s="64"/>
      <c r="CP1182" s="64"/>
      <c r="CQ1182" s="64"/>
      <c r="CR1182" s="64"/>
      <c r="CS1182" s="64"/>
      <c r="CT1182" s="64"/>
      <c r="CU1182" s="64"/>
      <c r="CV1182" s="64"/>
      <c r="CW1182" s="64"/>
      <c r="CX1182" s="64"/>
    </row>
    <row r="1183" spans="1:102" x14ac:dyDescent="0.2">
      <c r="A1183" s="64"/>
      <c r="B1183" s="64"/>
      <c r="C1183" s="102"/>
      <c r="D1183" s="102"/>
      <c r="E1183" s="102"/>
      <c r="F1183" s="102"/>
      <c r="G1183" s="102"/>
      <c r="H1183" s="102"/>
      <c r="I1183" s="64"/>
      <c r="J1183" s="64"/>
      <c r="K1183" s="64"/>
      <c r="L1183" s="64"/>
      <c r="M1183" s="64"/>
      <c r="N1183" s="64"/>
      <c r="O1183" s="64"/>
      <c r="P1183" s="64"/>
      <c r="Q1183" s="64"/>
      <c r="R1183" s="64"/>
      <c r="S1183" s="64"/>
      <c r="T1183" s="64"/>
      <c r="U1183" s="64"/>
      <c r="V1183" s="64"/>
      <c r="W1183" s="64"/>
      <c r="X1183" s="64"/>
      <c r="Y1183" s="64"/>
      <c r="Z1183" s="64"/>
      <c r="AA1183" s="64"/>
      <c r="AB1183" s="64"/>
      <c r="AC1183" s="64"/>
      <c r="AD1183" s="64"/>
      <c r="AE1183" s="64"/>
      <c r="AF1183" s="64"/>
      <c r="AG1183" s="64"/>
      <c r="AH1183" s="64"/>
      <c r="AI1183" s="64"/>
      <c r="AJ1183" s="64"/>
      <c r="AK1183" s="64"/>
      <c r="AL1183" s="64"/>
      <c r="AM1183" s="64"/>
      <c r="AN1183" s="64"/>
      <c r="AO1183" s="64"/>
      <c r="AP1183" s="64"/>
      <c r="AQ1183" s="64"/>
      <c r="AR1183" s="64"/>
      <c r="AS1183" s="64"/>
      <c r="AT1183" s="64"/>
      <c r="AU1183" s="64"/>
      <c r="AV1183" s="64"/>
      <c r="AW1183" s="64"/>
      <c r="AX1183" s="64"/>
      <c r="AY1183" s="64"/>
      <c r="AZ1183" s="64"/>
      <c r="BA1183" s="64"/>
      <c r="BB1183" s="64"/>
      <c r="BC1183" s="64"/>
      <c r="BD1183" s="64"/>
      <c r="BE1183" s="64"/>
      <c r="BF1183" s="64"/>
      <c r="BG1183" s="64"/>
      <c r="BH1183" s="64"/>
      <c r="BI1183" s="64"/>
      <c r="BJ1183" s="64"/>
      <c r="BK1183" s="64"/>
      <c r="BL1183" s="64"/>
      <c r="BM1183" s="64"/>
      <c r="BN1183" s="64"/>
      <c r="BO1183" s="64"/>
      <c r="BP1183" s="64"/>
      <c r="BQ1183" s="64"/>
      <c r="BR1183" s="64"/>
      <c r="BS1183" s="64"/>
      <c r="BT1183" s="64"/>
      <c r="BU1183" s="64"/>
      <c r="BV1183" s="64"/>
      <c r="BW1183" s="64"/>
      <c r="BX1183" s="64"/>
      <c r="BY1183" s="64"/>
      <c r="BZ1183" s="64"/>
      <c r="CA1183" s="64"/>
      <c r="CB1183" s="64"/>
      <c r="CC1183" s="64"/>
      <c r="CD1183" s="64"/>
      <c r="CE1183" s="64"/>
      <c r="CF1183" s="64"/>
      <c r="CG1183" s="64"/>
      <c r="CH1183" s="64"/>
      <c r="CI1183" s="64"/>
      <c r="CJ1183" s="64"/>
      <c r="CK1183" s="64"/>
      <c r="CL1183" s="64"/>
      <c r="CM1183" s="64"/>
      <c r="CN1183" s="64"/>
      <c r="CO1183" s="64"/>
      <c r="CP1183" s="64"/>
      <c r="CQ1183" s="64"/>
      <c r="CR1183" s="64"/>
      <c r="CS1183" s="64"/>
      <c r="CT1183" s="64"/>
      <c r="CU1183" s="64"/>
      <c r="CV1183" s="64"/>
      <c r="CW1183" s="64"/>
      <c r="CX1183" s="64"/>
    </row>
    <row r="1184" spans="1:102" x14ac:dyDescent="0.2">
      <c r="A1184" s="64"/>
      <c r="B1184" s="64"/>
      <c r="C1184" s="102"/>
      <c r="D1184" s="102"/>
      <c r="E1184" s="102"/>
      <c r="F1184" s="102"/>
      <c r="G1184" s="102"/>
      <c r="H1184" s="102"/>
      <c r="I1184" s="64"/>
      <c r="J1184" s="64"/>
      <c r="K1184" s="64"/>
      <c r="L1184" s="64"/>
      <c r="M1184" s="64"/>
      <c r="N1184" s="64"/>
      <c r="O1184" s="64"/>
      <c r="P1184" s="64"/>
      <c r="Q1184" s="64"/>
      <c r="R1184" s="64"/>
      <c r="S1184" s="64"/>
      <c r="T1184" s="64"/>
      <c r="U1184" s="64"/>
      <c r="V1184" s="64"/>
      <c r="W1184" s="64"/>
      <c r="X1184" s="64"/>
      <c r="Y1184" s="64"/>
      <c r="Z1184" s="64"/>
      <c r="AA1184" s="64"/>
      <c r="AB1184" s="64"/>
      <c r="AC1184" s="64"/>
      <c r="AD1184" s="64"/>
      <c r="AE1184" s="64"/>
      <c r="AF1184" s="64"/>
      <c r="AG1184" s="64"/>
      <c r="AH1184" s="64"/>
      <c r="AI1184" s="64"/>
      <c r="AJ1184" s="64"/>
      <c r="AK1184" s="64"/>
      <c r="AL1184" s="64"/>
      <c r="AM1184" s="64"/>
      <c r="AN1184" s="64"/>
      <c r="AO1184" s="64"/>
      <c r="AP1184" s="64"/>
      <c r="AQ1184" s="64"/>
      <c r="AR1184" s="64"/>
      <c r="AS1184" s="64"/>
      <c r="AT1184" s="64"/>
      <c r="AU1184" s="64"/>
      <c r="AV1184" s="64"/>
      <c r="AW1184" s="64"/>
      <c r="AX1184" s="64"/>
      <c r="AY1184" s="64"/>
      <c r="AZ1184" s="64"/>
      <c r="BA1184" s="64"/>
      <c r="BB1184" s="64"/>
      <c r="BC1184" s="64"/>
      <c r="BD1184" s="64"/>
      <c r="BE1184" s="64"/>
      <c r="BF1184" s="64"/>
      <c r="BG1184" s="64"/>
      <c r="BH1184" s="64"/>
      <c r="BI1184" s="64"/>
      <c r="BJ1184" s="64"/>
      <c r="BK1184" s="64"/>
      <c r="BL1184" s="64"/>
      <c r="BM1184" s="64"/>
      <c r="BN1184" s="64"/>
      <c r="BO1184" s="64"/>
      <c r="BP1184" s="64"/>
      <c r="BQ1184" s="64"/>
      <c r="BR1184" s="64"/>
      <c r="BS1184" s="64"/>
      <c r="BT1184" s="64"/>
      <c r="BU1184" s="64"/>
      <c r="BV1184" s="64"/>
      <c r="BW1184" s="64"/>
      <c r="BX1184" s="64"/>
      <c r="BY1184" s="64"/>
      <c r="BZ1184" s="64"/>
      <c r="CA1184" s="64"/>
      <c r="CB1184" s="64"/>
      <c r="CC1184" s="64"/>
      <c r="CD1184" s="64"/>
      <c r="CE1184" s="64"/>
      <c r="CF1184" s="64"/>
      <c r="CG1184" s="64"/>
      <c r="CH1184" s="64"/>
      <c r="CI1184" s="64"/>
      <c r="CJ1184" s="64"/>
      <c r="CK1184" s="64"/>
      <c r="CL1184" s="64"/>
      <c r="CM1184" s="64"/>
      <c r="CN1184" s="64"/>
      <c r="CO1184" s="64"/>
      <c r="CP1184" s="64"/>
      <c r="CQ1184" s="64"/>
      <c r="CR1184" s="64"/>
      <c r="CS1184" s="64"/>
      <c r="CT1184" s="64"/>
      <c r="CU1184" s="64"/>
      <c r="CV1184" s="64"/>
      <c r="CW1184" s="64"/>
      <c r="CX1184" s="64"/>
    </row>
    <row r="1185" spans="1:102" x14ac:dyDescent="0.2">
      <c r="A1185" s="64"/>
      <c r="B1185" s="64"/>
      <c r="C1185" s="102"/>
      <c r="D1185" s="102"/>
      <c r="E1185" s="102"/>
      <c r="F1185" s="102"/>
      <c r="G1185" s="102"/>
      <c r="H1185" s="102"/>
      <c r="I1185" s="64"/>
      <c r="J1185" s="64"/>
      <c r="K1185" s="64"/>
      <c r="L1185" s="64"/>
      <c r="M1185" s="64"/>
      <c r="N1185" s="64"/>
      <c r="O1185" s="64"/>
      <c r="P1185" s="64"/>
      <c r="Q1185" s="64"/>
      <c r="R1185" s="64"/>
      <c r="S1185" s="64"/>
      <c r="T1185" s="64"/>
      <c r="U1185" s="64"/>
      <c r="V1185" s="64"/>
      <c r="W1185" s="64"/>
      <c r="X1185" s="64"/>
      <c r="Y1185" s="64"/>
      <c r="Z1185" s="64"/>
      <c r="AA1185" s="64"/>
      <c r="AB1185" s="64"/>
      <c r="AC1185" s="64"/>
      <c r="AD1185" s="64"/>
      <c r="AE1185" s="64"/>
      <c r="AF1185" s="64"/>
      <c r="AG1185" s="64"/>
      <c r="AH1185" s="64"/>
      <c r="AI1185" s="64"/>
      <c r="AJ1185" s="64"/>
      <c r="AK1185" s="64"/>
      <c r="AL1185" s="64"/>
      <c r="AM1185" s="64"/>
      <c r="AN1185" s="64"/>
      <c r="AO1185" s="64"/>
      <c r="AP1185" s="64"/>
      <c r="AQ1185" s="64"/>
      <c r="AR1185" s="64"/>
      <c r="AS1185" s="64"/>
      <c r="AT1185" s="64"/>
      <c r="AU1185" s="64"/>
      <c r="AV1185" s="64"/>
      <c r="AW1185" s="64"/>
      <c r="AX1185" s="64"/>
      <c r="AY1185" s="64"/>
      <c r="AZ1185" s="64"/>
      <c r="BA1185" s="64"/>
      <c r="BB1185" s="64"/>
      <c r="BC1185" s="64"/>
      <c r="BD1185" s="64"/>
      <c r="BE1185" s="64"/>
      <c r="BF1185" s="64"/>
      <c r="BG1185" s="64"/>
      <c r="BH1185" s="64"/>
      <c r="BI1185" s="64"/>
      <c r="BJ1185" s="64"/>
      <c r="BK1185" s="64"/>
      <c r="BL1185" s="64"/>
      <c r="BM1185" s="64"/>
      <c r="BN1185" s="64"/>
      <c r="BO1185" s="64"/>
      <c r="BP1185" s="64"/>
      <c r="BQ1185" s="64"/>
      <c r="BR1185" s="64"/>
      <c r="BS1185" s="64"/>
      <c r="BT1185" s="64"/>
      <c r="BU1185" s="64"/>
      <c r="BV1185" s="64"/>
      <c r="BW1185" s="64"/>
      <c r="BX1185" s="64"/>
      <c r="BY1185" s="64"/>
      <c r="BZ1185" s="64"/>
      <c r="CA1185" s="64"/>
      <c r="CB1185" s="64"/>
      <c r="CC1185" s="64"/>
      <c r="CD1185" s="64"/>
      <c r="CE1185" s="64"/>
      <c r="CF1185" s="64"/>
      <c r="CG1185" s="64"/>
      <c r="CH1185" s="64"/>
      <c r="CI1185" s="64"/>
      <c r="CJ1185" s="64"/>
      <c r="CK1185" s="64"/>
      <c r="CL1185" s="64"/>
      <c r="CM1185" s="64"/>
      <c r="CN1185" s="64"/>
      <c r="CO1185" s="64"/>
      <c r="CP1185" s="64"/>
      <c r="CQ1185" s="64"/>
      <c r="CR1185" s="64"/>
      <c r="CS1185" s="64"/>
      <c r="CT1185" s="64"/>
      <c r="CU1185" s="64"/>
      <c r="CV1185" s="64"/>
      <c r="CW1185" s="64"/>
      <c r="CX1185" s="64"/>
    </row>
    <row r="1186" spans="1:102" x14ac:dyDescent="0.2">
      <c r="A1186" s="64"/>
      <c r="B1186" s="64"/>
      <c r="C1186" s="102"/>
      <c r="D1186" s="102"/>
      <c r="E1186" s="102"/>
      <c r="F1186" s="102"/>
      <c r="G1186" s="102"/>
      <c r="H1186" s="102"/>
      <c r="I1186" s="64"/>
      <c r="J1186" s="64"/>
      <c r="K1186" s="64"/>
      <c r="L1186" s="64"/>
      <c r="M1186" s="64"/>
      <c r="N1186" s="64"/>
      <c r="O1186" s="64"/>
      <c r="P1186" s="64"/>
      <c r="Q1186" s="64"/>
      <c r="R1186" s="64"/>
      <c r="S1186" s="64"/>
      <c r="T1186" s="64"/>
      <c r="U1186" s="64"/>
      <c r="V1186" s="64"/>
      <c r="W1186" s="64"/>
      <c r="X1186" s="64"/>
      <c r="Y1186" s="64"/>
      <c r="Z1186" s="64"/>
      <c r="AA1186" s="64"/>
      <c r="AB1186" s="64"/>
      <c r="AC1186" s="64"/>
      <c r="AD1186" s="64"/>
      <c r="AE1186" s="64"/>
      <c r="AF1186" s="64"/>
      <c r="AG1186" s="64"/>
      <c r="AH1186" s="64"/>
      <c r="AI1186" s="64"/>
      <c r="AJ1186" s="64"/>
      <c r="AK1186" s="64"/>
      <c r="AL1186" s="64"/>
      <c r="AM1186" s="64"/>
      <c r="AN1186" s="64"/>
      <c r="AO1186" s="64"/>
      <c r="AP1186" s="64"/>
      <c r="AQ1186" s="64"/>
      <c r="AR1186" s="64"/>
      <c r="AS1186" s="64"/>
      <c r="AT1186" s="64"/>
      <c r="AU1186" s="64"/>
      <c r="AV1186" s="64"/>
      <c r="AW1186" s="64"/>
      <c r="AX1186" s="64"/>
      <c r="AY1186" s="64"/>
      <c r="AZ1186" s="64"/>
      <c r="BA1186" s="64"/>
      <c r="BB1186" s="64"/>
      <c r="BC1186" s="64"/>
      <c r="BD1186" s="64"/>
      <c r="BE1186" s="64"/>
      <c r="BF1186" s="64"/>
      <c r="BG1186" s="64"/>
      <c r="BH1186" s="64"/>
      <c r="BI1186" s="64"/>
      <c r="BJ1186" s="64"/>
      <c r="BK1186" s="64"/>
      <c r="BL1186" s="64"/>
      <c r="BM1186" s="64"/>
      <c r="BN1186" s="64"/>
      <c r="BO1186" s="64"/>
      <c r="BP1186" s="64"/>
      <c r="BQ1186" s="64"/>
      <c r="BR1186" s="64"/>
      <c r="BS1186" s="64"/>
      <c r="BT1186" s="64"/>
      <c r="BU1186" s="64"/>
      <c r="BV1186" s="64"/>
      <c r="BW1186" s="64"/>
      <c r="BX1186" s="64"/>
      <c r="BY1186" s="64"/>
      <c r="BZ1186" s="64"/>
      <c r="CA1186" s="64"/>
      <c r="CB1186" s="64"/>
      <c r="CC1186" s="64"/>
      <c r="CD1186" s="64"/>
      <c r="CE1186" s="64"/>
      <c r="CF1186" s="64"/>
      <c r="CG1186" s="64"/>
      <c r="CH1186" s="64"/>
      <c r="CI1186" s="64"/>
      <c r="CJ1186" s="64"/>
      <c r="CK1186" s="64"/>
      <c r="CL1186" s="64"/>
      <c r="CM1186" s="64"/>
      <c r="CN1186" s="64"/>
      <c r="CO1186" s="64"/>
      <c r="CP1186" s="64"/>
      <c r="CQ1186" s="64"/>
      <c r="CR1186" s="64"/>
      <c r="CS1186" s="64"/>
      <c r="CT1186" s="64"/>
      <c r="CU1186" s="64"/>
      <c r="CV1186" s="64"/>
      <c r="CW1186" s="64"/>
      <c r="CX1186" s="64"/>
    </row>
    <row r="1187" spans="1:102" x14ac:dyDescent="0.2">
      <c r="A1187" s="64"/>
      <c r="B1187" s="64"/>
      <c r="C1187" s="102"/>
      <c r="D1187" s="102"/>
      <c r="E1187" s="102"/>
      <c r="F1187" s="102"/>
      <c r="G1187" s="102"/>
      <c r="H1187" s="102"/>
      <c r="I1187" s="64"/>
      <c r="J1187" s="64"/>
      <c r="K1187" s="64"/>
      <c r="L1187" s="64"/>
      <c r="M1187" s="64"/>
      <c r="N1187" s="64"/>
      <c r="O1187" s="64"/>
      <c r="P1187" s="64"/>
      <c r="Q1187" s="64"/>
      <c r="R1187" s="64"/>
      <c r="S1187" s="64"/>
      <c r="T1187" s="64"/>
      <c r="U1187" s="64"/>
      <c r="V1187" s="64"/>
      <c r="W1187" s="64"/>
      <c r="X1187" s="64"/>
      <c r="Y1187" s="64"/>
      <c r="Z1187" s="64"/>
      <c r="AA1187" s="64"/>
      <c r="AB1187" s="64"/>
      <c r="AC1187" s="64"/>
      <c r="AD1187" s="64"/>
      <c r="AE1187" s="64"/>
      <c r="AF1187" s="64"/>
      <c r="AG1187" s="64"/>
      <c r="AH1187" s="64"/>
      <c r="AI1187" s="64"/>
      <c r="AJ1187" s="64"/>
      <c r="AK1187" s="64"/>
      <c r="AL1187" s="64"/>
      <c r="AM1187" s="64"/>
      <c r="AN1187" s="64"/>
      <c r="AO1187" s="64"/>
      <c r="AP1187" s="64"/>
      <c r="AQ1187" s="64"/>
      <c r="AR1187" s="64"/>
      <c r="AS1187" s="64"/>
      <c r="AT1187" s="64"/>
      <c r="AU1187" s="64"/>
      <c r="AV1187" s="64"/>
      <c r="AW1187" s="64"/>
      <c r="AX1187" s="64"/>
      <c r="AY1187" s="64"/>
      <c r="AZ1187" s="64"/>
      <c r="BA1187" s="64"/>
      <c r="BB1187" s="64"/>
      <c r="BC1187" s="64"/>
      <c r="BD1187" s="64"/>
      <c r="BE1187" s="64"/>
      <c r="BF1187" s="64"/>
      <c r="BG1187" s="64"/>
      <c r="BH1187" s="64"/>
      <c r="BI1187" s="64"/>
      <c r="BJ1187" s="64"/>
      <c r="BK1187" s="64"/>
      <c r="BL1187" s="64"/>
      <c r="BM1187" s="64"/>
      <c r="BN1187" s="64"/>
      <c r="BO1187" s="64"/>
      <c r="BP1187" s="64"/>
      <c r="BQ1187" s="64"/>
      <c r="BR1187" s="64"/>
      <c r="BS1187" s="64"/>
      <c r="BT1187" s="64"/>
      <c r="BU1187" s="64"/>
      <c r="BV1187" s="64"/>
      <c r="BW1187" s="64"/>
      <c r="BX1187" s="64"/>
      <c r="BY1187" s="64"/>
      <c r="BZ1187" s="64"/>
      <c r="CA1187" s="64"/>
      <c r="CB1187" s="64"/>
      <c r="CC1187" s="64"/>
      <c r="CD1187" s="64"/>
      <c r="CE1187" s="64"/>
      <c r="CF1187" s="64"/>
      <c r="CG1187" s="64"/>
      <c r="CH1187" s="64"/>
      <c r="CI1187" s="64"/>
      <c r="CJ1187" s="64"/>
      <c r="CK1187" s="64"/>
      <c r="CL1187" s="64"/>
      <c r="CM1187" s="64"/>
      <c r="CN1187" s="64"/>
      <c r="CO1187" s="64"/>
      <c r="CP1187" s="64"/>
      <c r="CQ1187" s="64"/>
      <c r="CR1187" s="64"/>
      <c r="CS1187" s="64"/>
      <c r="CT1187" s="64"/>
      <c r="CU1187" s="64"/>
      <c r="CV1187" s="64"/>
      <c r="CW1187" s="64"/>
      <c r="CX1187" s="64"/>
    </row>
    <row r="1188" spans="1:102" x14ac:dyDescent="0.2">
      <c r="A1188" s="64"/>
      <c r="B1188" s="64"/>
      <c r="C1188" s="102"/>
      <c r="D1188" s="102"/>
      <c r="E1188" s="102"/>
      <c r="F1188" s="102"/>
      <c r="G1188" s="102"/>
      <c r="H1188" s="102"/>
      <c r="I1188" s="64"/>
      <c r="J1188" s="64"/>
      <c r="K1188" s="64"/>
      <c r="L1188" s="64"/>
      <c r="M1188" s="64"/>
      <c r="N1188" s="64"/>
      <c r="O1188" s="64"/>
      <c r="P1188" s="64"/>
      <c r="Q1188" s="64"/>
      <c r="R1188" s="64"/>
      <c r="S1188" s="64"/>
      <c r="T1188" s="64"/>
      <c r="U1188" s="64"/>
      <c r="V1188" s="64"/>
      <c r="W1188" s="64"/>
      <c r="X1188" s="64"/>
      <c r="Y1188" s="64"/>
      <c r="Z1188" s="64"/>
      <c r="AA1188" s="64"/>
      <c r="AB1188" s="64"/>
      <c r="AC1188" s="64"/>
      <c r="AD1188" s="64"/>
      <c r="AE1188" s="64"/>
      <c r="AF1188" s="64"/>
      <c r="AG1188" s="64"/>
      <c r="AH1188" s="64"/>
      <c r="AI1188" s="64"/>
      <c r="AJ1188" s="64"/>
      <c r="AK1188" s="64"/>
      <c r="AL1188" s="64"/>
      <c r="AM1188" s="64"/>
      <c r="AN1188" s="64"/>
      <c r="AO1188" s="64"/>
      <c r="AP1188" s="64"/>
      <c r="AQ1188" s="64"/>
      <c r="AR1188" s="64"/>
      <c r="AS1188" s="64"/>
      <c r="AT1188" s="64"/>
      <c r="AU1188" s="64"/>
      <c r="AV1188" s="64"/>
      <c r="AW1188" s="64"/>
      <c r="AX1188" s="64"/>
      <c r="AY1188" s="64"/>
      <c r="AZ1188" s="64"/>
      <c r="BA1188" s="64"/>
      <c r="BB1188" s="64"/>
      <c r="BC1188" s="64"/>
      <c r="BD1188" s="64"/>
      <c r="BE1188" s="64"/>
      <c r="BF1188" s="64"/>
      <c r="BG1188" s="64"/>
      <c r="BH1188" s="64"/>
      <c r="BI1188" s="64"/>
      <c r="BJ1188" s="64"/>
      <c r="BK1188" s="64"/>
      <c r="BL1188" s="64"/>
      <c r="BM1188" s="64"/>
      <c r="BN1188" s="64"/>
      <c r="BO1188" s="64"/>
      <c r="BP1188" s="64"/>
      <c r="BQ1188" s="64"/>
      <c r="BR1188" s="64"/>
      <c r="BS1188" s="64"/>
      <c r="BT1188" s="64"/>
      <c r="BU1188" s="64"/>
      <c r="BV1188" s="64"/>
      <c r="BW1188" s="64"/>
      <c r="BX1188" s="64"/>
      <c r="BY1188" s="64"/>
      <c r="BZ1188" s="64"/>
      <c r="CA1188" s="64"/>
      <c r="CB1188" s="64"/>
      <c r="CC1188" s="64"/>
      <c r="CD1188" s="64"/>
      <c r="CE1188" s="64"/>
      <c r="CF1188" s="64"/>
      <c r="CG1188" s="64"/>
      <c r="CH1188" s="64"/>
      <c r="CI1188" s="64"/>
      <c r="CJ1188" s="64"/>
      <c r="CK1188" s="64"/>
      <c r="CL1188" s="64"/>
      <c r="CM1188" s="64"/>
      <c r="CN1188" s="64"/>
      <c r="CO1188" s="64"/>
      <c r="CP1188" s="64"/>
      <c r="CQ1188" s="64"/>
      <c r="CR1188" s="64"/>
      <c r="CS1188" s="64"/>
      <c r="CT1188" s="64"/>
      <c r="CU1188" s="64"/>
      <c r="CV1188" s="64"/>
      <c r="CW1188" s="64"/>
      <c r="CX1188" s="64"/>
    </row>
    <row r="1189" spans="1:102" x14ac:dyDescent="0.2">
      <c r="A1189" s="64"/>
      <c r="B1189" s="64"/>
      <c r="C1189" s="102"/>
      <c r="D1189" s="102"/>
      <c r="E1189" s="102"/>
      <c r="F1189" s="102"/>
      <c r="G1189" s="102"/>
      <c r="H1189" s="102"/>
      <c r="I1189" s="64"/>
      <c r="J1189" s="64"/>
      <c r="K1189" s="64"/>
      <c r="L1189" s="64"/>
      <c r="M1189" s="64"/>
      <c r="N1189" s="64"/>
      <c r="O1189" s="64"/>
      <c r="P1189" s="64"/>
      <c r="Q1189" s="64"/>
      <c r="R1189" s="64"/>
      <c r="S1189" s="64"/>
      <c r="T1189" s="64"/>
      <c r="U1189" s="64"/>
      <c r="V1189" s="64"/>
      <c r="W1189" s="64"/>
      <c r="X1189" s="64"/>
      <c r="Y1189" s="64"/>
      <c r="Z1189" s="64"/>
      <c r="AA1189" s="64"/>
      <c r="AB1189" s="64"/>
      <c r="AC1189" s="64"/>
      <c r="AD1189" s="64"/>
      <c r="AE1189" s="64"/>
      <c r="AF1189" s="64"/>
      <c r="AG1189" s="64"/>
      <c r="AH1189" s="64"/>
      <c r="AI1189" s="64"/>
      <c r="AJ1189" s="64"/>
      <c r="AK1189" s="64"/>
      <c r="AL1189" s="64"/>
      <c r="AM1189" s="64"/>
      <c r="AN1189" s="64"/>
      <c r="AO1189" s="64"/>
      <c r="AP1189" s="64"/>
      <c r="AQ1189" s="64"/>
      <c r="AR1189" s="64"/>
      <c r="AS1189" s="64"/>
      <c r="AT1189" s="64"/>
      <c r="AU1189" s="64"/>
      <c r="AV1189" s="64"/>
      <c r="AW1189" s="64"/>
      <c r="AX1189" s="64"/>
      <c r="AY1189" s="64"/>
      <c r="AZ1189" s="64"/>
      <c r="BA1189" s="64"/>
      <c r="BB1189" s="64"/>
      <c r="BC1189" s="64"/>
      <c r="BD1189" s="64"/>
      <c r="BE1189" s="64"/>
      <c r="BF1189" s="64"/>
      <c r="BG1189" s="64"/>
      <c r="BH1189" s="64"/>
      <c r="BI1189" s="64"/>
      <c r="BJ1189" s="64"/>
      <c r="BK1189" s="64"/>
      <c r="BL1189" s="64"/>
      <c r="BM1189" s="64"/>
      <c r="BN1189" s="64"/>
      <c r="BO1189" s="64"/>
      <c r="BP1189" s="64"/>
      <c r="BQ1189" s="64"/>
      <c r="BR1189" s="64"/>
      <c r="BS1189" s="64"/>
      <c r="BT1189" s="64"/>
      <c r="BU1189" s="64"/>
      <c r="BV1189" s="64"/>
      <c r="BW1189" s="64"/>
      <c r="BX1189" s="64"/>
      <c r="BY1189" s="64"/>
      <c r="BZ1189" s="64"/>
      <c r="CA1189" s="64"/>
      <c r="CB1189" s="64"/>
      <c r="CC1189" s="64"/>
      <c r="CD1189" s="64"/>
      <c r="CE1189" s="64"/>
      <c r="CF1189" s="64"/>
      <c r="CG1189" s="64"/>
      <c r="CH1189" s="64"/>
      <c r="CI1189" s="64"/>
      <c r="CJ1189" s="64"/>
      <c r="CK1189" s="64"/>
      <c r="CL1189" s="64"/>
      <c r="CM1189" s="64"/>
      <c r="CN1189" s="64"/>
      <c r="CO1189" s="64"/>
      <c r="CP1189" s="64"/>
      <c r="CQ1189" s="64"/>
      <c r="CR1189" s="64"/>
      <c r="CS1189" s="64"/>
      <c r="CT1189" s="64"/>
      <c r="CU1189" s="64"/>
      <c r="CV1189" s="64"/>
      <c r="CW1189" s="64"/>
      <c r="CX1189" s="64"/>
    </row>
    <row r="1190" spans="1:102" x14ac:dyDescent="0.2">
      <c r="A1190" s="64"/>
      <c r="B1190" s="64"/>
      <c r="C1190" s="102"/>
      <c r="D1190" s="102"/>
      <c r="E1190" s="102"/>
      <c r="F1190" s="102"/>
      <c r="G1190" s="102"/>
      <c r="H1190" s="102"/>
      <c r="I1190" s="64"/>
      <c r="J1190" s="64"/>
      <c r="K1190" s="64"/>
      <c r="L1190" s="64"/>
      <c r="M1190" s="64"/>
      <c r="N1190" s="64"/>
      <c r="O1190" s="64"/>
      <c r="P1190" s="64"/>
      <c r="Q1190" s="64"/>
      <c r="R1190" s="64"/>
      <c r="S1190" s="64"/>
      <c r="T1190" s="64"/>
      <c r="U1190" s="64"/>
      <c r="V1190" s="64"/>
      <c r="W1190" s="64"/>
      <c r="X1190" s="64"/>
      <c r="Y1190" s="64"/>
      <c r="Z1190" s="64"/>
      <c r="AA1190" s="64"/>
      <c r="AB1190" s="64"/>
      <c r="AC1190" s="64"/>
      <c r="AD1190" s="64"/>
      <c r="AE1190" s="64"/>
      <c r="AF1190" s="64"/>
      <c r="AG1190" s="64"/>
      <c r="AH1190" s="64"/>
      <c r="AI1190" s="64"/>
      <c r="AJ1190" s="64"/>
      <c r="AK1190" s="64"/>
      <c r="AL1190" s="64"/>
      <c r="AM1190" s="64"/>
      <c r="AN1190" s="64"/>
      <c r="AO1190" s="64"/>
      <c r="AP1190" s="64"/>
      <c r="AQ1190" s="64"/>
      <c r="AR1190" s="64"/>
      <c r="AS1190" s="64"/>
      <c r="AT1190" s="64"/>
      <c r="AU1190" s="64"/>
      <c r="AV1190" s="64"/>
      <c r="AW1190" s="64"/>
      <c r="AX1190" s="64"/>
      <c r="AY1190" s="64"/>
      <c r="AZ1190" s="64"/>
      <c r="BA1190" s="64"/>
      <c r="BB1190" s="64"/>
      <c r="BC1190" s="64"/>
      <c r="BD1190" s="64"/>
      <c r="BE1190" s="64"/>
      <c r="BF1190" s="64"/>
      <c r="BG1190" s="64"/>
      <c r="BH1190" s="64"/>
      <c r="BI1190" s="64"/>
      <c r="BJ1190" s="64"/>
      <c r="BK1190" s="64"/>
      <c r="BL1190" s="64"/>
      <c r="BM1190" s="64"/>
      <c r="BN1190" s="64"/>
      <c r="BO1190" s="64"/>
      <c r="BP1190" s="64"/>
      <c r="BQ1190" s="64"/>
      <c r="BR1190" s="64"/>
      <c r="BS1190" s="64"/>
      <c r="BT1190" s="64"/>
      <c r="BU1190" s="64"/>
      <c r="BV1190" s="64"/>
      <c r="BW1190" s="64"/>
      <c r="BX1190" s="64"/>
      <c r="BY1190" s="64"/>
      <c r="BZ1190" s="64"/>
      <c r="CA1190" s="64"/>
      <c r="CB1190" s="64"/>
      <c r="CC1190" s="64"/>
      <c r="CD1190" s="64"/>
      <c r="CE1190" s="64"/>
      <c r="CF1190" s="64"/>
      <c r="CG1190" s="64"/>
      <c r="CH1190" s="64"/>
      <c r="CI1190" s="64"/>
      <c r="CJ1190" s="64"/>
      <c r="CK1190" s="64"/>
      <c r="CL1190" s="64"/>
      <c r="CM1190" s="64"/>
      <c r="CN1190" s="64"/>
      <c r="CO1190" s="64"/>
      <c r="CP1190" s="64"/>
      <c r="CQ1190" s="64"/>
      <c r="CR1190" s="64"/>
      <c r="CS1190" s="64"/>
      <c r="CT1190" s="64"/>
      <c r="CU1190" s="64"/>
      <c r="CV1190" s="64"/>
      <c r="CW1190" s="64"/>
      <c r="CX1190" s="64"/>
    </row>
    <row r="1191" spans="1:102" x14ac:dyDescent="0.2">
      <c r="A1191" s="64"/>
      <c r="B1191" s="64"/>
      <c r="C1191" s="102"/>
      <c r="D1191" s="102"/>
      <c r="E1191" s="102"/>
      <c r="F1191" s="102"/>
      <c r="G1191" s="102"/>
      <c r="H1191" s="102"/>
      <c r="I1191" s="64"/>
      <c r="J1191" s="64"/>
      <c r="K1191" s="64"/>
      <c r="L1191" s="64"/>
      <c r="M1191" s="64"/>
      <c r="N1191" s="64"/>
      <c r="O1191" s="64"/>
      <c r="P1191" s="64"/>
      <c r="Q1191" s="64"/>
      <c r="R1191" s="64"/>
      <c r="S1191" s="64"/>
      <c r="T1191" s="64"/>
      <c r="U1191" s="64"/>
      <c r="V1191" s="64"/>
      <c r="W1191" s="64"/>
      <c r="X1191" s="64"/>
      <c r="Y1191" s="64"/>
      <c r="Z1191" s="64"/>
      <c r="AA1191" s="64"/>
      <c r="AB1191" s="64"/>
      <c r="AC1191" s="64"/>
      <c r="AD1191" s="64"/>
      <c r="AE1191" s="64"/>
      <c r="AF1191" s="64"/>
      <c r="AG1191" s="64"/>
      <c r="AH1191" s="64"/>
      <c r="AI1191" s="64"/>
      <c r="AJ1191" s="64"/>
      <c r="AK1191" s="64"/>
      <c r="AL1191" s="64"/>
      <c r="AM1191" s="64"/>
      <c r="AN1191" s="64"/>
      <c r="AO1191" s="64"/>
      <c r="AP1191" s="64"/>
      <c r="AQ1191" s="64"/>
      <c r="AR1191" s="64"/>
      <c r="AS1191" s="64"/>
      <c r="AT1191" s="64"/>
      <c r="AU1191" s="64"/>
      <c r="AV1191" s="64"/>
      <c r="AW1191" s="64"/>
      <c r="AX1191" s="64"/>
      <c r="AY1191" s="64"/>
      <c r="AZ1191" s="64"/>
      <c r="BA1191" s="64"/>
      <c r="BB1191" s="64"/>
      <c r="BC1191" s="64"/>
      <c r="BD1191" s="64"/>
      <c r="BE1191" s="64"/>
      <c r="BF1191" s="64"/>
      <c r="BG1191" s="64"/>
      <c r="BH1191" s="64"/>
      <c r="BI1191" s="64"/>
      <c r="BJ1191" s="64"/>
      <c r="BK1191" s="64"/>
      <c r="BL1191" s="64"/>
      <c r="BM1191" s="64"/>
      <c r="BN1191" s="64"/>
      <c r="BO1191" s="64"/>
      <c r="BP1191" s="64"/>
      <c r="BQ1191" s="64"/>
      <c r="BR1191" s="64"/>
      <c r="BS1191" s="64"/>
      <c r="BT1191" s="64"/>
      <c r="BU1191" s="64"/>
      <c r="BV1191" s="64"/>
      <c r="BW1191" s="64"/>
      <c r="BX1191" s="64"/>
      <c r="BY1191" s="64"/>
      <c r="BZ1191" s="64"/>
      <c r="CA1191" s="64"/>
      <c r="CB1191" s="64"/>
      <c r="CC1191" s="64"/>
      <c r="CD1191" s="64"/>
      <c r="CE1191" s="64"/>
      <c r="CF1191" s="64"/>
      <c r="CG1191" s="64"/>
      <c r="CH1191" s="64"/>
      <c r="CI1191" s="64"/>
      <c r="CJ1191" s="64"/>
      <c r="CK1191" s="64"/>
      <c r="CL1191" s="64"/>
      <c r="CM1191" s="64"/>
      <c r="CN1191" s="64"/>
      <c r="CO1191" s="64"/>
      <c r="CP1191" s="64"/>
      <c r="CQ1191" s="64"/>
      <c r="CR1191" s="64"/>
      <c r="CS1191" s="64"/>
      <c r="CT1191" s="64"/>
      <c r="CU1191" s="64"/>
      <c r="CV1191" s="64"/>
      <c r="CW1191" s="64"/>
      <c r="CX1191" s="64"/>
    </row>
    <row r="1192" spans="1:102" x14ac:dyDescent="0.2">
      <c r="A1192" s="64"/>
      <c r="B1192" s="64"/>
      <c r="C1192" s="102"/>
      <c r="D1192" s="102"/>
      <c r="E1192" s="102"/>
      <c r="F1192" s="102"/>
      <c r="G1192" s="102"/>
      <c r="H1192" s="102"/>
      <c r="I1192" s="64"/>
      <c r="J1192" s="64"/>
      <c r="K1192" s="64"/>
      <c r="L1192" s="64"/>
      <c r="M1192" s="64"/>
      <c r="N1192" s="64"/>
      <c r="O1192" s="64"/>
      <c r="P1192" s="64"/>
      <c r="Q1192" s="64"/>
      <c r="R1192" s="64"/>
      <c r="S1192" s="64"/>
      <c r="T1192" s="64"/>
      <c r="U1192" s="64"/>
      <c r="V1192" s="64"/>
      <c r="W1192" s="64"/>
      <c r="X1192" s="64"/>
      <c r="Y1192" s="64"/>
      <c r="Z1192" s="64"/>
      <c r="AA1192" s="64"/>
      <c r="AB1192" s="64"/>
      <c r="AC1192" s="64"/>
      <c r="AD1192" s="64"/>
      <c r="AE1192" s="64"/>
      <c r="AF1192" s="64"/>
      <c r="AG1192" s="64"/>
      <c r="AH1192" s="64"/>
      <c r="AI1192" s="64"/>
      <c r="AJ1192" s="64"/>
      <c r="AK1192" s="64"/>
      <c r="AL1192" s="64"/>
      <c r="AM1192" s="64"/>
      <c r="AN1192" s="64"/>
      <c r="AO1192" s="64"/>
      <c r="AP1192" s="64"/>
      <c r="AQ1192" s="64"/>
      <c r="AR1192" s="64"/>
      <c r="AS1192" s="64"/>
      <c r="AT1192" s="64"/>
      <c r="AU1192" s="64"/>
      <c r="AV1192" s="64"/>
      <c r="AW1192" s="64"/>
      <c r="AX1192" s="64"/>
      <c r="AY1192" s="64"/>
      <c r="AZ1192" s="64"/>
      <c r="BA1192" s="64"/>
      <c r="BB1192" s="64"/>
      <c r="BC1192" s="64"/>
      <c r="BD1192" s="64"/>
      <c r="BE1192" s="64"/>
      <c r="BF1192" s="64"/>
      <c r="BG1192" s="64"/>
      <c r="BH1192" s="64"/>
      <c r="BI1192" s="64"/>
      <c r="BJ1192" s="64"/>
      <c r="BK1192" s="64"/>
      <c r="BL1192" s="64"/>
      <c r="BM1192" s="64"/>
      <c r="BN1192" s="64"/>
      <c r="BO1192" s="64"/>
      <c r="BP1192" s="64"/>
      <c r="BQ1192" s="64"/>
      <c r="BR1192" s="64"/>
      <c r="BS1192" s="64"/>
      <c r="BT1192" s="64"/>
      <c r="BU1192" s="64"/>
      <c r="BV1192" s="64"/>
      <c r="BW1192" s="64"/>
      <c r="BX1192" s="64"/>
      <c r="BY1192" s="64"/>
      <c r="BZ1192" s="64"/>
      <c r="CA1192" s="64"/>
      <c r="CB1192" s="64"/>
      <c r="CC1192" s="64"/>
      <c r="CD1192" s="64"/>
      <c r="CE1192" s="64"/>
      <c r="CF1192" s="64"/>
      <c r="CG1192" s="64"/>
      <c r="CH1192" s="64"/>
      <c r="CI1192" s="64"/>
      <c r="CJ1192" s="64"/>
      <c r="CK1192" s="64"/>
      <c r="CL1192" s="64"/>
      <c r="CM1192" s="64"/>
      <c r="CN1192" s="64"/>
      <c r="CO1192" s="64"/>
      <c r="CP1192" s="64"/>
      <c r="CQ1192" s="64"/>
      <c r="CR1192" s="64"/>
      <c r="CS1192" s="64"/>
      <c r="CT1192" s="64"/>
      <c r="CU1192" s="64"/>
      <c r="CV1192" s="64"/>
      <c r="CW1192" s="64"/>
      <c r="CX1192" s="64"/>
    </row>
    <row r="1193" spans="1:102" x14ac:dyDescent="0.2">
      <c r="A1193" s="64"/>
      <c r="B1193" s="64"/>
      <c r="C1193" s="102"/>
      <c r="D1193" s="102"/>
      <c r="E1193" s="102"/>
      <c r="F1193" s="102"/>
      <c r="G1193" s="102"/>
      <c r="H1193" s="102"/>
      <c r="I1193" s="64"/>
      <c r="J1193" s="64"/>
      <c r="K1193" s="64"/>
      <c r="L1193" s="64"/>
      <c r="M1193" s="64"/>
      <c r="N1193" s="64"/>
      <c r="O1193" s="64"/>
      <c r="P1193" s="64"/>
      <c r="Q1193" s="64"/>
      <c r="R1193" s="64"/>
      <c r="S1193" s="64"/>
      <c r="T1193" s="64"/>
      <c r="U1193" s="64"/>
      <c r="V1193" s="64"/>
      <c r="W1193" s="64"/>
      <c r="X1193" s="64"/>
      <c r="Y1193" s="64"/>
      <c r="Z1193" s="64"/>
      <c r="AA1193" s="64"/>
      <c r="AB1193" s="64"/>
      <c r="AC1193" s="64"/>
      <c r="AD1193" s="64"/>
      <c r="AE1193" s="64"/>
      <c r="AF1193" s="64"/>
      <c r="AG1193" s="64"/>
      <c r="AH1193" s="64"/>
      <c r="AI1193" s="64"/>
      <c r="AJ1193" s="64"/>
      <c r="AK1193" s="64"/>
      <c r="AL1193" s="64"/>
      <c r="AM1193" s="64"/>
      <c r="AN1193" s="64"/>
      <c r="AO1193" s="64"/>
      <c r="AP1193" s="64"/>
      <c r="AQ1193" s="64"/>
      <c r="AR1193" s="64"/>
      <c r="AS1193" s="64"/>
      <c r="AT1193" s="64"/>
      <c r="AU1193" s="64"/>
      <c r="AV1193" s="64"/>
      <c r="AW1193" s="64"/>
      <c r="AX1193" s="64"/>
      <c r="AY1193" s="64"/>
      <c r="AZ1193" s="64"/>
      <c r="BA1193" s="64"/>
      <c r="BB1193" s="64"/>
      <c r="BC1193" s="64"/>
      <c r="BD1193" s="64"/>
      <c r="BE1193" s="64"/>
      <c r="BF1193" s="64"/>
      <c r="BG1193" s="64"/>
      <c r="BH1193" s="64"/>
      <c r="BI1193" s="64"/>
      <c r="BJ1193" s="64"/>
      <c r="BK1193" s="64"/>
      <c r="BL1193" s="64"/>
      <c r="BM1193" s="64"/>
      <c r="BN1193" s="64"/>
      <c r="BO1193" s="64"/>
      <c r="BP1193" s="64"/>
      <c r="BQ1193" s="64"/>
      <c r="BR1193" s="64"/>
      <c r="BS1193" s="64"/>
      <c r="BT1193" s="64"/>
      <c r="BU1193" s="64"/>
      <c r="BV1193" s="64"/>
      <c r="BW1193" s="64"/>
      <c r="BX1193" s="64"/>
      <c r="BY1193" s="64"/>
      <c r="BZ1193" s="64"/>
      <c r="CA1193" s="64"/>
      <c r="CB1193" s="64"/>
      <c r="CC1193" s="64"/>
      <c r="CD1193" s="64"/>
      <c r="CE1193" s="64"/>
      <c r="CF1193" s="64"/>
      <c r="CG1193" s="64"/>
      <c r="CH1193" s="64"/>
      <c r="CI1193" s="64"/>
      <c r="CJ1193" s="64"/>
      <c r="CK1193" s="64"/>
      <c r="CL1193" s="64"/>
      <c r="CM1193" s="64"/>
      <c r="CN1193" s="64"/>
      <c r="CO1193" s="64"/>
      <c r="CP1193" s="64"/>
      <c r="CQ1193" s="64"/>
      <c r="CR1193" s="64"/>
      <c r="CS1193" s="64"/>
      <c r="CT1193" s="64"/>
      <c r="CU1193" s="64"/>
      <c r="CV1193" s="64"/>
      <c r="CW1193" s="64"/>
      <c r="CX1193" s="64"/>
    </row>
    <row r="1194" spans="1:102" x14ac:dyDescent="0.2">
      <c r="A1194" s="64"/>
      <c r="B1194" s="64"/>
      <c r="C1194" s="102"/>
      <c r="D1194" s="102"/>
      <c r="E1194" s="102"/>
      <c r="F1194" s="102"/>
      <c r="G1194" s="102"/>
      <c r="H1194" s="102"/>
      <c r="I1194" s="64"/>
      <c r="J1194" s="64"/>
      <c r="K1194" s="64"/>
      <c r="L1194" s="64"/>
      <c r="M1194" s="64"/>
      <c r="N1194" s="64"/>
      <c r="O1194" s="64"/>
      <c r="P1194" s="64"/>
      <c r="Q1194" s="64"/>
      <c r="R1194" s="64"/>
      <c r="S1194" s="64"/>
      <c r="T1194" s="64"/>
      <c r="U1194" s="64"/>
      <c r="V1194" s="64"/>
      <c r="W1194" s="64"/>
      <c r="X1194" s="64"/>
      <c r="Y1194" s="64"/>
      <c r="Z1194" s="64"/>
      <c r="AA1194" s="64"/>
      <c r="AB1194" s="64"/>
      <c r="AC1194" s="64"/>
      <c r="AD1194" s="64"/>
      <c r="AE1194" s="64"/>
      <c r="AF1194" s="64"/>
      <c r="AG1194" s="64"/>
      <c r="AH1194" s="64"/>
      <c r="AI1194" s="64"/>
      <c r="AJ1194" s="64"/>
      <c r="AK1194" s="64"/>
      <c r="AL1194" s="64"/>
      <c r="AM1194" s="64"/>
      <c r="AN1194" s="64"/>
      <c r="AO1194" s="64"/>
      <c r="AP1194" s="64"/>
      <c r="AQ1194" s="64"/>
      <c r="AR1194" s="64"/>
      <c r="AS1194" s="64"/>
      <c r="AT1194" s="64"/>
      <c r="AU1194" s="64"/>
      <c r="AV1194" s="64"/>
      <c r="AW1194" s="64"/>
      <c r="AX1194" s="64"/>
      <c r="AY1194" s="64"/>
      <c r="AZ1194" s="64"/>
      <c r="BA1194" s="64"/>
      <c r="BB1194" s="64"/>
      <c r="BC1194" s="64"/>
      <c r="BD1194" s="64"/>
      <c r="BE1194" s="64"/>
      <c r="BF1194" s="64"/>
      <c r="BG1194" s="64"/>
      <c r="BH1194" s="64"/>
      <c r="BI1194" s="64"/>
      <c r="BJ1194" s="64"/>
      <c r="BK1194" s="64"/>
      <c r="BL1194" s="64"/>
      <c r="BM1194" s="64"/>
      <c r="BN1194" s="64"/>
      <c r="BO1194" s="64"/>
      <c r="BP1194" s="64"/>
      <c r="BQ1194" s="64"/>
      <c r="BR1194" s="64"/>
      <c r="BS1194" s="64"/>
      <c r="BT1194" s="64"/>
      <c r="BU1194" s="64"/>
      <c r="BV1194" s="64"/>
      <c r="BW1194" s="64"/>
      <c r="BX1194" s="64"/>
      <c r="BY1194" s="64"/>
      <c r="BZ1194" s="64"/>
      <c r="CA1194" s="64"/>
      <c r="CB1194" s="64"/>
      <c r="CC1194" s="64"/>
      <c r="CD1194" s="64"/>
      <c r="CE1194" s="64"/>
      <c r="CF1194" s="64"/>
      <c r="CG1194" s="64"/>
      <c r="CH1194" s="64"/>
      <c r="CI1194" s="64"/>
      <c r="CJ1194" s="64"/>
      <c r="CK1194" s="64"/>
      <c r="CL1194" s="64"/>
      <c r="CM1194" s="64"/>
      <c r="CN1194" s="64"/>
      <c r="CO1194" s="64"/>
      <c r="CP1194" s="64"/>
      <c r="CQ1194" s="64"/>
      <c r="CR1194" s="64"/>
      <c r="CS1194" s="64"/>
      <c r="CT1194" s="64"/>
      <c r="CU1194" s="64"/>
      <c r="CV1194" s="64"/>
      <c r="CW1194" s="64"/>
      <c r="CX1194" s="64"/>
    </row>
    <row r="1195" spans="1:102" x14ac:dyDescent="0.2">
      <c r="A1195" s="64"/>
      <c r="B1195" s="64"/>
      <c r="C1195" s="102"/>
      <c r="D1195" s="102"/>
      <c r="E1195" s="102"/>
      <c r="F1195" s="102"/>
      <c r="G1195" s="102"/>
      <c r="H1195" s="102"/>
      <c r="I1195" s="64"/>
      <c r="J1195" s="64"/>
      <c r="K1195" s="64"/>
      <c r="L1195" s="64"/>
      <c r="M1195" s="64"/>
      <c r="N1195" s="64"/>
      <c r="O1195" s="64"/>
      <c r="P1195" s="64"/>
      <c r="Q1195" s="64"/>
      <c r="R1195" s="64"/>
      <c r="S1195" s="64"/>
      <c r="T1195" s="64"/>
      <c r="U1195" s="64"/>
      <c r="V1195" s="64"/>
      <c r="W1195" s="64"/>
      <c r="X1195" s="64"/>
      <c r="Y1195" s="64"/>
      <c r="Z1195" s="64"/>
      <c r="AA1195" s="64"/>
      <c r="AB1195" s="64"/>
      <c r="AC1195" s="64"/>
      <c r="AD1195" s="64"/>
      <c r="AE1195" s="64"/>
      <c r="AF1195" s="64"/>
      <c r="AG1195" s="64"/>
      <c r="AH1195" s="64"/>
      <c r="AI1195" s="64"/>
      <c r="AJ1195" s="64"/>
      <c r="AK1195" s="64"/>
      <c r="AL1195" s="64"/>
      <c r="AM1195" s="64"/>
      <c r="AN1195" s="64"/>
      <c r="AO1195" s="64"/>
      <c r="AP1195" s="64"/>
      <c r="AQ1195" s="64"/>
      <c r="AR1195" s="64"/>
      <c r="AS1195" s="64"/>
      <c r="AT1195" s="64"/>
      <c r="AU1195" s="64"/>
      <c r="AV1195" s="64"/>
      <c r="AW1195" s="64"/>
      <c r="AX1195" s="64"/>
      <c r="AY1195" s="64"/>
      <c r="AZ1195" s="64"/>
      <c r="BA1195" s="64"/>
      <c r="BB1195" s="64"/>
      <c r="BC1195" s="64"/>
      <c r="BD1195" s="64"/>
      <c r="BE1195" s="64"/>
      <c r="BF1195" s="64"/>
      <c r="BG1195" s="64"/>
      <c r="BH1195" s="64"/>
      <c r="BI1195" s="64"/>
      <c r="BJ1195" s="64"/>
      <c r="BK1195" s="64"/>
      <c r="BL1195" s="64"/>
      <c r="BM1195" s="64"/>
      <c r="BN1195" s="64"/>
      <c r="BO1195" s="64"/>
      <c r="BP1195" s="64"/>
      <c r="BQ1195" s="64"/>
      <c r="BR1195" s="64"/>
      <c r="BS1195" s="64"/>
      <c r="BT1195" s="64"/>
      <c r="BU1195" s="64"/>
      <c r="BV1195" s="64"/>
      <c r="BW1195" s="64"/>
      <c r="BX1195" s="64"/>
      <c r="BY1195" s="64"/>
      <c r="BZ1195" s="64"/>
      <c r="CA1195" s="64"/>
      <c r="CB1195" s="64"/>
      <c r="CC1195" s="64"/>
      <c r="CD1195" s="64"/>
      <c r="CE1195" s="64"/>
      <c r="CF1195" s="64"/>
      <c r="CG1195" s="64"/>
      <c r="CH1195" s="64"/>
      <c r="CI1195" s="64"/>
      <c r="CJ1195" s="64"/>
      <c r="CK1195" s="64"/>
      <c r="CL1195" s="64"/>
      <c r="CM1195" s="64"/>
      <c r="CN1195" s="64"/>
      <c r="CO1195" s="64"/>
      <c r="CP1195" s="64"/>
      <c r="CQ1195" s="64"/>
      <c r="CR1195" s="64"/>
      <c r="CS1195" s="64"/>
      <c r="CT1195" s="64"/>
      <c r="CU1195" s="64"/>
      <c r="CV1195" s="64"/>
      <c r="CW1195" s="64"/>
      <c r="CX1195" s="64"/>
    </row>
    <row r="1196" spans="1:102" x14ac:dyDescent="0.2">
      <c r="A1196" s="64"/>
      <c r="B1196" s="64"/>
      <c r="C1196" s="102"/>
      <c r="D1196" s="102"/>
      <c r="E1196" s="102"/>
      <c r="F1196" s="102"/>
      <c r="G1196" s="102"/>
      <c r="H1196" s="102"/>
      <c r="I1196" s="64"/>
      <c r="J1196" s="64"/>
      <c r="K1196" s="64"/>
      <c r="L1196" s="64"/>
      <c r="M1196" s="64"/>
      <c r="N1196" s="64"/>
      <c r="O1196" s="64"/>
      <c r="P1196" s="64"/>
      <c r="Q1196" s="64"/>
      <c r="R1196" s="64"/>
      <c r="S1196" s="64"/>
      <c r="T1196" s="64"/>
      <c r="U1196" s="64"/>
      <c r="V1196" s="64"/>
      <c r="W1196" s="64"/>
      <c r="X1196" s="64"/>
      <c r="Y1196" s="64"/>
      <c r="Z1196" s="64"/>
      <c r="AA1196" s="64"/>
      <c r="AB1196" s="64"/>
      <c r="AC1196" s="64"/>
      <c r="AD1196" s="64"/>
      <c r="AE1196" s="64"/>
      <c r="AF1196" s="64"/>
      <c r="AG1196" s="64"/>
      <c r="AH1196" s="64"/>
      <c r="AI1196" s="64"/>
      <c r="AJ1196" s="64"/>
      <c r="AK1196" s="64"/>
      <c r="AL1196" s="64"/>
      <c r="AM1196" s="64"/>
      <c r="AN1196" s="64"/>
      <c r="AO1196" s="64"/>
      <c r="AP1196" s="64"/>
      <c r="AQ1196" s="64"/>
      <c r="AR1196" s="64"/>
      <c r="AS1196" s="64"/>
      <c r="AT1196" s="64"/>
      <c r="AU1196" s="64"/>
      <c r="AV1196" s="64"/>
      <c r="AW1196" s="64"/>
      <c r="AX1196" s="64"/>
      <c r="AY1196" s="64"/>
      <c r="AZ1196" s="64"/>
      <c r="BA1196" s="64"/>
      <c r="BB1196" s="64"/>
      <c r="BC1196" s="64"/>
      <c r="BD1196" s="64"/>
      <c r="BE1196" s="64"/>
      <c r="BF1196" s="64"/>
      <c r="BG1196" s="64"/>
      <c r="BH1196" s="64"/>
      <c r="BI1196" s="64"/>
      <c r="BJ1196" s="64"/>
      <c r="BK1196" s="64"/>
      <c r="BL1196" s="64"/>
      <c r="BM1196" s="64"/>
      <c r="BN1196" s="64"/>
      <c r="BO1196" s="64"/>
      <c r="BP1196" s="64"/>
      <c r="BQ1196" s="64"/>
      <c r="BR1196" s="64"/>
      <c r="BS1196" s="64"/>
      <c r="BT1196" s="64"/>
      <c r="BU1196" s="64"/>
      <c r="BV1196" s="64"/>
      <c r="BW1196" s="64"/>
      <c r="BX1196" s="64"/>
      <c r="BY1196" s="64"/>
      <c r="BZ1196" s="64"/>
      <c r="CA1196" s="64"/>
      <c r="CB1196" s="64"/>
      <c r="CC1196" s="64"/>
      <c r="CD1196" s="64"/>
      <c r="CE1196" s="64"/>
      <c r="CF1196" s="64"/>
      <c r="CG1196" s="64"/>
      <c r="CH1196" s="64"/>
      <c r="CI1196" s="64"/>
      <c r="CJ1196" s="64"/>
      <c r="CK1196" s="64"/>
      <c r="CL1196" s="64"/>
      <c r="CM1196" s="64"/>
      <c r="CN1196" s="64"/>
      <c r="CO1196" s="64"/>
      <c r="CP1196" s="64"/>
      <c r="CQ1196" s="64"/>
      <c r="CR1196" s="64"/>
      <c r="CS1196" s="64"/>
      <c r="CT1196" s="64"/>
      <c r="CU1196" s="64"/>
      <c r="CV1196" s="64"/>
      <c r="CW1196" s="64"/>
      <c r="CX1196" s="64"/>
    </row>
    <row r="1197" spans="1:102" x14ac:dyDescent="0.2">
      <c r="A1197" s="64"/>
      <c r="B1197" s="64"/>
      <c r="C1197" s="102"/>
      <c r="D1197" s="102"/>
      <c r="E1197" s="102"/>
      <c r="F1197" s="102"/>
      <c r="G1197" s="102"/>
      <c r="H1197" s="102"/>
      <c r="I1197" s="64"/>
      <c r="J1197" s="64"/>
      <c r="K1197" s="64"/>
      <c r="L1197" s="64"/>
      <c r="M1197" s="64"/>
      <c r="N1197" s="64"/>
      <c r="O1197" s="64"/>
      <c r="P1197" s="64"/>
      <c r="Q1197" s="64"/>
      <c r="R1197" s="64"/>
      <c r="S1197" s="64"/>
      <c r="T1197" s="64"/>
      <c r="U1197" s="64"/>
      <c r="V1197" s="64"/>
      <c r="W1197" s="64"/>
      <c r="X1197" s="64"/>
      <c r="Y1197" s="64"/>
      <c r="Z1197" s="64"/>
      <c r="AA1197" s="64"/>
      <c r="AB1197" s="64"/>
      <c r="AC1197" s="64"/>
      <c r="AD1197" s="64"/>
      <c r="AE1197" s="64"/>
      <c r="AF1197" s="64"/>
      <c r="AG1197" s="64"/>
      <c r="AH1197" s="64"/>
      <c r="AI1197" s="64"/>
      <c r="AJ1197" s="64"/>
      <c r="AK1197" s="64"/>
      <c r="AL1197" s="64"/>
      <c r="AM1197" s="64"/>
      <c r="AN1197" s="64"/>
      <c r="AO1197" s="64"/>
      <c r="AP1197" s="64"/>
      <c r="AQ1197" s="64"/>
      <c r="AR1197" s="64"/>
      <c r="AS1197" s="64"/>
      <c r="AT1197" s="64"/>
      <c r="AU1197" s="64"/>
      <c r="AV1197" s="64"/>
      <c r="AW1197" s="64"/>
      <c r="AX1197" s="64"/>
      <c r="AY1197" s="64"/>
      <c r="AZ1197" s="64"/>
      <c r="BA1197" s="64"/>
      <c r="BB1197" s="64"/>
      <c r="BC1197" s="64"/>
      <c r="BD1197" s="64"/>
      <c r="BE1197" s="64"/>
      <c r="BF1197" s="64"/>
      <c r="BG1197" s="64"/>
      <c r="BH1197" s="64"/>
      <c r="BI1197" s="64"/>
      <c r="BJ1197" s="64"/>
      <c r="BK1197" s="64"/>
      <c r="BL1197" s="64"/>
      <c r="BM1197" s="64"/>
      <c r="BN1197" s="64"/>
      <c r="BO1197" s="64"/>
      <c r="BP1197" s="64"/>
      <c r="BQ1197" s="64"/>
      <c r="BR1197" s="64"/>
      <c r="BS1197" s="64"/>
      <c r="BT1197" s="64"/>
      <c r="BU1197" s="64"/>
      <c r="BV1197" s="64"/>
      <c r="BW1197" s="64"/>
      <c r="BX1197" s="64"/>
      <c r="BY1197" s="64"/>
      <c r="BZ1197" s="64"/>
      <c r="CA1197" s="64"/>
      <c r="CB1197" s="64"/>
      <c r="CC1197" s="64"/>
      <c r="CD1197" s="64"/>
      <c r="CE1197" s="64"/>
      <c r="CF1197" s="64"/>
      <c r="CG1197" s="64"/>
      <c r="CH1197" s="64"/>
      <c r="CI1197" s="64"/>
      <c r="CJ1197" s="64"/>
      <c r="CK1197" s="64"/>
      <c r="CL1197" s="64"/>
      <c r="CM1197" s="64"/>
      <c r="CN1197" s="64"/>
      <c r="CO1197" s="64"/>
      <c r="CP1197" s="64"/>
      <c r="CQ1197" s="64"/>
      <c r="CR1197" s="64"/>
      <c r="CS1197" s="64"/>
      <c r="CT1197" s="64"/>
      <c r="CU1197" s="64"/>
      <c r="CV1197" s="64"/>
      <c r="CW1197" s="64"/>
      <c r="CX1197" s="64"/>
    </row>
    <row r="1198" spans="1:102" x14ac:dyDescent="0.2">
      <c r="A1198" s="64"/>
      <c r="B1198" s="64"/>
      <c r="C1198" s="102"/>
      <c r="D1198" s="102"/>
      <c r="E1198" s="102"/>
      <c r="F1198" s="102"/>
      <c r="G1198" s="102"/>
      <c r="H1198" s="102"/>
      <c r="I1198" s="64"/>
      <c r="J1198" s="64"/>
      <c r="K1198" s="64"/>
      <c r="L1198" s="64"/>
      <c r="M1198" s="64"/>
      <c r="N1198" s="64"/>
      <c r="O1198" s="64"/>
      <c r="P1198" s="64"/>
      <c r="Q1198" s="64"/>
      <c r="R1198" s="64"/>
      <c r="S1198" s="64"/>
      <c r="T1198" s="64"/>
      <c r="U1198" s="64"/>
      <c r="V1198" s="64"/>
      <c r="W1198" s="64"/>
      <c r="X1198" s="64"/>
      <c r="Y1198" s="64"/>
      <c r="Z1198" s="64"/>
      <c r="AA1198" s="64"/>
      <c r="AB1198" s="64"/>
      <c r="AC1198" s="64"/>
      <c r="AD1198" s="64"/>
      <c r="AE1198" s="64"/>
      <c r="AF1198" s="64"/>
      <c r="AG1198" s="64"/>
      <c r="AH1198" s="64"/>
      <c r="AI1198" s="64"/>
      <c r="AJ1198" s="64"/>
      <c r="AK1198" s="64"/>
      <c r="AL1198" s="64"/>
      <c r="AM1198" s="64"/>
      <c r="AN1198" s="64"/>
      <c r="AO1198" s="64"/>
      <c r="AP1198" s="64"/>
      <c r="AQ1198" s="64"/>
      <c r="AR1198" s="64"/>
      <c r="AS1198" s="64"/>
      <c r="AT1198" s="64"/>
      <c r="AU1198" s="64"/>
      <c r="AV1198" s="64"/>
      <c r="AW1198" s="64"/>
      <c r="AX1198" s="64"/>
      <c r="AY1198" s="64"/>
      <c r="AZ1198" s="64"/>
      <c r="BA1198" s="64"/>
      <c r="BB1198" s="64"/>
      <c r="BC1198" s="64"/>
      <c r="BD1198" s="64"/>
      <c r="BE1198" s="64"/>
      <c r="BF1198" s="64"/>
      <c r="BG1198" s="64"/>
      <c r="BH1198" s="64"/>
      <c r="BI1198" s="64"/>
      <c r="BJ1198" s="64"/>
      <c r="BK1198" s="64"/>
      <c r="BL1198" s="64"/>
      <c r="BM1198" s="64"/>
      <c r="BN1198" s="64"/>
      <c r="BO1198" s="64"/>
      <c r="BP1198" s="64"/>
      <c r="BQ1198" s="64"/>
      <c r="BR1198" s="64"/>
      <c r="BS1198" s="64"/>
      <c r="BT1198" s="64"/>
      <c r="BU1198" s="64"/>
      <c r="BV1198" s="64"/>
      <c r="BW1198" s="64"/>
      <c r="BX1198" s="64"/>
      <c r="BY1198" s="64"/>
      <c r="BZ1198" s="64"/>
      <c r="CA1198" s="64"/>
      <c r="CB1198" s="64"/>
      <c r="CC1198" s="64"/>
      <c r="CD1198" s="64"/>
      <c r="CE1198" s="64"/>
      <c r="CF1198" s="64"/>
      <c r="CG1198" s="64"/>
      <c r="CH1198" s="64"/>
      <c r="CI1198" s="64"/>
      <c r="CJ1198" s="64"/>
      <c r="CK1198" s="64"/>
      <c r="CL1198" s="64"/>
      <c r="CM1198" s="64"/>
      <c r="CN1198" s="64"/>
      <c r="CO1198" s="64"/>
      <c r="CP1198" s="64"/>
      <c r="CQ1198" s="64"/>
      <c r="CR1198" s="64"/>
      <c r="CS1198" s="64"/>
      <c r="CT1198" s="64"/>
      <c r="CU1198" s="64"/>
      <c r="CV1198" s="64"/>
      <c r="CW1198" s="64"/>
      <c r="CX1198" s="64"/>
    </row>
    <row r="1199" spans="1:102" x14ac:dyDescent="0.2">
      <c r="A1199" s="64"/>
      <c r="B1199" s="64"/>
      <c r="C1199" s="102"/>
      <c r="D1199" s="102"/>
      <c r="E1199" s="102"/>
      <c r="F1199" s="102"/>
      <c r="G1199" s="102"/>
      <c r="H1199" s="102"/>
      <c r="I1199" s="64"/>
      <c r="J1199" s="64"/>
      <c r="K1199" s="64"/>
      <c r="L1199" s="64"/>
      <c r="M1199" s="64"/>
      <c r="N1199" s="64"/>
      <c r="O1199" s="64"/>
      <c r="P1199" s="64"/>
      <c r="Q1199" s="64"/>
      <c r="R1199" s="64"/>
      <c r="S1199" s="64"/>
      <c r="T1199" s="64"/>
      <c r="U1199" s="64"/>
      <c r="V1199" s="64"/>
      <c r="W1199" s="64"/>
      <c r="X1199" s="64"/>
      <c r="Y1199" s="64"/>
      <c r="Z1199" s="64"/>
      <c r="AA1199" s="64"/>
      <c r="AB1199" s="64"/>
      <c r="AC1199" s="64"/>
      <c r="AD1199" s="64"/>
      <c r="AE1199" s="64"/>
      <c r="AF1199" s="64"/>
      <c r="AG1199" s="64"/>
      <c r="AH1199" s="64"/>
      <c r="AI1199" s="64"/>
      <c r="AJ1199" s="64"/>
      <c r="AK1199" s="64"/>
      <c r="AL1199" s="64"/>
      <c r="AM1199" s="64"/>
      <c r="AN1199" s="64"/>
      <c r="AO1199" s="64"/>
      <c r="AP1199" s="64"/>
      <c r="AQ1199" s="64"/>
      <c r="AR1199" s="64"/>
      <c r="AS1199" s="64"/>
      <c r="AT1199" s="64"/>
      <c r="AU1199" s="64"/>
      <c r="AV1199" s="64"/>
      <c r="AW1199" s="64"/>
      <c r="AX1199" s="64"/>
      <c r="AY1199" s="64"/>
      <c r="AZ1199" s="64"/>
      <c r="BA1199" s="64"/>
      <c r="BB1199" s="64"/>
      <c r="BC1199" s="64"/>
      <c r="BD1199" s="64"/>
      <c r="BE1199" s="64"/>
      <c r="BF1199" s="64"/>
      <c r="BG1199" s="64"/>
      <c r="BH1199" s="64"/>
      <c r="BI1199" s="64"/>
      <c r="BJ1199" s="64"/>
      <c r="BK1199" s="64"/>
      <c r="BL1199" s="64"/>
      <c r="BM1199" s="64"/>
      <c r="BN1199" s="64"/>
      <c r="BO1199" s="64"/>
      <c r="BP1199" s="64"/>
      <c r="BQ1199" s="64"/>
      <c r="BR1199" s="64"/>
      <c r="BS1199" s="64"/>
      <c r="BT1199" s="64"/>
      <c r="BU1199" s="64"/>
      <c r="BV1199" s="64"/>
      <c r="BW1199" s="64"/>
      <c r="BX1199" s="64"/>
      <c r="BY1199" s="64"/>
      <c r="BZ1199" s="64"/>
      <c r="CA1199" s="64"/>
      <c r="CB1199" s="64"/>
      <c r="CC1199" s="64"/>
      <c r="CD1199" s="64"/>
      <c r="CE1199" s="64"/>
      <c r="CF1199" s="64"/>
      <c r="CG1199" s="64"/>
      <c r="CH1199" s="64"/>
      <c r="CI1199" s="64"/>
      <c r="CJ1199" s="64"/>
      <c r="CK1199" s="64"/>
      <c r="CL1199" s="64"/>
      <c r="CM1199" s="64"/>
      <c r="CN1199" s="64"/>
      <c r="CO1199" s="64"/>
      <c r="CP1199" s="64"/>
      <c r="CQ1199" s="64"/>
      <c r="CR1199" s="64"/>
      <c r="CS1199" s="64"/>
      <c r="CT1199" s="64"/>
      <c r="CU1199" s="64"/>
      <c r="CV1199" s="64"/>
      <c r="CW1199" s="64"/>
      <c r="CX1199" s="64"/>
    </row>
    <row r="1200" spans="1:102" x14ac:dyDescent="0.2">
      <c r="A1200" s="64"/>
      <c r="B1200" s="64"/>
      <c r="C1200" s="102"/>
      <c r="D1200" s="102"/>
      <c r="E1200" s="102"/>
      <c r="F1200" s="102"/>
      <c r="G1200" s="102"/>
      <c r="H1200" s="102"/>
      <c r="I1200" s="64"/>
      <c r="J1200" s="64"/>
      <c r="K1200" s="64"/>
      <c r="L1200" s="64"/>
      <c r="M1200" s="64"/>
      <c r="N1200" s="64"/>
      <c r="O1200" s="64"/>
      <c r="P1200" s="64"/>
      <c r="Q1200" s="64"/>
      <c r="R1200" s="64"/>
      <c r="S1200" s="64"/>
      <c r="T1200" s="64"/>
      <c r="U1200" s="64"/>
      <c r="V1200" s="64"/>
      <c r="W1200" s="64"/>
      <c r="X1200" s="64"/>
      <c r="Y1200" s="64"/>
      <c r="Z1200" s="64"/>
      <c r="AA1200" s="64"/>
      <c r="AB1200" s="64"/>
      <c r="AC1200" s="64"/>
      <c r="AD1200" s="64"/>
      <c r="AE1200" s="64"/>
      <c r="AF1200" s="64"/>
      <c r="AG1200" s="64"/>
      <c r="AH1200" s="64"/>
      <c r="AI1200" s="64"/>
      <c r="AJ1200" s="64"/>
      <c r="AK1200" s="64"/>
      <c r="AL1200" s="64"/>
      <c r="AM1200" s="64"/>
      <c r="AN1200" s="64"/>
      <c r="AO1200" s="64"/>
      <c r="AP1200" s="64"/>
      <c r="AQ1200" s="64"/>
      <c r="AR1200" s="64"/>
      <c r="AS1200" s="64"/>
      <c r="AT1200" s="64"/>
      <c r="AU1200" s="64"/>
      <c r="AV1200" s="64"/>
      <c r="AW1200" s="64"/>
      <c r="AX1200" s="64"/>
      <c r="AY1200" s="64"/>
      <c r="AZ1200" s="64"/>
      <c r="BA1200" s="64"/>
      <c r="BB1200" s="64"/>
      <c r="BC1200" s="64"/>
      <c r="BD1200" s="64"/>
      <c r="BE1200" s="64"/>
      <c r="BF1200" s="64"/>
      <c r="BG1200" s="64"/>
      <c r="BH1200" s="64"/>
      <c r="BI1200" s="64"/>
      <c r="BJ1200" s="64"/>
      <c r="BK1200" s="64"/>
      <c r="BL1200" s="64"/>
      <c r="BM1200" s="64"/>
      <c r="BN1200" s="64"/>
      <c r="BO1200" s="64"/>
      <c r="BP1200" s="64"/>
      <c r="BQ1200" s="64"/>
      <c r="BR1200" s="64"/>
      <c r="BS1200" s="64"/>
      <c r="BT1200" s="64"/>
      <c r="BU1200" s="64"/>
      <c r="BV1200" s="64"/>
      <c r="BW1200" s="64"/>
      <c r="BX1200" s="64"/>
      <c r="BY1200" s="64"/>
      <c r="BZ1200" s="64"/>
      <c r="CA1200" s="64"/>
      <c r="CB1200" s="64"/>
      <c r="CC1200" s="64"/>
      <c r="CD1200" s="64"/>
      <c r="CE1200" s="64"/>
      <c r="CF1200" s="64"/>
      <c r="CG1200" s="64"/>
      <c r="CH1200" s="64"/>
      <c r="CI1200" s="64"/>
      <c r="CJ1200" s="64"/>
      <c r="CK1200" s="64"/>
      <c r="CL1200" s="64"/>
      <c r="CM1200" s="64"/>
      <c r="CN1200" s="64"/>
      <c r="CO1200" s="64"/>
      <c r="CP1200" s="64"/>
      <c r="CQ1200" s="64"/>
      <c r="CR1200" s="64"/>
      <c r="CS1200" s="64"/>
      <c r="CT1200" s="64"/>
      <c r="CU1200" s="64"/>
      <c r="CV1200" s="64"/>
      <c r="CW1200" s="64"/>
      <c r="CX1200" s="64"/>
    </row>
    <row r="1201" spans="1:102" x14ac:dyDescent="0.2">
      <c r="A1201" s="64"/>
      <c r="B1201" s="64"/>
      <c r="C1201" s="102"/>
      <c r="D1201" s="102"/>
      <c r="E1201" s="102"/>
      <c r="F1201" s="102"/>
      <c r="G1201" s="102"/>
      <c r="H1201" s="102"/>
      <c r="I1201" s="64"/>
      <c r="J1201" s="64"/>
      <c r="K1201" s="64"/>
      <c r="L1201" s="64"/>
      <c r="M1201" s="64"/>
      <c r="N1201" s="64"/>
      <c r="O1201" s="64"/>
      <c r="P1201" s="64"/>
      <c r="Q1201" s="64"/>
      <c r="R1201" s="64"/>
      <c r="S1201" s="64"/>
      <c r="T1201" s="64"/>
      <c r="U1201" s="64"/>
      <c r="V1201" s="64"/>
      <c r="W1201" s="64"/>
      <c r="X1201" s="64"/>
      <c r="Y1201" s="64"/>
      <c r="Z1201" s="64"/>
      <c r="AA1201" s="64"/>
      <c r="AB1201" s="64"/>
      <c r="AC1201" s="64"/>
      <c r="AD1201" s="64"/>
      <c r="AE1201" s="64"/>
      <c r="AF1201" s="64"/>
      <c r="AG1201" s="64"/>
      <c r="AH1201" s="64"/>
      <c r="AI1201" s="64"/>
      <c r="AJ1201" s="64"/>
      <c r="AK1201" s="64"/>
      <c r="AL1201" s="64"/>
      <c r="AM1201" s="64"/>
      <c r="AN1201" s="64"/>
      <c r="AO1201" s="64"/>
      <c r="AP1201" s="64"/>
      <c r="AQ1201" s="64"/>
      <c r="AR1201" s="64"/>
      <c r="AS1201" s="64"/>
      <c r="AT1201" s="64"/>
      <c r="AU1201" s="64"/>
      <c r="AV1201" s="64"/>
      <c r="AW1201" s="64"/>
      <c r="AX1201" s="64"/>
      <c r="AY1201" s="64"/>
      <c r="AZ1201" s="64"/>
      <c r="BA1201" s="64"/>
      <c r="BB1201" s="64"/>
      <c r="BC1201" s="64"/>
      <c r="BD1201" s="64"/>
      <c r="BE1201" s="64"/>
      <c r="BF1201" s="64"/>
      <c r="BG1201" s="64"/>
      <c r="BH1201" s="64"/>
      <c r="BI1201" s="64"/>
      <c r="BJ1201" s="64"/>
      <c r="BK1201" s="64"/>
      <c r="BL1201" s="64"/>
      <c r="BM1201" s="64"/>
      <c r="BN1201" s="64"/>
      <c r="BO1201" s="64"/>
      <c r="BP1201" s="64"/>
      <c r="BQ1201" s="64"/>
      <c r="BR1201" s="64"/>
      <c r="BS1201" s="64"/>
      <c r="BT1201" s="64"/>
      <c r="BU1201" s="64"/>
      <c r="BV1201" s="64"/>
      <c r="BW1201" s="64"/>
      <c r="BX1201" s="64"/>
      <c r="BY1201" s="64"/>
      <c r="BZ1201" s="64"/>
      <c r="CA1201" s="64"/>
      <c r="CB1201" s="64"/>
      <c r="CC1201" s="64"/>
      <c r="CD1201" s="64"/>
      <c r="CE1201" s="64"/>
      <c r="CF1201" s="64"/>
      <c r="CG1201" s="64"/>
      <c r="CH1201" s="64"/>
      <c r="CI1201" s="64"/>
      <c r="CJ1201" s="64"/>
      <c r="CK1201" s="64"/>
      <c r="CL1201" s="64"/>
      <c r="CM1201" s="64"/>
      <c r="CN1201" s="64"/>
      <c r="CO1201" s="64"/>
      <c r="CP1201" s="64"/>
      <c r="CQ1201" s="64"/>
      <c r="CR1201" s="64"/>
      <c r="CS1201" s="64"/>
      <c r="CT1201" s="64"/>
      <c r="CU1201" s="64"/>
      <c r="CV1201" s="64"/>
      <c r="CW1201" s="64"/>
      <c r="CX1201" s="64"/>
    </row>
    <row r="1202" spans="1:102" x14ac:dyDescent="0.2">
      <c r="A1202" s="64"/>
      <c r="B1202" s="64"/>
      <c r="C1202" s="102"/>
      <c r="D1202" s="102"/>
      <c r="E1202" s="102"/>
      <c r="F1202" s="102"/>
      <c r="G1202" s="102"/>
      <c r="H1202" s="102"/>
      <c r="I1202" s="64"/>
      <c r="J1202" s="64"/>
      <c r="K1202" s="64"/>
      <c r="L1202" s="64"/>
      <c r="M1202" s="64"/>
      <c r="N1202" s="64"/>
      <c r="O1202" s="64"/>
      <c r="P1202" s="64"/>
      <c r="Q1202" s="64"/>
      <c r="R1202" s="64"/>
      <c r="S1202" s="64"/>
      <c r="T1202" s="64"/>
      <c r="U1202" s="64"/>
      <c r="V1202" s="64"/>
      <c r="W1202" s="64"/>
      <c r="X1202" s="64"/>
      <c r="Y1202" s="64"/>
      <c r="Z1202" s="64"/>
      <c r="AA1202" s="64"/>
      <c r="AB1202" s="64"/>
      <c r="AC1202" s="64"/>
      <c r="AD1202" s="64"/>
      <c r="AE1202" s="64"/>
      <c r="AF1202" s="64"/>
      <c r="AG1202" s="64"/>
      <c r="AH1202" s="64"/>
      <c r="AI1202" s="64"/>
      <c r="AJ1202" s="64"/>
      <c r="AK1202" s="64"/>
      <c r="AL1202" s="64"/>
      <c r="AM1202" s="64"/>
      <c r="AN1202" s="64"/>
      <c r="AO1202" s="64"/>
      <c r="AP1202" s="64"/>
      <c r="AQ1202" s="64"/>
      <c r="AR1202" s="64"/>
      <c r="AS1202" s="64"/>
      <c r="AT1202" s="64"/>
      <c r="AU1202" s="64"/>
      <c r="AV1202" s="64"/>
      <c r="AW1202" s="64"/>
      <c r="AX1202" s="64"/>
      <c r="AY1202" s="64"/>
      <c r="AZ1202" s="64"/>
      <c r="BA1202" s="64"/>
      <c r="BB1202" s="64"/>
      <c r="BC1202" s="64"/>
      <c r="BD1202" s="64"/>
      <c r="BE1202" s="64"/>
      <c r="BF1202" s="64"/>
      <c r="BG1202" s="64"/>
      <c r="BH1202" s="64"/>
      <c r="BI1202" s="64"/>
      <c r="BJ1202" s="64"/>
      <c r="BK1202" s="64"/>
      <c r="BL1202" s="64"/>
      <c r="BM1202" s="64"/>
      <c r="BN1202" s="64"/>
      <c r="BO1202" s="64"/>
      <c r="BP1202" s="64"/>
      <c r="BQ1202" s="64"/>
      <c r="BR1202" s="64"/>
      <c r="BS1202" s="64"/>
      <c r="BT1202" s="64"/>
      <c r="BU1202" s="64"/>
      <c r="BV1202" s="64"/>
      <c r="BW1202" s="64"/>
      <c r="BX1202" s="64"/>
      <c r="BY1202" s="64"/>
      <c r="BZ1202" s="64"/>
      <c r="CA1202" s="64"/>
      <c r="CB1202" s="64"/>
      <c r="CC1202" s="64"/>
      <c r="CD1202" s="64"/>
      <c r="CE1202" s="64"/>
      <c r="CF1202" s="64"/>
      <c r="CG1202" s="64"/>
      <c r="CH1202" s="64"/>
      <c r="CI1202" s="64"/>
      <c r="CJ1202" s="64"/>
      <c r="CK1202" s="64"/>
      <c r="CL1202" s="64"/>
      <c r="CM1202" s="64"/>
      <c r="CN1202" s="64"/>
      <c r="CO1202" s="64"/>
      <c r="CP1202" s="64"/>
      <c r="CQ1202" s="64"/>
      <c r="CR1202" s="64"/>
      <c r="CS1202" s="64"/>
      <c r="CT1202" s="64"/>
      <c r="CU1202" s="64"/>
      <c r="CV1202" s="64"/>
      <c r="CW1202" s="64"/>
      <c r="CX1202" s="64"/>
    </row>
    <row r="1203" spans="1:102" x14ac:dyDescent="0.2">
      <c r="A1203" s="64"/>
      <c r="B1203" s="64"/>
      <c r="C1203" s="102"/>
      <c r="D1203" s="102"/>
      <c r="E1203" s="102"/>
      <c r="F1203" s="102"/>
      <c r="G1203" s="102"/>
      <c r="H1203" s="102"/>
      <c r="I1203" s="64"/>
      <c r="J1203" s="64"/>
      <c r="K1203" s="64"/>
      <c r="L1203" s="64"/>
      <c r="M1203" s="64"/>
      <c r="N1203" s="64"/>
      <c r="O1203" s="64"/>
      <c r="P1203" s="64"/>
      <c r="Q1203" s="64"/>
      <c r="R1203" s="64"/>
      <c r="S1203" s="64"/>
      <c r="T1203" s="64"/>
      <c r="U1203" s="64"/>
      <c r="V1203" s="64"/>
      <c r="W1203" s="64"/>
      <c r="X1203" s="64"/>
      <c r="Y1203" s="64"/>
      <c r="Z1203" s="64"/>
      <c r="AA1203" s="64"/>
      <c r="AB1203" s="64"/>
      <c r="AC1203" s="64"/>
      <c r="AD1203" s="64"/>
      <c r="AE1203" s="64"/>
      <c r="AF1203" s="64"/>
      <c r="AG1203" s="64"/>
      <c r="AH1203" s="64"/>
      <c r="AI1203" s="64"/>
      <c r="AJ1203" s="64"/>
      <c r="AK1203" s="64"/>
      <c r="AL1203" s="64"/>
      <c r="AM1203" s="64"/>
      <c r="AN1203" s="64"/>
      <c r="AO1203" s="64"/>
      <c r="AP1203" s="64"/>
      <c r="AQ1203" s="64"/>
      <c r="AR1203" s="64"/>
      <c r="AS1203" s="64"/>
      <c r="AT1203" s="64"/>
      <c r="AU1203" s="64"/>
      <c r="AV1203" s="64"/>
      <c r="AW1203" s="64"/>
      <c r="AX1203" s="64"/>
      <c r="AY1203" s="64"/>
      <c r="AZ1203" s="64"/>
      <c r="BA1203" s="64"/>
      <c r="BB1203" s="64"/>
      <c r="BC1203" s="64"/>
      <c r="BD1203" s="64"/>
      <c r="BE1203" s="64"/>
      <c r="BF1203" s="64"/>
      <c r="BG1203" s="64"/>
      <c r="BH1203" s="64"/>
      <c r="BI1203" s="64"/>
      <c r="BJ1203" s="64"/>
      <c r="BK1203" s="64"/>
      <c r="BL1203" s="64"/>
      <c r="BM1203" s="64"/>
      <c r="BN1203" s="64"/>
      <c r="BO1203" s="64"/>
      <c r="BP1203" s="64"/>
      <c r="BQ1203" s="64"/>
      <c r="BR1203" s="64"/>
      <c r="BS1203" s="64"/>
      <c r="BT1203" s="64"/>
      <c r="BU1203" s="64"/>
      <c r="BV1203" s="64"/>
      <c r="BW1203" s="64"/>
      <c r="BX1203" s="64"/>
      <c r="BY1203" s="64"/>
      <c r="BZ1203" s="64"/>
      <c r="CA1203" s="64"/>
      <c r="CB1203" s="64"/>
      <c r="CC1203" s="64"/>
      <c r="CD1203" s="64"/>
      <c r="CE1203" s="64"/>
      <c r="CF1203" s="64"/>
      <c r="CG1203" s="64"/>
      <c r="CH1203" s="64"/>
      <c r="CI1203" s="64"/>
      <c r="CJ1203" s="64"/>
      <c r="CK1203" s="64"/>
      <c r="CL1203" s="64"/>
      <c r="CM1203" s="64"/>
      <c r="CN1203" s="64"/>
      <c r="CO1203" s="64"/>
      <c r="CP1203" s="64"/>
      <c r="CQ1203" s="64"/>
      <c r="CR1203" s="64"/>
      <c r="CS1203" s="64"/>
      <c r="CT1203" s="64"/>
      <c r="CU1203" s="64"/>
      <c r="CV1203" s="64"/>
      <c r="CW1203" s="64"/>
      <c r="CX1203" s="64"/>
    </row>
    <row r="1204" spans="1:102" x14ac:dyDescent="0.2">
      <c r="A1204" s="64"/>
      <c r="B1204" s="64"/>
      <c r="C1204" s="102"/>
      <c r="D1204" s="102"/>
      <c r="E1204" s="102"/>
      <c r="F1204" s="102"/>
      <c r="G1204" s="102"/>
      <c r="H1204" s="102"/>
      <c r="I1204" s="64"/>
      <c r="J1204" s="64"/>
      <c r="K1204" s="64"/>
      <c r="L1204" s="64"/>
      <c r="M1204" s="64"/>
      <c r="N1204" s="64"/>
      <c r="O1204" s="64"/>
      <c r="P1204" s="64"/>
      <c r="Q1204" s="64"/>
      <c r="R1204" s="64"/>
      <c r="S1204" s="64"/>
      <c r="T1204" s="64"/>
      <c r="U1204" s="64"/>
      <c r="V1204" s="64"/>
      <c r="W1204" s="64"/>
      <c r="X1204" s="64"/>
      <c r="Y1204" s="64"/>
      <c r="Z1204" s="64"/>
      <c r="AA1204" s="64"/>
      <c r="AB1204" s="64"/>
      <c r="AC1204" s="64"/>
      <c r="AD1204" s="64"/>
      <c r="AE1204" s="64"/>
      <c r="AF1204" s="64"/>
      <c r="AG1204" s="64"/>
      <c r="AH1204" s="64"/>
      <c r="AI1204" s="64"/>
      <c r="AJ1204" s="64"/>
      <c r="AK1204" s="64"/>
      <c r="AL1204" s="64"/>
      <c r="AM1204" s="64"/>
      <c r="AN1204" s="64"/>
      <c r="AO1204" s="64"/>
      <c r="AP1204" s="64"/>
      <c r="AQ1204" s="64"/>
      <c r="AR1204" s="64"/>
      <c r="AS1204" s="64"/>
      <c r="AT1204" s="64"/>
      <c r="AU1204" s="64"/>
      <c r="AV1204" s="64"/>
      <c r="AW1204" s="64"/>
      <c r="AX1204" s="64"/>
      <c r="AY1204" s="64"/>
      <c r="AZ1204" s="64"/>
      <c r="BA1204" s="64"/>
      <c r="BB1204" s="64"/>
      <c r="BC1204" s="64"/>
      <c r="BD1204" s="64"/>
      <c r="BE1204" s="64"/>
      <c r="BF1204" s="64"/>
      <c r="BG1204" s="64"/>
      <c r="BH1204" s="64"/>
      <c r="BI1204" s="64"/>
      <c r="BJ1204" s="64"/>
      <c r="BK1204" s="64"/>
      <c r="BL1204" s="64"/>
      <c r="BM1204" s="64"/>
      <c r="BN1204" s="64"/>
      <c r="BO1204" s="64"/>
      <c r="BP1204" s="64"/>
      <c r="BQ1204" s="64"/>
      <c r="BR1204" s="64"/>
      <c r="BS1204" s="64"/>
      <c r="BT1204" s="64"/>
      <c r="BU1204" s="64"/>
      <c r="BV1204" s="64"/>
      <c r="BW1204" s="64"/>
      <c r="BX1204" s="64"/>
      <c r="BY1204" s="64"/>
      <c r="BZ1204" s="64"/>
      <c r="CA1204" s="64"/>
      <c r="CB1204" s="64"/>
      <c r="CC1204" s="64"/>
      <c r="CD1204" s="64"/>
      <c r="CE1204" s="64"/>
      <c r="CF1204" s="64"/>
      <c r="CG1204" s="64"/>
      <c r="CH1204" s="64"/>
      <c r="CI1204" s="64"/>
      <c r="CJ1204" s="64"/>
      <c r="CK1204" s="64"/>
      <c r="CL1204" s="64"/>
      <c r="CM1204" s="64"/>
      <c r="CN1204" s="64"/>
      <c r="CO1204" s="64"/>
      <c r="CP1204" s="64"/>
      <c r="CQ1204" s="64"/>
      <c r="CR1204" s="64"/>
      <c r="CS1204" s="64"/>
      <c r="CT1204" s="64"/>
      <c r="CU1204" s="64"/>
      <c r="CV1204" s="64"/>
      <c r="CW1204" s="64"/>
      <c r="CX1204" s="64"/>
    </row>
    <row r="1205" spans="1:102" x14ac:dyDescent="0.2">
      <c r="A1205" s="64"/>
      <c r="B1205" s="64"/>
      <c r="C1205" s="102"/>
      <c r="D1205" s="102"/>
      <c r="E1205" s="102"/>
      <c r="F1205" s="102"/>
      <c r="G1205" s="102"/>
      <c r="H1205" s="102"/>
      <c r="I1205" s="64"/>
      <c r="J1205" s="64"/>
      <c r="K1205" s="64"/>
      <c r="L1205" s="64"/>
      <c r="M1205" s="64"/>
      <c r="N1205" s="64"/>
      <c r="O1205" s="64"/>
      <c r="P1205" s="64"/>
      <c r="Q1205" s="64"/>
      <c r="R1205" s="64"/>
      <c r="S1205" s="64"/>
      <c r="T1205" s="64"/>
      <c r="U1205" s="64"/>
      <c r="V1205" s="64"/>
      <c r="W1205" s="64"/>
      <c r="X1205" s="64"/>
      <c r="Y1205" s="64"/>
      <c r="Z1205" s="64"/>
      <c r="AA1205" s="64"/>
      <c r="AB1205" s="64"/>
      <c r="AC1205" s="64"/>
      <c r="AD1205" s="64"/>
      <c r="AE1205" s="64"/>
      <c r="AF1205" s="64"/>
      <c r="AG1205" s="64"/>
      <c r="AH1205" s="64"/>
      <c r="AI1205" s="64"/>
      <c r="AJ1205" s="64"/>
      <c r="AK1205" s="64"/>
      <c r="AL1205" s="64"/>
      <c r="AM1205" s="64"/>
      <c r="AN1205" s="64"/>
      <c r="AO1205" s="64"/>
      <c r="AP1205" s="64"/>
      <c r="AQ1205" s="64"/>
      <c r="AR1205" s="64"/>
      <c r="AS1205" s="64"/>
      <c r="AT1205" s="64"/>
      <c r="AU1205" s="64"/>
      <c r="AV1205" s="64"/>
      <c r="AW1205" s="64"/>
      <c r="AX1205" s="64"/>
      <c r="AY1205" s="64"/>
      <c r="AZ1205" s="64"/>
      <c r="BA1205" s="64"/>
      <c r="BB1205" s="64"/>
      <c r="BC1205" s="64"/>
      <c r="BD1205" s="64"/>
      <c r="BE1205" s="64"/>
      <c r="BF1205" s="64"/>
      <c r="BG1205" s="64"/>
      <c r="BH1205" s="64"/>
      <c r="BI1205" s="64"/>
      <c r="BJ1205" s="64"/>
      <c r="BK1205" s="64"/>
      <c r="BL1205" s="64"/>
      <c r="BM1205" s="64"/>
      <c r="BN1205" s="64"/>
      <c r="BO1205" s="64"/>
      <c r="BP1205" s="64"/>
      <c r="BQ1205" s="64"/>
      <c r="BR1205" s="64"/>
      <c r="BS1205" s="64"/>
      <c r="BT1205" s="64"/>
      <c r="BU1205" s="64"/>
      <c r="BV1205" s="64"/>
      <c r="BW1205" s="64"/>
      <c r="BX1205" s="64"/>
      <c r="BY1205" s="64"/>
      <c r="BZ1205" s="64"/>
      <c r="CA1205" s="64"/>
      <c r="CB1205" s="64"/>
      <c r="CC1205" s="64"/>
      <c r="CD1205" s="64"/>
      <c r="CE1205" s="64"/>
      <c r="CF1205" s="64"/>
      <c r="CG1205" s="64"/>
      <c r="CH1205" s="64"/>
      <c r="CI1205" s="64"/>
      <c r="CJ1205" s="64"/>
      <c r="CK1205" s="64"/>
      <c r="CL1205" s="64"/>
      <c r="CM1205" s="64"/>
      <c r="CN1205" s="64"/>
      <c r="CO1205" s="64"/>
      <c r="CP1205" s="64"/>
      <c r="CQ1205" s="64"/>
      <c r="CR1205" s="64"/>
      <c r="CS1205" s="64"/>
      <c r="CT1205" s="64"/>
      <c r="CU1205" s="64"/>
      <c r="CV1205" s="64"/>
      <c r="CW1205" s="64"/>
      <c r="CX1205" s="64"/>
    </row>
    <row r="1206" spans="1:102" x14ac:dyDescent="0.2">
      <c r="A1206" s="64"/>
      <c r="B1206" s="64"/>
      <c r="C1206" s="102"/>
      <c r="D1206" s="102"/>
      <c r="E1206" s="102"/>
      <c r="F1206" s="102"/>
      <c r="G1206" s="102"/>
      <c r="H1206" s="102"/>
      <c r="I1206" s="64"/>
      <c r="J1206" s="64"/>
      <c r="K1206" s="64"/>
      <c r="L1206" s="64"/>
      <c r="M1206" s="64"/>
      <c r="N1206" s="64"/>
      <c r="O1206" s="64"/>
      <c r="P1206" s="64"/>
      <c r="Q1206" s="64"/>
      <c r="R1206" s="64"/>
      <c r="S1206" s="64"/>
      <c r="T1206" s="64"/>
      <c r="U1206" s="64"/>
      <c r="V1206" s="64"/>
      <c r="W1206" s="64"/>
      <c r="X1206" s="64"/>
      <c r="Y1206" s="64"/>
      <c r="Z1206" s="64"/>
      <c r="AA1206" s="64"/>
      <c r="AB1206" s="64"/>
      <c r="AC1206" s="64"/>
      <c r="AD1206" s="64"/>
      <c r="AE1206" s="64"/>
      <c r="AF1206" s="64"/>
      <c r="AG1206" s="64"/>
      <c r="AH1206" s="64"/>
      <c r="AI1206" s="64"/>
      <c r="AJ1206" s="64"/>
      <c r="AK1206" s="64"/>
      <c r="AL1206" s="64"/>
      <c r="AM1206" s="64"/>
      <c r="AN1206" s="64"/>
      <c r="AO1206" s="64"/>
      <c r="AP1206" s="64"/>
      <c r="AQ1206" s="64"/>
      <c r="AR1206" s="64"/>
      <c r="AS1206" s="64"/>
      <c r="AT1206" s="64"/>
      <c r="AU1206" s="64"/>
      <c r="AV1206" s="64"/>
      <c r="AW1206" s="64"/>
      <c r="AX1206" s="64"/>
      <c r="AY1206" s="64"/>
      <c r="AZ1206" s="64"/>
      <c r="BA1206" s="64"/>
      <c r="BB1206" s="64"/>
      <c r="BC1206" s="64"/>
      <c r="BD1206" s="64"/>
      <c r="BE1206" s="64"/>
      <c r="BF1206" s="64"/>
      <c r="BG1206" s="64"/>
      <c r="BH1206" s="64"/>
      <c r="BI1206" s="64"/>
      <c r="BJ1206" s="64"/>
      <c r="BK1206" s="64"/>
      <c r="BL1206" s="64"/>
      <c r="BM1206" s="64"/>
      <c r="BN1206" s="64"/>
      <c r="BO1206" s="64"/>
      <c r="BP1206" s="64"/>
      <c r="BQ1206" s="64"/>
      <c r="BR1206" s="64"/>
      <c r="BS1206" s="64"/>
      <c r="BT1206" s="64"/>
      <c r="BU1206" s="64"/>
      <c r="BV1206" s="64"/>
      <c r="BW1206" s="64"/>
      <c r="BX1206" s="64"/>
      <c r="BY1206" s="64"/>
      <c r="BZ1206" s="64"/>
      <c r="CA1206" s="64"/>
      <c r="CB1206" s="64"/>
      <c r="CC1206" s="64"/>
      <c r="CD1206" s="64"/>
      <c r="CE1206" s="64"/>
      <c r="CF1206" s="64"/>
      <c r="CG1206" s="64"/>
      <c r="CH1206" s="64"/>
      <c r="CI1206" s="64"/>
      <c r="CJ1206" s="64"/>
      <c r="CK1206" s="64"/>
      <c r="CL1206" s="64"/>
      <c r="CM1206" s="64"/>
      <c r="CN1206" s="64"/>
      <c r="CO1206" s="64"/>
      <c r="CP1206" s="64"/>
      <c r="CQ1206" s="64"/>
      <c r="CR1206" s="64"/>
      <c r="CS1206" s="64"/>
      <c r="CT1206" s="64"/>
      <c r="CU1206" s="64"/>
      <c r="CV1206" s="64"/>
      <c r="CW1206" s="64"/>
      <c r="CX1206" s="64"/>
    </row>
    <row r="1207" spans="1:102" x14ac:dyDescent="0.2">
      <c r="A1207" s="64"/>
      <c r="B1207" s="64"/>
      <c r="C1207" s="102"/>
      <c r="D1207" s="102"/>
      <c r="E1207" s="102"/>
      <c r="F1207" s="102"/>
      <c r="G1207" s="102"/>
      <c r="H1207" s="102"/>
      <c r="I1207" s="64"/>
      <c r="J1207" s="64"/>
      <c r="K1207" s="64"/>
      <c r="L1207" s="64"/>
      <c r="M1207" s="64"/>
      <c r="N1207" s="64"/>
      <c r="O1207" s="64"/>
      <c r="P1207" s="64"/>
      <c r="Q1207" s="64"/>
      <c r="R1207" s="64"/>
      <c r="S1207" s="64"/>
      <c r="T1207" s="64"/>
      <c r="U1207" s="64"/>
      <c r="V1207" s="64"/>
      <c r="W1207" s="64"/>
      <c r="X1207" s="64"/>
      <c r="Y1207" s="64"/>
      <c r="Z1207" s="64"/>
      <c r="AA1207" s="64"/>
      <c r="AB1207" s="64"/>
      <c r="AC1207" s="64"/>
      <c r="AD1207" s="64"/>
      <c r="AE1207" s="64"/>
      <c r="AF1207" s="64"/>
      <c r="AG1207" s="64"/>
      <c r="AH1207" s="64"/>
      <c r="AI1207" s="64"/>
      <c r="AJ1207" s="64"/>
      <c r="AK1207" s="64"/>
      <c r="AL1207" s="64"/>
      <c r="AM1207" s="64"/>
      <c r="AN1207" s="64"/>
      <c r="AO1207" s="64"/>
      <c r="AP1207" s="64"/>
      <c r="AQ1207" s="64"/>
      <c r="AR1207" s="64"/>
      <c r="AS1207" s="64"/>
      <c r="AT1207" s="64"/>
      <c r="AU1207" s="64"/>
      <c r="AV1207" s="64"/>
      <c r="AW1207" s="64"/>
      <c r="AX1207" s="64"/>
      <c r="AY1207" s="64"/>
      <c r="AZ1207" s="64"/>
      <c r="BA1207" s="64"/>
      <c r="BB1207" s="64"/>
      <c r="BC1207" s="64"/>
      <c r="BD1207" s="64"/>
      <c r="BE1207" s="64"/>
      <c r="BF1207" s="64"/>
      <c r="BG1207" s="64"/>
      <c r="BH1207" s="64"/>
      <c r="BI1207" s="64"/>
      <c r="BJ1207" s="64"/>
      <c r="BK1207" s="64"/>
      <c r="BL1207" s="64"/>
      <c r="BM1207" s="64"/>
      <c r="BN1207" s="64"/>
      <c r="BO1207" s="64"/>
      <c r="BP1207" s="64"/>
      <c r="BQ1207" s="64"/>
      <c r="BR1207" s="64"/>
      <c r="BS1207" s="64"/>
      <c r="BT1207" s="64"/>
      <c r="BU1207" s="64"/>
      <c r="BV1207" s="64"/>
      <c r="BW1207" s="64"/>
      <c r="BX1207" s="64"/>
      <c r="BY1207" s="64"/>
      <c r="BZ1207" s="64"/>
      <c r="CA1207" s="64"/>
      <c r="CB1207" s="64"/>
      <c r="CC1207" s="64"/>
      <c r="CD1207" s="64"/>
      <c r="CE1207" s="64"/>
      <c r="CF1207" s="64"/>
      <c r="CG1207" s="64"/>
      <c r="CH1207" s="64"/>
      <c r="CI1207" s="64"/>
      <c r="CJ1207" s="64"/>
      <c r="CK1207" s="64"/>
      <c r="CL1207" s="64"/>
      <c r="CM1207" s="64"/>
      <c r="CN1207" s="64"/>
      <c r="CO1207" s="64"/>
      <c r="CP1207" s="64"/>
      <c r="CQ1207" s="64"/>
      <c r="CR1207" s="64"/>
      <c r="CS1207" s="64"/>
      <c r="CT1207" s="64"/>
      <c r="CU1207" s="64"/>
      <c r="CV1207" s="64"/>
      <c r="CW1207" s="64"/>
      <c r="CX1207" s="64"/>
    </row>
    <row r="1208" spans="1:102" x14ac:dyDescent="0.2">
      <c r="A1208" s="64"/>
      <c r="B1208" s="64"/>
      <c r="C1208" s="102"/>
      <c r="D1208" s="102"/>
      <c r="E1208" s="102"/>
      <c r="F1208" s="102"/>
      <c r="G1208" s="102"/>
      <c r="H1208" s="102"/>
      <c r="I1208" s="64"/>
      <c r="J1208" s="64"/>
      <c r="K1208" s="64"/>
      <c r="L1208" s="64"/>
      <c r="M1208" s="64"/>
      <c r="N1208" s="64"/>
      <c r="O1208" s="64"/>
      <c r="P1208" s="64"/>
      <c r="Q1208" s="64"/>
      <c r="R1208" s="64"/>
      <c r="S1208" s="64"/>
      <c r="T1208" s="64"/>
      <c r="U1208" s="64"/>
      <c r="V1208" s="64"/>
      <c r="W1208" s="64"/>
      <c r="X1208" s="64"/>
      <c r="Y1208" s="64"/>
      <c r="Z1208" s="64"/>
      <c r="AA1208" s="64"/>
      <c r="AB1208" s="64"/>
      <c r="AC1208" s="64"/>
      <c r="AD1208" s="64"/>
      <c r="AE1208" s="64"/>
      <c r="AF1208" s="64"/>
      <c r="AG1208" s="64"/>
      <c r="AH1208" s="64"/>
      <c r="AI1208" s="64"/>
      <c r="AJ1208" s="64"/>
      <c r="AK1208" s="64"/>
      <c r="AL1208" s="64"/>
      <c r="AM1208" s="64"/>
      <c r="AN1208" s="64"/>
      <c r="AO1208" s="64"/>
      <c r="AP1208" s="64"/>
      <c r="AQ1208" s="64"/>
      <c r="AR1208" s="64"/>
      <c r="AS1208" s="64"/>
      <c r="AT1208" s="64"/>
      <c r="AU1208" s="64"/>
      <c r="AV1208" s="64"/>
      <c r="AW1208" s="64"/>
      <c r="AX1208" s="64"/>
      <c r="AY1208" s="64"/>
      <c r="AZ1208" s="64"/>
      <c r="BA1208" s="64"/>
      <c r="BB1208" s="64"/>
      <c r="BC1208" s="64"/>
      <c r="BD1208" s="64"/>
      <c r="BE1208" s="64"/>
      <c r="BF1208" s="64"/>
      <c r="BG1208" s="64"/>
      <c r="BH1208" s="64"/>
      <c r="BI1208" s="64"/>
      <c r="BJ1208" s="64"/>
      <c r="BK1208" s="64"/>
      <c r="BL1208" s="64"/>
      <c r="BM1208" s="64"/>
      <c r="BN1208" s="64"/>
      <c r="BO1208" s="64"/>
      <c r="BP1208" s="64"/>
      <c r="BQ1208" s="64"/>
      <c r="BR1208" s="64"/>
      <c r="BS1208" s="64"/>
      <c r="BT1208" s="64"/>
      <c r="BU1208" s="64"/>
      <c r="BV1208" s="64"/>
      <c r="BW1208" s="64"/>
      <c r="BX1208" s="64"/>
      <c r="BY1208" s="64"/>
      <c r="BZ1208" s="64"/>
      <c r="CA1208" s="64"/>
      <c r="CB1208" s="64"/>
      <c r="CC1208" s="64"/>
      <c r="CD1208" s="64"/>
      <c r="CE1208" s="64"/>
      <c r="CF1208" s="64"/>
      <c r="CG1208" s="64"/>
      <c r="CH1208" s="64"/>
      <c r="CI1208" s="64"/>
      <c r="CJ1208" s="64"/>
      <c r="CK1208" s="64"/>
      <c r="CL1208" s="64"/>
      <c r="CM1208" s="64"/>
      <c r="CN1208" s="64"/>
      <c r="CO1208" s="64"/>
      <c r="CP1208" s="64"/>
      <c r="CQ1208" s="64"/>
      <c r="CR1208" s="64"/>
      <c r="CS1208" s="64"/>
      <c r="CT1208" s="64"/>
      <c r="CU1208" s="64"/>
      <c r="CV1208" s="64"/>
      <c r="CW1208" s="64"/>
      <c r="CX1208" s="64"/>
    </row>
    <row r="1209" spans="1:102" x14ac:dyDescent="0.2">
      <c r="A1209" s="64"/>
      <c r="B1209" s="64"/>
      <c r="C1209" s="102"/>
      <c r="D1209" s="102"/>
      <c r="E1209" s="102"/>
      <c r="F1209" s="102"/>
      <c r="G1209" s="102"/>
      <c r="H1209" s="102"/>
      <c r="I1209" s="64"/>
      <c r="J1209" s="64"/>
      <c r="K1209" s="64"/>
      <c r="L1209" s="64"/>
      <c r="M1209" s="64"/>
      <c r="N1209" s="64"/>
      <c r="O1209" s="64"/>
      <c r="P1209" s="64"/>
      <c r="Q1209" s="64"/>
      <c r="R1209" s="64"/>
      <c r="S1209" s="64"/>
      <c r="T1209" s="64"/>
      <c r="U1209" s="64"/>
      <c r="V1209" s="64"/>
      <c r="W1209" s="64"/>
      <c r="X1209" s="64"/>
      <c r="Y1209" s="64"/>
      <c r="Z1209" s="64"/>
      <c r="AA1209" s="64"/>
      <c r="AB1209" s="64"/>
      <c r="AC1209" s="64"/>
      <c r="AD1209" s="64"/>
      <c r="AE1209" s="64"/>
      <c r="AF1209" s="64"/>
      <c r="AG1209" s="64"/>
      <c r="AH1209" s="64"/>
      <c r="AI1209" s="64"/>
      <c r="AJ1209" s="64"/>
      <c r="AK1209" s="64"/>
      <c r="AL1209" s="64"/>
      <c r="AM1209" s="64"/>
      <c r="AN1209" s="64"/>
      <c r="AO1209" s="64"/>
      <c r="AP1209" s="64"/>
      <c r="AQ1209" s="64"/>
      <c r="AR1209" s="64"/>
      <c r="AS1209" s="64"/>
      <c r="AT1209" s="64"/>
      <c r="AU1209" s="64"/>
      <c r="AV1209" s="64"/>
      <c r="AW1209" s="64"/>
      <c r="AX1209" s="64"/>
      <c r="AY1209" s="64"/>
      <c r="AZ1209" s="64"/>
      <c r="BA1209" s="64"/>
      <c r="BB1209" s="64"/>
      <c r="BC1209" s="64"/>
      <c r="BD1209" s="64"/>
      <c r="BE1209" s="64"/>
      <c r="BF1209" s="64"/>
      <c r="BG1209" s="64"/>
      <c r="BH1209" s="64"/>
      <c r="BI1209" s="64"/>
      <c r="BJ1209" s="64"/>
      <c r="BK1209" s="64"/>
      <c r="BL1209" s="64"/>
      <c r="BM1209" s="64"/>
      <c r="BN1209" s="64"/>
      <c r="BO1209" s="64"/>
      <c r="BP1209" s="64"/>
      <c r="BQ1209" s="64"/>
      <c r="BR1209" s="64"/>
      <c r="BS1209" s="64"/>
      <c r="BT1209" s="64"/>
      <c r="BU1209" s="64"/>
      <c r="BV1209" s="64"/>
      <c r="BW1209" s="64"/>
      <c r="BX1209" s="64"/>
      <c r="BY1209" s="64"/>
      <c r="BZ1209" s="64"/>
      <c r="CA1209" s="64"/>
      <c r="CB1209" s="64"/>
      <c r="CC1209" s="64"/>
      <c r="CD1209" s="64"/>
      <c r="CE1209" s="64"/>
      <c r="CF1209" s="64"/>
      <c r="CG1209" s="64"/>
      <c r="CH1209" s="64"/>
      <c r="CI1209" s="64"/>
      <c r="CJ1209" s="64"/>
      <c r="CK1209" s="64"/>
      <c r="CL1209" s="64"/>
      <c r="CM1209" s="64"/>
      <c r="CN1209" s="64"/>
      <c r="CO1209" s="64"/>
      <c r="CP1209" s="64"/>
      <c r="CQ1209" s="64"/>
      <c r="CR1209" s="64"/>
      <c r="CS1209" s="64"/>
      <c r="CT1209" s="64"/>
      <c r="CU1209" s="64"/>
      <c r="CV1209" s="64"/>
      <c r="CW1209" s="64"/>
      <c r="CX1209" s="64"/>
    </row>
    <row r="1210" spans="1:102" x14ac:dyDescent="0.2">
      <c r="A1210" s="64"/>
      <c r="B1210" s="64"/>
      <c r="C1210" s="102"/>
      <c r="D1210" s="102"/>
      <c r="E1210" s="102"/>
      <c r="F1210" s="102"/>
      <c r="G1210" s="102"/>
      <c r="H1210" s="102"/>
      <c r="I1210" s="64"/>
      <c r="J1210" s="64"/>
      <c r="K1210" s="64"/>
      <c r="L1210" s="64"/>
      <c r="M1210" s="64"/>
      <c r="N1210" s="64"/>
      <c r="O1210" s="64"/>
      <c r="P1210" s="64"/>
      <c r="Q1210" s="64"/>
      <c r="R1210" s="64"/>
      <c r="S1210" s="64"/>
      <c r="T1210" s="64"/>
      <c r="U1210" s="64"/>
      <c r="V1210" s="64"/>
      <c r="W1210" s="64"/>
      <c r="X1210" s="64"/>
      <c r="Y1210" s="64"/>
      <c r="Z1210" s="64"/>
      <c r="AA1210" s="64"/>
      <c r="AB1210" s="64"/>
      <c r="AC1210" s="64"/>
      <c r="AD1210" s="64"/>
      <c r="AE1210" s="64"/>
      <c r="AF1210" s="64"/>
      <c r="AG1210" s="64"/>
      <c r="AH1210" s="64"/>
      <c r="AI1210" s="64"/>
      <c r="AJ1210" s="64"/>
      <c r="AK1210" s="64"/>
      <c r="AL1210" s="64"/>
      <c r="AM1210" s="64"/>
      <c r="AN1210" s="64"/>
      <c r="AO1210" s="64"/>
      <c r="AP1210" s="64"/>
      <c r="AQ1210" s="64"/>
      <c r="AR1210" s="64"/>
      <c r="AS1210" s="64"/>
      <c r="AT1210" s="64"/>
      <c r="AU1210" s="64"/>
      <c r="AV1210" s="64"/>
      <c r="AW1210" s="64"/>
      <c r="AX1210" s="64"/>
      <c r="AY1210" s="64"/>
      <c r="AZ1210" s="64"/>
      <c r="BA1210" s="64"/>
      <c r="BB1210" s="64"/>
      <c r="BC1210" s="64"/>
      <c r="BD1210" s="64"/>
      <c r="BE1210" s="64"/>
      <c r="BF1210" s="64"/>
      <c r="BG1210" s="64"/>
      <c r="BH1210" s="64"/>
      <c r="BI1210" s="64"/>
      <c r="BJ1210" s="64"/>
      <c r="BK1210" s="64"/>
      <c r="BL1210" s="64"/>
      <c r="BM1210" s="64"/>
      <c r="BN1210" s="64"/>
      <c r="BO1210" s="64"/>
      <c r="BP1210" s="64"/>
      <c r="BQ1210" s="64"/>
      <c r="BR1210" s="64"/>
      <c r="BS1210" s="64"/>
      <c r="BT1210" s="64"/>
      <c r="BU1210" s="64"/>
      <c r="BV1210" s="64"/>
      <c r="BW1210" s="64"/>
      <c r="BX1210" s="64"/>
      <c r="BY1210" s="64"/>
      <c r="BZ1210" s="64"/>
      <c r="CA1210" s="64"/>
      <c r="CB1210" s="64"/>
      <c r="CC1210" s="64"/>
      <c r="CD1210" s="64"/>
      <c r="CE1210" s="64"/>
      <c r="CF1210" s="64"/>
      <c r="CG1210" s="64"/>
      <c r="CH1210" s="64"/>
      <c r="CI1210" s="64"/>
      <c r="CJ1210" s="64"/>
      <c r="CK1210" s="64"/>
      <c r="CL1210" s="64"/>
      <c r="CM1210" s="64"/>
      <c r="CN1210" s="64"/>
      <c r="CO1210" s="64"/>
      <c r="CP1210" s="64"/>
      <c r="CQ1210" s="64"/>
      <c r="CR1210" s="64"/>
      <c r="CS1210" s="64"/>
      <c r="CT1210" s="64"/>
      <c r="CU1210" s="64"/>
      <c r="CV1210" s="64"/>
      <c r="CW1210" s="64"/>
      <c r="CX1210" s="64"/>
    </row>
    <row r="1211" spans="1:102" x14ac:dyDescent="0.2">
      <c r="A1211" s="64"/>
      <c r="B1211" s="64"/>
      <c r="C1211" s="102"/>
      <c r="D1211" s="102"/>
      <c r="E1211" s="102"/>
      <c r="F1211" s="102"/>
      <c r="G1211" s="102"/>
      <c r="H1211" s="102"/>
      <c r="I1211" s="64"/>
      <c r="J1211" s="64"/>
      <c r="K1211" s="64"/>
      <c r="L1211" s="64"/>
      <c r="M1211" s="64"/>
      <c r="N1211" s="64"/>
      <c r="O1211" s="64"/>
      <c r="P1211" s="64"/>
      <c r="Q1211" s="64"/>
      <c r="R1211" s="64"/>
      <c r="S1211" s="64"/>
      <c r="T1211" s="64"/>
      <c r="U1211" s="64"/>
      <c r="V1211" s="64"/>
      <c r="W1211" s="64"/>
      <c r="X1211" s="64"/>
      <c r="Y1211" s="64"/>
      <c r="Z1211" s="64"/>
      <c r="AA1211" s="64"/>
      <c r="AB1211" s="64"/>
      <c r="AC1211" s="64"/>
      <c r="AD1211" s="64"/>
      <c r="AE1211" s="64"/>
      <c r="AF1211" s="64"/>
      <c r="AG1211" s="64"/>
      <c r="AH1211" s="64"/>
      <c r="AI1211" s="64"/>
      <c r="AJ1211" s="64"/>
      <c r="AK1211" s="64"/>
      <c r="AL1211" s="64"/>
      <c r="AM1211" s="64"/>
      <c r="AN1211" s="64"/>
      <c r="AO1211" s="64"/>
      <c r="AP1211" s="64"/>
      <c r="AQ1211" s="64"/>
      <c r="AR1211" s="64"/>
      <c r="AS1211" s="64"/>
      <c r="AT1211" s="64"/>
      <c r="AU1211" s="64"/>
      <c r="AV1211" s="64"/>
      <c r="AW1211" s="64"/>
      <c r="AX1211" s="64"/>
      <c r="AY1211" s="64"/>
      <c r="AZ1211" s="64"/>
      <c r="BA1211" s="64"/>
      <c r="BB1211" s="64"/>
      <c r="BC1211" s="64"/>
      <c r="BD1211" s="64"/>
      <c r="BE1211" s="64"/>
      <c r="BF1211" s="64"/>
      <c r="BG1211" s="64"/>
      <c r="BH1211" s="64"/>
      <c r="BI1211" s="64"/>
      <c r="BJ1211" s="64"/>
      <c r="BK1211" s="64"/>
      <c r="BL1211" s="64"/>
      <c r="BM1211" s="64"/>
      <c r="BN1211" s="64"/>
      <c r="BO1211" s="64"/>
      <c r="BP1211" s="64"/>
      <c r="BQ1211" s="64"/>
      <c r="BR1211" s="64"/>
      <c r="BS1211" s="64"/>
      <c r="BT1211" s="64"/>
      <c r="BU1211" s="64"/>
      <c r="BV1211" s="64"/>
      <c r="BW1211" s="64"/>
      <c r="BX1211" s="64"/>
      <c r="BY1211" s="64"/>
      <c r="BZ1211" s="64"/>
      <c r="CA1211" s="64"/>
      <c r="CB1211" s="64"/>
      <c r="CC1211" s="64"/>
      <c r="CD1211" s="64"/>
      <c r="CE1211" s="64"/>
      <c r="CF1211" s="64"/>
      <c r="CG1211" s="64"/>
      <c r="CH1211" s="64"/>
      <c r="CI1211" s="64"/>
      <c r="CJ1211" s="64"/>
      <c r="CK1211" s="64"/>
      <c r="CL1211" s="64"/>
      <c r="CM1211" s="64"/>
      <c r="CN1211" s="64"/>
      <c r="CO1211" s="64"/>
      <c r="CP1211" s="64"/>
      <c r="CQ1211" s="64"/>
      <c r="CR1211" s="64"/>
      <c r="CS1211" s="64"/>
      <c r="CT1211" s="64"/>
      <c r="CU1211" s="64"/>
      <c r="CV1211" s="64"/>
      <c r="CW1211" s="64"/>
      <c r="CX1211" s="64"/>
    </row>
    <row r="1212" spans="1:102" x14ac:dyDescent="0.2">
      <c r="A1212" s="64"/>
      <c r="B1212" s="64"/>
      <c r="C1212" s="102"/>
      <c r="D1212" s="102"/>
      <c r="E1212" s="102"/>
      <c r="F1212" s="102"/>
      <c r="G1212" s="102"/>
      <c r="H1212" s="102"/>
      <c r="I1212" s="64"/>
      <c r="J1212" s="64"/>
      <c r="K1212" s="64"/>
      <c r="L1212" s="64"/>
      <c r="M1212" s="64"/>
      <c r="N1212" s="64"/>
      <c r="O1212" s="64"/>
      <c r="P1212" s="64"/>
      <c r="Q1212" s="64"/>
      <c r="R1212" s="64"/>
      <c r="S1212" s="64"/>
      <c r="T1212" s="64"/>
      <c r="U1212" s="64"/>
      <c r="V1212" s="64"/>
      <c r="W1212" s="64"/>
      <c r="X1212" s="64"/>
      <c r="Y1212" s="64"/>
      <c r="Z1212" s="64"/>
      <c r="AA1212" s="64"/>
      <c r="AB1212" s="64"/>
      <c r="AC1212" s="64"/>
      <c r="AD1212" s="64"/>
      <c r="AE1212" s="64"/>
      <c r="AF1212" s="64"/>
      <c r="AG1212" s="64"/>
      <c r="AH1212" s="64"/>
      <c r="AI1212" s="64"/>
      <c r="AJ1212" s="64"/>
      <c r="AK1212" s="64"/>
      <c r="AL1212" s="64"/>
      <c r="AM1212" s="64"/>
      <c r="AN1212" s="64"/>
      <c r="AO1212" s="64"/>
      <c r="AP1212" s="64"/>
      <c r="AQ1212" s="64"/>
      <c r="AR1212" s="64"/>
      <c r="AS1212" s="64"/>
      <c r="AT1212" s="64"/>
      <c r="AU1212" s="64"/>
      <c r="AV1212" s="64"/>
      <c r="AW1212" s="64"/>
      <c r="AX1212" s="64"/>
      <c r="AY1212" s="64"/>
      <c r="AZ1212" s="64"/>
      <c r="BA1212" s="64"/>
      <c r="BB1212" s="64"/>
      <c r="BC1212" s="64"/>
      <c r="BD1212" s="64"/>
      <c r="BE1212" s="64"/>
      <c r="BF1212" s="64"/>
      <c r="BG1212" s="64"/>
      <c r="BH1212" s="64"/>
      <c r="BI1212" s="64"/>
      <c r="BJ1212" s="64"/>
      <c r="BK1212" s="64"/>
      <c r="BL1212" s="64"/>
      <c r="BM1212" s="64"/>
      <c r="BN1212" s="64"/>
      <c r="BO1212" s="64"/>
      <c r="BP1212" s="64"/>
      <c r="BQ1212" s="64"/>
      <c r="BR1212" s="64"/>
      <c r="BS1212" s="64"/>
      <c r="BT1212" s="64"/>
      <c r="BU1212" s="64"/>
      <c r="BV1212" s="64"/>
      <c r="BW1212" s="64"/>
      <c r="BX1212" s="64"/>
      <c r="BY1212" s="64"/>
      <c r="BZ1212" s="64"/>
      <c r="CA1212" s="64"/>
      <c r="CB1212" s="64"/>
      <c r="CC1212" s="64"/>
      <c r="CD1212" s="64"/>
      <c r="CE1212" s="64"/>
      <c r="CF1212" s="64"/>
      <c r="CG1212" s="64"/>
      <c r="CH1212" s="64"/>
      <c r="CI1212" s="64"/>
      <c r="CJ1212" s="64"/>
      <c r="CK1212" s="64"/>
      <c r="CL1212" s="64"/>
      <c r="CM1212" s="64"/>
      <c r="CN1212" s="64"/>
      <c r="CO1212" s="64"/>
      <c r="CP1212" s="64"/>
      <c r="CQ1212" s="64"/>
      <c r="CR1212" s="64"/>
      <c r="CS1212" s="64"/>
      <c r="CT1212" s="64"/>
      <c r="CU1212" s="64"/>
      <c r="CV1212" s="64"/>
      <c r="CW1212" s="64"/>
      <c r="CX1212" s="64"/>
    </row>
    <row r="1213" spans="1:102" x14ac:dyDescent="0.2">
      <c r="A1213" s="64"/>
      <c r="B1213" s="64"/>
      <c r="C1213" s="102"/>
      <c r="D1213" s="102"/>
      <c r="E1213" s="102"/>
      <c r="F1213" s="102"/>
      <c r="G1213" s="102"/>
      <c r="H1213" s="102"/>
      <c r="I1213" s="64"/>
      <c r="J1213" s="64"/>
      <c r="K1213" s="64"/>
      <c r="L1213" s="64"/>
      <c r="M1213" s="64"/>
      <c r="N1213" s="64"/>
      <c r="O1213" s="64"/>
      <c r="P1213" s="64"/>
      <c r="Q1213" s="64"/>
      <c r="R1213" s="64"/>
      <c r="S1213" s="64"/>
      <c r="T1213" s="64"/>
      <c r="U1213" s="64"/>
      <c r="V1213" s="64"/>
      <c r="W1213" s="64"/>
      <c r="X1213" s="64"/>
      <c r="Y1213" s="64"/>
      <c r="Z1213" s="64"/>
      <c r="AA1213" s="64"/>
      <c r="AB1213" s="64"/>
      <c r="AC1213" s="64"/>
      <c r="AD1213" s="64"/>
      <c r="AE1213" s="64"/>
      <c r="AF1213" s="64"/>
      <c r="AG1213" s="64"/>
      <c r="AH1213" s="64"/>
      <c r="AI1213" s="64"/>
      <c r="AJ1213" s="64"/>
      <c r="AK1213" s="64"/>
      <c r="AL1213" s="64"/>
      <c r="AM1213" s="64"/>
      <c r="AN1213" s="64"/>
      <c r="AO1213" s="64"/>
      <c r="AP1213" s="64"/>
      <c r="AQ1213" s="64"/>
      <c r="AR1213" s="64"/>
      <c r="AS1213" s="64"/>
      <c r="AT1213" s="64"/>
      <c r="AU1213" s="64"/>
      <c r="AV1213" s="64"/>
      <c r="AW1213" s="64"/>
      <c r="AX1213" s="64"/>
      <c r="AY1213" s="64"/>
      <c r="AZ1213" s="64"/>
      <c r="BA1213" s="64"/>
      <c r="BB1213" s="64"/>
      <c r="BC1213" s="64"/>
      <c r="BD1213" s="64"/>
      <c r="BE1213" s="64"/>
      <c r="BF1213" s="64"/>
      <c r="BG1213" s="64"/>
      <c r="BH1213" s="64"/>
      <c r="BI1213" s="64"/>
      <c r="BJ1213" s="64"/>
      <c r="BK1213" s="64"/>
      <c r="BL1213" s="64"/>
      <c r="BM1213" s="64"/>
      <c r="BN1213" s="64"/>
      <c r="BO1213" s="64"/>
      <c r="BP1213" s="64"/>
      <c r="BQ1213" s="64"/>
      <c r="BR1213" s="64"/>
      <c r="BS1213" s="64"/>
      <c r="BT1213" s="64"/>
      <c r="BU1213" s="64"/>
      <c r="BV1213" s="64"/>
      <c r="BW1213" s="64"/>
      <c r="BX1213" s="64"/>
      <c r="BY1213" s="64"/>
      <c r="BZ1213" s="64"/>
      <c r="CA1213" s="64"/>
      <c r="CB1213" s="64"/>
      <c r="CC1213" s="64"/>
      <c r="CD1213" s="64"/>
      <c r="CE1213" s="64"/>
      <c r="CF1213" s="64"/>
      <c r="CG1213" s="64"/>
      <c r="CH1213" s="64"/>
      <c r="CI1213" s="64"/>
      <c r="CJ1213" s="64"/>
      <c r="CK1213" s="64"/>
      <c r="CL1213" s="64"/>
      <c r="CM1213" s="64"/>
      <c r="CN1213" s="64"/>
      <c r="CO1213" s="64"/>
      <c r="CP1213" s="64"/>
      <c r="CQ1213" s="64"/>
      <c r="CR1213" s="64"/>
      <c r="CS1213" s="64"/>
      <c r="CT1213" s="64"/>
      <c r="CU1213" s="64"/>
      <c r="CV1213" s="64"/>
      <c r="CW1213" s="64"/>
      <c r="CX1213" s="64"/>
    </row>
    <row r="1214" spans="1:102" x14ac:dyDescent="0.2">
      <c r="A1214" s="64"/>
      <c r="B1214" s="64"/>
      <c r="C1214" s="102"/>
      <c r="D1214" s="102"/>
      <c r="E1214" s="102"/>
      <c r="F1214" s="102"/>
      <c r="G1214" s="102"/>
      <c r="H1214" s="102"/>
      <c r="I1214" s="64"/>
      <c r="J1214" s="64"/>
      <c r="K1214" s="64"/>
      <c r="L1214" s="64"/>
      <c r="M1214" s="64"/>
      <c r="N1214" s="64"/>
      <c r="O1214" s="64"/>
      <c r="P1214" s="64"/>
      <c r="Q1214" s="64"/>
      <c r="R1214" s="64"/>
      <c r="S1214" s="64"/>
      <c r="T1214" s="64"/>
      <c r="U1214" s="64"/>
      <c r="V1214" s="64"/>
      <c r="W1214" s="64"/>
      <c r="X1214" s="64"/>
      <c r="Y1214" s="64"/>
      <c r="Z1214" s="64"/>
      <c r="AA1214" s="64"/>
      <c r="AB1214" s="64"/>
      <c r="AC1214" s="64"/>
      <c r="AD1214" s="64"/>
      <c r="AE1214" s="64"/>
      <c r="AF1214" s="64"/>
      <c r="AG1214" s="64"/>
      <c r="AH1214" s="64"/>
      <c r="AI1214" s="64"/>
      <c r="AJ1214" s="64"/>
      <c r="AK1214" s="64"/>
      <c r="AL1214" s="64"/>
      <c r="AM1214" s="64"/>
      <c r="AN1214" s="64"/>
      <c r="AO1214" s="64"/>
      <c r="AP1214" s="64"/>
      <c r="AQ1214" s="64"/>
      <c r="AR1214" s="64"/>
      <c r="AS1214" s="64"/>
      <c r="AT1214" s="64"/>
      <c r="AU1214" s="64"/>
      <c r="AV1214" s="64"/>
      <c r="AW1214" s="64"/>
      <c r="AX1214" s="64"/>
      <c r="AY1214" s="64"/>
      <c r="AZ1214" s="64"/>
      <c r="BA1214" s="64"/>
      <c r="BB1214" s="64"/>
      <c r="BC1214" s="64"/>
      <c r="BD1214" s="64"/>
      <c r="BE1214" s="64"/>
      <c r="BF1214" s="64"/>
      <c r="BG1214" s="64"/>
      <c r="BH1214" s="64"/>
      <c r="BI1214" s="64"/>
      <c r="BJ1214" s="64"/>
      <c r="BK1214" s="64"/>
      <c r="BL1214" s="64"/>
      <c r="BM1214" s="64"/>
      <c r="BN1214" s="64"/>
      <c r="BO1214" s="64"/>
      <c r="BP1214" s="64"/>
      <c r="BQ1214" s="64"/>
      <c r="BR1214" s="64"/>
      <c r="BS1214" s="64"/>
      <c r="BT1214" s="64"/>
      <c r="BU1214" s="64"/>
      <c r="BV1214" s="64"/>
      <c r="BW1214" s="64"/>
      <c r="BX1214" s="64"/>
      <c r="BY1214" s="64"/>
      <c r="BZ1214" s="64"/>
      <c r="CA1214" s="64"/>
      <c r="CB1214" s="64"/>
      <c r="CC1214" s="64"/>
      <c r="CD1214" s="64"/>
      <c r="CE1214" s="64"/>
      <c r="CF1214" s="64"/>
      <c r="CG1214" s="64"/>
      <c r="CH1214" s="64"/>
      <c r="CI1214" s="64"/>
      <c r="CJ1214" s="64"/>
      <c r="CK1214" s="64"/>
      <c r="CL1214" s="64"/>
      <c r="CM1214" s="64"/>
      <c r="CN1214" s="64"/>
      <c r="CO1214" s="64"/>
      <c r="CP1214" s="64"/>
      <c r="CQ1214" s="64"/>
      <c r="CR1214" s="64"/>
      <c r="CS1214" s="64"/>
      <c r="CT1214" s="64"/>
      <c r="CU1214" s="64"/>
      <c r="CV1214" s="64"/>
      <c r="CW1214" s="64"/>
      <c r="CX1214" s="64"/>
    </row>
    <row r="1215" spans="1:102" x14ac:dyDescent="0.2">
      <c r="A1215" s="64"/>
      <c r="B1215" s="64"/>
      <c r="C1215" s="102"/>
      <c r="D1215" s="102"/>
      <c r="E1215" s="102"/>
      <c r="F1215" s="102"/>
      <c r="G1215" s="102"/>
      <c r="H1215" s="102"/>
      <c r="I1215" s="64"/>
      <c r="J1215" s="64"/>
      <c r="K1215" s="64"/>
      <c r="L1215" s="64"/>
      <c r="M1215" s="64"/>
      <c r="N1215" s="64"/>
      <c r="O1215" s="64"/>
      <c r="P1215" s="64"/>
      <c r="Q1215" s="64"/>
      <c r="R1215" s="64"/>
      <c r="S1215" s="64"/>
      <c r="T1215" s="64"/>
      <c r="U1215" s="64"/>
      <c r="V1215" s="64"/>
      <c r="W1215" s="64"/>
      <c r="X1215" s="64"/>
      <c r="Y1215" s="64"/>
      <c r="Z1215" s="64"/>
      <c r="AA1215" s="64"/>
      <c r="AB1215" s="64"/>
      <c r="AC1215" s="64"/>
      <c r="AD1215" s="64"/>
      <c r="AE1215" s="64"/>
      <c r="AF1215" s="64"/>
      <c r="AG1215" s="64"/>
      <c r="AH1215" s="64"/>
      <c r="AI1215" s="64"/>
      <c r="AJ1215" s="64"/>
      <c r="AK1215" s="64"/>
      <c r="AL1215" s="64"/>
      <c r="AM1215" s="64"/>
      <c r="AN1215" s="64"/>
      <c r="AO1215" s="64"/>
      <c r="AP1215" s="64"/>
      <c r="AQ1215" s="64"/>
      <c r="AR1215" s="64"/>
      <c r="AS1215" s="64"/>
      <c r="AT1215" s="64"/>
      <c r="AU1215" s="64"/>
      <c r="AV1215" s="64"/>
      <c r="AW1215" s="64"/>
      <c r="AX1215" s="64"/>
      <c r="AY1215" s="64"/>
      <c r="AZ1215" s="64"/>
      <c r="BA1215" s="64"/>
      <c r="BB1215" s="64"/>
      <c r="BC1215" s="64"/>
      <c r="BD1215" s="64"/>
      <c r="BE1215" s="64"/>
      <c r="BF1215" s="64"/>
      <c r="BG1215" s="64"/>
      <c r="BH1215" s="64"/>
      <c r="BI1215" s="64"/>
      <c r="BJ1215" s="64"/>
      <c r="BK1215" s="64"/>
      <c r="BL1215" s="64"/>
      <c r="BM1215" s="64"/>
      <c r="BN1215" s="64"/>
      <c r="BO1215" s="64"/>
      <c r="BP1215" s="64"/>
      <c r="BQ1215" s="64"/>
      <c r="BR1215" s="64"/>
      <c r="BS1215" s="64"/>
      <c r="BT1215" s="64"/>
      <c r="BU1215" s="64"/>
      <c r="BV1215" s="64"/>
      <c r="BW1215" s="64"/>
      <c r="BX1215" s="64"/>
      <c r="BY1215" s="64"/>
      <c r="BZ1215" s="64"/>
      <c r="CA1215" s="64"/>
      <c r="CB1215" s="64"/>
      <c r="CC1215" s="64"/>
      <c r="CD1215" s="64"/>
      <c r="CE1215" s="64"/>
      <c r="CF1215" s="64"/>
      <c r="CG1215" s="64"/>
      <c r="CH1215" s="64"/>
      <c r="CI1215" s="64"/>
      <c r="CJ1215" s="64"/>
      <c r="CK1215" s="64"/>
      <c r="CL1215" s="64"/>
      <c r="CM1215" s="64"/>
      <c r="CN1215" s="64"/>
      <c r="CO1215" s="64"/>
      <c r="CP1215" s="64"/>
      <c r="CQ1215" s="64"/>
      <c r="CR1215" s="64"/>
      <c r="CS1215" s="64"/>
      <c r="CT1215" s="64"/>
      <c r="CU1215" s="64"/>
      <c r="CV1215" s="64"/>
      <c r="CW1215" s="64"/>
      <c r="CX1215" s="64"/>
    </row>
    <row r="1216" spans="1:102" x14ac:dyDescent="0.2">
      <c r="A1216" s="64"/>
      <c r="B1216" s="64"/>
      <c r="C1216" s="102"/>
      <c r="D1216" s="102"/>
      <c r="E1216" s="102"/>
      <c r="F1216" s="102"/>
      <c r="G1216" s="102"/>
      <c r="H1216" s="102"/>
      <c r="I1216" s="64"/>
      <c r="J1216" s="64"/>
      <c r="K1216" s="64"/>
      <c r="L1216" s="64"/>
      <c r="M1216" s="64"/>
      <c r="N1216" s="64"/>
      <c r="O1216" s="64"/>
      <c r="P1216" s="64"/>
      <c r="Q1216" s="64"/>
      <c r="R1216" s="64"/>
      <c r="S1216" s="64"/>
      <c r="T1216" s="64"/>
      <c r="U1216" s="64"/>
      <c r="V1216" s="64"/>
      <c r="W1216" s="64"/>
      <c r="X1216" s="64"/>
      <c r="Y1216" s="64"/>
      <c r="Z1216" s="64"/>
      <c r="AA1216" s="64"/>
      <c r="AB1216" s="64"/>
      <c r="AC1216" s="64"/>
      <c r="AD1216" s="64"/>
      <c r="AE1216" s="64"/>
      <c r="AF1216" s="64"/>
      <c r="AG1216" s="64"/>
      <c r="AH1216" s="64"/>
      <c r="AI1216" s="64"/>
      <c r="AJ1216" s="64"/>
      <c r="AK1216" s="64"/>
      <c r="AL1216" s="64"/>
      <c r="AM1216" s="64"/>
      <c r="AN1216" s="64"/>
      <c r="AO1216" s="64"/>
      <c r="AP1216" s="64"/>
      <c r="AQ1216" s="64"/>
      <c r="AR1216" s="64"/>
      <c r="AS1216" s="64"/>
      <c r="AT1216" s="64"/>
      <c r="AU1216" s="64"/>
      <c r="AV1216" s="64"/>
      <c r="AW1216" s="64"/>
      <c r="AX1216" s="64"/>
      <c r="AY1216" s="64"/>
      <c r="AZ1216" s="64"/>
      <c r="BA1216" s="64"/>
      <c r="BB1216" s="64"/>
      <c r="BC1216" s="64"/>
      <c r="BD1216" s="64"/>
      <c r="BE1216" s="64"/>
      <c r="BF1216" s="64"/>
      <c r="BG1216" s="64"/>
      <c r="BH1216" s="64"/>
      <c r="BI1216" s="64"/>
      <c r="BJ1216" s="64"/>
      <c r="BK1216" s="64"/>
      <c r="BL1216" s="64"/>
      <c r="BM1216" s="64"/>
      <c r="BN1216" s="64"/>
      <c r="BO1216" s="64"/>
      <c r="BP1216" s="64"/>
      <c r="BQ1216" s="64"/>
      <c r="BR1216" s="64"/>
      <c r="BS1216" s="64"/>
      <c r="BT1216" s="64"/>
      <c r="BU1216" s="64"/>
      <c r="BV1216" s="64"/>
      <c r="BW1216" s="64"/>
      <c r="BX1216" s="64"/>
      <c r="BY1216" s="64"/>
      <c r="BZ1216" s="64"/>
      <c r="CA1216" s="64"/>
      <c r="CB1216" s="64"/>
      <c r="CC1216" s="64"/>
      <c r="CD1216" s="64"/>
      <c r="CE1216" s="64"/>
      <c r="CF1216" s="64"/>
      <c r="CG1216" s="64"/>
      <c r="CH1216" s="64"/>
      <c r="CI1216" s="64"/>
      <c r="CJ1216" s="64"/>
      <c r="CK1216" s="64"/>
      <c r="CL1216" s="64"/>
      <c r="CM1216" s="64"/>
      <c r="CN1216" s="64"/>
      <c r="CO1216" s="64"/>
      <c r="CP1216" s="64"/>
      <c r="CQ1216" s="64"/>
      <c r="CR1216" s="64"/>
      <c r="CS1216" s="64"/>
      <c r="CT1216" s="64"/>
      <c r="CU1216" s="64"/>
      <c r="CV1216" s="64"/>
      <c r="CW1216" s="64"/>
      <c r="CX1216" s="64"/>
    </row>
    <row r="1217" spans="1:102" x14ac:dyDescent="0.2">
      <c r="A1217" s="64"/>
      <c r="B1217" s="64"/>
      <c r="C1217" s="102"/>
      <c r="D1217" s="102"/>
      <c r="E1217" s="102"/>
      <c r="F1217" s="102"/>
      <c r="G1217" s="102"/>
      <c r="H1217" s="102"/>
      <c r="I1217" s="64"/>
      <c r="J1217" s="64"/>
      <c r="K1217" s="64"/>
      <c r="L1217" s="64"/>
      <c r="M1217" s="64"/>
      <c r="N1217" s="64"/>
      <c r="O1217" s="64"/>
      <c r="P1217" s="64"/>
      <c r="Q1217" s="64"/>
      <c r="R1217" s="64"/>
      <c r="S1217" s="64"/>
      <c r="T1217" s="64"/>
      <c r="U1217" s="64"/>
      <c r="V1217" s="64"/>
      <c r="W1217" s="64"/>
      <c r="X1217" s="64"/>
      <c r="Y1217" s="64"/>
      <c r="Z1217" s="64"/>
      <c r="AA1217" s="64"/>
      <c r="AB1217" s="64"/>
      <c r="AC1217" s="64"/>
      <c r="AD1217" s="64"/>
      <c r="AE1217" s="64"/>
      <c r="AF1217" s="64"/>
      <c r="AG1217" s="64"/>
      <c r="AH1217" s="64"/>
      <c r="AI1217" s="64"/>
      <c r="AJ1217" s="64"/>
      <c r="AK1217" s="64"/>
      <c r="AL1217" s="64"/>
      <c r="AM1217" s="64"/>
      <c r="AN1217" s="64"/>
      <c r="AO1217" s="64"/>
      <c r="AP1217" s="64"/>
      <c r="AQ1217" s="64"/>
      <c r="AR1217" s="64"/>
      <c r="AS1217" s="64"/>
      <c r="AT1217" s="64"/>
      <c r="AU1217" s="64"/>
      <c r="AV1217" s="64"/>
      <c r="AW1217" s="64"/>
      <c r="AX1217" s="64"/>
      <c r="AY1217" s="64"/>
      <c r="AZ1217" s="64"/>
      <c r="BA1217" s="64"/>
      <c r="BB1217" s="64"/>
      <c r="BC1217" s="64"/>
      <c r="BD1217" s="64"/>
      <c r="BE1217" s="64"/>
      <c r="BF1217" s="64"/>
      <c r="BG1217" s="64"/>
      <c r="BH1217" s="64"/>
      <c r="BI1217" s="64"/>
      <c r="BJ1217" s="64"/>
      <c r="BK1217" s="64"/>
      <c r="BL1217" s="64"/>
      <c r="BM1217" s="64"/>
      <c r="BN1217" s="64"/>
      <c r="BO1217" s="64"/>
      <c r="BP1217" s="64"/>
      <c r="BQ1217" s="64"/>
      <c r="BR1217" s="64"/>
      <c r="BS1217" s="64"/>
      <c r="BT1217" s="64"/>
      <c r="BU1217" s="64"/>
      <c r="BV1217" s="64"/>
      <c r="BW1217" s="64"/>
      <c r="BX1217" s="64"/>
      <c r="BY1217" s="64"/>
      <c r="BZ1217" s="64"/>
      <c r="CA1217" s="64"/>
      <c r="CB1217" s="64"/>
      <c r="CC1217" s="64"/>
      <c r="CD1217" s="64"/>
      <c r="CE1217" s="64"/>
      <c r="CF1217" s="64"/>
      <c r="CG1217" s="64"/>
      <c r="CH1217" s="64"/>
      <c r="CI1217" s="64"/>
      <c r="CJ1217" s="64"/>
      <c r="CK1217" s="64"/>
      <c r="CL1217" s="64"/>
      <c r="CM1217" s="64"/>
      <c r="CN1217" s="64"/>
      <c r="CO1217" s="64"/>
      <c r="CP1217" s="64"/>
      <c r="CQ1217" s="64"/>
      <c r="CR1217" s="64"/>
      <c r="CS1217" s="64"/>
      <c r="CT1217" s="64"/>
      <c r="CU1217" s="64"/>
      <c r="CV1217" s="64"/>
      <c r="CW1217" s="64"/>
      <c r="CX1217" s="64"/>
    </row>
    <row r="1218" spans="1:102" x14ac:dyDescent="0.2">
      <c r="A1218" s="64"/>
      <c r="B1218" s="64"/>
      <c r="C1218" s="102"/>
      <c r="D1218" s="102"/>
      <c r="E1218" s="102"/>
      <c r="F1218" s="102"/>
      <c r="G1218" s="102"/>
      <c r="H1218" s="102"/>
      <c r="I1218" s="64"/>
      <c r="J1218" s="64"/>
      <c r="K1218" s="64"/>
      <c r="L1218" s="64"/>
      <c r="M1218" s="64"/>
      <c r="N1218" s="64"/>
      <c r="O1218" s="64"/>
      <c r="P1218" s="64"/>
      <c r="Q1218" s="64"/>
      <c r="R1218" s="64"/>
      <c r="S1218" s="64"/>
      <c r="T1218" s="64"/>
      <c r="U1218" s="64"/>
      <c r="V1218" s="64"/>
      <c r="W1218" s="64"/>
      <c r="X1218" s="64"/>
      <c r="Y1218" s="64"/>
      <c r="Z1218" s="64"/>
      <c r="AA1218" s="64"/>
      <c r="AB1218" s="64"/>
      <c r="AC1218" s="64"/>
      <c r="AD1218" s="64"/>
      <c r="AE1218" s="64"/>
      <c r="AF1218" s="64"/>
      <c r="AG1218" s="64"/>
      <c r="AH1218" s="64"/>
      <c r="AI1218" s="64"/>
      <c r="AJ1218" s="64"/>
      <c r="AK1218" s="64"/>
      <c r="AL1218" s="64"/>
      <c r="AM1218" s="64"/>
      <c r="AN1218" s="64"/>
      <c r="AO1218" s="64"/>
      <c r="AP1218" s="64"/>
      <c r="AQ1218" s="64"/>
      <c r="AR1218" s="64"/>
      <c r="AS1218" s="64"/>
      <c r="AT1218" s="64"/>
      <c r="AU1218" s="64"/>
      <c r="AV1218" s="64"/>
      <c r="AW1218" s="64"/>
      <c r="AX1218" s="64"/>
      <c r="AY1218" s="64"/>
      <c r="AZ1218" s="64"/>
      <c r="BA1218" s="64"/>
      <c r="BB1218" s="64"/>
      <c r="BC1218" s="64"/>
      <c r="BD1218" s="64"/>
      <c r="BE1218" s="64"/>
      <c r="BF1218" s="64"/>
      <c r="BG1218" s="64"/>
      <c r="BH1218" s="64"/>
      <c r="BI1218" s="64"/>
      <c r="BJ1218" s="64"/>
      <c r="BK1218" s="64"/>
      <c r="BL1218" s="64"/>
      <c r="BM1218" s="64"/>
      <c r="BN1218" s="64"/>
      <c r="BO1218" s="64"/>
      <c r="BP1218" s="64"/>
      <c r="BQ1218" s="64"/>
      <c r="BR1218" s="64"/>
      <c r="BS1218" s="64"/>
      <c r="BT1218" s="64"/>
      <c r="BU1218" s="64"/>
      <c r="BV1218" s="64"/>
      <c r="BW1218" s="64"/>
      <c r="BX1218" s="64"/>
      <c r="BY1218" s="64"/>
      <c r="BZ1218" s="64"/>
      <c r="CA1218" s="64"/>
      <c r="CB1218" s="64"/>
      <c r="CC1218" s="64"/>
      <c r="CD1218" s="64"/>
      <c r="CE1218" s="64"/>
      <c r="CF1218" s="64"/>
      <c r="CG1218" s="64"/>
      <c r="CH1218" s="64"/>
      <c r="CI1218" s="64"/>
      <c r="CJ1218" s="64"/>
      <c r="CK1218" s="64"/>
      <c r="CL1218" s="64"/>
      <c r="CM1218" s="64"/>
      <c r="CN1218" s="64"/>
      <c r="CO1218" s="64"/>
      <c r="CP1218" s="64"/>
      <c r="CQ1218" s="64"/>
      <c r="CR1218" s="64"/>
      <c r="CS1218" s="64"/>
      <c r="CT1218" s="64"/>
      <c r="CU1218" s="64"/>
      <c r="CV1218" s="64"/>
      <c r="CW1218" s="64"/>
      <c r="CX1218" s="64"/>
    </row>
    <row r="1219" spans="1:102" x14ac:dyDescent="0.2">
      <c r="A1219" s="64"/>
      <c r="B1219" s="64"/>
      <c r="C1219" s="102"/>
      <c r="D1219" s="102"/>
      <c r="E1219" s="102"/>
      <c r="F1219" s="102"/>
      <c r="G1219" s="102"/>
      <c r="H1219" s="102"/>
      <c r="I1219" s="64"/>
      <c r="J1219" s="64"/>
      <c r="K1219" s="64"/>
      <c r="L1219" s="64"/>
      <c r="M1219" s="64"/>
      <c r="N1219" s="64"/>
      <c r="O1219" s="64"/>
      <c r="P1219" s="64"/>
      <c r="Q1219" s="64"/>
      <c r="R1219" s="64"/>
      <c r="S1219" s="64"/>
      <c r="T1219" s="64"/>
      <c r="U1219" s="64"/>
      <c r="V1219" s="64"/>
      <c r="W1219" s="64"/>
      <c r="X1219" s="64"/>
      <c r="Y1219" s="64"/>
      <c r="Z1219" s="64"/>
      <c r="AA1219" s="64"/>
      <c r="AB1219" s="64"/>
      <c r="AC1219" s="64"/>
      <c r="AD1219" s="64"/>
      <c r="AE1219" s="64"/>
      <c r="AF1219" s="64"/>
      <c r="AG1219" s="64"/>
      <c r="AH1219" s="64"/>
      <c r="AI1219" s="64"/>
      <c r="AJ1219" s="64"/>
      <c r="AK1219" s="64"/>
      <c r="AL1219" s="64"/>
      <c r="AM1219" s="64"/>
      <c r="AN1219" s="64"/>
      <c r="AO1219" s="64"/>
      <c r="AP1219" s="64"/>
      <c r="AQ1219" s="64"/>
      <c r="AR1219" s="64"/>
      <c r="AS1219" s="64"/>
      <c r="AT1219" s="64"/>
      <c r="AU1219" s="64"/>
      <c r="AV1219" s="64"/>
      <c r="AW1219" s="64"/>
      <c r="AX1219" s="64"/>
      <c r="AY1219" s="64"/>
      <c r="AZ1219" s="64"/>
      <c r="BA1219" s="64"/>
      <c r="BB1219" s="64"/>
      <c r="BC1219" s="64"/>
      <c r="BD1219" s="64"/>
      <c r="BE1219" s="64"/>
      <c r="BF1219" s="64"/>
      <c r="BG1219" s="64"/>
      <c r="BH1219" s="64"/>
      <c r="BI1219" s="64"/>
      <c r="BJ1219" s="64"/>
      <c r="BK1219" s="64"/>
      <c r="BL1219" s="64"/>
      <c r="BM1219" s="64"/>
      <c r="BN1219" s="64"/>
      <c r="BO1219" s="64"/>
      <c r="BP1219" s="64"/>
      <c r="BQ1219" s="64"/>
      <c r="BR1219" s="64"/>
      <c r="BS1219" s="64"/>
      <c r="BT1219" s="64"/>
      <c r="BU1219" s="64"/>
      <c r="BV1219" s="64"/>
      <c r="BW1219" s="64"/>
      <c r="BX1219" s="64"/>
      <c r="BY1219" s="64"/>
      <c r="BZ1219" s="64"/>
      <c r="CA1219" s="64"/>
      <c r="CB1219" s="64"/>
      <c r="CC1219" s="64"/>
      <c r="CD1219" s="64"/>
      <c r="CE1219" s="64"/>
      <c r="CF1219" s="64"/>
      <c r="CG1219" s="64"/>
      <c r="CH1219" s="64"/>
      <c r="CI1219" s="64"/>
      <c r="CJ1219" s="64"/>
      <c r="CK1219" s="64"/>
      <c r="CL1219" s="64"/>
      <c r="CM1219" s="64"/>
      <c r="CN1219" s="64"/>
      <c r="CO1219" s="64"/>
      <c r="CP1219" s="64"/>
      <c r="CQ1219" s="64"/>
      <c r="CR1219" s="64"/>
      <c r="CS1219" s="64"/>
      <c r="CT1219" s="64"/>
      <c r="CU1219" s="64"/>
      <c r="CV1219" s="64"/>
      <c r="CW1219" s="64"/>
      <c r="CX1219" s="64"/>
    </row>
    <row r="1220" spans="1:102" x14ac:dyDescent="0.2">
      <c r="A1220" s="64"/>
      <c r="B1220" s="64"/>
      <c r="C1220" s="102"/>
      <c r="D1220" s="102"/>
      <c r="E1220" s="102"/>
      <c r="F1220" s="102"/>
      <c r="G1220" s="102"/>
      <c r="H1220" s="102"/>
      <c r="I1220" s="64"/>
      <c r="J1220" s="64"/>
      <c r="K1220" s="64"/>
      <c r="L1220" s="64"/>
      <c r="M1220" s="64"/>
      <c r="N1220" s="64"/>
      <c r="O1220" s="64"/>
      <c r="P1220" s="64"/>
      <c r="Q1220" s="64"/>
      <c r="R1220" s="64"/>
      <c r="S1220" s="64"/>
      <c r="T1220" s="64"/>
      <c r="U1220" s="64"/>
      <c r="V1220" s="64"/>
      <c r="W1220" s="64"/>
      <c r="X1220" s="64"/>
      <c r="Y1220" s="64"/>
      <c r="Z1220" s="64"/>
      <c r="AA1220" s="64"/>
      <c r="AB1220" s="64"/>
      <c r="AC1220" s="64"/>
      <c r="AD1220" s="64"/>
      <c r="AE1220" s="64"/>
      <c r="AF1220" s="64"/>
      <c r="AG1220" s="64"/>
      <c r="AH1220" s="64"/>
      <c r="AI1220" s="64"/>
      <c r="AJ1220" s="64"/>
      <c r="AK1220" s="64"/>
      <c r="AL1220" s="64"/>
      <c r="AM1220" s="64"/>
      <c r="AN1220" s="64"/>
      <c r="AO1220" s="64"/>
      <c r="AP1220" s="64"/>
      <c r="AQ1220" s="64"/>
      <c r="AR1220" s="64"/>
      <c r="AS1220" s="64"/>
      <c r="AT1220" s="64"/>
      <c r="AU1220" s="64"/>
      <c r="AV1220" s="64"/>
      <c r="AW1220" s="64"/>
      <c r="AX1220" s="64"/>
      <c r="AY1220" s="64"/>
      <c r="AZ1220" s="64"/>
      <c r="BA1220" s="64"/>
      <c r="BB1220" s="64"/>
      <c r="BC1220" s="64"/>
      <c r="BD1220" s="64"/>
      <c r="BE1220" s="64"/>
      <c r="BF1220" s="64"/>
      <c r="BG1220" s="64"/>
      <c r="BH1220" s="64"/>
      <c r="BI1220" s="64"/>
      <c r="BJ1220" s="64"/>
      <c r="BK1220" s="64"/>
      <c r="BL1220" s="64"/>
      <c r="BM1220" s="64"/>
      <c r="BN1220" s="64"/>
      <c r="BO1220" s="64"/>
      <c r="BP1220" s="64"/>
      <c r="BQ1220" s="64"/>
      <c r="BR1220" s="64"/>
      <c r="BS1220" s="64"/>
      <c r="BT1220" s="64"/>
      <c r="BU1220" s="64"/>
      <c r="BV1220" s="64"/>
      <c r="BW1220" s="64"/>
      <c r="BX1220" s="64"/>
      <c r="BY1220" s="64"/>
      <c r="BZ1220" s="64"/>
      <c r="CA1220" s="64"/>
      <c r="CB1220" s="64"/>
      <c r="CC1220" s="64"/>
      <c r="CD1220" s="64"/>
      <c r="CE1220" s="64"/>
      <c r="CF1220" s="64"/>
      <c r="CG1220" s="64"/>
      <c r="CH1220" s="64"/>
      <c r="CI1220" s="64"/>
      <c r="CJ1220" s="64"/>
      <c r="CK1220" s="64"/>
      <c r="CL1220" s="64"/>
      <c r="CM1220" s="64"/>
      <c r="CN1220" s="64"/>
      <c r="CO1220" s="64"/>
      <c r="CP1220" s="64"/>
      <c r="CQ1220" s="64"/>
      <c r="CR1220" s="64"/>
      <c r="CS1220" s="64"/>
      <c r="CT1220" s="64"/>
      <c r="CU1220" s="64"/>
      <c r="CV1220" s="64"/>
      <c r="CW1220" s="64"/>
      <c r="CX1220" s="64"/>
    </row>
    <row r="1221" spans="1:102" x14ac:dyDescent="0.2">
      <c r="A1221" s="64"/>
      <c r="B1221" s="64"/>
      <c r="C1221" s="102"/>
      <c r="D1221" s="102"/>
      <c r="E1221" s="102"/>
      <c r="F1221" s="102"/>
      <c r="G1221" s="102"/>
      <c r="H1221" s="102"/>
      <c r="I1221" s="64"/>
      <c r="J1221" s="64"/>
      <c r="K1221" s="64"/>
      <c r="L1221" s="64"/>
      <c r="M1221" s="64"/>
      <c r="N1221" s="64"/>
      <c r="O1221" s="64"/>
      <c r="P1221" s="64"/>
      <c r="Q1221" s="64"/>
      <c r="R1221" s="64"/>
      <c r="S1221" s="64"/>
      <c r="T1221" s="64"/>
      <c r="U1221" s="64"/>
      <c r="V1221" s="64"/>
      <c r="W1221" s="64"/>
      <c r="X1221" s="64"/>
      <c r="Y1221" s="64"/>
      <c r="Z1221" s="64"/>
      <c r="AA1221" s="64"/>
      <c r="AB1221" s="64"/>
      <c r="AC1221" s="64"/>
      <c r="AD1221" s="64"/>
      <c r="AE1221" s="64"/>
      <c r="AF1221" s="64"/>
      <c r="AG1221" s="64"/>
      <c r="AH1221" s="64"/>
      <c r="AI1221" s="64"/>
      <c r="AJ1221" s="64"/>
      <c r="AK1221" s="64"/>
      <c r="AL1221" s="64"/>
      <c r="AM1221" s="64"/>
      <c r="AN1221" s="64"/>
      <c r="AO1221" s="64"/>
      <c r="AP1221" s="64"/>
      <c r="AQ1221" s="64"/>
      <c r="AR1221" s="64"/>
      <c r="AS1221" s="64"/>
      <c r="AT1221" s="64"/>
      <c r="AU1221" s="64"/>
      <c r="AV1221" s="64"/>
      <c r="AW1221" s="64"/>
      <c r="AX1221" s="64"/>
      <c r="AY1221" s="64"/>
      <c r="AZ1221" s="64"/>
      <c r="BA1221" s="64"/>
      <c r="BB1221" s="64"/>
      <c r="BC1221" s="64"/>
      <c r="BD1221" s="64"/>
      <c r="BE1221" s="64"/>
      <c r="BF1221" s="64"/>
      <c r="BG1221" s="64"/>
      <c r="BH1221" s="64"/>
      <c r="BI1221" s="64"/>
      <c r="BJ1221" s="64"/>
      <c r="BK1221" s="64"/>
      <c r="BL1221" s="64"/>
      <c r="BM1221" s="64"/>
      <c r="BN1221" s="64"/>
      <c r="BO1221" s="64"/>
      <c r="BP1221" s="64"/>
      <c r="BQ1221" s="64"/>
      <c r="BR1221" s="64"/>
      <c r="BS1221" s="64"/>
      <c r="BT1221" s="64"/>
      <c r="BU1221" s="64"/>
      <c r="BV1221" s="64"/>
      <c r="BW1221" s="64"/>
      <c r="BX1221" s="64"/>
      <c r="BY1221" s="64"/>
      <c r="BZ1221" s="64"/>
      <c r="CA1221" s="64"/>
      <c r="CB1221" s="64"/>
      <c r="CC1221" s="64"/>
      <c r="CD1221" s="64"/>
      <c r="CE1221" s="64"/>
      <c r="CF1221" s="64"/>
      <c r="CG1221" s="64"/>
      <c r="CH1221" s="64"/>
      <c r="CI1221" s="64"/>
      <c r="CJ1221" s="64"/>
      <c r="CK1221" s="64"/>
      <c r="CL1221" s="64"/>
      <c r="CM1221" s="64"/>
      <c r="CN1221" s="64"/>
      <c r="CO1221" s="64"/>
      <c r="CP1221" s="64"/>
      <c r="CQ1221" s="64"/>
      <c r="CR1221" s="64"/>
      <c r="CS1221" s="64"/>
      <c r="CT1221" s="64"/>
      <c r="CU1221" s="64"/>
      <c r="CV1221" s="64"/>
      <c r="CW1221" s="64"/>
      <c r="CX1221" s="64"/>
    </row>
    <row r="1222" spans="1:102" x14ac:dyDescent="0.2">
      <c r="A1222" s="64"/>
      <c r="B1222" s="64"/>
      <c r="C1222" s="102"/>
      <c r="D1222" s="102"/>
      <c r="E1222" s="102"/>
      <c r="F1222" s="102"/>
      <c r="G1222" s="102"/>
      <c r="H1222" s="102"/>
      <c r="I1222" s="64"/>
      <c r="J1222" s="64"/>
      <c r="K1222" s="64"/>
      <c r="L1222" s="64"/>
      <c r="M1222" s="64"/>
      <c r="N1222" s="64"/>
      <c r="O1222" s="64"/>
      <c r="P1222" s="64"/>
      <c r="Q1222" s="64"/>
      <c r="R1222" s="64"/>
      <c r="S1222" s="64"/>
      <c r="T1222" s="64"/>
      <c r="U1222" s="64"/>
      <c r="V1222" s="64"/>
      <c r="W1222" s="64"/>
      <c r="X1222" s="64"/>
      <c r="Y1222" s="64"/>
      <c r="Z1222" s="64"/>
      <c r="AA1222" s="64"/>
      <c r="AB1222" s="64"/>
      <c r="AC1222" s="64"/>
      <c r="AD1222" s="64"/>
      <c r="AE1222" s="64"/>
      <c r="AF1222" s="64"/>
      <c r="AG1222" s="64"/>
      <c r="AH1222" s="64"/>
      <c r="AI1222" s="64"/>
      <c r="AJ1222" s="64"/>
      <c r="AK1222" s="64"/>
      <c r="AL1222" s="64"/>
      <c r="AM1222" s="64"/>
      <c r="AN1222" s="64"/>
      <c r="AO1222" s="64"/>
      <c r="AP1222" s="64"/>
      <c r="AQ1222" s="64"/>
      <c r="AR1222" s="64"/>
      <c r="AS1222" s="64"/>
      <c r="AT1222" s="64"/>
      <c r="AU1222" s="64"/>
      <c r="AV1222" s="64"/>
      <c r="AW1222" s="64"/>
      <c r="AX1222" s="64"/>
      <c r="AY1222" s="64"/>
      <c r="AZ1222" s="64"/>
      <c r="BA1222" s="64"/>
      <c r="BB1222" s="64"/>
      <c r="BC1222" s="64"/>
      <c r="BD1222" s="64"/>
      <c r="BE1222" s="64"/>
      <c r="BF1222" s="64"/>
      <c r="BG1222" s="64"/>
      <c r="BH1222" s="64"/>
      <c r="BI1222" s="64"/>
      <c r="BJ1222" s="64"/>
      <c r="BK1222" s="64"/>
      <c r="BL1222" s="64"/>
      <c r="BM1222" s="64"/>
      <c r="BN1222" s="64"/>
      <c r="BO1222" s="64"/>
      <c r="BP1222" s="64"/>
      <c r="BQ1222" s="64"/>
      <c r="BR1222" s="64"/>
      <c r="BS1222" s="64"/>
      <c r="BT1222" s="64"/>
      <c r="BU1222" s="64"/>
      <c r="BV1222" s="64"/>
      <c r="BW1222" s="64"/>
      <c r="BX1222" s="64"/>
      <c r="BY1222" s="64"/>
      <c r="BZ1222" s="64"/>
      <c r="CA1222" s="64"/>
      <c r="CB1222" s="64"/>
      <c r="CC1222" s="64"/>
      <c r="CD1222" s="64"/>
      <c r="CE1222" s="64"/>
      <c r="CF1222" s="64"/>
      <c r="CG1222" s="64"/>
      <c r="CH1222" s="64"/>
      <c r="CI1222" s="64"/>
      <c r="CJ1222" s="64"/>
      <c r="CK1222" s="64"/>
      <c r="CL1222" s="64"/>
      <c r="CM1222" s="64"/>
      <c r="CN1222" s="64"/>
      <c r="CO1222" s="64"/>
      <c r="CP1222" s="64"/>
      <c r="CQ1222" s="64"/>
      <c r="CR1222" s="64"/>
      <c r="CS1222" s="64"/>
      <c r="CT1222" s="64"/>
      <c r="CU1222" s="64"/>
      <c r="CV1222" s="64"/>
      <c r="CW1222" s="64"/>
      <c r="CX1222" s="64"/>
    </row>
    <row r="1223" spans="1:102" x14ac:dyDescent="0.2">
      <c r="A1223" s="64"/>
      <c r="B1223" s="64"/>
      <c r="C1223" s="102"/>
      <c r="D1223" s="102"/>
      <c r="E1223" s="102"/>
      <c r="F1223" s="102"/>
      <c r="G1223" s="102"/>
      <c r="H1223" s="102"/>
      <c r="I1223" s="64"/>
      <c r="J1223" s="64"/>
      <c r="K1223" s="64"/>
      <c r="L1223" s="64"/>
      <c r="M1223" s="64"/>
      <c r="N1223" s="64"/>
      <c r="O1223" s="64"/>
      <c r="P1223" s="64"/>
      <c r="Q1223" s="64"/>
      <c r="R1223" s="64"/>
      <c r="S1223" s="64"/>
      <c r="T1223" s="64"/>
      <c r="U1223" s="64"/>
      <c r="V1223" s="64"/>
      <c r="W1223" s="64"/>
      <c r="X1223" s="64"/>
      <c r="Y1223" s="64"/>
      <c r="Z1223" s="64"/>
      <c r="AA1223" s="64"/>
      <c r="AB1223" s="64"/>
      <c r="AC1223" s="64"/>
      <c r="AD1223" s="64"/>
      <c r="AE1223" s="64"/>
      <c r="AF1223" s="64"/>
      <c r="AG1223" s="64"/>
      <c r="AH1223" s="64"/>
      <c r="AI1223" s="64"/>
      <c r="AJ1223" s="64"/>
      <c r="AK1223" s="64"/>
      <c r="AL1223" s="64"/>
      <c r="AM1223" s="64"/>
      <c r="AN1223" s="64"/>
      <c r="AO1223" s="64"/>
      <c r="AP1223" s="64"/>
      <c r="AQ1223" s="64"/>
      <c r="AR1223" s="64"/>
      <c r="AS1223" s="64"/>
      <c r="AT1223" s="64"/>
      <c r="AU1223" s="64"/>
      <c r="AV1223" s="64"/>
      <c r="AW1223" s="64"/>
      <c r="AX1223" s="64"/>
      <c r="AY1223" s="64"/>
      <c r="AZ1223" s="64"/>
      <c r="BA1223" s="64"/>
      <c r="BB1223" s="64"/>
      <c r="BC1223" s="64"/>
      <c r="BD1223" s="64"/>
      <c r="BE1223" s="64"/>
      <c r="BF1223" s="64"/>
      <c r="BG1223" s="64"/>
      <c r="BH1223" s="64"/>
      <c r="BI1223" s="64"/>
      <c r="BJ1223" s="64"/>
      <c r="BK1223" s="64"/>
      <c r="BL1223" s="64"/>
      <c r="BM1223" s="64"/>
      <c r="BN1223" s="64"/>
      <c r="BO1223" s="64"/>
      <c r="BP1223" s="64"/>
      <c r="BQ1223" s="64"/>
      <c r="BR1223" s="64"/>
      <c r="BS1223" s="64"/>
      <c r="BT1223" s="64"/>
      <c r="BU1223" s="64"/>
      <c r="BV1223" s="64"/>
      <c r="BW1223" s="64"/>
      <c r="BX1223" s="64"/>
      <c r="BY1223" s="64"/>
      <c r="BZ1223" s="64"/>
      <c r="CA1223" s="64"/>
      <c r="CB1223" s="64"/>
      <c r="CC1223" s="64"/>
      <c r="CD1223" s="64"/>
      <c r="CE1223" s="64"/>
      <c r="CF1223" s="64"/>
      <c r="CG1223" s="64"/>
      <c r="CH1223" s="64"/>
      <c r="CI1223" s="64"/>
      <c r="CJ1223" s="64"/>
      <c r="CK1223" s="64"/>
      <c r="CL1223" s="64"/>
      <c r="CM1223" s="64"/>
      <c r="CN1223" s="64"/>
      <c r="CO1223" s="64"/>
      <c r="CP1223" s="64"/>
      <c r="CQ1223" s="64"/>
      <c r="CR1223" s="64"/>
      <c r="CS1223" s="64"/>
      <c r="CT1223" s="64"/>
      <c r="CU1223" s="64"/>
      <c r="CV1223" s="64"/>
      <c r="CW1223" s="64"/>
      <c r="CX1223" s="64"/>
    </row>
    <row r="1224" spans="1:102" x14ac:dyDescent="0.2">
      <c r="A1224" s="64"/>
      <c r="B1224" s="64"/>
      <c r="C1224" s="102"/>
      <c r="D1224" s="102"/>
      <c r="E1224" s="102"/>
      <c r="F1224" s="102"/>
      <c r="G1224" s="102"/>
      <c r="H1224" s="102"/>
      <c r="I1224" s="64"/>
      <c r="J1224" s="64"/>
      <c r="K1224" s="64"/>
      <c r="L1224" s="64"/>
      <c r="M1224" s="64"/>
      <c r="N1224" s="64"/>
      <c r="O1224" s="64"/>
      <c r="P1224" s="64"/>
      <c r="Q1224" s="64"/>
      <c r="R1224" s="64"/>
      <c r="S1224" s="64"/>
      <c r="T1224" s="64"/>
      <c r="U1224" s="64"/>
      <c r="V1224" s="64"/>
      <c r="W1224" s="64"/>
      <c r="X1224" s="64"/>
      <c r="Y1224" s="64"/>
      <c r="Z1224" s="64"/>
      <c r="AA1224" s="64"/>
      <c r="AB1224" s="64"/>
      <c r="AC1224" s="64"/>
      <c r="AD1224" s="64"/>
      <c r="AE1224" s="64"/>
      <c r="AF1224" s="64"/>
      <c r="AG1224" s="64"/>
      <c r="AH1224" s="64"/>
      <c r="AI1224" s="64"/>
      <c r="AJ1224" s="64"/>
      <c r="AK1224" s="64"/>
      <c r="AL1224" s="64"/>
      <c r="AM1224" s="64"/>
      <c r="AN1224" s="64"/>
      <c r="AO1224" s="64"/>
      <c r="AP1224" s="64"/>
      <c r="AQ1224" s="64"/>
      <c r="AR1224" s="64"/>
      <c r="AS1224" s="64"/>
      <c r="AT1224" s="64"/>
      <c r="AU1224" s="64"/>
      <c r="AV1224" s="64"/>
      <c r="AW1224" s="64"/>
      <c r="AX1224" s="64"/>
      <c r="AY1224" s="64"/>
      <c r="AZ1224" s="64"/>
      <c r="BA1224" s="64"/>
      <c r="BB1224" s="64"/>
      <c r="BC1224" s="64"/>
      <c r="BD1224" s="64"/>
      <c r="BE1224" s="64"/>
      <c r="BF1224" s="64"/>
      <c r="BG1224" s="64"/>
      <c r="BH1224" s="64"/>
      <c r="BI1224" s="64"/>
      <c r="BJ1224" s="64"/>
      <c r="BK1224" s="64"/>
      <c r="BL1224" s="64"/>
      <c r="BM1224" s="64"/>
      <c r="BN1224" s="64"/>
      <c r="BO1224" s="64"/>
      <c r="BP1224" s="64"/>
      <c r="BQ1224" s="64"/>
      <c r="BR1224" s="64"/>
      <c r="BS1224" s="64"/>
      <c r="BT1224" s="64"/>
      <c r="BU1224" s="64"/>
      <c r="BV1224" s="64"/>
      <c r="BW1224" s="64"/>
      <c r="BX1224" s="64"/>
      <c r="BY1224" s="64"/>
      <c r="BZ1224" s="64"/>
      <c r="CA1224" s="64"/>
      <c r="CB1224" s="64"/>
      <c r="CC1224" s="64"/>
      <c r="CD1224" s="64"/>
      <c r="CE1224" s="64"/>
      <c r="CF1224" s="64"/>
      <c r="CG1224" s="64"/>
      <c r="CH1224" s="64"/>
      <c r="CI1224" s="64"/>
      <c r="CJ1224" s="64"/>
      <c r="CK1224" s="64"/>
      <c r="CL1224" s="64"/>
      <c r="CM1224" s="64"/>
      <c r="CN1224" s="64"/>
      <c r="CO1224" s="64"/>
      <c r="CP1224" s="64"/>
      <c r="CQ1224" s="64"/>
      <c r="CR1224" s="64"/>
      <c r="CS1224" s="64"/>
      <c r="CT1224" s="64"/>
      <c r="CU1224" s="64"/>
      <c r="CV1224" s="64"/>
      <c r="CW1224" s="64"/>
      <c r="CX1224" s="64"/>
    </row>
    <row r="1225" spans="1:102" x14ac:dyDescent="0.2">
      <c r="A1225" s="64"/>
      <c r="B1225" s="64"/>
      <c r="C1225" s="102"/>
      <c r="D1225" s="102"/>
      <c r="E1225" s="102"/>
      <c r="F1225" s="102"/>
      <c r="G1225" s="102"/>
      <c r="H1225" s="102"/>
      <c r="I1225" s="64"/>
      <c r="J1225" s="64"/>
      <c r="K1225" s="64"/>
      <c r="L1225" s="64"/>
      <c r="M1225" s="64"/>
      <c r="N1225" s="64"/>
      <c r="O1225" s="64"/>
      <c r="P1225" s="64"/>
      <c r="Q1225" s="64"/>
      <c r="R1225" s="64"/>
      <c r="S1225" s="64"/>
      <c r="T1225" s="64"/>
      <c r="U1225" s="64"/>
      <c r="V1225" s="64"/>
      <c r="W1225" s="64"/>
      <c r="X1225" s="64"/>
      <c r="Y1225" s="64"/>
      <c r="Z1225" s="64"/>
      <c r="AA1225" s="64"/>
      <c r="AB1225" s="64"/>
      <c r="AC1225" s="64"/>
      <c r="AD1225" s="64"/>
      <c r="AE1225" s="64"/>
      <c r="AF1225" s="64"/>
      <c r="AG1225" s="64"/>
      <c r="AH1225" s="64"/>
      <c r="AI1225" s="64"/>
      <c r="AJ1225" s="64"/>
      <c r="AK1225" s="64"/>
      <c r="AL1225" s="64"/>
      <c r="AM1225" s="64"/>
      <c r="AN1225" s="64"/>
      <c r="AO1225" s="64"/>
      <c r="AP1225" s="64"/>
      <c r="AQ1225" s="64"/>
      <c r="AR1225" s="64"/>
      <c r="AS1225" s="64"/>
      <c r="AT1225" s="64"/>
      <c r="AU1225" s="64"/>
      <c r="AV1225" s="64"/>
      <c r="AW1225" s="64"/>
      <c r="AX1225" s="64"/>
      <c r="AY1225" s="64"/>
      <c r="AZ1225" s="64"/>
      <c r="BA1225" s="64"/>
      <c r="BB1225" s="64"/>
      <c r="BC1225" s="64"/>
      <c r="BD1225" s="64"/>
      <c r="BE1225" s="64"/>
      <c r="BF1225" s="64"/>
      <c r="BG1225" s="64"/>
      <c r="BH1225" s="64"/>
      <c r="BI1225" s="64"/>
      <c r="BJ1225" s="64"/>
      <c r="BK1225" s="64"/>
      <c r="BL1225" s="64"/>
      <c r="BM1225" s="64"/>
      <c r="BN1225" s="64"/>
      <c r="BO1225" s="64"/>
      <c r="BP1225" s="64"/>
      <c r="BQ1225" s="64"/>
      <c r="BR1225" s="64"/>
      <c r="BS1225" s="64"/>
      <c r="BT1225" s="64"/>
      <c r="BU1225" s="64"/>
      <c r="BV1225" s="64"/>
      <c r="BW1225" s="64"/>
      <c r="BX1225" s="64"/>
      <c r="BY1225" s="64"/>
      <c r="BZ1225" s="64"/>
      <c r="CA1225" s="64"/>
      <c r="CB1225" s="64"/>
      <c r="CC1225" s="64"/>
      <c r="CD1225" s="64"/>
      <c r="CE1225" s="64"/>
      <c r="CF1225" s="64"/>
      <c r="CG1225" s="64"/>
      <c r="CH1225" s="64"/>
      <c r="CI1225" s="64"/>
      <c r="CJ1225" s="64"/>
      <c r="CK1225" s="64"/>
      <c r="CL1225" s="64"/>
      <c r="CM1225" s="64"/>
      <c r="CN1225" s="64"/>
      <c r="CO1225" s="64"/>
      <c r="CP1225" s="64"/>
      <c r="CQ1225" s="64"/>
      <c r="CR1225" s="64"/>
      <c r="CS1225" s="64"/>
      <c r="CT1225" s="64"/>
      <c r="CU1225" s="64"/>
      <c r="CV1225" s="64"/>
      <c r="CW1225" s="64"/>
      <c r="CX1225" s="64"/>
    </row>
    <row r="1226" spans="1:102" x14ac:dyDescent="0.2">
      <c r="A1226" s="64"/>
      <c r="B1226" s="64"/>
      <c r="C1226" s="102"/>
      <c r="D1226" s="102"/>
      <c r="E1226" s="102"/>
      <c r="F1226" s="102"/>
      <c r="G1226" s="102"/>
      <c r="H1226" s="102"/>
      <c r="I1226" s="64"/>
      <c r="J1226" s="64"/>
      <c r="K1226" s="64"/>
      <c r="L1226" s="64"/>
      <c r="M1226" s="64"/>
      <c r="N1226" s="64"/>
      <c r="O1226" s="64"/>
      <c r="P1226" s="64"/>
      <c r="Q1226" s="64"/>
      <c r="R1226" s="64"/>
      <c r="S1226" s="64"/>
      <c r="T1226" s="64"/>
      <c r="U1226" s="64"/>
      <c r="V1226" s="64"/>
      <c r="W1226" s="64"/>
      <c r="X1226" s="64"/>
      <c r="Y1226" s="64"/>
      <c r="Z1226" s="64"/>
      <c r="AA1226" s="64"/>
      <c r="AB1226" s="64"/>
      <c r="AC1226" s="64"/>
      <c r="AD1226" s="64"/>
      <c r="AE1226" s="64"/>
      <c r="AF1226" s="64"/>
      <c r="AG1226" s="64"/>
      <c r="AH1226" s="64"/>
      <c r="AI1226" s="64"/>
      <c r="AJ1226" s="64"/>
      <c r="AK1226" s="64"/>
      <c r="AL1226" s="64"/>
      <c r="AM1226" s="64"/>
      <c r="AN1226" s="64"/>
      <c r="AO1226" s="64"/>
      <c r="AP1226" s="64"/>
      <c r="AQ1226" s="64"/>
      <c r="AR1226" s="64"/>
      <c r="AS1226" s="64"/>
      <c r="AT1226" s="64"/>
      <c r="AU1226" s="64"/>
      <c r="AV1226" s="64"/>
      <c r="AW1226" s="64"/>
      <c r="AX1226" s="64"/>
      <c r="AY1226" s="64"/>
      <c r="AZ1226" s="64"/>
      <c r="BA1226" s="64"/>
      <c r="BB1226" s="64"/>
      <c r="BC1226" s="64"/>
      <c r="BD1226" s="64"/>
      <c r="BE1226" s="64"/>
      <c r="BF1226" s="64"/>
      <c r="BG1226" s="64"/>
      <c r="BH1226" s="64"/>
      <c r="BI1226" s="64"/>
      <c r="BJ1226" s="64"/>
      <c r="BK1226" s="64"/>
      <c r="BL1226" s="64"/>
      <c r="BM1226" s="64"/>
      <c r="BN1226" s="64"/>
      <c r="BO1226" s="64"/>
      <c r="BP1226" s="64"/>
      <c r="BQ1226" s="64"/>
      <c r="BR1226" s="64"/>
      <c r="BS1226" s="64"/>
      <c r="BT1226" s="64"/>
      <c r="BU1226" s="64"/>
      <c r="BV1226" s="64"/>
      <c r="BW1226" s="64"/>
      <c r="BX1226" s="64"/>
      <c r="BY1226" s="64"/>
      <c r="BZ1226" s="64"/>
      <c r="CA1226" s="64"/>
      <c r="CB1226" s="64"/>
      <c r="CC1226" s="64"/>
      <c r="CD1226" s="64"/>
      <c r="CE1226" s="64"/>
      <c r="CF1226" s="64"/>
      <c r="CG1226" s="64"/>
      <c r="CH1226" s="64"/>
      <c r="CI1226" s="64"/>
      <c r="CJ1226" s="64"/>
      <c r="CK1226" s="64"/>
      <c r="CL1226" s="64"/>
      <c r="CM1226" s="64"/>
      <c r="CN1226" s="64"/>
      <c r="CO1226" s="64"/>
      <c r="CP1226" s="64"/>
      <c r="CQ1226" s="64"/>
      <c r="CR1226" s="64"/>
      <c r="CS1226" s="64"/>
      <c r="CT1226" s="64"/>
      <c r="CU1226" s="64"/>
      <c r="CV1226" s="64"/>
      <c r="CW1226" s="64"/>
      <c r="CX1226" s="64"/>
    </row>
    <row r="1227" spans="1:102" x14ac:dyDescent="0.2">
      <c r="A1227" s="64"/>
      <c r="B1227" s="64"/>
      <c r="C1227" s="102"/>
      <c r="D1227" s="102"/>
      <c r="E1227" s="102"/>
      <c r="F1227" s="102"/>
      <c r="G1227" s="102"/>
      <c r="H1227" s="102"/>
      <c r="I1227" s="64"/>
      <c r="J1227" s="64"/>
      <c r="K1227" s="64"/>
      <c r="L1227" s="64"/>
      <c r="M1227" s="64"/>
      <c r="N1227" s="64"/>
      <c r="O1227" s="64"/>
      <c r="P1227" s="64"/>
      <c r="Q1227" s="64"/>
      <c r="R1227" s="64"/>
      <c r="S1227" s="64"/>
      <c r="T1227" s="64"/>
      <c r="U1227" s="64"/>
      <c r="V1227" s="64"/>
      <c r="W1227" s="64"/>
      <c r="X1227" s="64"/>
      <c r="Y1227" s="64"/>
      <c r="Z1227" s="64"/>
      <c r="AA1227" s="64"/>
      <c r="AB1227" s="64"/>
      <c r="AC1227" s="64"/>
      <c r="AD1227" s="64"/>
      <c r="AE1227" s="64"/>
      <c r="AF1227" s="64"/>
      <c r="AG1227" s="64"/>
      <c r="AH1227" s="64"/>
      <c r="AI1227" s="64"/>
      <c r="AJ1227" s="64"/>
      <c r="AK1227" s="64"/>
      <c r="AL1227" s="64"/>
      <c r="AM1227" s="64"/>
      <c r="AN1227" s="64"/>
      <c r="AO1227" s="64"/>
      <c r="AP1227" s="64"/>
      <c r="AQ1227" s="64"/>
      <c r="AR1227" s="64"/>
      <c r="AS1227" s="64"/>
      <c r="AT1227" s="64"/>
      <c r="AU1227" s="64"/>
      <c r="AV1227" s="64"/>
      <c r="AW1227" s="64"/>
      <c r="AX1227" s="64"/>
      <c r="AY1227" s="64"/>
      <c r="AZ1227" s="64"/>
      <c r="BA1227" s="64"/>
      <c r="BB1227" s="64"/>
      <c r="BC1227" s="64"/>
      <c r="BD1227" s="64"/>
      <c r="BE1227" s="64"/>
      <c r="BF1227" s="64"/>
      <c r="BG1227" s="64"/>
      <c r="BH1227" s="64"/>
      <c r="BI1227" s="64"/>
      <c r="BJ1227" s="64"/>
      <c r="BK1227" s="64"/>
      <c r="BL1227" s="64"/>
      <c r="BM1227" s="64"/>
      <c r="BN1227" s="64"/>
      <c r="BO1227" s="64"/>
      <c r="BP1227" s="64"/>
      <c r="BQ1227" s="64"/>
      <c r="BR1227" s="64"/>
      <c r="BS1227" s="64"/>
      <c r="BT1227" s="64"/>
      <c r="BU1227" s="64"/>
      <c r="BV1227" s="64"/>
      <c r="BW1227" s="64"/>
      <c r="BX1227" s="64"/>
      <c r="BY1227" s="64"/>
      <c r="BZ1227" s="64"/>
      <c r="CA1227" s="64"/>
      <c r="CB1227" s="64"/>
      <c r="CC1227" s="64"/>
      <c r="CD1227" s="64"/>
      <c r="CE1227" s="64"/>
      <c r="CF1227" s="64"/>
      <c r="CG1227" s="64"/>
      <c r="CH1227" s="64"/>
      <c r="CI1227" s="64"/>
      <c r="CJ1227" s="64"/>
      <c r="CK1227" s="64"/>
      <c r="CL1227" s="64"/>
      <c r="CM1227" s="64"/>
      <c r="CN1227" s="64"/>
      <c r="CO1227" s="64"/>
      <c r="CP1227" s="64"/>
      <c r="CQ1227" s="64"/>
      <c r="CR1227" s="64"/>
      <c r="CS1227" s="64"/>
      <c r="CT1227" s="64"/>
      <c r="CU1227" s="64"/>
      <c r="CV1227" s="64"/>
      <c r="CW1227" s="64"/>
      <c r="CX1227" s="64"/>
    </row>
    <row r="1228" spans="1:102" x14ac:dyDescent="0.2">
      <c r="A1228" s="64"/>
      <c r="B1228" s="64"/>
      <c r="C1228" s="102"/>
      <c r="D1228" s="102"/>
      <c r="E1228" s="102"/>
      <c r="F1228" s="102"/>
      <c r="G1228" s="102"/>
      <c r="H1228" s="102"/>
      <c r="I1228" s="64"/>
      <c r="J1228" s="64"/>
      <c r="K1228" s="64"/>
      <c r="L1228" s="64"/>
      <c r="M1228" s="64"/>
      <c r="N1228" s="64"/>
      <c r="O1228" s="64"/>
      <c r="P1228" s="64"/>
      <c r="Q1228" s="64"/>
      <c r="R1228" s="64"/>
      <c r="S1228" s="64"/>
      <c r="T1228" s="64"/>
      <c r="U1228" s="64"/>
      <c r="V1228" s="64"/>
      <c r="W1228" s="64"/>
      <c r="X1228" s="64"/>
      <c r="Y1228" s="64"/>
      <c r="Z1228" s="64"/>
      <c r="AA1228" s="64"/>
      <c r="AB1228" s="64"/>
      <c r="AC1228" s="64"/>
      <c r="AD1228" s="64"/>
      <c r="AE1228" s="64"/>
      <c r="AF1228" s="64"/>
      <c r="AG1228" s="64"/>
      <c r="AH1228" s="64"/>
      <c r="AI1228" s="64"/>
      <c r="AJ1228" s="64"/>
      <c r="AK1228" s="64"/>
      <c r="AL1228" s="64"/>
      <c r="AM1228" s="64"/>
      <c r="AN1228" s="64"/>
      <c r="AO1228" s="64"/>
      <c r="AP1228" s="64"/>
      <c r="AQ1228" s="64"/>
      <c r="AR1228" s="64"/>
      <c r="AS1228" s="64"/>
      <c r="AT1228" s="64"/>
      <c r="AU1228" s="64"/>
      <c r="AV1228" s="64"/>
      <c r="AW1228" s="64"/>
      <c r="AX1228" s="64"/>
      <c r="AY1228" s="64"/>
      <c r="AZ1228" s="64"/>
      <c r="BA1228" s="64"/>
      <c r="BB1228" s="64"/>
      <c r="BC1228" s="64"/>
      <c r="BD1228" s="64"/>
      <c r="BE1228" s="64"/>
      <c r="BF1228" s="64"/>
      <c r="BG1228" s="64"/>
      <c r="BH1228" s="64"/>
      <c r="BI1228" s="64"/>
      <c r="BJ1228" s="64"/>
      <c r="BK1228" s="64"/>
      <c r="BL1228" s="64"/>
      <c r="BM1228" s="64"/>
      <c r="BN1228" s="64"/>
      <c r="BO1228" s="64"/>
      <c r="BP1228" s="64"/>
      <c r="BQ1228" s="64"/>
      <c r="BR1228" s="64"/>
      <c r="BS1228" s="64"/>
      <c r="BT1228" s="64"/>
      <c r="BU1228" s="64"/>
      <c r="BV1228" s="64"/>
      <c r="BW1228" s="64"/>
      <c r="BX1228" s="64"/>
      <c r="BY1228" s="64"/>
      <c r="BZ1228" s="64"/>
      <c r="CA1228" s="64"/>
      <c r="CB1228" s="64"/>
      <c r="CC1228" s="64"/>
      <c r="CD1228" s="64"/>
      <c r="CE1228" s="64"/>
      <c r="CF1228" s="64"/>
      <c r="CG1228" s="64"/>
      <c r="CH1228" s="64"/>
      <c r="CI1228" s="64"/>
      <c r="CJ1228" s="64"/>
      <c r="CK1228" s="64"/>
      <c r="CL1228" s="64"/>
      <c r="CM1228" s="64"/>
      <c r="CN1228" s="64"/>
      <c r="CO1228" s="64"/>
      <c r="CP1228" s="64"/>
      <c r="CQ1228" s="64"/>
      <c r="CR1228" s="64"/>
      <c r="CS1228" s="64"/>
      <c r="CT1228" s="64"/>
      <c r="CU1228" s="64"/>
      <c r="CV1228" s="64"/>
      <c r="CW1228" s="64"/>
      <c r="CX1228" s="64"/>
    </row>
    <row r="1229" spans="1:102" x14ac:dyDescent="0.2">
      <c r="A1229" s="64"/>
      <c r="B1229" s="64"/>
      <c r="C1229" s="102"/>
      <c r="D1229" s="102"/>
      <c r="E1229" s="102"/>
      <c r="F1229" s="102"/>
      <c r="G1229" s="102"/>
      <c r="H1229" s="102"/>
      <c r="I1229" s="64"/>
      <c r="J1229" s="64"/>
      <c r="K1229" s="64"/>
      <c r="L1229" s="64"/>
      <c r="M1229" s="64"/>
      <c r="N1229" s="64"/>
      <c r="O1229" s="64"/>
      <c r="P1229" s="64"/>
      <c r="Q1229" s="64"/>
      <c r="R1229" s="64"/>
      <c r="S1229" s="64"/>
      <c r="T1229" s="64"/>
      <c r="U1229" s="64"/>
      <c r="V1229" s="64"/>
      <c r="W1229" s="64"/>
      <c r="X1229" s="64"/>
      <c r="Y1229" s="64"/>
      <c r="Z1229" s="64"/>
      <c r="AA1229" s="64"/>
      <c r="AB1229" s="64"/>
      <c r="AC1229" s="64"/>
      <c r="AD1229" s="64"/>
      <c r="AE1229" s="64"/>
      <c r="AF1229" s="64"/>
      <c r="AG1229" s="64"/>
      <c r="AH1229" s="64"/>
      <c r="AI1229" s="64"/>
      <c r="AJ1229" s="64"/>
      <c r="AK1229" s="64"/>
      <c r="AL1229" s="64"/>
      <c r="AM1229" s="64"/>
      <c r="AN1229" s="64"/>
      <c r="AO1229" s="64"/>
      <c r="AP1229" s="64"/>
      <c r="AQ1229" s="64"/>
      <c r="AR1229" s="64"/>
      <c r="AS1229" s="64"/>
      <c r="AT1229" s="64"/>
      <c r="AU1229" s="64"/>
      <c r="AV1229" s="64"/>
      <c r="AW1229" s="64"/>
      <c r="AX1229" s="64"/>
      <c r="AY1229" s="64"/>
      <c r="AZ1229" s="64"/>
      <c r="BA1229" s="64"/>
      <c r="BB1229" s="64"/>
      <c r="BC1229" s="64"/>
      <c r="BD1229" s="64"/>
      <c r="BE1229" s="64"/>
      <c r="BF1229" s="64"/>
      <c r="BG1229" s="64"/>
      <c r="BH1229" s="64"/>
      <c r="BI1229" s="64"/>
      <c r="BJ1229" s="64"/>
      <c r="BK1229" s="64"/>
      <c r="BL1229" s="64"/>
      <c r="BM1229" s="64"/>
      <c r="BN1229" s="64"/>
      <c r="BO1229" s="64"/>
      <c r="BP1229" s="64"/>
      <c r="BQ1229" s="64"/>
      <c r="BR1229" s="64"/>
      <c r="BS1229" s="64"/>
      <c r="BT1229" s="64"/>
      <c r="BU1229" s="64"/>
      <c r="BV1229" s="64"/>
      <c r="BW1229" s="64"/>
      <c r="BX1229" s="64"/>
      <c r="BY1229" s="64"/>
      <c r="BZ1229" s="64"/>
      <c r="CA1229" s="64"/>
      <c r="CB1229" s="64"/>
      <c r="CC1229" s="64"/>
      <c r="CD1229" s="64"/>
      <c r="CE1229" s="64"/>
      <c r="CF1229" s="64"/>
      <c r="CG1229" s="64"/>
      <c r="CH1229" s="64"/>
      <c r="CI1229" s="64"/>
      <c r="CJ1229" s="64"/>
      <c r="CK1229" s="64"/>
      <c r="CL1229" s="64"/>
      <c r="CM1229" s="64"/>
      <c r="CN1229" s="64"/>
      <c r="CO1229" s="64"/>
      <c r="CP1229" s="64"/>
      <c r="CQ1229" s="64"/>
      <c r="CR1229" s="64"/>
      <c r="CS1229" s="64"/>
      <c r="CT1229" s="64"/>
      <c r="CU1229" s="64"/>
      <c r="CV1229" s="64"/>
      <c r="CW1229" s="64"/>
      <c r="CX1229" s="64"/>
    </row>
    <row r="1230" spans="1:102" x14ac:dyDescent="0.2">
      <c r="A1230" s="64"/>
      <c r="B1230" s="64"/>
      <c r="C1230" s="102"/>
      <c r="D1230" s="102"/>
      <c r="E1230" s="102"/>
      <c r="F1230" s="102"/>
      <c r="G1230" s="102"/>
      <c r="H1230" s="102"/>
      <c r="I1230" s="64"/>
      <c r="J1230" s="64"/>
      <c r="K1230" s="64"/>
      <c r="L1230" s="64"/>
      <c r="M1230" s="64"/>
      <c r="N1230" s="64"/>
      <c r="O1230" s="64"/>
      <c r="P1230" s="64"/>
      <c r="Q1230" s="64"/>
      <c r="R1230" s="64"/>
      <c r="S1230" s="64"/>
      <c r="T1230" s="64"/>
      <c r="U1230" s="64"/>
      <c r="V1230" s="64"/>
      <c r="W1230" s="64"/>
      <c r="X1230" s="64"/>
      <c r="Y1230" s="64"/>
      <c r="Z1230" s="64"/>
      <c r="AA1230" s="64"/>
      <c r="AB1230" s="64"/>
      <c r="AC1230" s="64"/>
      <c r="AD1230" s="64"/>
      <c r="AE1230" s="64"/>
      <c r="AF1230" s="64"/>
      <c r="AG1230" s="64"/>
      <c r="AH1230" s="64"/>
      <c r="AI1230" s="64"/>
      <c r="AJ1230" s="64"/>
      <c r="AK1230" s="64"/>
      <c r="AL1230" s="64"/>
      <c r="AM1230" s="64"/>
      <c r="AN1230" s="64"/>
      <c r="AO1230" s="64"/>
      <c r="AP1230" s="64"/>
      <c r="AQ1230" s="64"/>
      <c r="AR1230" s="64"/>
      <c r="AS1230" s="64"/>
      <c r="AT1230" s="64"/>
      <c r="AU1230" s="64"/>
      <c r="AV1230" s="64"/>
      <c r="AW1230" s="64"/>
      <c r="AX1230" s="64"/>
      <c r="AY1230" s="64"/>
      <c r="AZ1230" s="64"/>
      <c r="BA1230" s="64"/>
      <c r="BB1230" s="64"/>
      <c r="BC1230" s="64"/>
      <c r="BD1230" s="64"/>
      <c r="BE1230" s="64"/>
      <c r="BF1230" s="64"/>
      <c r="BG1230" s="64"/>
      <c r="BH1230" s="64"/>
      <c r="BI1230" s="64"/>
      <c r="BJ1230" s="64"/>
      <c r="BK1230" s="64"/>
      <c r="BL1230" s="64"/>
      <c r="BM1230" s="64"/>
      <c r="BN1230" s="64"/>
      <c r="BO1230" s="64"/>
      <c r="BP1230" s="64"/>
      <c r="BQ1230" s="64"/>
      <c r="BR1230" s="64"/>
      <c r="BS1230" s="64"/>
      <c r="BT1230" s="64"/>
      <c r="BU1230" s="64"/>
      <c r="BV1230" s="64"/>
      <c r="BW1230" s="64"/>
      <c r="BX1230" s="64"/>
      <c r="BY1230" s="64"/>
      <c r="BZ1230" s="64"/>
      <c r="CA1230" s="64"/>
      <c r="CB1230" s="64"/>
      <c r="CC1230" s="64"/>
      <c r="CD1230" s="64"/>
      <c r="CE1230" s="64"/>
      <c r="CF1230" s="64"/>
      <c r="CG1230" s="64"/>
      <c r="CH1230" s="64"/>
      <c r="CI1230" s="64"/>
      <c r="CJ1230" s="64"/>
      <c r="CK1230" s="64"/>
      <c r="CL1230" s="64"/>
      <c r="CM1230" s="64"/>
      <c r="CN1230" s="64"/>
      <c r="CO1230" s="64"/>
      <c r="CP1230" s="64"/>
      <c r="CQ1230" s="64"/>
      <c r="CR1230" s="64"/>
      <c r="CS1230" s="64"/>
      <c r="CT1230" s="64"/>
      <c r="CU1230" s="64"/>
      <c r="CV1230" s="64"/>
      <c r="CW1230" s="64"/>
      <c r="CX1230" s="64"/>
    </row>
    <row r="1231" spans="1:102" x14ac:dyDescent="0.2">
      <c r="A1231" s="64"/>
      <c r="B1231" s="64"/>
      <c r="C1231" s="102"/>
      <c r="D1231" s="102"/>
      <c r="E1231" s="102"/>
      <c r="F1231" s="102"/>
      <c r="G1231" s="102"/>
      <c r="H1231" s="102"/>
      <c r="I1231" s="64"/>
      <c r="J1231" s="64"/>
      <c r="K1231" s="64"/>
      <c r="L1231" s="64"/>
      <c r="M1231" s="64"/>
      <c r="N1231" s="64"/>
      <c r="O1231" s="64"/>
      <c r="P1231" s="64"/>
      <c r="Q1231" s="64"/>
      <c r="R1231" s="64"/>
      <c r="S1231" s="64"/>
      <c r="T1231" s="64"/>
      <c r="U1231" s="64"/>
      <c r="V1231" s="64"/>
      <c r="W1231" s="64"/>
      <c r="X1231" s="64"/>
      <c r="Y1231" s="64"/>
      <c r="Z1231" s="64"/>
      <c r="AA1231" s="64"/>
      <c r="AB1231" s="64"/>
      <c r="AC1231" s="64"/>
      <c r="AD1231" s="64"/>
      <c r="AE1231" s="64"/>
      <c r="AF1231" s="64"/>
      <c r="AG1231" s="64"/>
      <c r="AH1231" s="64"/>
      <c r="AI1231" s="64"/>
      <c r="AJ1231" s="64"/>
      <c r="AK1231" s="64"/>
      <c r="AL1231" s="64"/>
      <c r="AM1231" s="64"/>
      <c r="AN1231" s="64"/>
      <c r="AO1231" s="64"/>
      <c r="AP1231" s="64"/>
      <c r="AQ1231" s="64"/>
      <c r="AR1231" s="64"/>
      <c r="AS1231" s="64"/>
      <c r="AT1231" s="64"/>
      <c r="AU1231" s="64"/>
      <c r="AV1231" s="64"/>
      <c r="AW1231" s="64"/>
      <c r="AX1231" s="64"/>
      <c r="AY1231" s="64"/>
      <c r="AZ1231" s="64"/>
      <c r="BA1231" s="64"/>
      <c r="BB1231" s="64"/>
      <c r="BC1231" s="64"/>
      <c r="BD1231" s="64"/>
      <c r="BE1231" s="64"/>
      <c r="BF1231" s="64"/>
      <c r="BG1231" s="64"/>
      <c r="BH1231" s="64"/>
      <c r="BI1231" s="64"/>
      <c r="BJ1231" s="64"/>
      <c r="BK1231" s="64"/>
      <c r="BL1231" s="64"/>
      <c r="BM1231" s="64"/>
      <c r="BN1231" s="64"/>
      <c r="BO1231" s="64"/>
      <c r="BP1231" s="64"/>
      <c r="BQ1231" s="64"/>
      <c r="BR1231" s="64"/>
      <c r="BS1231" s="64"/>
      <c r="BT1231" s="64"/>
      <c r="BU1231" s="64"/>
      <c r="BV1231" s="64"/>
      <c r="BW1231" s="64"/>
      <c r="BX1231" s="64"/>
      <c r="BY1231" s="64"/>
      <c r="BZ1231" s="64"/>
      <c r="CA1231" s="64"/>
      <c r="CB1231" s="64"/>
      <c r="CC1231" s="64"/>
      <c r="CD1231" s="64"/>
      <c r="CE1231" s="64"/>
      <c r="CF1231" s="64"/>
      <c r="CG1231" s="64"/>
      <c r="CH1231" s="64"/>
      <c r="CI1231" s="64"/>
      <c r="CJ1231" s="64"/>
      <c r="CK1231" s="64"/>
      <c r="CL1231" s="64"/>
      <c r="CM1231" s="64"/>
      <c r="CN1231" s="64"/>
      <c r="CO1231" s="64"/>
      <c r="CP1231" s="64"/>
      <c r="CQ1231" s="64"/>
      <c r="CR1231" s="64"/>
      <c r="CS1231" s="64"/>
      <c r="CT1231" s="64"/>
      <c r="CU1231" s="64"/>
      <c r="CV1231" s="64"/>
      <c r="CW1231" s="64"/>
      <c r="CX1231" s="64"/>
    </row>
    <row r="1232" spans="1:102" x14ac:dyDescent="0.2">
      <c r="A1232" s="64"/>
      <c r="B1232" s="64"/>
      <c r="C1232" s="102"/>
      <c r="D1232" s="102"/>
      <c r="E1232" s="102"/>
      <c r="F1232" s="102"/>
      <c r="G1232" s="102"/>
      <c r="H1232" s="102"/>
      <c r="I1232" s="64"/>
      <c r="J1232" s="64"/>
      <c r="K1232" s="64"/>
      <c r="L1232" s="64"/>
      <c r="M1232" s="64"/>
      <c r="N1232" s="64"/>
      <c r="O1232" s="64"/>
      <c r="P1232" s="64"/>
      <c r="Q1232" s="64"/>
      <c r="R1232" s="64"/>
      <c r="S1232" s="64"/>
      <c r="T1232" s="64"/>
      <c r="U1232" s="64"/>
      <c r="V1232" s="64"/>
      <c r="W1232" s="64"/>
      <c r="X1232" s="64"/>
      <c r="Y1232" s="64"/>
      <c r="Z1232" s="64"/>
      <c r="AA1232" s="64"/>
      <c r="AB1232" s="64"/>
      <c r="AC1232" s="64"/>
      <c r="AD1232" s="64"/>
      <c r="AE1232" s="64"/>
      <c r="AF1232" s="64"/>
      <c r="AG1232" s="64"/>
      <c r="AH1232" s="64"/>
      <c r="AI1232" s="64"/>
      <c r="AJ1232" s="64"/>
      <c r="AK1232" s="64"/>
      <c r="AL1232" s="64"/>
      <c r="AM1232" s="64"/>
      <c r="AN1232" s="64"/>
      <c r="AO1232" s="64"/>
      <c r="AP1232" s="64"/>
      <c r="AQ1232" s="64"/>
      <c r="AR1232" s="64"/>
      <c r="AS1232" s="64"/>
      <c r="AT1232" s="64"/>
      <c r="AU1232" s="64"/>
      <c r="AV1232" s="64"/>
      <c r="AW1232" s="64"/>
      <c r="AX1232" s="64"/>
      <c r="AY1232" s="64"/>
      <c r="AZ1232" s="64"/>
      <c r="BA1232" s="64"/>
      <c r="BB1232" s="64"/>
      <c r="BC1232" s="64"/>
      <c r="BD1232" s="64"/>
      <c r="BE1232" s="64"/>
      <c r="BF1232" s="64"/>
      <c r="BG1232" s="64"/>
      <c r="BH1232" s="64"/>
      <c r="BI1232" s="64"/>
      <c r="BJ1232" s="64"/>
      <c r="BK1232" s="64"/>
      <c r="BL1232" s="64"/>
      <c r="BM1232" s="64"/>
      <c r="BN1232" s="64"/>
      <c r="BO1232" s="64"/>
      <c r="BP1232" s="64"/>
      <c r="BQ1232" s="64"/>
      <c r="BR1232" s="64"/>
      <c r="BS1232" s="64"/>
      <c r="BT1232" s="64"/>
      <c r="BU1232" s="64"/>
      <c r="BV1232" s="64"/>
      <c r="BW1232" s="64"/>
      <c r="BX1232" s="64"/>
      <c r="BY1232" s="64"/>
      <c r="BZ1232" s="64"/>
      <c r="CA1232" s="64"/>
      <c r="CB1232" s="64"/>
      <c r="CC1232" s="64"/>
      <c r="CD1232" s="64"/>
      <c r="CE1232" s="64"/>
      <c r="CF1232" s="64"/>
      <c r="CG1232" s="64"/>
      <c r="CH1232" s="64"/>
      <c r="CI1232" s="64"/>
      <c r="CJ1232" s="64"/>
      <c r="CK1232" s="64"/>
      <c r="CL1232" s="64"/>
      <c r="CM1232" s="64"/>
      <c r="CN1232" s="64"/>
      <c r="CO1232" s="64"/>
      <c r="CP1232" s="64"/>
      <c r="CQ1232" s="64"/>
      <c r="CR1232" s="64"/>
      <c r="CS1232" s="64"/>
      <c r="CT1232" s="64"/>
      <c r="CU1232" s="64"/>
      <c r="CV1232" s="64"/>
      <c r="CW1232" s="64"/>
      <c r="CX1232" s="64"/>
    </row>
    <row r="1233" spans="1:102" x14ac:dyDescent="0.2">
      <c r="A1233" s="64"/>
      <c r="B1233" s="64"/>
      <c r="C1233" s="102"/>
      <c r="D1233" s="102"/>
      <c r="E1233" s="102"/>
      <c r="F1233" s="102"/>
      <c r="G1233" s="102"/>
      <c r="H1233" s="102"/>
      <c r="I1233" s="64"/>
      <c r="J1233" s="64"/>
      <c r="K1233" s="64"/>
      <c r="L1233" s="64"/>
      <c r="M1233" s="64"/>
      <c r="N1233" s="64"/>
      <c r="O1233" s="64"/>
      <c r="P1233" s="64"/>
      <c r="Q1233" s="64"/>
      <c r="R1233" s="64"/>
      <c r="S1233" s="64"/>
      <c r="T1233" s="64"/>
      <c r="U1233" s="64"/>
      <c r="V1233" s="64"/>
      <c r="W1233" s="64"/>
      <c r="X1233" s="64"/>
      <c r="Y1233" s="64"/>
      <c r="Z1233" s="64"/>
      <c r="AA1233" s="64"/>
      <c r="AB1233" s="64"/>
      <c r="AC1233" s="64"/>
      <c r="AD1233" s="64"/>
      <c r="AE1233" s="64"/>
      <c r="AF1233" s="64"/>
      <c r="AG1233" s="64"/>
      <c r="AH1233" s="64"/>
      <c r="AI1233" s="64"/>
      <c r="AJ1233" s="64"/>
      <c r="AK1233" s="64"/>
      <c r="AL1233" s="64"/>
      <c r="AM1233" s="64"/>
      <c r="AN1233" s="64"/>
      <c r="AO1233" s="64"/>
      <c r="AP1233" s="64"/>
      <c r="AQ1233" s="64"/>
      <c r="AR1233" s="64"/>
      <c r="AS1233" s="64"/>
      <c r="AT1233" s="64"/>
      <c r="AU1233" s="64"/>
      <c r="AV1233" s="64"/>
      <c r="AW1233" s="64"/>
      <c r="AX1233" s="64"/>
      <c r="AY1233" s="64"/>
      <c r="AZ1233" s="64"/>
      <c r="BA1233" s="64"/>
      <c r="BB1233" s="64"/>
      <c r="BC1233" s="64"/>
      <c r="BD1233" s="64"/>
      <c r="BE1233" s="64"/>
      <c r="BF1233" s="64"/>
      <c r="BG1233" s="64"/>
      <c r="BH1233" s="64"/>
      <c r="BI1233" s="64"/>
      <c r="BJ1233" s="64"/>
      <c r="BK1233" s="64"/>
      <c r="BL1233" s="64"/>
      <c r="BM1233" s="64"/>
      <c r="BN1233" s="64"/>
      <c r="BO1233" s="64"/>
      <c r="BP1233" s="64"/>
      <c r="BQ1233" s="64"/>
      <c r="BR1233" s="64"/>
      <c r="BS1233" s="64"/>
      <c r="BT1233" s="64"/>
      <c r="BU1233" s="64"/>
      <c r="BV1233" s="64"/>
      <c r="BW1233" s="64"/>
      <c r="BX1233" s="64"/>
      <c r="BY1233" s="64"/>
      <c r="BZ1233" s="64"/>
      <c r="CA1233" s="64"/>
      <c r="CB1233" s="64"/>
      <c r="CC1233" s="64"/>
      <c r="CD1233" s="64"/>
      <c r="CE1233" s="64"/>
      <c r="CF1233" s="64"/>
      <c r="CG1233" s="64"/>
      <c r="CH1233" s="64"/>
      <c r="CI1233" s="64"/>
      <c r="CJ1233" s="64"/>
      <c r="CK1233" s="64"/>
      <c r="CL1233" s="64"/>
      <c r="CM1233" s="64"/>
      <c r="CN1233" s="64"/>
      <c r="CO1233" s="64"/>
      <c r="CP1233" s="64"/>
      <c r="CQ1233" s="64"/>
      <c r="CR1233" s="64"/>
      <c r="CS1233" s="64"/>
      <c r="CT1233" s="64"/>
      <c r="CU1233" s="64"/>
      <c r="CV1233" s="64"/>
      <c r="CW1233" s="64"/>
      <c r="CX1233" s="64"/>
    </row>
    <row r="1234" spans="1:102" x14ac:dyDescent="0.2">
      <c r="A1234" s="64"/>
      <c r="B1234" s="64"/>
      <c r="C1234" s="102"/>
      <c r="D1234" s="102"/>
      <c r="E1234" s="102"/>
      <c r="F1234" s="102"/>
      <c r="G1234" s="102"/>
      <c r="H1234" s="102"/>
      <c r="I1234" s="64"/>
      <c r="J1234" s="64"/>
      <c r="K1234" s="64"/>
      <c r="L1234" s="64"/>
      <c r="M1234" s="64"/>
      <c r="N1234" s="64"/>
      <c r="O1234" s="64"/>
      <c r="P1234" s="64"/>
      <c r="Q1234" s="64"/>
      <c r="R1234" s="64"/>
      <c r="S1234" s="64"/>
      <c r="T1234" s="64"/>
      <c r="U1234" s="64"/>
      <c r="V1234" s="64"/>
      <c r="W1234" s="64"/>
      <c r="X1234" s="64"/>
      <c r="Y1234" s="64"/>
      <c r="Z1234" s="64"/>
      <c r="AA1234" s="64"/>
      <c r="AB1234" s="64"/>
      <c r="AC1234" s="64"/>
      <c r="AD1234" s="64"/>
      <c r="AE1234" s="64"/>
      <c r="AF1234" s="64"/>
      <c r="AG1234" s="64"/>
      <c r="AH1234" s="64"/>
      <c r="AI1234" s="64"/>
      <c r="AJ1234" s="64"/>
      <c r="AK1234" s="64"/>
      <c r="AL1234" s="64"/>
      <c r="AM1234" s="64"/>
      <c r="AN1234" s="64"/>
      <c r="AO1234" s="64"/>
      <c r="AP1234" s="64"/>
      <c r="AQ1234" s="64"/>
      <c r="AR1234" s="64"/>
      <c r="AS1234" s="64"/>
      <c r="AT1234" s="64"/>
      <c r="AU1234" s="64"/>
      <c r="AV1234" s="64"/>
      <c r="AW1234" s="64"/>
      <c r="AX1234" s="64"/>
      <c r="AY1234" s="64"/>
      <c r="AZ1234" s="64"/>
      <c r="BA1234" s="64"/>
      <c r="BB1234" s="64"/>
      <c r="BC1234" s="64"/>
      <c r="BD1234" s="64"/>
      <c r="BE1234" s="64"/>
      <c r="BF1234" s="64"/>
      <c r="BG1234" s="64"/>
      <c r="BH1234" s="64"/>
      <c r="BI1234" s="64"/>
      <c r="BJ1234" s="64"/>
      <c r="BK1234" s="64"/>
      <c r="BL1234" s="64"/>
      <c r="BM1234" s="64"/>
      <c r="BN1234" s="64"/>
      <c r="BO1234" s="64"/>
      <c r="BP1234" s="64"/>
      <c r="BQ1234" s="64"/>
      <c r="BR1234" s="64"/>
      <c r="BS1234" s="64"/>
      <c r="BT1234" s="64"/>
      <c r="BU1234" s="64"/>
      <c r="BV1234" s="64"/>
      <c r="BW1234" s="64"/>
      <c r="BX1234" s="64"/>
      <c r="BY1234" s="64"/>
      <c r="BZ1234" s="64"/>
      <c r="CA1234" s="64"/>
      <c r="CB1234" s="64"/>
      <c r="CC1234" s="64"/>
      <c r="CD1234" s="64"/>
      <c r="CE1234" s="64"/>
      <c r="CF1234" s="64"/>
      <c r="CG1234" s="64"/>
      <c r="CH1234" s="64"/>
      <c r="CI1234" s="64"/>
      <c r="CJ1234" s="64"/>
      <c r="CK1234" s="64"/>
      <c r="CL1234" s="64"/>
      <c r="CM1234" s="64"/>
      <c r="CN1234" s="64"/>
      <c r="CO1234" s="64"/>
      <c r="CP1234" s="64"/>
      <c r="CQ1234" s="64"/>
      <c r="CR1234" s="64"/>
      <c r="CS1234" s="64"/>
      <c r="CT1234" s="64"/>
      <c r="CU1234" s="64"/>
      <c r="CV1234" s="64"/>
      <c r="CW1234" s="64"/>
      <c r="CX1234" s="64"/>
    </row>
    <row r="1235" spans="1:102" x14ac:dyDescent="0.2">
      <c r="A1235" s="64"/>
      <c r="B1235" s="64"/>
      <c r="C1235" s="102"/>
      <c r="D1235" s="102"/>
      <c r="E1235" s="102"/>
      <c r="F1235" s="102"/>
      <c r="G1235" s="102"/>
      <c r="H1235" s="102"/>
      <c r="I1235" s="64"/>
      <c r="J1235" s="64"/>
      <c r="K1235" s="64"/>
      <c r="L1235" s="64"/>
      <c r="M1235" s="64"/>
      <c r="N1235" s="64"/>
      <c r="O1235" s="64"/>
      <c r="P1235" s="64"/>
      <c r="Q1235" s="64"/>
      <c r="R1235" s="64"/>
      <c r="S1235" s="64"/>
      <c r="T1235" s="64"/>
      <c r="U1235" s="64"/>
      <c r="V1235" s="64"/>
      <c r="W1235" s="64"/>
      <c r="X1235" s="64"/>
      <c r="Y1235" s="64"/>
      <c r="Z1235" s="64"/>
      <c r="AA1235" s="64"/>
      <c r="AB1235" s="64"/>
      <c r="AC1235" s="64"/>
      <c r="AD1235" s="64"/>
      <c r="AE1235" s="64"/>
      <c r="AF1235" s="64"/>
      <c r="AG1235" s="64"/>
      <c r="AH1235" s="64"/>
      <c r="AI1235" s="64"/>
      <c r="AJ1235" s="64"/>
      <c r="AK1235" s="64"/>
      <c r="AL1235" s="64"/>
      <c r="AM1235" s="64"/>
      <c r="AN1235" s="64"/>
      <c r="AO1235" s="64"/>
      <c r="AP1235" s="64"/>
      <c r="AQ1235" s="64"/>
      <c r="AR1235" s="64"/>
      <c r="AS1235" s="64"/>
      <c r="AT1235" s="64"/>
      <c r="AU1235" s="64"/>
      <c r="AV1235" s="64"/>
      <c r="AW1235" s="64"/>
      <c r="AX1235" s="64"/>
      <c r="AY1235" s="64"/>
      <c r="AZ1235" s="64"/>
      <c r="BA1235" s="64"/>
      <c r="BB1235" s="64"/>
      <c r="BC1235" s="64"/>
      <c r="BD1235" s="64"/>
      <c r="BE1235" s="64"/>
      <c r="BF1235" s="64"/>
      <c r="BG1235" s="64"/>
      <c r="BH1235" s="64"/>
      <c r="BI1235" s="64"/>
      <c r="BJ1235" s="64"/>
      <c r="BK1235" s="64"/>
      <c r="BL1235" s="64"/>
      <c r="BM1235" s="64"/>
      <c r="BN1235" s="64"/>
      <c r="BO1235" s="64"/>
      <c r="BP1235" s="64"/>
      <c r="BQ1235" s="64"/>
      <c r="BR1235" s="64"/>
      <c r="BS1235" s="64"/>
      <c r="BT1235" s="64"/>
      <c r="BU1235" s="64"/>
      <c r="BV1235" s="64"/>
      <c r="BW1235" s="64"/>
      <c r="BX1235" s="64"/>
      <c r="BY1235" s="64"/>
      <c r="BZ1235" s="64"/>
      <c r="CA1235" s="64"/>
      <c r="CB1235" s="64"/>
      <c r="CC1235" s="64"/>
      <c r="CD1235" s="64"/>
      <c r="CE1235" s="64"/>
      <c r="CF1235" s="64"/>
      <c r="CG1235" s="64"/>
      <c r="CH1235" s="64"/>
      <c r="CI1235" s="64"/>
      <c r="CJ1235" s="64"/>
      <c r="CK1235" s="64"/>
      <c r="CL1235" s="64"/>
      <c r="CM1235" s="64"/>
      <c r="CN1235" s="64"/>
      <c r="CO1235" s="64"/>
      <c r="CP1235" s="64"/>
      <c r="CQ1235" s="64"/>
      <c r="CR1235" s="64"/>
      <c r="CS1235" s="64"/>
      <c r="CT1235" s="64"/>
      <c r="CU1235" s="64"/>
      <c r="CV1235" s="64"/>
      <c r="CW1235" s="64"/>
      <c r="CX1235" s="64"/>
    </row>
    <row r="1236" spans="1:102" x14ac:dyDescent="0.2">
      <c r="A1236" s="64"/>
      <c r="B1236" s="64"/>
      <c r="C1236" s="102"/>
      <c r="D1236" s="102"/>
      <c r="E1236" s="102"/>
      <c r="F1236" s="102"/>
      <c r="G1236" s="102"/>
      <c r="H1236" s="102"/>
      <c r="I1236" s="64"/>
      <c r="J1236" s="64"/>
      <c r="K1236" s="64"/>
      <c r="L1236" s="64"/>
      <c r="M1236" s="64"/>
      <c r="N1236" s="64"/>
      <c r="O1236" s="64"/>
      <c r="P1236" s="64"/>
      <c r="Q1236" s="64"/>
      <c r="R1236" s="64"/>
      <c r="S1236" s="64"/>
      <c r="T1236" s="64"/>
      <c r="U1236" s="64"/>
      <c r="V1236" s="64"/>
      <c r="W1236" s="64"/>
      <c r="X1236" s="64"/>
      <c r="Y1236" s="64"/>
      <c r="Z1236" s="64"/>
      <c r="AA1236" s="64"/>
      <c r="AB1236" s="64"/>
      <c r="AC1236" s="64"/>
      <c r="AD1236" s="64"/>
      <c r="AE1236" s="64"/>
      <c r="AF1236" s="64"/>
      <c r="AG1236" s="64"/>
      <c r="AH1236" s="64"/>
      <c r="AI1236" s="64"/>
      <c r="AJ1236" s="64"/>
      <c r="AK1236" s="64"/>
      <c r="AL1236" s="64"/>
      <c r="AM1236" s="64"/>
      <c r="AN1236" s="64"/>
      <c r="AO1236" s="64"/>
      <c r="AP1236" s="64"/>
      <c r="AQ1236" s="64"/>
      <c r="AR1236" s="64"/>
      <c r="AS1236" s="64"/>
      <c r="AT1236" s="64"/>
      <c r="AU1236" s="64"/>
      <c r="AV1236" s="64"/>
      <c r="AW1236" s="64"/>
      <c r="AX1236" s="64"/>
      <c r="AY1236" s="64"/>
      <c r="AZ1236" s="64"/>
      <c r="BA1236" s="64"/>
      <c r="BB1236" s="64"/>
      <c r="BC1236" s="64"/>
      <c r="BD1236" s="64"/>
      <c r="BE1236" s="64"/>
      <c r="BF1236" s="64"/>
      <c r="BG1236" s="64"/>
      <c r="BH1236" s="64"/>
      <c r="BI1236" s="64"/>
      <c r="BJ1236" s="64"/>
      <c r="BK1236" s="64"/>
      <c r="BL1236" s="64"/>
      <c r="BM1236" s="64"/>
      <c r="BN1236" s="64"/>
      <c r="BO1236" s="64"/>
      <c r="BP1236" s="64"/>
      <c r="BQ1236" s="64"/>
      <c r="BR1236" s="64"/>
      <c r="BS1236" s="64"/>
      <c r="BT1236" s="64"/>
      <c r="BU1236" s="64"/>
      <c r="BV1236" s="64"/>
      <c r="BW1236" s="64"/>
      <c r="BX1236" s="64"/>
      <c r="BY1236" s="64"/>
      <c r="BZ1236" s="64"/>
      <c r="CA1236" s="64"/>
      <c r="CB1236" s="64"/>
      <c r="CC1236" s="64"/>
      <c r="CD1236" s="64"/>
      <c r="CE1236" s="64"/>
      <c r="CF1236" s="64"/>
      <c r="CG1236" s="64"/>
      <c r="CH1236" s="64"/>
      <c r="CI1236" s="64"/>
      <c r="CJ1236" s="64"/>
      <c r="CK1236" s="64"/>
      <c r="CL1236" s="64"/>
      <c r="CM1236" s="64"/>
      <c r="CN1236" s="64"/>
      <c r="CO1236" s="64"/>
      <c r="CP1236" s="64"/>
      <c r="CQ1236" s="64"/>
      <c r="CR1236" s="64"/>
      <c r="CS1236" s="64"/>
      <c r="CT1236" s="64"/>
      <c r="CU1236" s="64"/>
      <c r="CV1236" s="64"/>
      <c r="CW1236" s="64"/>
      <c r="CX1236" s="64"/>
    </row>
    <row r="1237" spans="1:102" x14ac:dyDescent="0.2">
      <c r="A1237" s="64"/>
      <c r="B1237" s="64"/>
      <c r="C1237" s="102"/>
      <c r="D1237" s="102"/>
      <c r="E1237" s="102"/>
      <c r="F1237" s="102"/>
      <c r="G1237" s="102"/>
      <c r="H1237" s="102"/>
      <c r="I1237" s="64"/>
      <c r="J1237" s="64"/>
      <c r="K1237" s="64"/>
      <c r="L1237" s="64"/>
      <c r="M1237" s="64"/>
      <c r="N1237" s="64"/>
      <c r="O1237" s="64"/>
      <c r="P1237" s="64"/>
      <c r="Q1237" s="64"/>
      <c r="R1237" s="64"/>
      <c r="S1237" s="64"/>
      <c r="T1237" s="64"/>
      <c r="U1237" s="64"/>
      <c r="V1237" s="64"/>
      <c r="W1237" s="64"/>
      <c r="X1237" s="64"/>
      <c r="Y1237" s="64"/>
      <c r="Z1237" s="64"/>
      <c r="AA1237" s="64"/>
      <c r="AB1237" s="64"/>
      <c r="AC1237" s="64"/>
      <c r="AD1237" s="64"/>
      <c r="AE1237" s="64"/>
      <c r="AF1237" s="64"/>
      <c r="AG1237" s="64"/>
      <c r="AH1237" s="64"/>
      <c r="AI1237" s="64"/>
      <c r="AJ1237" s="64"/>
      <c r="AK1237" s="64"/>
      <c r="AL1237" s="64"/>
      <c r="AM1237" s="64"/>
      <c r="AN1237" s="64"/>
      <c r="AO1237" s="64"/>
      <c r="AP1237" s="64"/>
      <c r="AQ1237" s="64"/>
      <c r="AR1237" s="64"/>
      <c r="AS1237" s="64"/>
      <c r="AT1237" s="64"/>
      <c r="AU1237" s="64"/>
      <c r="AV1237" s="64"/>
      <c r="AW1237" s="64"/>
      <c r="AX1237" s="64"/>
      <c r="AY1237" s="64"/>
      <c r="AZ1237" s="64"/>
      <c r="BA1237" s="64"/>
      <c r="BB1237" s="64"/>
      <c r="BC1237" s="64"/>
      <c r="BD1237" s="64"/>
      <c r="BE1237" s="64"/>
      <c r="BF1237" s="64"/>
      <c r="BG1237" s="64"/>
      <c r="BH1237" s="64"/>
      <c r="BI1237" s="64"/>
      <c r="BJ1237" s="64"/>
      <c r="BK1237" s="64"/>
      <c r="BL1237" s="64"/>
      <c r="BM1237" s="64"/>
      <c r="BN1237" s="64"/>
      <c r="BO1237" s="64"/>
      <c r="BP1237" s="64"/>
      <c r="BQ1237" s="64"/>
      <c r="BR1237" s="64"/>
      <c r="BS1237" s="64"/>
      <c r="BT1237" s="64"/>
      <c r="BU1237" s="64"/>
      <c r="BV1237" s="64"/>
      <c r="BW1237" s="64"/>
      <c r="BX1237" s="64"/>
      <c r="BY1237" s="64"/>
      <c r="BZ1237" s="64"/>
      <c r="CA1237" s="64"/>
      <c r="CB1237" s="64"/>
      <c r="CC1237" s="64"/>
      <c r="CD1237" s="64"/>
      <c r="CE1237" s="64"/>
      <c r="CF1237" s="64"/>
      <c r="CG1237" s="64"/>
      <c r="CH1237" s="64"/>
      <c r="CI1237" s="64"/>
      <c r="CJ1237" s="64"/>
      <c r="CK1237" s="64"/>
      <c r="CL1237" s="64"/>
      <c r="CM1237" s="64"/>
      <c r="CN1237" s="64"/>
      <c r="CO1237" s="64"/>
      <c r="CP1237" s="64"/>
      <c r="CQ1237" s="64"/>
      <c r="CR1237" s="64"/>
      <c r="CS1237" s="64"/>
      <c r="CT1237" s="64"/>
      <c r="CU1237" s="64"/>
      <c r="CV1237" s="64"/>
      <c r="CW1237" s="64"/>
      <c r="CX1237" s="64"/>
    </row>
    <row r="1238" spans="1:102" x14ac:dyDescent="0.2">
      <c r="A1238" s="64"/>
      <c r="B1238" s="64"/>
      <c r="C1238" s="102"/>
      <c r="D1238" s="102"/>
      <c r="E1238" s="102"/>
      <c r="F1238" s="102"/>
      <c r="G1238" s="102"/>
      <c r="H1238" s="102"/>
      <c r="I1238" s="64"/>
      <c r="J1238" s="64"/>
      <c r="K1238" s="64"/>
      <c r="L1238" s="64"/>
      <c r="M1238" s="64"/>
      <c r="N1238" s="64"/>
      <c r="O1238" s="64"/>
      <c r="P1238" s="64"/>
      <c r="Q1238" s="64"/>
      <c r="R1238" s="64"/>
      <c r="S1238" s="64"/>
      <c r="T1238" s="64"/>
      <c r="U1238" s="64"/>
      <c r="V1238" s="64"/>
      <c r="W1238" s="64"/>
      <c r="X1238" s="64"/>
      <c r="Y1238" s="64"/>
      <c r="Z1238" s="64"/>
      <c r="AA1238" s="64"/>
      <c r="AB1238" s="64"/>
      <c r="AC1238" s="64"/>
      <c r="AD1238" s="64"/>
      <c r="AE1238" s="64"/>
      <c r="AF1238" s="64"/>
      <c r="AG1238" s="64"/>
      <c r="AH1238" s="64"/>
      <c r="AI1238" s="64"/>
      <c r="AJ1238" s="64"/>
      <c r="AK1238" s="64"/>
      <c r="AL1238" s="64"/>
      <c r="AM1238" s="64"/>
      <c r="AN1238" s="64"/>
      <c r="AO1238" s="64"/>
      <c r="AP1238" s="64"/>
      <c r="AQ1238" s="64"/>
      <c r="AR1238" s="64"/>
      <c r="AS1238" s="64"/>
      <c r="AT1238" s="64"/>
      <c r="AU1238" s="64"/>
      <c r="AV1238" s="64"/>
      <c r="AW1238" s="64"/>
      <c r="AX1238" s="64"/>
      <c r="AY1238" s="64"/>
      <c r="AZ1238" s="64"/>
      <c r="BA1238" s="64"/>
      <c r="BB1238" s="64"/>
      <c r="BC1238" s="64"/>
      <c r="BD1238" s="64"/>
      <c r="BE1238" s="64"/>
      <c r="BF1238" s="64"/>
      <c r="BG1238" s="64"/>
      <c r="BH1238" s="64"/>
      <c r="BI1238" s="64"/>
      <c r="BJ1238" s="64"/>
      <c r="BK1238" s="64"/>
      <c r="BL1238" s="64"/>
      <c r="BM1238" s="64"/>
      <c r="BN1238" s="64"/>
      <c r="BO1238" s="64"/>
      <c r="BP1238" s="64"/>
      <c r="BQ1238" s="64"/>
      <c r="BR1238" s="64"/>
      <c r="BS1238" s="64"/>
      <c r="BT1238" s="64"/>
      <c r="BU1238" s="64"/>
      <c r="BV1238" s="64"/>
      <c r="BW1238" s="64"/>
      <c r="BX1238" s="64"/>
      <c r="BY1238" s="64"/>
      <c r="BZ1238" s="64"/>
      <c r="CA1238" s="64"/>
      <c r="CB1238" s="64"/>
      <c r="CC1238" s="64"/>
      <c r="CD1238" s="64"/>
      <c r="CE1238" s="64"/>
      <c r="CF1238" s="64"/>
      <c r="CG1238" s="64"/>
      <c r="CH1238" s="64"/>
      <c r="CI1238" s="64"/>
      <c r="CJ1238" s="64"/>
      <c r="CK1238" s="64"/>
      <c r="CL1238" s="64"/>
      <c r="CM1238" s="64"/>
      <c r="CN1238" s="64"/>
      <c r="CO1238" s="64"/>
      <c r="CP1238" s="64"/>
      <c r="CQ1238" s="64"/>
      <c r="CR1238" s="64"/>
      <c r="CS1238" s="64"/>
      <c r="CT1238" s="64"/>
      <c r="CU1238" s="64"/>
      <c r="CV1238" s="64"/>
      <c r="CW1238" s="64"/>
      <c r="CX1238" s="64"/>
    </row>
    <row r="1239" spans="1:102" x14ac:dyDescent="0.2">
      <c r="A1239" s="64"/>
      <c r="B1239" s="64"/>
      <c r="C1239" s="102"/>
      <c r="D1239" s="102"/>
      <c r="E1239" s="102"/>
      <c r="F1239" s="102"/>
      <c r="G1239" s="102"/>
      <c r="H1239" s="102"/>
      <c r="I1239" s="64"/>
      <c r="J1239" s="64"/>
      <c r="K1239" s="64"/>
      <c r="L1239" s="64"/>
      <c r="M1239" s="64"/>
      <c r="N1239" s="64"/>
      <c r="O1239" s="64"/>
      <c r="P1239" s="64"/>
      <c r="Q1239" s="64"/>
      <c r="R1239" s="64"/>
      <c r="S1239" s="64"/>
      <c r="T1239" s="64"/>
      <c r="U1239" s="64"/>
      <c r="V1239" s="64"/>
      <c r="W1239" s="64"/>
      <c r="X1239" s="64"/>
      <c r="Y1239" s="64"/>
      <c r="Z1239" s="64"/>
      <c r="AA1239" s="64"/>
      <c r="AB1239" s="64"/>
      <c r="AC1239" s="64"/>
      <c r="AD1239" s="64"/>
      <c r="AE1239" s="64"/>
      <c r="AF1239" s="64"/>
      <c r="AG1239" s="64"/>
      <c r="AH1239" s="64"/>
      <c r="AI1239" s="64"/>
      <c r="AJ1239" s="64"/>
      <c r="AK1239" s="64"/>
      <c r="AL1239" s="64"/>
      <c r="AM1239" s="64"/>
      <c r="AN1239" s="64"/>
      <c r="AO1239" s="64"/>
      <c r="AP1239" s="64"/>
      <c r="AQ1239" s="64"/>
      <c r="AR1239" s="64"/>
      <c r="AS1239" s="64"/>
      <c r="AT1239" s="64"/>
      <c r="AU1239" s="64"/>
      <c r="AV1239" s="64"/>
      <c r="AW1239" s="64"/>
      <c r="AX1239" s="64"/>
      <c r="AY1239" s="64"/>
      <c r="AZ1239" s="64"/>
      <c r="BA1239" s="64"/>
      <c r="BB1239" s="64"/>
      <c r="BC1239" s="64"/>
      <c r="BD1239" s="64"/>
      <c r="BE1239" s="64"/>
      <c r="BF1239" s="64"/>
      <c r="BG1239" s="64"/>
      <c r="BH1239" s="64"/>
      <c r="BI1239" s="64"/>
      <c r="BJ1239" s="64"/>
      <c r="BK1239" s="64"/>
      <c r="BL1239" s="64"/>
      <c r="BM1239" s="64"/>
      <c r="BN1239" s="64"/>
      <c r="BO1239" s="64"/>
      <c r="BP1239" s="64"/>
      <c r="BQ1239" s="64"/>
      <c r="BR1239" s="64"/>
      <c r="BS1239" s="64"/>
      <c r="BT1239" s="64"/>
      <c r="BU1239" s="64"/>
      <c r="BV1239" s="64"/>
      <c r="BW1239" s="64"/>
      <c r="BX1239" s="64"/>
      <c r="BY1239" s="64"/>
      <c r="BZ1239" s="64"/>
      <c r="CA1239" s="64"/>
      <c r="CB1239" s="64"/>
      <c r="CC1239" s="64"/>
      <c r="CD1239" s="64"/>
      <c r="CE1239" s="64"/>
      <c r="CF1239" s="64"/>
      <c r="CG1239" s="64"/>
      <c r="CH1239" s="64"/>
      <c r="CI1239" s="64"/>
      <c r="CJ1239" s="64"/>
      <c r="CK1239" s="64"/>
      <c r="CL1239" s="64"/>
      <c r="CM1239" s="64"/>
      <c r="CN1239" s="64"/>
      <c r="CO1239" s="64"/>
      <c r="CP1239" s="64"/>
      <c r="CQ1239" s="64"/>
      <c r="CR1239" s="64"/>
      <c r="CS1239" s="64"/>
      <c r="CT1239" s="64"/>
      <c r="CU1239" s="64"/>
      <c r="CV1239" s="64"/>
      <c r="CW1239" s="64"/>
      <c r="CX1239" s="64"/>
    </row>
    <row r="1240" spans="1:102" x14ac:dyDescent="0.2">
      <c r="A1240" s="64"/>
      <c r="B1240" s="64"/>
      <c r="C1240" s="102"/>
      <c r="D1240" s="102"/>
      <c r="E1240" s="102"/>
      <c r="F1240" s="102"/>
      <c r="G1240" s="102"/>
      <c r="H1240" s="102"/>
      <c r="I1240" s="64"/>
      <c r="J1240" s="64"/>
      <c r="K1240" s="64"/>
      <c r="L1240" s="64"/>
      <c r="M1240" s="64"/>
      <c r="N1240" s="64"/>
      <c r="O1240" s="64"/>
      <c r="P1240" s="64"/>
      <c r="Q1240" s="64"/>
      <c r="R1240" s="64"/>
      <c r="S1240" s="64"/>
      <c r="T1240" s="64"/>
      <c r="U1240" s="64"/>
      <c r="V1240" s="64"/>
      <c r="W1240" s="64"/>
      <c r="X1240" s="64"/>
      <c r="Y1240" s="64"/>
      <c r="Z1240" s="64"/>
      <c r="AA1240" s="64"/>
      <c r="AB1240" s="64"/>
      <c r="AC1240" s="64"/>
      <c r="AD1240" s="64"/>
      <c r="AE1240" s="64"/>
      <c r="AF1240" s="64"/>
      <c r="AG1240" s="64"/>
      <c r="AH1240" s="64"/>
      <c r="AI1240" s="64"/>
      <c r="AJ1240" s="64"/>
      <c r="AK1240" s="64"/>
      <c r="AL1240" s="64"/>
      <c r="AM1240" s="64"/>
      <c r="AN1240" s="64"/>
      <c r="AO1240" s="64"/>
      <c r="AP1240" s="64"/>
      <c r="AQ1240" s="64"/>
      <c r="AR1240" s="64"/>
      <c r="AS1240" s="64"/>
      <c r="AT1240" s="64"/>
      <c r="AU1240" s="64"/>
      <c r="AV1240" s="64"/>
      <c r="AW1240" s="64"/>
      <c r="AX1240" s="64"/>
      <c r="AY1240" s="64"/>
      <c r="AZ1240" s="64"/>
      <c r="BA1240" s="64"/>
      <c r="BB1240" s="64"/>
      <c r="BC1240" s="64"/>
      <c r="BD1240" s="64"/>
      <c r="BE1240" s="64"/>
      <c r="BF1240" s="64"/>
      <c r="BG1240" s="64"/>
      <c r="BH1240" s="64"/>
      <c r="BI1240" s="64"/>
      <c r="BJ1240" s="64"/>
      <c r="BK1240" s="64"/>
      <c r="BL1240" s="64"/>
      <c r="BM1240" s="64"/>
      <c r="BN1240" s="64"/>
      <c r="BO1240" s="64"/>
      <c r="BP1240" s="64"/>
      <c r="BQ1240" s="64"/>
      <c r="BR1240" s="64"/>
      <c r="BS1240" s="64"/>
      <c r="BT1240" s="64"/>
      <c r="BU1240" s="64"/>
      <c r="BV1240" s="64"/>
      <c r="BW1240" s="64"/>
      <c r="BX1240" s="64"/>
      <c r="BY1240" s="64"/>
      <c r="BZ1240" s="64"/>
      <c r="CA1240" s="64"/>
      <c r="CB1240" s="64"/>
      <c r="CC1240" s="64"/>
      <c r="CD1240" s="64"/>
      <c r="CE1240" s="64"/>
      <c r="CF1240" s="64"/>
      <c r="CG1240" s="64"/>
      <c r="CH1240" s="64"/>
      <c r="CI1240" s="64"/>
      <c r="CJ1240" s="64"/>
      <c r="CK1240" s="64"/>
      <c r="CL1240" s="64"/>
      <c r="CM1240" s="64"/>
      <c r="CN1240" s="64"/>
      <c r="CO1240" s="64"/>
      <c r="CP1240" s="64"/>
      <c r="CQ1240" s="64"/>
      <c r="CR1240" s="64"/>
      <c r="CS1240" s="64"/>
      <c r="CT1240" s="64"/>
      <c r="CU1240" s="64"/>
      <c r="CV1240" s="64"/>
      <c r="CW1240" s="64"/>
      <c r="CX1240" s="64"/>
    </row>
    <row r="1241" spans="1:102" x14ac:dyDescent="0.2">
      <c r="A1241" s="64"/>
      <c r="B1241" s="64"/>
      <c r="C1241" s="102"/>
      <c r="D1241" s="102"/>
      <c r="E1241" s="102"/>
      <c r="F1241" s="102"/>
      <c r="G1241" s="102"/>
      <c r="H1241" s="102"/>
      <c r="I1241" s="64"/>
      <c r="J1241" s="64"/>
      <c r="K1241" s="64"/>
      <c r="L1241" s="64"/>
      <c r="M1241" s="64"/>
      <c r="N1241" s="64"/>
      <c r="O1241" s="64"/>
      <c r="P1241" s="64"/>
      <c r="Q1241" s="64"/>
      <c r="R1241" s="64"/>
      <c r="S1241" s="64"/>
      <c r="T1241" s="64"/>
      <c r="U1241" s="64"/>
      <c r="V1241" s="64"/>
      <c r="W1241" s="64"/>
      <c r="X1241" s="64"/>
      <c r="Y1241" s="64"/>
      <c r="Z1241" s="64"/>
      <c r="AA1241" s="64"/>
      <c r="AB1241" s="64"/>
      <c r="AC1241" s="64"/>
      <c r="AD1241" s="64"/>
      <c r="AE1241" s="64"/>
      <c r="AF1241" s="64"/>
      <c r="AG1241" s="64"/>
      <c r="AH1241" s="64"/>
      <c r="AI1241" s="64"/>
      <c r="AJ1241" s="64"/>
      <c r="AK1241" s="64"/>
      <c r="AL1241" s="64"/>
      <c r="AM1241" s="64"/>
      <c r="AN1241" s="64"/>
      <c r="AO1241" s="64"/>
      <c r="AP1241" s="64"/>
      <c r="AQ1241" s="64"/>
      <c r="AR1241" s="64"/>
      <c r="AS1241" s="64"/>
      <c r="AT1241" s="64"/>
      <c r="AU1241" s="64"/>
      <c r="AV1241" s="64"/>
      <c r="AW1241" s="64"/>
      <c r="AX1241" s="64"/>
      <c r="AY1241" s="64"/>
      <c r="AZ1241" s="64"/>
      <c r="BA1241" s="64"/>
      <c r="BB1241" s="64"/>
      <c r="BC1241" s="64"/>
      <c r="BD1241" s="64"/>
      <c r="BE1241" s="64"/>
      <c r="BF1241" s="64"/>
      <c r="BG1241" s="64"/>
      <c r="BH1241" s="64"/>
      <c r="BI1241" s="64"/>
      <c r="BJ1241" s="64"/>
      <c r="BK1241" s="64"/>
      <c r="BL1241" s="64"/>
      <c r="BM1241" s="64"/>
      <c r="BN1241" s="64"/>
      <c r="BO1241" s="64"/>
      <c r="BP1241" s="64"/>
      <c r="BQ1241" s="64"/>
      <c r="BR1241" s="64"/>
      <c r="BS1241" s="64"/>
      <c r="BT1241" s="64"/>
      <c r="BU1241" s="64"/>
      <c r="BV1241" s="64"/>
      <c r="BW1241" s="64"/>
      <c r="BX1241" s="64"/>
      <c r="BY1241" s="64"/>
      <c r="BZ1241" s="64"/>
      <c r="CA1241" s="64"/>
      <c r="CB1241" s="64"/>
      <c r="CC1241" s="64"/>
      <c r="CD1241" s="64"/>
      <c r="CE1241" s="64"/>
      <c r="CF1241" s="64"/>
      <c r="CG1241" s="64"/>
      <c r="CH1241" s="64"/>
      <c r="CI1241" s="64"/>
      <c r="CJ1241" s="64"/>
      <c r="CK1241" s="64"/>
      <c r="CL1241" s="64"/>
      <c r="CM1241" s="64"/>
      <c r="CN1241" s="64"/>
      <c r="CO1241" s="64"/>
      <c r="CP1241" s="64"/>
      <c r="CQ1241" s="64"/>
      <c r="CR1241" s="64"/>
      <c r="CS1241" s="64"/>
      <c r="CT1241" s="64"/>
      <c r="CU1241" s="64"/>
      <c r="CV1241" s="64"/>
      <c r="CW1241" s="64"/>
      <c r="CX1241" s="64"/>
    </row>
    <row r="1242" spans="1:102" x14ac:dyDescent="0.2">
      <c r="A1242" s="64"/>
      <c r="B1242" s="64"/>
      <c r="C1242" s="102"/>
      <c r="D1242" s="102"/>
      <c r="E1242" s="102"/>
      <c r="F1242" s="102"/>
      <c r="G1242" s="102"/>
      <c r="H1242" s="102"/>
      <c r="I1242" s="64"/>
      <c r="J1242" s="64"/>
      <c r="K1242" s="64"/>
      <c r="L1242" s="64"/>
      <c r="M1242" s="64"/>
      <c r="N1242" s="64"/>
      <c r="O1242" s="64"/>
      <c r="P1242" s="64"/>
      <c r="Q1242" s="64"/>
      <c r="R1242" s="64"/>
      <c r="S1242" s="64"/>
      <c r="T1242" s="64"/>
      <c r="U1242" s="64"/>
      <c r="V1242" s="64"/>
      <c r="W1242" s="64"/>
      <c r="X1242" s="64"/>
      <c r="Y1242" s="64"/>
      <c r="Z1242" s="64"/>
      <c r="AA1242" s="64"/>
      <c r="AB1242" s="64"/>
      <c r="AC1242" s="64"/>
      <c r="AD1242" s="64"/>
      <c r="AE1242" s="64"/>
      <c r="AF1242" s="64"/>
      <c r="AG1242" s="64"/>
      <c r="AH1242" s="64"/>
      <c r="AI1242" s="64"/>
      <c r="AJ1242" s="64"/>
      <c r="AK1242" s="64"/>
      <c r="AL1242" s="64"/>
      <c r="AM1242" s="64"/>
      <c r="AN1242" s="64"/>
      <c r="AO1242" s="64"/>
      <c r="AP1242" s="64"/>
      <c r="AQ1242" s="64"/>
      <c r="AR1242" s="64"/>
      <c r="AS1242" s="64"/>
      <c r="AT1242" s="64"/>
      <c r="AU1242" s="64"/>
      <c r="AV1242" s="64"/>
      <c r="AW1242" s="64"/>
      <c r="AX1242" s="64"/>
      <c r="AY1242" s="64"/>
      <c r="AZ1242" s="64"/>
      <c r="BA1242" s="64"/>
      <c r="BB1242" s="64"/>
      <c r="BC1242" s="64"/>
      <c r="BD1242" s="64"/>
      <c r="BE1242" s="64"/>
      <c r="BF1242" s="64"/>
      <c r="BG1242" s="64"/>
      <c r="BH1242" s="64"/>
      <c r="BI1242" s="64"/>
      <c r="BJ1242" s="64"/>
      <c r="BK1242" s="64"/>
      <c r="BL1242" s="64"/>
      <c r="BM1242" s="64"/>
      <c r="BN1242" s="64"/>
      <c r="BO1242" s="64"/>
      <c r="BP1242" s="64"/>
      <c r="BQ1242" s="64"/>
      <c r="BR1242" s="64"/>
      <c r="BS1242" s="64"/>
      <c r="BT1242" s="64"/>
      <c r="BU1242" s="64"/>
      <c r="BV1242" s="64"/>
      <c r="BW1242" s="64"/>
      <c r="BX1242" s="64"/>
      <c r="BY1242" s="64"/>
      <c r="BZ1242" s="64"/>
      <c r="CA1242" s="64"/>
      <c r="CB1242" s="64"/>
      <c r="CC1242" s="64"/>
      <c r="CD1242" s="64"/>
      <c r="CE1242" s="64"/>
      <c r="CF1242" s="64"/>
      <c r="CG1242" s="64"/>
      <c r="CH1242" s="64"/>
      <c r="CI1242" s="64"/>
      <c r="CJ1242" s="64"/>
      <c r="CK1242" s="64"/>
      <c r="CL1242" s="64"/>
      <c r="CM1242" s="64"/>
      <c r="CN1242" s="64"/>
      <c r="CO1242" s="64"/>
      <c r="CP1242" s="64"/>
      <c r="CQ1242" s="64"/>
      <c r="CR1242" s="64"/>
      <c r="CS1242" s="64"/>
      <c r="CT1242" s="64"/>
      <c r="CU1242" s="64"/>
      <c r="CV1242" s="64"/>
      <c r="CW1242" s="64"/>
      <c r="CX1242" s="64"/>
    </row>
    <row r="1243" spans="1:102" x14ac:dyDescent="0.2">
      <c r="A1243" s="64"/>
      <c r="B1243" s="64"/>
      <c r="C1243" s="102"/>
      <c r="D1243" s="102"/>
      <c r="E1243" s="102"/>
      <c r="F1243" s="102"/>
      <c r="G1243" s="102"/>
      <c r="H1243" s="102"/>
      <c r="I1243" s="64"/>
      <c r="J1243" s="64"/>
      <c r="K1243" s="64"/>
      <c r="L1243" s="64"/>
      <c r="M1243" s="64"/>
      <c r="N1243" s="64"/>
      <c r="O1243" s="64"/>
      <c r="P1243" s="64"/>
      <c r="Q1243" s="64"/>
      <c r="R1243" s="64"/>
      <c r="S1243" s="64"/>
      <c r="T1243" s="64"/>
      <c r="U1243" s="64"/>
      <c r="V1243" s="64"/>
      <c r="W1243" s="64"/>
      <c r="X1243" s="64"/>
      <c r="Y1243" s="64"/>
      <c r="Z1243" s="64"/>
      <c r="AA1243" s="64"/>
      <c r="AB1243" s="64"/>
      <c r="AC1243" s="64"/>
      <c r="AD1243" s="64"/>
      <c r="AE1243" s="64"/>
      <c r="AF1243" s="64"/>
      <c r="AG1243" s="64"/>
      <c r="AH1243" s="64"/>
      <c r="AI1243" s="64"/>
      <c r="AJ1243" s="64"/>
      <c r="AK1243" s="64"/>
      <c r="AL1243" s="64"/>
      <c r="AM1243" s="64"/>
      <c r="AN1243" s="64"/>
      <c r="AO1243" s="64"/>
      <c r="AP1243" s="64"/>
      <c r="AQ1243" s="64"/>
      <c r="AR1243" s="64"/>
      <c r="AS1243" s="64"/>
      <c r="AT1243" s="64"/>
      <c r="AU1243" s="64"/>
      <c r="AV1243" s="64"/>
      <c r="AW1243" s="64"/>
      <c r="AX1243" s="64"/>
      <c r="AY1243" s="64"/>
      <c r="AZ1243" s="64"/>
      <c r="BA1243" s="64"/>
      <c r="BB1243" s="64"/>
      <c r="BC1243" s="64"/>
      <c r="BD1243" s="64"/>
      <c r="BE1243" s="64"/>
      <c r="BF1243" s="64"/>
      <c r="BG1243" s="64"/>
      <c r="BH1243" s="64"/>
      <c r="BI1243" s="64"/>
      <c r="BJ1243" s="64"/>
      <c r="BK1243" s="64"/>
      <c r="BL1243" s="64"/>
      <c r="BM1243" s="64"/>
      <c r="BN1243" s="64"/>
      <c r="BO1243" s="64"/>
      <c r="BP1243" s="64"/>
      <c r="BQ1243" s="64"/>
      <c r="BR1243" s="64"/>
      <c r="BS1243" s="64"/>
      <c r="BT1243" s="64"/>
      <c r="BU1243" s="64"/>
      <c r="BV1243" s="64"/>
      <c r="BW1243" s="64"/>
      <c r="BX1243" s="64"/>
      <c r="BY1243" s="64"/>
      <c r="BZ1243" s="64"/>
      <c r="CA1243" s="64"/>
      <c r="CB1243" s="64"/>
      <c r="CC1243" s="64"/>
      <c r="CD1243" s="64"/>
      <c r="CE1243" s="64"/>
      <c r="CF1243" s="64"/>
      <c r="CG1243" s="64"/>
      <c r="CH1243" s="64"/>
      <c r="CI1243" s="64"/>
      <c r="CJ1243" s="64"/>
      <c r="CK1243" s="64"/>
      <c r="CL1243" s="64"/>
      <c r="CM1243" s="64"/>
      <c r="CN1243" s="64"/>
      <c r="CO1243" s="64"/>
      <c r="CP1243" s="64"/>
      <c r="CQ1243" s="64"/>
      <c r="CR1243" s="64"/>
      <c r="CS1243" s="64"/>
      <c r="CT1243" s="64"/>
      <c r="CU1243" s="64"/>
      <c r="CV1243" s="64"/>
      <c r="CW1243" s="64"/>
      <c r="CX1243" s="64"/>
    </row>
    <row r="1244" spans="1:102" x14ac:dyDescent="0.2">
      <c r="A1244" s="64"/>
      <c r="B1244" s="64"/>
      <c r="C1244" s="102"/>
      <c r="D1244" s="102"/>
      <c r="E1244" s="102"/>
      <c r="F1244" s="102"/>
      <c r="G1244" s="102"/>
      <c r="H1244" s="102"/>
      <c r="I1244" s="64"/>
      <c r="J1244" s="64"/>
      <c r="K1244" s="64"/>
      <c r="L1244" s="64"/>
      <c r="M1244" s="64"/>
      <c r="N1244" s="64"/>
      <c r="O1244" s="64"/>
      <c r="P1244" s="64"/>
      <c r="Q1244" s="64"/>
      <c r="R1244" s="64"/>
      <c r="S1244" s="64"/>
      <c r="T1244" s="64"/>
      <c r="U1244" s="64"/>
      <c r="V1244" s="64"/>
      <c r="W1244" s="64"/>
      <c r="X1244" s="64"/>
      <c r="Y1244" s="64"/>
      <c r="Z1244" s="64"/>
      <c r="AA1244" s="64"/>
      <c r="AB1244" s="64"/>
      <c r="AC1244" s="64"/>
      <c r="AD1244" s="64"/>
      <c r="AE1244" s="64"/>
      <c r="AF1244" s="64"/>
      <c r="AG1244" s="64"/>
      <c r="AH1244" s="64"/>
      <c r="AI1244" s="64"/>
      <c r="AJ1244" s="64"/>
      <c r="AK1244" s="64"/>
      <c r="AL1244" s="64"/>
      <c r="AM1244" s="64"/>
      <c r="AN1244" s="64"/>
      <c r="AO1244" s="64"/>
      <c r="AP1244" s="64"/>
      <c r="AQ1244" s="64"/>
      <c r="AR1244" s="64"/>
      <c r="AS1244" s="64"/>
      <c r="AT1244" s="64"/>
      <c r="AU1244" s="64"/>
      <c r="AV1244" s="64"/>
      <c r="AW1244" s="64"/>
      <c r="AX1244" s="64"/>
      <c r="AY1244" s="64"/>
      <c r="AZ1244" s="64"/>
      <c r="BA1244" s="64"/>
      <c r="BB1244" s="64"/>
      <c r="BC1244" s="64"/>
      <c r="BD1244" s="64"/>
      <c r="BE1244" s="64"/>
      <c r="BF1244" s="64"/>
      <c r="BG1244" s="64"/>
      <c r="BH1244" s="64"/>
      <c r="BI1244" s="64"/>
      <c r="BJ1244" s="64"/>
      <c r="BK1244" s="64"/>
      <c r="BL1244" s="64"/>
      <c r="BM1244" s="64"/>
      <c r="BN1244" s="64"/>
      <c r="BO1244" s="64"/>
      <c r="BP1244" s="64"/>
      <c r="BQ1244" s="64"/>
      <c r="BR1244" s="64"/>
      <c r="BS1244" s="64"/>
      <c r="BT1244" s="64"/>
      <c r="BU1244" s="64"/>
      <c r="BV1244" s="64"/>
      <c r="BW1244" s="64"/>
      <c r="BX1244" s="64"/>
      <c r="BY1244" s="64"/>
      <c r="BZ1244" s="64"/>
      <c r="CA1244" s="64"/>
      <c r="CB1244" s="64"/>
      <c r="CC1244" s="64"/>
      <c r="CD1244" s="64"/>
      <c r="CE1244" s="64"/>
      <c r="CF1244" s="64"/>
      <c r="CG1244" s="64"/>
      <c r="CH1244" s="64"/>
      <c r="CI1244" s="64"/>
      <c r="CJ1244" s="64"/>
      <c r="CK1244" s="64"/>
      <c r="CL1244" s="64"/>
      <c r="CM1244" s="64"/>
      <c r="CN1244" s="64"/>
      <c r="CO1244" s="64"/>
      <c r="CP1244" s="64"/>
      <c r="CQ1244" s="64"/>
      <c r="CR1244" s="64"/>
      <c r="CS1244" s="64"/>
      <c r="CT1244" s="64"/>
      <c r="CU1244" s="64"/>
      <c r="CV1244" s="64"/>
      <c r="CW1244" s="64"/>
      <c r="CX1244" s="64"/>
    </row>
    <row r="1245" spans="1:102" x14ac:dyDescent="0.2">
      <c r="A1245" s="64"/>
      <c r="B1245" s="64"/>
      <c r="C1245" s="102"/>
      <c r="D1245" s="102"/>
      <c r="E1245" s="102"/>
      <c r="F1245" s="102"/>
      <c r="G1245" s="102"/>
      <c r="H1245" s="102"/>
      <c r="I1245" s="64"/>
      <c r="J1245" s="64"/>
      <c r="K1245" s="64"/>
      <c r="L1245" s="64"/>
      <c r="M1245" s="64"/>
      <c r="N1245" s="64"/>
      <c r="O1245" s="64"/>
      <c r="P1245" s="64"/>
      <c r="Q1245" s="64"/>
      <c r="R1245" s="64"/>
      <c r="S1245" s="64"/>
      <c r="T1245" s="64"/>
      <c r="U1245" s="64"/>
      <c r="V1245" s="64"/>
      <c r="W1245" s="64"/>
      <c r="X1245" s="64"/>
      <c r="Y1245" s="64"/>
      <c r="Z1245" s="64"/>
      <c r="AA1245" s="64"/>
      <c r="AB1245" s="64"/>
      <c r="AC1245" s="64"/>
      <c r="AD1245" s="64"/>
      <c r="AE1245" s="64"/>
      <c r="AF1245" s="64"/>
      <c r="AG1245" s="64"/>
      <c r="AH1245" s="64"/>
      <c r="AI1245" s="64"/>
      <c r="AJ1245" s="64"/>
      <c r="AK1245" s="64"/>
      <c r="AL1245" s="64"/>
      <c r="AM1245" s="64"/>
      <c r="AN1245" s="64"/>
      <c r="AO1245" s="64"/>
      <c r="AP1245" s="64"/>
      <c r="AQ1245" s="64"/>
      <c r="AR1245" s="64"/>
      <c r="AS1245" s="64"/>
      <c r="AT1245" s="64"/>
      <c r="AU1245" s="64"/>
      <c r="AV1245" s="64"/>
      <c r="AW1245" s="64"/>
      <c r="AX1245" s="64"/>
      <c r="AY1245" s="64"/>
      <c r="AZ1245" s="64"/>
      <c r="BA1245" s="64"/>
      <c r="BB1245" s="64"/>
      <c r="BC1245" s="64"/>
      <c r="BD1245" s="64"/>
      <c r="BE1245" s="64"/>
      <c r="BF1245" s="64"/>
      <c r="BG1245" s="64"/>
      <c r="BH1245" s="64"/>
      <c r="BI1245" s="64"/>
      <c r="BJ1245" s="64"/>
      <c r="BK1245" s="64"/>
      <c r="BL1245" s="64"/>
      <c r="BM1245" s="64"/>
      <c r="BN1245" s="64"/>
      <c r="BO1245" s="64"/>
      <c r="BP1245" s="64"/>
      <c r="BQ1245" s="64"/>
      <c r="BR1245" s="64"/>
      <c r="BS1245" s="64"/>
      <c r="BT1245" s="64"/>
      <c r="BU1245" s="64"/>
      <c r="BV1245" s="64"/>
      <c r="BW1245" s="64"/>
      <c r="BX1245" s="64"/>
      <c r="BY1245" s="64"/>
      <c r="BZ1245" s="64"/>
      <c r="CA1245" s="64"/>
      <c r="CB1245" s="64"/>
      <c r="CC1245" s="64"/>
      <c r="CD1245" s="64"/>
      <c r="CE1245" s="64"/>
      <c r="CF1245" s="64"/>
      <c r="CG1245" s="64"/>
      <c r="CH1245" s="64"/>
      <c r="CI1245" s="64"/>
      <c r="CJ1245" s="64"/>
      <c r="CK1245" s="64"/>
      <c r="CL1245" s="64"/>
      <c r="CM1245" s="64"/>
      <c r="CN1245" s="64"/>
      <c r="CO1245" s="64"/>
      <c r="CP1245" s="64"/>
      <c r="CQ1245" s="64"/>
      <c r="CR1245" s="64"/>
      <c r="CS1245" s="64"/>
      <c r="CT1245" s="64"/>
      <c r="CU1245" s="64"/>
      <c r="CV1245" s="64"/>
      <c r="CW1245" s="64"/>
      <c r="CX1245" s="64"/>
    </row>
    <row r="1246" spans="1:102" x14ac:dyDescent="0.2">
      <c r="A1246" s="64"/>
      <c r="B1246" s="64"/>
      <c r="C1246" s="102"/>
      <c r="D1246" s="102"/>
      <c r="E1246" s="102"/>
      <c r="F1246" s="102"/>
      <c r="G1246" s="102"/>
      <c r="H1246" s="102"/>
      <c r="I1246" s="64"/>
      <c r="J1246" s="64"/>
      <c r="K1246" s="64"/>
      <c r="L1246" s="64"/>
      <c r="M1246" s="64"/>
      <c r="N1246" s="64"/>
      <c r="O1246" s="64"/>
      <c r="P1246" s="64"/>
      <c r="Q1246" s="64"/>
      <c r="R1246" s="64"/>
      <c r="S1246" s="64"/>
      <c r="T1246" s="64"/>
      <c r="U1246" s="64"/>
      <c r="V1246" s="64"/>
      <c r="W1246" s="64"/>
      <c r="X1246" s="64"/>
      <c r="Y1246" s="64"/>
      <c r="Z1246" s="64"/>
      <c r="AA1246" s="64"/>
      <c r="AB1246" s="64"/>
      <c r="AC1246" s="64"/>
      <c r="AD1246" s="64"/>
      <c r="AE1246" s="64"/>
      <c r="AF1246" s="64"/>
      <c r="AG1246" s="64"/>
      <c r="AH1246" s="64"/>
      <c r="AI1246" s="64"/>
      <c r="AJ1246" s="64"/>
      <c r="AK1246" s="64"/>
      <c r="AL1246" s="64"/>
      <c r="AM1246" s="64"/>
      <c r="AN1246" s="64"/>
      <c r="AO1246" s="64"/>
      <c r="AP1246" s="64"/>
      <c r="AQ1246" s="64"/>
      <c r="AR1246" s="64"/>
      <c r="AS1246" s="64"/>
      <c r="AT1246" s="64"/>
      <c r="AU1246" s="64"/>
      <c r="AV1246" s="64"/>
      <c r="AW1246" s="64"/>
      <c r="AX1246" s="64"/>
      <c r="AY1246" s="64"/>
      <c r="AZ1246" s="64"/>
      <c r="BA1246" s="64"/>
      <c r="BB1246" s="64"/>
      <c r="BC1246" s="64"/>
      <c r="BD1246" s="64"/>
      <c r="BE1246" s="64"/>
      <c r="BF1246" s="64"/>
      <c r="BG1246" s="64"/>
      <c r="BH1246" s="64"/>
      <c r="BI1246" s="64"/>
      <c r="BJ1246" s="64"/>
      <c r="BK1246" s="64"/>
      <c r="BL1246" s="64"/>
      <c r="BM1246" s="64"/>
      <c r="BN1246" s="64"/>
      <c r="BO1246" s="64"/>
      <c r="BP1246" s="64"/>
      <c r="BQ1246" s="64"/>
      <c r="BR1246" s="64"/>
      <c r="BS1246" s="64"/>
      <c r="BT1246" s="64"/>
      <c r="BU1246" s="64"/>
      <c r="BV1246" s="64"/>
      <c r="BW1246" s="64"/>
      <c r="BX1246" s="64"/>
      <c r="BY1246" s="64"/>
      <c r="BZ1246" s="64"/>
      <c r="CA1246" s="64"/>
      <c r="CB1246" s="64"/>
      <c r="CC1246" s="64"/>
      <c r="CD1246" s="64"/>
      <c r="CE1246" s="64"/>
      <c r="CF1246" s="64"/>
      <c r="CG1246" s="64"/>
      <c r="CH1246" s="64"/>
      <c r="CI1246" s="64"/>
      <c r="CJ1246" s="64"/>
      <c r="CK1246" s="64"/>
      <c r="CL1246" s="64"/>
      <c r="CM1246" s="64"/>
      <c r="CN1246" s="64"/>
      <c r="CO1246" s="64"/>
      <c r="CP1246" s="64"/>
      <c r="CQ1246" s="64"/>
      <c r="CR1246" s="64"/>
      <c r="CS1246" s="64"/>
      <c r="CT1246" s="64"/>
      <c r="CU1246" s="64"/>
      <c r="CV1246" s="64"/>
      <c r="CW1246" s="64"/>
      <c r="CX1246" s="64"/>
    </row>
    <row r="1247" spans="1:102" x14ac:dyDescent="0.2">
      <c r="A1247" s="64"/>
      <c r="B1247" s="64"/>
      <c r="C1247" s="102"/>
      <c r="D1247" s="102"/>
      <c r="E1247" s="102"/>
      <c r="F1247" s="102"/>
      <c r="G1247" s="102"/>
      <c r="H1247" s="102"/>
      <c r="I1247" s="64"/>
      <c r="J1247" s="64"/>
      <c r="K1247" s="64"/>
      <c r="L1247" s="64"/>
      <c r="M1247" s="64"/>
      <c r="N1247" s="64"/>
      <c r="O1247" s="64"/>
      <c r="P1247" s="64"/>
      <c r="Q1247" s="64"/>
      <c r="R1247" s="64"/>
      <c r="S1247" s="64"/>
      <c r="T1247" s="64"/>
      <c r="U1247" s="64"/>
      <c r="V1247" s="64"/>
      <c r="W1247" s="64"/>
      <c r="X1247" s="64"/>
      <c r="Y1247" s="64"/>
      <c r="Z1247" s="64"/>
      <c r="AA1247" s="64"/>
      <c r="AB1247" s="64"/>
      <c r="AC1247" s="64"/>
      <c r="AD1247" s="64"/>
      <c r="AE1247" s="64"/>
      <c r="AF1247" s="64"/>
      <c r="AG1247" s="64"/>
      <c r="AH1247" s="64"/>
      <c r="AI1247" s="64"/>
      <c r="AJ1247" s="64"/>
      <c r="AK1247" s="64"/>
      <c r="AL1247" s="64"/>
      <c r="AM1247" s="64"/>
      <c r="AN1247" s="64"/>
      <c r="AO1247" s="64"/>
      <c r="AP1247" s="64"/>
      <c r="AQ1247" s="64"/>
      <c r="AR1247" s="64"/>
      <c r="AS1247" s="64"/>
      <c r="AT1247" s="64"/>
      <c r="AU1247" s="64"/>
      <c r="AV1247" s="64"/>
      <c r="AW1247" s="64"/>
      <c r="AX1247" s="64"/>
      <c r="AY1247" s="64"/>
      <c r="AZ1247" s="64"/>
      <c r="BA1247" s="64"/>
      <c r="BB1247" s="64"/>
      <c r="BC1247" s="64"/>
      <c r="BD1247" s="64"/>
      <c r="BE1247" s="64"/>
      <c r="BF1247" s="64"/>
      <c r="BG1247" s="64"/>
      <c r="BH1247" s="64"/>
      <c r="BI1247" s="64"/>
      <c r="BJ1247" s="64"/>
      <c r="BK1247" s="64"/>
      <c r="BL1247" s="64"/>
      <c r="BM1247" s="64"/>
      <c r="BN1247" s="64"/>
      <c r="BO1247" s="64"/>
      <c r="BP1247" s="64"/>
      <c r="BQ1247" s="64"/>
      <c r="BR1247" s="64"/>
      <c r="BS1247" s="64"/>
      <c r="BT1247" s="64"/>
      <c r="BU1247" s="64"/>
      <c r="BV1247" s="64"/>
      <c r="BW1247" s="64"/>
      <c r="BX1247" s="64"/>
      <c r="BY1247" s="64"/>
      <c r="BZ1247" s="64"/>
      <c r="CA1247" s="64"/>
      <c r="CB1247" s="64"/>
      <c r="CC1247" s="64"/>
      <c r="CD1247" s="64"/>
      <c r="CE1247" s="64"/>
      <c r="CF1247" s="64"/>
      <c r="CG1247" s="64"/>
      <c r="CH1247" s="64"/>
      <c r="CI1247" s="64"/>
      <c r="CJ1247" s="64"/>
      <c r="CK1247" s="64"/>
      <c r="CL1247" s="64"/>
      <c r="CM1247" s="64"/>
      <c r="CN1247" s="64"/>
      <c r="CO1247" s="64"/>
      <c r="CP1247" s="64"/>
      <c r="CQ1247" s="64"/>
      <c r="CR1247" s="64"/>
      <c r="CS1247" s="64"/>
      <c r="CT1247" s="64"/>
      <c r="CU1247" s="64"/>
      <c r="CV1247" s="64"/>
      <c r="CW1247" s="64"/>
      <c r="CX1247" s="64"/>
    </row>
    <row r="1248" spans="1:102" x14ac:dyDescent="0.2">
      <c r="A1248" s="64"/>
      <c r="B1248" s="64"/>
      <c r="C1248" s="102"/>
      <c r="D1248" s="102"/>
      <c r="E1248" s="102"/>
      <c r="F1248" s="102"/>
      <c r="G1248" s="102"/>
      <c r="H1248" s="102"/>
      <c r="I1248" s="64"/>
      <c r="J1248" s="64"/>
      <c r="K1248" s="64"/>
      <c r="L1248" s="64"/>
      <c r="M1248" s="64"/>
      <c r="N1248" s="64"/>
      <c r="O1248" s="64"/>
      <c r="P1248" s="64"/>
      <c r="Q1248" s="64"/>
      <c r="R1248" s="64"/>
      <c r="S1248" s="64"/>
      <c r="T1248" s="64"/>
      <c r="U1248" s="64"/>
      <c r="V1248" s="64"/>
      <c r="W1248" s="64"/>
      <c r="X1248" s="64"/>
      <c r="Y1248" s="64"/>
      <c r="Z1248" s="64"/>
      <c r="AA1248" s="64"/>
      <c r="AB1248" s="64"/>
      <c r="AC1248" s="64"/>
      <c r="AD1248" s="64"/>
      <c r="AE1248" s="64"/>
      <c r="AF1248" s="64"/>
      <c r="AG1248" s="64"/>
      <c r="AH1248" s="64"/>
      <c r="AI1248" s="64"/>
      <c r="AJ1248" s="64"/>
      <c r="AK1248" s="64"/>
      <c r="AL1248" s="64"/>
      <c r="AM1248" s="64"/>
      <c r="AN1248" s="64"/>
      <c r="AO1248" s="64"/>
      <c r="AP1248" s="64"/>
      <c r="AQ1248" s="64"/>
      <c r="AR1248" s="64"/>
      <c r="AS1248" s="64"/>
      <c r="AT1248" s="64"/>
      <c r="AU1248" s="64"/>
      <c r="AV1248" s="64"/>
      <c r="AW1248" s="64"/>
      <c r="AX1248" s="64"/>
      <c r="AY1248" s="64"/>
      <c r="AZ1248" s="64"/>
      <c r="BA1248" s="64"/>
      <c r="BB1248" s="64"/>
      <c r="BC1248" s="64"/>
      <c r="BD1248" s="64"/>
      <c r="BE1248" s="64"/>
      <c r="BF1248" s="64"/>
      <c r="BG1248" s="64"/>
      <c r="BH1248" s="64"/>
      <c r="BI1248" s="64"/>
      <c r="BJ1248" s="64"/>
      <c r="BK1248" s="64"/>
      <c r="BL1248" s="64"/>
      <c r="BM1248" s="64"/>
      <c r="BN1248" s="64"/>
      <c r="BO1248" s="64"/>
      <c r="BP1248" s="64"/>
      <c r="BQ1248" s="64"/>
      <c r="BR1248" s="64"/>
      <c r="BS1248" s="64"/>
      <c r="BT1248" s="64"/>
      <c r="BU1248" s="64"/>
      <c r="BV1248" s="64"/>
      <c r="BW1248" s="64"/>
      <c r="BX1248" s="64"/>
      <c r="BY1248" s="64"/>
      <c r="BZ1248" s="64"/>
      <c r="CA1248" s="64"/>
      <c r="CB1248" s="64"/>
      <c r="CC1248" s="64"/>
      <c r="CD1248" s="64"/>
      <c r="CE1248" s="64"/>
      <c r="CF1248" s="64"/>
      <c r="CG1248" s="64"/>
      <c r="CH1248" s="64"/>
      <c r="CI1248" s="64"/>
      <c r="CJ1248" s="64"/>
      <c r="CK1248" s="64"/>
      <c r="CL1248" s="64"/>
      <c r="CM1248" s="64"/>
      <c r="CN1248" s="64"/>
      <c r="CO1248" s="64"/>
      <c r="CP1248" s="64"/>
      <c r="CQ1248" s="64"/>
      <c r="CR1248" s="64"/>
      <c r="CS1248" s="64"/>
      <c r="CT1248" s="64"/>
      <c r="CU1248" s="64"/>
      <c r="CV1248" s="64"/>
      <c r="CW1248" s="64"/>
      <c r="CX1248" s="64"/>
    </row>
    <row r="1249" spans="1:102" x14ac:dyDescent="0.2">
      <c r="A1249" s="64"/>
      <c r="B1249" s="64"/>
      <c r="C1249" s="102"/>
      <c r="D1249" s="102"/>
      <c r="E1249" s="102"/>
      <c r="F1249" s="102"/>
      <c r="G1249" s="102"/>
      <c r="H1249" s="102"/>
      <c r="I1249" s="64"/>
      <c r="J1249" s="64"/>
      <c r="K1249" s="64"/>
      <c r="L1249" s="64"/>
      <c r="M1249" s="64"/>
      <c r="N1249" s="64"/>
      <c r="O1249" s="64"/>
      <c r="P1249" s="64"/>
      <c r="Q1249" s="64"/>
      <c r="R1249" s="64"/>
      <c r="S1249" s="64"/>
      <c r="T1249" s="64"/>
      <c r="U1249" s="64"/>
      <c r="V1249" s="64"/>
      <c r="W1249" s="64"/>
      <c r="X1249" s="64"/>
      <c r="Y1249" s="64"/>
      <c r="Z1249" s="64"/>
      <c r="AA1249" s="64"/>
      <c r="AB1249" s="64"/>
      <c r="AC1249" s="64"/>
      <c r="AD1249" s="64"/>
      <c r="AE1249" s="64"/>
      <c r="AF1249" s="64"/>
      <c r="AG1249" s="64"/>
      <c r="AH1249" s="64"/>
      <c r="AI1249" s="64"/>
      <c r="AJ1249" s="64"/>
      <c r="AK1249" s="64"/>
      <c r="AL1249" s="64"/>
      <c r="AM1249" s="64"/>
      <c r="AN1249" s="64"/>
      <c r="AO1249" s="64"/>
      <c r="AP1249" s="64"/>
      <c r="AQ1249" s="64"/>
      <c r="AR1249" s="64"/>
      <c r="AS1249" s="64"/>
      <c r="AT1249" s="64"/>
      <c r="AU1249" s="64"/>
      <c r="AV1249" s="64"/>
      <c r="AW1249" s="64"/>
      <c r="AX1249" s="64"/>
      <c r="AY1249" s="64"/>
      <c r="AZ1249" s="64"/>
      <c r="BA1249" s="64"/>
      <c r="BB1249" s="64"/>
      <c r="BC1249" s="64"/>
      <c r="BD1249" s="64"/>
      <c r="BE1249" s="64"/>
      <c r="BF1249" s="64"/>
      <c r="BG1249" s="64"/>
      <c r="BH1249" s="64"/>
      <c r="BI1249" s="64"/>
      <c r="BJ1249" s="64"/>
      <c r="BK1249" s="64"/>
      <c r="BL1249" s="64"/>
      <c r="BM1249" s="64"/>
      <c r="BN1249" s="64"/>
      <c r="BO1249" s="64"/>
      <c r="BP1249" s="64"/>
      <c r="BQ1249" s="64"/>
      <c r="BR1249" s="64"/>
      <c r="BS1249" s="64"/>
      <c r="BT1249" s="64"/>
      <c r="BU1249" s="64"/>
      <c r="BV1249" s="64"/>
      <c r="BW1249" s="64"/>
      <c r="BX1249" s="64"/>
      <c r="BY1249" s="64"/>
      <c r="BZ1249" s="64"/>
      <c r="CA1249" s="64"/>
      <c r="CB1249" s="64"/>
      <c r="CC1249" s="64"/>
      <c r="CD1249" s="64"/>
      <c r="CE1249" s="64"/>
      <c r="CF1249" s="64"/>
      <c r="CG1249" s="64"/>
      <c r="CH1249" s="64"/>
      <c r="CI1249" s="64"/>
      <c r="CJ1249" s="64"/>
      <c r="CK1249" s="64"/>
      <c r="CL1249" s="64"/>
      <c r="CM1249" s="64"/>
      <c r="CN1249" s="64"/>
      <c r="CO1249" s="64"/>
      <c r="CP1249" s="64"/>
      <c r="CQ1249" s="64"/>
      <c r="CR1249" s="64"/>
      <c r="CS1249" s="64"/>
      <c r="CT1249" s="64"/>
      <c r="CU1249" s="64"/>
      <c r="CV1249" s="64"/>
      <c r="CW1249" s="64"/>
      <c r="CX1249" s="64"/>
    </row>
    <row r="1250" spans="1:102" x14ac:dyDescent="0.2">
      <c r="A1250" s="64"/>
      <c r="B1250" s="64"/>
      <c r="C1250" s="102"/>
      <c r="D1250" s="102"/>
      <c r="E1250" s="102"/>
      <c r="F1250" s="102"/>
      <c r="G1250" s="102"/>
      <c r="H1250" s="102"/>
      <c r="I1250" s="64"/>
      <c r="J1250" s="64"/>
      <c r="K1250" s="64"/>
      <c r="L1250" s="64"/>
      <c r="M1250" s="64"/>
      <c r="N1250" s="64"/>
      <c r="O1250" s="64"/>
      <c r="P1250" s="64"/>
      <c r="Q1250" s="64"/>
      <c r="R1250" s="64"/>
      <c r="S1250" s="64"/>
      <c r="T1250" s="64"/>
      <c r="U1250" s="64"/>
      <c r="V1250" s="64"/>
      <c r="W1250" s="64"/>
      <c r="X1250" s="64"/>
      <c r="Y1250" s="64"/>
      <c r="Z1250" s="64"/>
      <c r="AA1250" s="64"/>
      <c r="AB1250" s="64"/>
      <c r="AC1250" s="64"/>
      <c r="AD1250" s="64"/>
      <c r="AE1250" s="64"/>
      <c r="AF1250" s="64"/>
      <c r="AG1250" s="64"/>
      <c r="AH1250" s="64"/>
      <c r="AI1250" s="64"/>
      <c r="AJ1250" s="64"/>
      <c r="AK1250" s="64"/>
      <c r="AL1250" s="64"/>
      <c r="AM1250" s="64"/>
      <c r="AN1250" s="64"/>
      <c r="AO1250" s="64"/>
      <c r="AP1250" s="64"/>
      <c r="AQ1250" s="64"/>
      <c r="AR1250" s="64"/>
      <c r="AS1250" s="64"/>
      <c r="AT1250" s="64"/>
      <c r="AU1250" s="64"/>
      <c r="AV1250" s="64"/>
      <c r="AW1250" s="64"/>
      <c r="AX1250" s="64"/>
      <c r="AY1250" s="64"/>
      <c r="AZ1250" s="64"/>
      <c r="BA1250" s="64"/>
      <c r="BB1250" s="64"/>
      <c r="BC1250" s="64"/>
      <c r="BD1250" s="64"/>
      <c r="BE1250" s="64"/>
      <c r="BF1250" s="64"/>
      <c r="BG1250" s="64"/>
      <c r="BH1250" s="64"/>
      <c r="BI1250" s="64"/>
      <c r="BJ1250" s="64"/>
      <c r="BK1250" s="64"/>
      <c r="BL1250" s="64"/>
      <c r="BM1250" s="64"/>
      <c r="BN1250" s="64"/>
      <c r="BO1250" s="64"/>
      <c r="BP1250" s="64"/>
      <c r="BQ1250" s="64"/>
      <c r="BR1250" s="64"/>
      <c r="BS1250" s="64"/>
      <c r="BT1250" s="64"/>
      <c r="BU1250" s="64"/>
      <c r="BV1250" s="64"/>
      <c r="BW1250" s="64"/>
      <c r="BX1250" s="64"/>
      <c r="BY1250" s="64"/>
      <c r="BZ1250" s="64"/>
      <c r="CA1250" s="64"/>
      <c r="CB1250" s="64"/>
      <c r="CC1250" s="64"/>
      <c r="CD1250" s="64"/>
      <c r="CE1250" s="64"/>
      <c r="CF1250" s="64"/>
      <c r="CG1250" s="64"/>
      <c r="CH1250" s="64"/>
      <c r="CI1250" s="64"/>
      <c r="CJ1250" s="64"/>
      <c r="CK1250" s="64"/>
      <c r="CL1250" s="64"/>
      <c r="CM1250" s="64"/>
      <c r="CN1250" s="64"/>
      <c r="CO1250" s="64"/>
      <c r="CP1250" s="64"/>
      <c r="CQ1250" s="64"/>
      <c r="CR1250" s="64"/>
      <c r="CS1250" s="64"/>
      <c r="CT1250" s="64"/>
      <c r="CU1250" s="64"/>
      <c r="CV1250" s="64"/>
      <c r="CW1250" s="64"/>
      <c r="CX1250" s="64"/>
    </row>
    <row r="1251" spans="1:102" x14ac:dyDescent="0.2">
      <c r="A1251" s="64"/>
      <c r="B1251" s="64"/>
      <c r="C1251" s="102"/>
      <c r="D1251" s="102"/>
      <c r="E1251" s="102"/>
      <c r="F1251" s="102"/>
      <c r="G1251" s="102"/>
      <c r="H1251" s="102"/>
      <c r="I1251" s="64"/>
      <c r="J1251" s="64"/>
      <c r="K1251" s="64"/>
      <c r="L1251" s="64"/>
      <c r="M1251" s="64"/>
      <c r="N1251" s="64"/>
      <c r="O1251" s="64"/>
      <c r="P1251" s="64"/>
      <c r="Q1251" s="64"/>
      <c r="R1251" s="64"/>
      <c r="S1251" s="64"/>
      <c r="T1251" s="64"/>
      <c r="U1251" s="64"/>
      <c r="V1251" s="64"/>
      <c r="W1251" s="64"/>
      <c r="X1251" s="64"/>
      <c r="Y1251" s="64"/>
      <c r="Z1251" s="64"/>
      <c r="AA1251" s="64"/>
      <c r="AB1251" s="64"/>
      <c r="AC1251" s="64"/>
      <c r="AD1251" s="64"/>
      <c r="AE1251" s="64"/>
      <c r="AF1251" s="64"/>
      <c r="AG1251" s="64"/>
      <c r="AH1251" s="64"/>
      <c r="AI1251" s="64"/>
      <c r="AJ1251" s="64"/>
      <c r="AK1251" s="64"/>
      <c r="AL1251" s="64"/>
      <c r="AM1251" s="64"/>
      <c r="AN1251" s="64"/>
      <c r="AO1251" s="64"/>
      <c r="AP1251" s="64"/>
      <c r="AQ1251" s="64"/>
      <c r="AR1251" s="64"/>
      <c r="AS1251" s="64"/>
      <c r="AT1251" s="64"/>
      <c r="AU1251" s="64"/>
      <c r="AV1251" s="64"/>
      <c r="AW1251" s="64"/>
      <c r="AX1251" s="64"/>
      <c r="AY1251" s="64"/>
      <c r="AZ1251" s="64"/>
      <c r="BA1251" s="64"/>
      <c r="BB1251" s="64"/>
      <c r="BC1251" s="64"/>
      <c r="BD1251" s="64"/>
      <c r="BE1251" s="64"/>
      <c r="BF1251" s="64"/>
      <c r="BG1251" s="64"/>
      <c r="BH1251" s="64"/>
      <c r="BI1251" s="64"/>
      <c r="BJ1251" s="64"/>
      <c r="BK1251" s="64"/>
      <c r="BL1251" s="64"/>
      <c r="BM1251" s="64"/>
      <c r="BN1251" s="64"/>
      <c r="BO1251" s="64"/>
      <c r="BP1251" s="64"/>
      <c r="BQ1251" s="64"/>
      <c r="BR1251" s="64"/>
      <c r="BS1251" s="64"/>
      <c r="BT1251" s="64"/>
      <c r="BU1251" s="64"/>
      <c r="BV1251" s="64"/>
      <c r="BW1251" s="64"/>
      <c r="BX1251" s="64"/>
      <c r="BY1251" s="64"/>
      <c r="BZ1251" s="64"/>
      <c r="CA1251" s="64"/>
      <c r="CB1251" s="64"/>
      <c r="CC1251" s="64"/>
      <c r="CD1251" s="64"/>
      <c r="CE1251" s="64"/>
      <c r="CF1251" s="64"/>
      <c r="CG1251" s="64"/>
      <c r="CH1251" s="64"/>
      <c r="CI1251" s="64"/>
      <c r="CJ1251" s="64"/>
      <c r="CK1251" s="64"/>
      <c r="CL1251" s="64"/>
      <c r="CM1251" s="64"/>
      <c r="CN1251" s="64"/>
      <c r="CO1251" s="64"/>
      <c r="CP1251" s="64"/>
      <c r="CQ1251" s="64"/>
      <c r="CR1251" s="64"/>
      <c r="CS1251" s="64"/>
      <c r="CT1251" s="64"/>
      <c r="CU1251" s="64"/>
      <c r="CV1251" s="64"/>
      <c r="CW1251" s="64"/>
      <c r="CX1251" s="64"/>
    </row>
    <row r="1252" spans="1:102" x14ac:dyDescent="0.2">
      <c r="A1252" s="64"/>
      <c r="B1252" s="64"/>
      <c r="C1252" s="102"/>
      <c r="D1252" s="102"/>
      <c r="E1252" s="102"/>
      <c r="F1252" s="102"/>
      <c r="G1252" s="102"/>
      <c r="H1252" s="102"/>
      <c r="I1252" s="64"/>
      <c r="J1252" s="64"/>
      <c r="K1252" s="64"/>
      <c r="L1252" s="64"/>
      <c r="M1252" s="64"/>
      <c r="N1252" s="64"/>
      <c r="O1252" s="64"/>
      <c r="P1252" s="64"/>
      <c r="Q1252" s="64"/>
      <c r="R1252" s="64"/>
      <c r="S1252" s="64"/>
      <c r="T1252" s="64"/>
      <c r="U1252" s="64"/>
      <c r="V1252" s="64"/>
      <c r="W1252" s="64"/>
      <c r="X1252" s="64"/>
      <c r="Y1252" s="64"/>
      <c r="Z1252" s="64"/>
      <c r="AA1252" s="64"/>
      <c r="AB1252" s="64"/>
      <c r="AC1252" s="64"/>
      <c r="AD1252" s="64"/>
      <c r="AE1252" s="64"/>
      <c r="AF1252" s="64"/>
      <c r="AG1252" s="64"/>
      <c r="AH1252" s="64"/>
      <c r="AI1252" s="64"/>
      <c r="AJ1252" s="64"/>
      <c r="AK1252" s="64"/>
      <c r="AL1252" s="64"/>
      <c r="AM1252" s="64"/>
      <c r="AN1252" s="64"/>
      <c r="AO1252" s="64"/>
      <c r="AP1252" s="64"/>
      <c r="AQ1252" s="64"/>
      <c r="AR1252" s="64"/>
      <c r="AS1252" s="64"/>
      <c r="AT1252" s="64"/>
      <c r="AU1252" s="64"/>
      <c r="AV1252" s="64"/>
      <c r="AW1252" s="64"/>
      <c r="AX1252" s="64"/>
      <c r="AY1252" s="64"/>
      <c r="AZ1252" s="64"/>
      <c r="BA1252" s="64"/>
      <c r="BB1252" s="64"/>
      <c r="BC1252" s="64"/>
      <c r="BD1252" s="64"/>
      <c r="BE1252" s="64"/>
      <c r="BF1252" s="64"/>
      <c r="BG1252" s="64"/>
      <c r="BH1252" s="64"/>
      <c r="BI1252" s="64"/>
      <c r="BJ1252" s="64"/>
      <c r="BK1252" s="64"/>
      <c r="BL1252" s="64"/>
      <c r="BM1252" s="64"/>
      <c r="BN1252" s="64"/>
      <c r="BO1252" s="64"/>
      <c r="BP1252" s="64"/>
      <c r="BQ1252" s="64"/>
      <c r="BR1252" s="64"/>
      <c r="BS1252" s="64"/>
      <c r="BT1252" s="64"/>
      <c r="BU1252" s="64"/>
      <c r="BV1252" s="64"/>
      <c r="BW1252" s="64"/>
      <c r="BX1252" s="64"/>
      <c r="BY1252" s="64"/>
      <c r="BZ1252" s="64"/>
      <c r="CA1252" s="64"/>
      <c r="CB1252" s="64"/>
      <c r="CC1252" s="64"/>
      <c r="CD1252" s="64"/>
      <c r="CE1252" s="64"/>
      <c r="CF1252" s="64"/>
      <c r="CG1252" s="64"/>
      <c r="CH1252" s="64"/>
      <c r="CI1252" s="64"/>
      <c r="CJ1252" s="64"/>
      <c r="CK1252" s="64"/>
      <c r="CL1252" s="64"/>
      <c r="CM1252" s="64"/>
      <c r="CN1252" s="64"/>
      <c r="CO1252" s="64"/>
      <c r="CP1252" s="64"/>
      <c r="CQ1252" s="64"/>
      <c r="CR1252" s="64"/>
      <c r="CS1252" s="64"/>
      <c r="CT1252" s="64"/>
      <c r="CU1252" s="64"/>
      <c r="CV1252" s="64"/>
      <c r="CW1252" s="64"/>
      <c r="CX1252" s="64"/>
    </row>
    <row r="1253" spans="1:102" x14ac:dyDescent="0.2">
      <c r="A1253" s="64"/>
      <c r="B1253" s="64"/>
      <c r="C1253" s="102"/>
      <c r="D1253" s="102"/>
      <c r="E1253" s="102"/>
      <c r="F1253" s="102"/>
      <c r="G1253" s="102"/>
      <c r="H1253" s="102"/>
      <c r="I1253" s="64"/>
      <c r="J1253" s="64"/>
      <c r="K1253" s="64"/>
      <c r="L1253" s="64"/>
      <c r="M1253" s="64"/>
      <c r="N1253" s="64"/>
      <c r="O1253" s="64"/>
      <c r="P1253" s="64"/>
      <c r="Q1253" s="64"/>
      <c r="R1253" s="64"/>
      <c r="S1253" s="64"/>
      <c r="T1253" s="64"/>
      <c r="U1253" s="64"/>
      <c r="V1253" s="64"/>
      <c r="W1253" s="64"/>
      <c r="X1253" s="64"/>
      <c r="Y1253" s="64"/>
      <c r="Z1253" s="64"/>
      <c r="AA1253" s="64"/>
      <c r="AB1253" s="64"/>
      <c r="AC1253" s="64"/>
      <c r="AD1253" s="64"/>
      <c r="AE1253" s="64"/>
      <c r="AF1253" s="64"/>
      <c r="AG1253" s="64"/>
      <c r="AH1253" s="64"/>
      <c r="AI1253" s="64"/>
      <c r="AJ1253" s="64"/>
      <c r="AK1253" s="64"/>
      <c r="AL1253" s="64"/>
      <c r="AM1253" s="64"/>
      <c r="AN1253" s="64"/>
      <c r="AO1253" s="64"/>
      <c r="AP1253" s="64"/>
      <c r="AQ1253" s="64"/>
      <c r="AR1253" s="64"/>
      <c r="AS1253" s="64"/>
      <c r="AT1253" s="64"/>
      <c r="AU1253" s="64"/>
      <c r="AV1253" s="64"/>
      <c r="AW1253" s="64"/>
      <c r="AX1253" s="64"/>
      <c r="AY1253" s="64"/>
      <c r="AZ1253" s="64"/>
      <c r="BA1253" s="64"/>
      <c r="BB1253" s="64"/>
      <c r="BC1253" s="64"/>
      <c r="BD1253" s="64"/>
      <c r="BE1253" s="64"/>
      <c r="BF1253" s="64"/>
      <c r="BG1253" s="64"/>
      <c r="BH1253" s="64"/>
      <c r="BI1253" s="64"/>
      <c r="BJ1253" s="64"/>
      <c r="BK1253" s="64"/>
      <c r="BL1253" s="64"/>
      <c r="BM1253" s="64"/>
      <c r="BN1253" s="64"/>
      <c r="BO1253" s="64"/>
      <c r="BP1253" s="64"/>
      <c r="BQ1253" s="64"/>
      <c r="BR1253" s="64"/>
      <c r="BS1253" s="64"/>
      <c r="BT1253" s="64"/>
      <c r="BU1253" s="64"/>
      <c r="BV1253" s="64"/>
      <c r="BW1253" s="64"/>
      <c r="BX1253" s="64"/>
      <c r="BY1253" s="64"/>
      <c r="BZ1253" s="64"/>
      <c r="CA1253" s="64"/>
      <c r="CB1253" s="64"/>
      <c r="CC1253" s="64"/>
      <c r="CD1253" s="64"/>
      <c r="CE1253" s="64"/>
      <c r="CF1253" s="64"/>
      <c r="CG1253" s="64"/>
      <c r="CH1253" s="64"/>
      <c r="CI1253" s="64"/>
      <c r="CJ1253" s="64"/>
      <c r="CK1253" s="64"/>
      <c r="CL1253" s="64"/>
      <c r="CM1253" s="64"/>
      <c r="CN1253" s="64"/>
      <c r="CO1253" s="64"/>
      <c r="CP1253" s="64"/>
      <c r="CQ1253" s="64"/>
      <c r="CR1253" s="64"/>
      <c r="CS1253" s="64"/>
      <c r="CT1253" s="64"/>
      <c r="CU1253" s="64"/>
      <c r="CV1253" s="64"/>
      <c r="CW1253" s="64"/>
      <c r="CX1253" s="64"/>
    </row>
    <row r="1254" spans="1:102" x14ac:dyDescent="0.2">
      <c r="A1254" s="64"/>
      <c r="B1254" s="64"/>
      <c r="C1254" s="102"/>
      <c r="D1254" s="102"/>
      <c r="E1254" s="102"/>
      <c r="F1254" s="102"/>
      <c r="G1254" s="102"/>
      <c r="H1254" s="102"/>
      <c r="I1254" s="64"/>
      <c r="J1254" s="64"/>
      <c r="K1254" s="64"/>
      <c r="L1254" s="64"/>
      <c r="M1254" s="64"/>
      <c r="N1254" s="64"/>
      <c r="O1254" s="64"/>
      <c r="P1254" s="64"/>
      <c r="Q1254" s="64"/>
      <c r="R1254" s="64"/>
      <c r="S1254" s="64"/>
      <c r="T1254" s="64"/>
      <c r="U1254" s="64"/>
      <c r="V1254" s="64"/>
      <c r="W1254" s="64"/>
      <c r="X1254" s="64"/>
      <c r="Y1254" s="64"/>
      <c r="Z1254" s="64"/>
      <c r="AA1254" s="64"/>
      <c r="AB1254" s="64"/>
      <c r="AC1254" s="64"/>
      <c r="AD1254" s="64"/>
      <c r="AE1254" s="64"/>
      <c r="AF1254" s="64"/>
      <c r="AG1254" s="64"/>
      <c r="AH1254" s="64"/>
      <c r="AI1254" s="64"/>
      <c r="AJ1254" s="64"/>
      <c r="AK1254" s="64"/>
      <c r="AL1254" s="64"/>
      <c r="AM1254" s="64"/>
      <c r="AN1254" s="64"/>
      <c r="AO1254" s="64"/>
      <c r="AP1254" s="64"/>
      <c r="AQ1254" s="64"/>
      <c r="AR1254" s="64"/>
      <c r="AS1254" s="64"/>
      <c r="AT1254" s="64"/>
      <c r="AU1254" s="64"/>
      <c r="AV1254" s="64"/>
      <c r="AW1254" s="64"/>
      <c r="AX1254" s="64"/>
      <c r="AY1254" s="64"/>
      <c r="AZ1254" s="64"/>
      <c r="BA1254" s="64"/>
      <c r="BB1254" s="64"/>
      <c r="BC1254" s="64"/>
      <c r="BD1254" s="64"/>
      <c r="BE1254" s="64"/>
      <c r="BF1254" s="64"/>
      <c r="BG1254" s="64"/>
      <c r="BH1254" s="64"/>
      <c r="BI1254" s="64"/>
      <c r="BJ1254" s="64"/>
      <c r="BK1254" s="64"/>
      <c r="BL1254" s="64"/>
      <c r="BM1254" s="64"/>
      <c r="BN1254" s="64"/>
      <c r="BO1254" s="64"/>
      <c r="BP1254" s="64"/>
      <c r="BQ1254" s="64"/>
      <c r="BR1254" s="64"/>
      <c r="BS1254" s="64"/>
      <c r="BT1254" s="64"/>
      <c r="BU1254" s="64"/>
      <c r="BV1254" s="64"/>
      <c r="BW1254" s="64"/>
      <c r="BX1254" s="64"/>
      <c r="BY1254" s="64"/>
      <c r="BZ1254" s="64"/>
      <c r="CA1254" s="64"/>
      <c r="CB1254" s="64"/>
      <c r="CC1254" s="64"/>
      <c r="CD1254" s="64"/>
      <c r="CE1254" s="64"/>
      <c r="CF1254" s="64"/>
      <c r="CG1254" s="64"/>
      <c r="CH1254" s="64"/>
      <c r="CI1254" s="64"/>
      <c r="CJ1254" s="64"/>
      <c r="CK1254" s="64"/>
      <c r="CL1254" s="64"/>
      <c r="CM1254" s="64"/>
      <c r="CN1254" s="64"/>
      <c r="CO1254" s="64"/>
      <c r="CP1254" s="64"/>
      <c r="CQ1254" s="64"/>
      <c r="CR1254" s="64"/>
      <c r="CS1254" s="64"/>
      <c r="CT1254" s="64"/>
      <c r="CU1254" s="64"/>
      <c r="CV1254" s="64"/>
      <c r="CW1254" s="64"/>
      <c r="CX1254" s="64"/>
    </row>
    <row r="1255" spans="1:102" x14ac:dyDescent="0.2">
      <c r="A1255" s="64"/>
      <c r="B1255" s="64"/>
      <c r="C1255" s="102"/>
      <c r="D1255" s="102"/>
      <c r="E1255" s="102"/>
      <c r="F1255" s="102"/>
      <c r="G1255" s="102"/>
      <c r="H1255" s="102"/>
      <c r="I1255" s="64"/>
      <c r="J1255" s="64"/>
      <c r="K1255" s="64"/>
      <c r="L1255" s="64"/>
      <c r="M1255" s="64"/>
      <c r="N1255" s="64"/>
      <c r="O1255" s="64"/>
      <c r="P1255" s="64"/>
      <c r="Q1255" s="64"/>
      <c r="R1255" s="64"/>
      <c r="S1255" s="64"/>
      <c r="T1255" s="64"/>
      <c r="U1255" s="64"/>
      <c r="V1255" s="64"/>
      <c r="W1255" s="64"/>
      <c r="X1255" s="64"/>
      <c r="Y1255" s="64"/>
      <c r="Z1255" s="64"/>
      <c r="AA1255" s="64"/>
      <c r="AB1255" s="64"/>
      <c r="AC1255" s="64"/>
      <c r="AD1255" s="64"/>
      <c r="AE1255" s="64"/>
      <c r="AF1255" s="64"/>
      <c r="AG1255" s="64"/>
      <c r="AH1255" s="64"/>
      <c r="AI1255" s="64"/>
      <c r="AJ1255" s="64"/>
      <c r="AK1255" s="64"/>
      <c r="AL1255" s="64"/>
      <c r="AM1255" s="64"/>
      <c r="AN1255" s="64"/>
      <c r="AO1255" s="64"/>
      <c r="AP1255" s="64"/>
      <c r="AQ1255" s="64"/>
      <c r="AR1255" s="64"/>
      <c r="AS1255" s="64"/>
      <c r="AT1255" s="64"/>
      <c r="AU1255" s="64"/>
      <c r="AV1255" s="64"/>
      <c r="AW1255" s="64"/>
      <c r="AX1255" s="64"/>
      <c r="AY1255" s="64"/>
      <c r="AZ1255" s="64"/>
      <c r="BA1255" s="64"/>
      <c r="BB1255" s="64"/>
      <c r="BC1255" s="64"/>
      <c r="BD1255" s="64"/>
      <c r="BE1255" s="64"/>
      <c r="BF1255" s="64"/>
      <c r="BG1255" s="64"/>
      <c r="BH1255" s="64"/>
      <c r="BI1255" s="64"/>
      <c r="BJ1255" s="64"/>
      <c r="BK1255" s="64"/>
      <c r="BL1255" s="64"/>
      <c r="BM1255" s="64"/>
      <c r="BN1255" s="64"/>
      <c r="BO1255" s="64"/>
      <c r="BP1255" s="64"/>
      <c r="BQ1255" s="64"/>
      <c r="BR1255" s="64"/>
      <c r="BS1255" s="64"/>
      <c r="BT1255" s="64"/>
      <c r="BU1255" s="64"/>
      <c r="BV1255" s="64"/>
      <c r="BW1255" s="64"/>
      <c r="BX1255" s="64"/>
      <c r="BY1255" s="64"/>
      <c r="BZ1255" s="64"/>
      <c r="CA1255" s="64"/>
      <c r="CB1255" s="64"/>
      <c r="CC1255" s="64"/>
      <c r="CD1255" s="64"/>
      <c r="CE1255" s="64"/>
      <c r="CF1255" s="64"/>
      <c r="CG1255" s="64"/>
      <c r="CH1255" s="64"/>
      <c r="CI1255" s="64"/>
      <c r="CJ1255" s="64"/>
      <c r="CK1255" s="64"/>
      <c r="CL1255" s="64"/>
      <c r="CM1255" s="64"/>
      <c r="CN1255" s="64"/>
      <c r="CO1255" s="64"/>
      <c r="CP1255" s="64"/>
      <c r="CQ1255" s="64"/>
      <c r="CR1255" s="64"/>
      <c r="CS1255" s="64"/>
      <c r="CT1255" s="64"/>
      <c r="CU1255" s="64"/>
      <c r="CV1255" s="64"/>
      <c r="CW1255" s="64"/>
      <c r="CX1255" s="64"/>
    </row>
    <row r="1256" spans="1:102" x14ac:dyDescent="0.2">
      <c r="A1256" s="64"/>
      <c r="B1256" s="64"/>
      <c r="C1256" s="102"/>
      <c r="D1256" s="102"/>
      <c r="E1256" s="102"/>
      <c r="F1256" s="102"/>
      <c r="G1256" s="102"/>
      <c r="H1256" s="102"/>
      <c r="I1256" s="64"/>
      <c r="J1256" s="64"/>
      <c r="K1256" s="64"/>
      <c r="L1256" s="64"/>
      <c r="M1256" s="64"/>
      <c r="N1256" s="64"/>
      <c r="O1256" s="64"/>
      <c r="P1256" s="64"/>
      <c r="Q1256" s="64"/>
      <c r="R1256" s="64"/>
      <c r="S1256" s="64"/>
      <c r="T1256" s="64"/>
      <c r="U1256" s="64"/>
      <c r="V1256" s="64"/>
      <c r="W1256" s="64"/>
      <c r="X1256" s="64"/>
      <c r="Y1256" s="64"/>
      <c r="Z1256" s="64"/>
      <c r="AA1256" s="64"/>
      <c r="AB1256" s="64"/>
      <c r="AC1256" s="64"/>
      <c r="AD1256" s="64"/>
      <c r="AE1256" s="64"/>
      <c r="AF1256" s="64"/>
      <c r="AG1256" s="64"/>
      <c r="AH1256" s="64"/>
      <c r="AI1256" s="64"/>
      <c r="AJ1256" s="64"/>
      <c r="AK1256" s="64"/>
      <c r="AL1256" s="64"/>
      <c r="AM1256" s="64"/>
      <c r="AN1256" s="64"/>
      <c r="AO1256" s="64"/>
      <c r="AP1256" s="64"/>
      <c r="AQ1256" s="64"/>
      <c r="AR1256" s="64"/>
      <c r="AS1256" s="64"/>
      <c r="AT1256" s="64"/>
      <c r="AU1256" s="64"/>
      <c r="AV1256" s="64"/>
      <c r="AW1256" s="64"/>
      <c r="AX1256" s="64"/>
      <c r="AY1256" s="64"/>
      <c r="AZ1256" s="64"/>
      <c r="BA1256" s="64"/>
      <c r="BB1256" s="64"/>
      <c r="BC1256" s="64"/>
      <c r="BD1256" s="64"/>
      <c r="BE1256" s="64"/>
      <c r="BF1256" s="64"/>
      <c r="BG1256" s="64"/>
      <c r="BH1256" s="64"/>
      <c r="BI1256" s="64"/>
      <c r="BJ1256" s="64"/>
      <c r="BK1256" s="64"/>
      <c r="BL1256" s="64"/>
      <c r="BM1256" s="64"/>
      <c r="BN1256" s="64"/>
      <c r="BO1256" s="64"/>
      <c r="BP1256" s="64"/>
      <c r="BQ1256" s="64"/>
      <c r="BR1256" s="64"/>
      <c r="BS1256" s="64"/>
      <c r="BT1256" s="64"/>
      <c r="BU1256" s="64"/>
      <c r="BV1256" s="64"/>
      <c r="BW1256" s="64"/>
      <c r="BX1256" s="64"/>
      <c r="BY1256" s="64"/>
      <c r="BZ1256" s="64"/>
      <c r="CA1256" s="64"/>
      <c r="CB1256" s="64"/>
      <c r="CC1256" s="64"/>
      <c r="CD1256" s="64"/>
      <c r="CE1256" s="64"/>
      <c r="CF1256" s="64"/>
      <c r="CG1256" s="64"/>
      <c r="CH1256" s="64"/>
      <c r="CI1256" s="64"/>
      <c r="CJ1256" s="64"/>
      <c r="CK1256" s="64"/>
      <c r="CL1256" s="64"/>
      <c r="CM1256" s="64"/>
      <c r="CN1256" s="64"/>
      <c r="CO1256" s="64"/>
      <c r="CP1256" s="64"/>
      <c r="CQ1256" s="64"/>
      <c r="CR1256" s="64"/>
      <c r="CS1256" s="64"/>
      <c r="CT1256" s="64"/>
      <c r="CU1256" s="64"/>
      <c r="CV1256" s="64"/>
      <c r="CW1256" s="64"/>
      <c r="CX1256" s="64"/>
    </row>
    <row r="1257" spans="1:102" x14ac:dyDescent="0.2">
      <c r="A1257" s="64"/>
      <c r="B1257" s="64"/>
      <c r="C1257" s="102"/>
      <c r="D1257" s="102"/>
      <c r="E1257" s="102"/>
      <c r="F1257" s="102"/>
      <c r="G1257" s="102"/>
      <c r="H1257" s="102"/>
      <c r="I1257" s="64"/>
      <c r="J1257" s="64"/>
      <c r="K1257" s="64"/>
      <c r="L1257" s="64"/>
      <c r="M1257" s="64"/>
      <c r="N1257" s="64"/>
      <c r="O1257" s="64"/>
      <c r="P1257" s="64"/>
      <c r="Q1257" s="64"/>
      <c r="R1257" s="64"/>
      <c r="S1257" s="64"/>
      <c r="T1257" s="64"/>
      <c r="U1257" s="64"/>
      <c r="V1257" s="64"/>
      <c r="W1257" s="64"/>
      <c r="X1257" s="64"/>
      <c r="Y1257" s="64"/>
      <c r="Z1257" s="64"/>
      <c r="AA1257" s="64"/>
      <c r="AB1257" s="64"/>
      <c r="AC1257" s="64"/>
      <c r="AD1257" s="64"/>
      <c r="AE1257" s="64"/>
      <c r="AF1257" s="64"/>
      <c r="AG1257" s="64"/>
      <c r="AH1257" s="64"/>
      <c r="AI1257" s="64"/>
      <c r="AJ1257" s="64"/>
      <c r="AK1257" s="64"/>
      <c r="AL1257" s="64"/>
      <c r="AM1257" s="64"/>
      <c r="AN1257" s="64"/>
      <c r="AO1257" s="64"/>
      <c r="AP1257" s="64"/>
      <c r="AQ1257" s="64"/>
      <c r="AR1257" s="64"/>
      <c r="AS1257" s="64"/>
      <c r="AT1257" s="64"/>
      <c r="AU1257" s="64"/>
      <c r="AV1257" s="64"/>
      <c r="AW1257" s="64"/>
      <c r="AX1257" s="64"/>
      <c r="AY1257" s="64"/>
      <c r="AZ1257" s="64"/>
      <c r="BA1257" s="64"/>
      <c r="BB1257" s="64"/>
      <c r="BC1257" s="64"/>
      <c r="BD1257" s="64"/>
      <c r="BE1257" s="64"/>
      <c r="BF1257" s="64"/>
      <c r="BG1257" s="64"/>
      <c r="BH1257" s="64"/>
      <c r="BI1257" s="64"/>
      <c r="BJ1257" s="64"/>
      <c r="BK1257" s="64"/>
      <c r="BL1257" s="64"/>
      <c r="BM1257" s="64"/>
      <c r="BN1257" s="64"/>
      <c r="BO1257" s="64"/>
      <c r="BP1257" s="64"/>
      <c r="BQ1257" s="64"/>
      <c r="BR1257" s="64"/>
      <c r="BS1257" s="64"/>
      <c r="BT1257" s="64"/>
      <c r="BU1257" s="64"/>
      <c r="BV1257" s="64"/>
      <c r="BW1257" s="64"/>
      <c r="BX1257" s="64"/>
      <c r="BY1257" s="64"/>
      <c r="BZ1257" s="64"/>
      <c r="CA1257" s="64"/>
      <c r="CB1257" s="64"/>
      <c r="CC1257" s="64"/>
      <c r="CD1257" s="64"/>
      <c r="CE1257" s="64"/>
      <c r="CF1257" s="64"/>
      <c r="CG1257" s="64"/>
      <c r="CH1257" s="64"/>
      <c r="CI1257" s="64"/>
      <c r="CJ1257" s="64"/>
      <c r="CK1257" s="64"/>
      <c r="CL1257" s="64"/>
      <c r="CM1257" s="64"/>
      <c r="CN1257" s="64"/>
      <c r="CO1257" s="64"/>
      <c r="CP1257" s="64"/>
      <c r="CQ1257" s="64"/>
      <c r="CR1257" s="64"/>
      <c r="CS1257" s="64"/>
      <c r="CT1257" s="64"/>
      <c r="CU1257" s="64"/>
      <c r="CV1257" s="64"/>
      <c r="CW1257" s="64"/>
      <c r="CX1257" s="64"/>
    </row>
    <row r="1258" spans="1:102" x14ac:dyDescent="0.2">
      <c r="A1258" s="64"/>
      <c r="B1258" s="64"/>
      <c r="C1258" s="102"/>
      <c r="D1258" s="102"/>
      <c r="E1258" s="102"/>
      <c r="F1258" s="102"/>
      <c r="G1258" s="102"/>
      <c r="H1258" s="102"/>
      <c r="I1258" s="64"/>
      <c r="J1258" s="64"/>
      <c r="K1258" s="64"/>
      <c r="L1258" s="64"/>
      <c r="M1258" s="64"/>
      <c r="N1258" s="64"/>
      <c r="O1258" s="64"/>
      <c r="P1258" s="64"/>
      <c r="Q1258" s="64"/>
      <c r="R1258" s="64"/>
      <c r="S1258" s="64"/>
      <c r="T1258" s="64"/>
      <c r="U1258" s="64"/>
      <c r="V1258" s="64"/>
      <c r="W1258" s="64"/>
      <c r="X1258" s="64"/>
      <c r="Y1258" s="64"/>
      <c r="Z1258" s="64"/>
      <c r="AA1258" s="64"/>
      <c r="AB1258" s="64"/>
      <c r="AC1258" s="64"/>
      <c r="AD1258" s="64"/>
      <c r="AE1258" s="64"/>
      <c r="AF1258" s="64"/>
      <c r="AG1258" s="64"/>
      <c r="AH1258" s="64"/>
      <c r="AI1258" s="64"/>
      <c r="AJ1258" s="64"/>
      <c r="AK1258" s="64"/>
      <c r="AL1258" s="64"/>
      <c r="AM1258" s="64"/>
      <c r="AN1258" s="64"/>
      <c r="AO1258" s="64"/>
      <c r="AP1258" s="64"/>
      <c r="AQ1258" s="64"/>
      <c r="AR1258" s="64"/>
      <c r="AS1258" s="64"/>
      <c r="AT1258" s="64"/>
      <c r="AU1258" s="64"/>
      <c r="AV1258" s="64"/>
      <c r="AW1258" s="64"/>
      <c r="AX1258" s="64"/>
      <c r="AY1258" s="64"/>
      <c r="AZ1258" s="64"/>
      <c r="BA1258" s="64"/>
      <c r="BB1258" s="64"/>
      <c r="BC1258" s="64"/>
      <c r="BD1258" s="64"/>
      <c r="BE1258" s="64"/>
      <c r="BF1258" s="64"/>
      <c r="BG1258" s="64"/>
      <c r="BH1258" s="64"/>
      <c r="BI1258" s="64"/>
      <c r="BJ1258" s="64"/>
      <c r="BK1258" s="64"/>
      <c r="BL1258" s="64"/>
      <c r="BM1258" s="64"/>
      <c r="BN1258" s="64"/>
      <c r="BO1258" s="64"/>
      <c r="BP1258" s="64"/>
      <c r="BQ1258" s="64"/>
      <c r="BR1258" s="64"/>
      <c r="BS1258" s="64"/>
      <c r="BT1258" s="64"/>
      <c r="BU1258" s="64"/>
      <c r="BV1258" s="64"/>
      <c r="BW1258" s="64"/>
      <c r="BX1258" s="64"/>
      <c r="BY1258" s="64"/>
      <c r="BZ1258" s="64"/>
      <c r="CA1258" s="64"/>
      <c r="CB1258" s="64"/>
      <c r="CC1258" s="64"/>
      <c r="CD1258" s="64"/>
      <c r="CE1258" s="64"/>
      <c r="CF1258" s="64"/>
      <c r="CG1258" s="64"/>
      <c r="CH1258" s="64"/>
      <c r="CI1258" s="64"/>
      <c r="CJ1258" s="64"/>
      <c r="CK1258" s="64"/>
      <c r="CL1258" s="64"/>
      <c r="CM1258" s="64"/>
      <c r="CN1258" s="64"/>
      <c r="CO1258" s="64"/>
      <c r="CP1258" s="64"/>
      <c r="CQ1258" s="64"/>
      <c r="CR1258" s="64"/>
      <c r="CS1258" s="64"/>
      <c r="CT1258" s="64"/>
      <c r="CU1258" s="64"/>
      <c r="CV1258" s="64"/>
      <c r="CW1258" s="64"/>
      <c r="CX1258" s="64"/>
    </row>
    <row r="1259" spans="1:102" x14ac:dyDescent="0.2">
      <c r="A1259" s="64"/>
      <c r="B1259" s="64"/>
      <c r="C1259" s="102"/>
      <c r="D1259" s="102"/>
      <c r="E1259" s="102"/>
      <c r="F1259" s="102"/>
      <c r="G1259" s="102"/>
      <c r="H1259" s="102"/>
      <c r="I1259" s="64"/>
      <c r="J1259" s="64"/>
      <c r="K1259" s="64"/>
      <c r="L1259" s="64"/>
      <c r="M1259" s="64"/>
      <c r="N1259" s="64"/>
      <c r="O1259" s="64"/>
      <c r="P1259" s="64"/>
      <c r="Q1259" s="64"/>
      <c r="R1259" s="64"/>
      <c r="S1259" s="64"/>
      <c r="T1259" s="64"/>
      <c r="U1259" s="64"/>
      <c r="V1259" s="64"/>
      <c r="W1259" s="64"/>
      <c r="X1259" s="64"/>
      <c r="Y1259" s="64"/>
      <c r="Z1259" s="64"/>
      <c r="AA1259" s="64"/>
      <c r="AB1259" s="64"/>
      <c r="AC1259" s="64"/>
      <c r="AD1259" s="64"/>
      <c r="AE1259" s="64"/>
      <c r="AF1259" s="64"/>
      <c r="AG1259" s="64"/>
      <c r="AH1259" s="64"/>
      <c r="AI1259" s="64"/>
      <c r="AJ1259" s="64"/>
      <c r="AK1259" s="64"/>
      <c r="AL1259" s="64"/>
      <c r="AM1259" s="64"/>
      <c r="AN1259" s="64"/>
      <c r="AO1259" s="64"/>
      <c r="AP1259" s="64"/>
      <c r="AQ1259" s="64"/>
      <c r="AR1259" s="64"/>
      <c r="AS1259" s="64"/>
      <c r="AT1259" s="64"/>
      <c r="AU1259" s="64"/>
      <c r="AV1259" s="64"/>
      <c r="AW1259" s="64"/>
      <c r="AX1259" s="64"/>
      <c r="AY1259" s="64"/>
      <c r="AZ1259" s="64"/>
      <c r="BA1259" s="64"/>
      <c r="BB1259" s="64"/>
      <c r="BC1259" s="64"/>
      <c r="BD1259" s="64"/>
      <c r="BE1259" s="64"/>
      <c r="BF1259" s="64"/>
      <c r="BG1259" s="64"/>
      <c r="BH1259" s="64"/>
      <c r="BI1259" s="64"/>
      <c r="BJ1259" s="64"/>
      <c r="BK1259" s="64"/>
      <c r="BL1259" s="64"/>
      <c r="BM1259" s="64"/>
      <c r="BN1259" s="64"/>
      <c r="BO1259" s="64"/>
      <c r="BP1259" s="64"/>
      <c r="BQ1259" s="64"/>
      <c r="BR1259" s="64"/>
      <c r="BS1259" s="64"/>
      <c r="BT1259" s="64"/>
      <c r="BU1259" s="64"/>
      <c r="BV1259" s="64"/>
      <c r="BW1259" s="64"/>
      <c r="BX1259" s="64"/>
      <c r="BY1259" s="64"/>
      <c r="BZ1259" s="64"/>
      <c r="CA1259" s="64"/>
      <c r="CB1259" s="64"/>
      <c r="CC1259" s="64"/>
      <c r="CD1259" s="64"/>
      <c r="CE1259" s="64"/>
      <c r="CF1259" s="64"/>
      <c r="CG1259" s="64"/>
      <c r="CH1259" s="64"/>
      <c r="CI1259" s="64"/>
      <c r="CJ1259" s="64"/>
      <c r="CK1259" s="64"/>
      <c r="CL1259" s="64"/>
      <c r="CM1259" s="64"/>
      <c r="CN1259" s="64"/>
      <c r="CO1259" s="64"/>
      <c r="CP1259" s="64"/>
      <c r="CQ1259" s="64"/>
      <c r="CR1259" s="64"/>
      <c r="CS1259" s="64"/>
      <c r="CT1259" s="64"/>
      <c r="CU1259" s="64"/>
      <c r="CV1259" s="64"/>
      <c r="CW1259" s="64"/>
      <c r="CX1259" s="64"/>
    </row>
    <row r="1260" spans="1:102" x14ac:dyDescent="0.2">
      <c r="A1260" s="64"/>
      <c r="B1260" s="64"/>
      <c r="C1260" s="102"/>
      <c r="D1260" s="102"/>
      <c r="E1260" s="102"/>
      <c r="F1260" s="102"/>
      <c r="G1260" s="102"/>
      <c r="H1260" s="102"/>
      <c r="I1260" s="64"/>
      <c r="J1260" s="64"/>
      <c r="K1260" s="64"/>
      <c r="L1260" s="64"/>
      <c r="M1260" s="64"/>
      <c r="N1260" s="64"/>
      <c r="O1260" s="64"/>
      <c r="P1260" s="64"/>
      <c r="Q1260" s="64"/>
      <c r="R1260" s="64"/>
      <c r="S1260" s="64"/>
      <c r="T1260" s="64"/>
      <c r="U1260" s="64"/>
      <c r="V1260" s="64"/>
      <c r="W1260" s="64"/>
      <c r="X1260" s="64"/>
      <c r="Y1260" s="64"/>
      <c r="Z1260" s="64"/>
      <c r="AA1260" s="64"/>
      <c r="AB1260" s="64"/>
      <c r="AC1260" s="64"/>
      <c r="AD1260" s="64"/>
      <c r="AE1260" s="64"/>
      <c r="AF1260" s="64"/>
      <c r="AG1260" s="64"/>
      <c r="AH1260" s="64"/>
      <c r="AI1260" s="64"/>
      <c r="AJ1260" s="64"/>
      <c r="AK1260" s="64"/>
      <c r="AL1260" s="64"/>
      <c r="AM1260" s="64"/>
      <c r="AN1260" s="64"/>
      <c r="AO1260" s="64"/>
      <c r="AP1260" s="64"/>
      <c r="AQ1260" s="64"/>
      <c r="AR1260" s="64"/>
      <c r="AS1260" s="64"/>
      <c r="AT1260" s="64"/>
      <c r="AU1260" s="64"/>
      <c r="AV1260" s="64"/>
      <c r="AW1260" s="64"/>
      <c r="AX1260" s="64"/>
      <c r="AY1260" s="64"/>
      <c r="AZ1260" s="64"/>
      <c r="BA1260" s="64"/>
      <c r="BB1260" s="64"/>
      <c r="BC1260" s="64"/>
      <c r="BD1260" s="64"/>
      <c r="BE1260" s="64"/>
      <c r="BF1260" s="64"/>
      <c r="BG1260" s="64"/>
      <c r="BH1260" s="64"/>
      <c r="BI1260" s="64"/>
      <c r="BJ1260" s="64"/>
      <c r="BK1260" s="64"/>
      <c r="BL1260" s="64"/>
      <c r="BM1260" s="64"/>
      <c r="BN1260" s="64"/>
      <c r="BO1260" s="64"/>
      <c r="BP1260" s="64"/>
      <c r="BQ1260" s="64"/>
      <c r="BR1260" s="64"/>
      <c r="BS1260" s="64"/>
      <c r="BT1260" s="64"/>
      <c r="BU1260" s="64"/>
      <c r="BV1260" s="64"/>
      <c r="BW1260" s="64"/>
      <c r="BX1260" s="64"/>
      <c r="BY1260" s="64"/>
      <c r="BZ1260" s="64"/>
      <c r="CA1260" s="64"/>
      <c r="CB1260" s="64"/>
      <c r="CC1260" s="64"/>
      <c r="CD1260" s="64"/>
      <c r="CE1260" s="64"/>
      <c r="CF1260" s="64"/>
      <c r="CG1260" s="64"/>
      <c r="CH1260" s="64"/>
      <c r="CI1260" s="64"/>
      <c r="CJ1260" s="64"/>
      <c r="CK1260" s="64"/>
      <c r="CL1260" s="64"/>
      <c r="CM1260" s="64"/>
      <c r="CN1260" s="64"/>
      <c r="CO1260" s="64"/>
      <c r="CP1260" s="64"/>
      <c r="CQ1260" s="64"/>
      <c r="CR1260" s="64"/>
      <c r="CS1260" s="64"/>
      <c r="CT1260" s="64"/>
      <c r="CU1260" s="64"/>
      <c r="CV1260" s="64"/>
      <c r="CW1260" s="64"/>
      <c r="CX1260" s="64"/>
    </row>
    <row r="1261" spans="1:102" x14ac:dyDescent="0.2">
      <c r="A1261" s="64"/>
      <c r="B1261" s="64"/>
      <c r="C1261" s="102"/>
      <c r="D1261" s="102"/>
      <c r="E1261" s="102"/>
      <c r="F1261" s="102"/>
      <c r="G1261" s="102"/>
      <c r="H1261" s="102"/>
      <c r="I1261" s="64"/>
      <c r="J1261" s="64"/>
      <c r="K1261" s="64"/>
      <c r="L1261" s="64"/>
      <c r="M1261" s="64"/>
      <c r="N1261" s="64"/>
      <c r="O1261" s="64"/>
      <c r="P1261" s="64"/>
      <c r="Q1261" s="64"/>
      <c r="R1261" s="64"/>
      <c r="S1261" s="64"/>
      <c r="T1261" s="64"/>
      <c r="U1261" s="64"/>
      <c r="V1261" s="64"/>
      <c r="W1261" s="64"/>
      <c r="X1261" s="64"/>
      <c r="Y1261" s="64"/>
      <c r="Z1261" s="64"/>
      <c r="AA1261" s="64"/>
      <c r="AB1261" s="64"/>
      <c r="AC1261" s="64"/>
      <c r="AD1261" s="64"/>
      <c r="AE1261" s="64"/>
      <c r="AF1261" s="64"/>
      <c r="AG1261" s="64"/>
      <c r="AH1261" s="64"/>
      <c r="AI1261" s="64"/>
      <c r="AJ1261" s="64"/>
      <c r="AK1261" s="64"/>
      <c r="AL1261" s="64"/>
      <c r="AM1261" s="64"/>
      <c r="AN1261" s="64"/>
      <c r="AO1261" s="64"/>
      <c r="AP1261" s="64"/>
      <c r="AQ1261" s="64"/>
      <c r="AR1261" s="64"/>
      <c r="AS1261" s="64"/>
      <c r="AT1261" s="64"/>
      <c r="AU1261" s="64"/>
      <c r="AV1261" s="64"/>
      <c r="AW1261" s="64"/>
      <c r="AX1261" s="64"/>
      <c r="AY1261" s="64"/>
      <c r="AZ1261" s="64"/>
      <c r="BA1261" s="64"/>
      <c r="BB1261" s="64"/>
      <c r="BC1261" s="64"/>
      <c r="BD1261" s="64"/>
      <c r="BE1261" s="64"/>
      <c r="BF1261" s="64"/>
      <c r="BG1261" s="64"/>
      <c r="BH1261" s="64"/>
      <c r="BI1261" s="64"/>
      <c r="BJ1261" s="64"/>
      <c r="BK1261" s="64"/>
      <c r="BL1261" s="64"/>
      <c r="BM1261" s="64"/>
      <c r="BN1261" s="64"/>
      <c r="BO1261" s="64"/>
      <c r="BP1261" s="64"/>
      <c r="BQ1261" s="64"/>
      <c r="BR1261" s="64"/>
      <c r="BS1261" s="64"/>
      <c r="BT1261" s="64"/>
      <c r="BU1261" s="64"/>
      <c r="BV1261" s="64"/>
      <c r="BW1261" s="64"/>
      <c r="BX1261" s="64"/>
      <c r="BY1261" s="64"/>
      <c r="BZ1261" s="64"/>
      <c r="CA1261" s="64"/>
      <c r="CB1261" s="64"/>
      <c r="CC1261" s="64"/>
      <c r="CD1261" s="64"/>
      <c r="CE1261" s="64"/>
      <c r="CF1261" s="64"/>
      <c r="CG1261" s="64"/>
      <c r="CH1261" s="64"/>
      <c r="CI1261" s="64"/>
      <c r="CJ1261" s="64"/>
      <c r="CK1261" s="64"/>
      <c r="CL1261" s="64"/>
      <c r="CM1261" s="64"/>
      <c r="CN1261" s="64"/>
      <c r="CO1261" s="64"/>
      <c r="CP1261" s="64"/>
      <c r="CQ1261" s="64"/>
      <c r="CR1261" s="64"/>
      <c r="CS1261" s="64"/>
      <c r="CT1261" s="64"/>
      <c r="CU1261" s="64"/>
      <c r="CV1261" s="64"/>
      <c r="CW1261" s="64"/>
      <c r="CX1261" s="64"/>
    </row>
    <row r="1262" spans="1:102" x14ac:dyDescent="0.2">
      <c r="A1262" s="64"/>
      <c r="B1262" s="64"/>
      <c r="C1262" s="102"/>
      <c r="D1262" s="102"/>
      <c r="E1262" s="102"/>
      <c r="F1262" s="102"/>
      <c r="G1262" s="102"/>
      <c r="H1262" s="102"/>
      <c r="I1262" s="64"/>
      <c r="J1262" s="64"/>
      <c r="K1262" s="64"/>
      <c r="L1262" s="64"/>
      <c r="M1262" s="64"/>
      <c r="N1262" s="64"/>
      <c r="O1262" s="64"/>
      <c r="P1262" s="64"/>
      <c r="Q1262" s="64"/>
      <c r="R1262" s="64"/>
      <c r="S1262" s="64"/>
      <c r="T1262" s="64"/>
      <c r="U1262" s="64"/>
      <c r="V1262" s="64"/>
      <c r="W1262" s="64"/>
      <c r="X1262" s="64"/>
      <c r="Y1262" s="64"/>
      <c r="Z1262" s="64"/>
      <c r="AA1262" s="64"/>
      <c r="AB1262" s="64"/>
      <c r="AC1262" s="64"/>
      <c r="AD1262" s="64"/>
      <c r="AE1262" s="64"/>
      <c r="AF1262" s="64"/>
      <c r="AG1262" s="64"/>
      <c r="AH1262" s="64"/>
      <c r="AI1262" s="64"/>
      <c r="AJ1262" s="64"/>
      <c r="AK1262" s="64"/>
      <c r="AL1262" s="64"/>
      <c r="AM1262" s="64"/>
      <c r="AN1262" s="64"/>
      <c r="AO1262" s="64"/>
      <c r="AP1262" s="64"/>
      <c r="AQ1262" s="64"/>
      <c r="AR1262" s="64"/>
      <c r="AS1262" s="64"/>
      <c r="AT1262" s="64"/>
      <c r="AU1262" s="64"/>
      <c r="AV1262" s="64"/>
      <c r="AW1262" s="64"/>
      <c r="AX1262" s="64"/>
      <c r="AY1262" s="64"/>
      <c r="AZ1262" s="64"/>
      <c r="BA1262" s="64"/>
      <c r="BB1262" s="64"/>
      <c r="BC1262" s="64"/>
      <c r="BD1262" s="64"/>
      <c r="BE1262" s="64"/>
      <c r="BF1262" s="64"/>
      <c r="BG1262" s="64"/>
      <c r="BH1262" s="64"/>
      <c r="BI1262" s="64"/>
      <c r="BJ1262" s="64"/>
      <c r="BK1262" s="64"/>
      <c r="BL1262" s="64"/>
      <c r="BM1262" s="64"/>
      <c r="BN1262" s="64"/>
      <c r="BO1262" s="64"/>
      <c r="BP1262" s="64"/>
      <c r="BQ1262" s="64"/>
      <c r="BR1262" s="64"/>
      <c r="BS1262" s="64"/>
      <c r="BT1262" s="64"/>
      <c r="BU1262" s="64"/>
      <c r="BV1262" s="64"/>
      <c r="BW1262" s="64"/>
      <c r="BX1262" s="64"/>
      <c r="BY1262" s="64"/>
      <c r="BZ1262" s="64"/>
      <c r="CA1262" s="64"/>
      <c r="CB1262" s="64"/>
      <c r="CC1262" s="64"/>
      <c r="CD1262" s="64"/>
      <c r="CE1262" s="64"/>
      <c r="CF1262" s="64"/>
      <c r="CG1262" s="64"/>
      <c r="CH1262" s="64"/>
      <c r="CI1262" s="64"/>
      <c r="CJ1262" s="64"/>
      <c r="CK1262" s="64"/>
      <c r="CL1262" s="64"/>
      <c r="CM1262" s="64"/>
      <c r="CN1262" s="64"/>
      <c r="CO1262" s="64"/>
      <c r="CP1262" s="64"/>
      <c r="CQ1262" s="64"/>
      <c r="CR1262" s="64"/>
      <c r="CS1262" s="64"/>
      <c r="CT1262" s="64"/>
      <c r="CU1262" s="64"/>
      <c r="CV1262" s="64"/>
      <c r="CW1262" s="64"/>
      <c r="CX1262" s="64"/>
    </row>
    <row r="1263" spans="1:102" x14ac:dyDescent="0.2">
      <c r="A1263" s="64"/>
      <c r="B1263" s="64"/>
      <c r="C1263" s="102"/>
      <c r="D1263" s="102"/>
      <c r="E1263" s="102"/>
      <c r="F1263" s="102"/>
      <c r="G1263" s="102"/>
      <c r="H1263" s="102"/>
      <c r="I1263" s="64"/>
      <c r="J1263" s="64"/>
      <c r="K1263" s="64"/>
      <c r="L1263" s="64"/>
      <c r="M1263" s="64"/>
      <c r="N1263" s="64"/>
      <c r="O1263" s="64"/>
      <c r="P1263" s="64"/>
      <c r="Q1263" s="64"/>
      <c r="R1263" s="64"/>
      <c r="S1263" s="64"/>
      <c r="T1263" s="64"/>
      <c r="U1263" s="64"/>
      <c r="V1263" s="64"/>
      <c r="W1263" s="64"/>
      <c r="X1263" s="64"/>
      <c r="Y1263" s="64"/>
      <c r="Z1263" s="64"/>
      <c r="AA1263" s="64"/>
      <c r="AB1263" s="64"/>
      <c r="AC1263" s="64"/>
      <c r="AD1263" s="64"/>
      <c r="AE1263" s="64"/>
      <c r="AF1263" s="64"/>
      <c r="AG1263" s="64"/>
      <c r="AH1263" s="64"/>
      <c r="AI1263" s="64"/>
      <c r="AJ1263" s="64"/>
      <c r="AK1263" s="64"/>
      <c r="AL1263" s="64"/>
      <c r="AM1263" s="64"/>
      <c r="AN1263" s="64"/>
      <c r="AO1263" s="64"/>
      <c r="AP1263" s="64"/>
      <c r="AQ1263" s="64"/>
      <c r="AR1263" s="64"/>
      <c r="AS1263" s="64"/>
      <c r="AT1263" s="64"/>
      <c r="AU1263" s="64"/>
      <c r="AV1263" s="64"/>
      <c r="AW1263" s="64"/>
      <c r="AX1263" s="64"/>
      <c r="AY1263" s="64"/>
      <c r="AZ1263" s="64"/>
      <c r="BA1263" s="64"/>
      <c r="BB1263" s="64"/>
      <c r="BC1263" s="64"/>
      <c r="BD1263" s="64"/>
      <c r="BE1263" s="64"/>
      <c r="BF1263" s="64"/>
      <c r="BG1263" s="64"/>
      <c r="BH1263" s="64"/>
      <c r="BI1263" s="64"/>
      <c r="BJ1263" s="64"/>
      <c r="BK1263" s="64"/>
      <c r="BL1263" s="64"/>
      <c r="BM1263" s="64"/>
      <c r="BN1263" s="64"/>
      <c r="BO1263" s="64"/>
      <c r="BP1263" s="64"/>
      <c r="BQ1263" s="64"/>
      <c r="BR1263" s="64"/>
      <c r="BS1263" s="64"/>
      <c r="BT1263" s="64"/>
      <c r="BU1263" s="64"/>
      <c r="BV1263" s="64"/>
      <c r="BW1263" s="64"/>
      <c r="BX1263" s="64"/>
      <c r="BY1263" s="64"/>
      <c r="BZ1263" s="64"/>
      <c r="CA1263" s="64"/>
      <c r="CB1263" s="64"/>
      <c r="CC1263" s="64"/>
      <c r="CD1263" s="64"/>
      <c r="CE1263" s="64"/>
      <c r="CF1263" s="64"/>
      <c r="CG1263" s="64"/>
      <c r="CH1263" s="64"/>
      <c r="CI1263" s="64"/>
      <c r="CJ1263" s="64"/>
      <c r="CK1263" s="64"/>
      <c r="CL1263" s="64"/>
      <c r="CM1263" s="64"/>
      <c r="CN1263" s="64"/>
      <c r="CO1263" s="64"/>
      <c r="CP1263" s="64"/>
      <c r="CQ1263" s="64"/>
      <c r="CR1263" s="64"/>
      <c r="CS1263" s="64"/>
      <c r="CT1263" s="64"/>
      <c r="CU1263" s="64"/>
      <c r="CV1263" s="64"/>
      <c r="CW1263" s="64"/>
      <c r="CX1263" s="64"/>
    </row>
    <row r="1264" spans="1:102" x14ac:dyDescent="0.2">
      <c r="A1264" s="64"/>
      <c r="B1264" s="64"/>
      <c r="C1264" s="102"/>
      <c r="D1264" s="102"/>
      <c r="E1264" s="102"/>
      <c r="F1264" s="102"/>
      <c r="G1264" s="102"/>
      <c r="H1264" s="102"/>
      <c r="I1264" s="64"/>
      <c r="J1264" s="64"/>
      <c r="K1264" s="64"/>
      <c r="L1264" s="64"/>
      <c r="M1264" s="64"/>
      <c r="N1264" s="64"/>
      <c r="O1264" s="64"/>
      <c r="P1264" s="64"/>
      <c r="Q1264" s="64"/>
      <c r="R1264" s="64"/>
      <c r="S1264" s="64"/>
      <c r="T1264" s="64"/>
      <c r="U1264" s="64"/>
      <c r="V1264" s="64"/>
      <c r="W1264" s="64"/>
      <c r="X1264" s="64"/>
      <c r="Y1264" s="64"/>
      <c r="Z1264" s="64"/>
      <c r="AA1264" s="64"/>
      <c r="AB1264" s="64"/>
      <c r="AC1264" s="64"/>
      <c r="AD1264" s="64"/>
      <c r="AE1264" s="64"/>
      <c r="AF1264" s="64"/>
      <c r="AG1264" s="64"/>
      <c r="AH1264" s="64"/>
      <c r="AI1264" s="64"/>
      <c r="AJ1264" s="64"/>
      <c r="AK1264" s="64"/>
      <c r="AL1264" s="64"/>
      <c r="AM1264" s="64"/>
      <c r="AN1264" s="64"/>
      <c r="AO1264" s="64"/>
      <c r="AP1264" s="64"/>
      <c r="AQ1264" s="64"/>
      <c r="AR1264" s="64"/>
      <c r="AS1264" s="64"/>
      <c r="AT1264" s="64"/>
      <c r="AU1264" s="64"/>
      <c r="AV1264" s="64"/>
      <c r="AW1264" s="64"/>
      <c r="AX1264" s="64"/>
      <c r="AY1264" s="64"/>
      <c r="AZ1264" s="64"/>
      <c r="BA1264" s="64"/>
      <c r="BB1264" s="64"/>
      <c r="BC1264" s="64"/>
      <c r="BD1264" s="64"/>
      <c r="BE1264" s="64"/>
      <c r="BF1264" s="64"/>
      <c r="BG1264" s="64"/>
      <c r="BH1264" s="64"/>
      <c r="BI1264" s="64"/>
      <c r="BJ1264" s="64"/>
      <c r="BK1264" s="64"/>
      <c r="BL1264" s="64"/>
      <c r="BM1264" s="64"/>
      <c r="BN1264" s="64"/>
      <c r="BO1264" s="64"/>
      <c r="BP1264" s="64"/>
      <c r="BQ1264" s="64"/>
      <c r="BR1264" s="64"/>
      <c r="BS1264" s="64"/>
      <c r="BT1264" s="64"/>
      <c r="BU1264" s="64"/>
      <c r="BV1264" s="64"/>
      <c r="BW1264" s="64"/>
      <c r="BX1264" s="64"/>
      <c r="BY1264" s="64"/>
      <c r="BZ1264" s="64"/>
      <c r="CA1264" s="64"/>
      <c r="CB1264" s="64"/>
      <c r="CC1264" s="64"/>
      <c r="CD1264" s="64"/>
      <c r="CE1264" s="64"/>
      <c r="CF1264" s="64"/>
      <c r="CG1264" s="64"/>
      <c r="CH1264" s="64"/>
      <c r="CI1264" s="64"/>
      <c r="CJ1264" s="64"/>
      <c r="CK1264" s="64"/>
      <c r="CL1264" s="64"/>
      <c r="CM1264" s="64"/>
      <c r="CN1264" s="64"/>
      <c r="CO1264" s="64"/>
      <c r="CP1264" s="64"/>
      <c r="CQ1264" s="64"/>
      <c r="CR1264" s="64"/>
      <c r="CS1264" s="64"/>
      <c r="CT1264" s="64"/>
      <c r="CU1264" s="64"/>
      <c r="CV1264" s="64"/>
      <c r="CW1264" s="64"/>
      <c r="CX1264" s="64"/>
    </row>
    <row r="1265" spans="1:102" x14ac:dyDescent="0.2">
      <c r="A1265" s="64"/>
      <c r="B1265" s="64"/>
      <c r="C1265" s="102"/>
      <c r="D1265" s="102"/>
      <c r="E1265" s="102"/>
      <c r="F1265" s="102"/>
      <c r="G1265" s="102"/>
      <c r="H1265" s="102"/>
      <c r="I1265" s="64"/>
      <c r="J1265" s="64"/>
      <c r="K1265" s="64"/>
      <c r="L1265" s="64"/>
      <c r="M1265" s="64"/>
      <c r="N1265" s="64"/>
      <c r="O1265" s="64"/>
      <c r="P1265" s="64"/>
      <c r="Q1265" s="64"/>
      <c r="R1265" s="64"/>
      <c r="S1265" s="64"/>
      <c r="T1265" s="64"/>
      <c r="U1265" s="64"/>
      <c r="V1265" s="64"/>
      <c r="W1265" s="64"/>
      <c r="X1265" s="64"/>
      <c r="Y1265" s="64"/>
      <c r="Z1265" s="64"/>
      <c r="AA1265" s="64"/>
      <c r="AB1265" s="64"/>
      <c r="AC1265" s="64"/>
      <c r="AD1265" s="64"/>
      <c r="AE1265" s="64"/>
      <c r="AF1265" s="64"/>
      <c r="AG1265" s="64"/>
      <c r="AH1265" s="64"/>
      <c r="AI1265" s="64"/>
      <c r="AJ1265" s="64"/>
      <c r="AK1265" s="64"/>
      <c r="AL1265" s="64"/>
      <c r="AM1265" s="64"/>
      <c r="AN1265" s="64"/>
      <c r="AO1265" s="64"/>
      <c r="AP1265" s="64"/>
      <c r="AQ1265" s="64"/>
      <c r="AR1265" s="64"/>
      <c r="AS1265" s="64"/>
      <c r="AT1265" s="64"/>
      <c r="AU1265" s="64"/>
      <c r="AV1265" s="64"/>
      <c r="AW1265" s="64"/>
      <c r="AX1265" s="64"/>
      <c r="AY1265" s="64"/>
      <c r="AZ1265" s="64"/>
      <c r="BA1265" s="64"/>
      <c r="BB1265" s="64"/>
      <c r="BC1265" s="64"/>
      <c r="BD1265" s="64"/>
      <c r="BE1265" s="64"/>
      <c r="BF1265" s="64"/>
      <c r="BG1265" s="64"/>
      <c r="BH1265" s="64"/>
      <c r="BI1265" s="64"/>
      <c r="BJ1265" s="64"/>
      <c r="BK1265" s="64"/>
      <c r="BL1265" s="64"/>
      <c r="BM1265" s="64"/>
      <c r="BN1265" s="64"/>
      <c r="BO1265" s="64"/>
      <c r="BP1265" s="64"/>
      <c r="BQ1265" s="64"/>
      <c r="BR1265" s="64"/>
      <c r="BS1265" s="64"/>
      <c r="BT1265" s="64"/>
      <c r="BU1265" s="64"/>
      <c r="BV1265" s="64"/>
      <c r="BW1265" s="64"/>
      <c r="BX1265" s="64"/>
      <c r="BY1265" s="64"/>
      <c r="BZ1265" s="64"/>
      <c r="CA1265" s="64"/>
      <c r="CB1265" s="64"/>
      <c r="CC1265" s="64"/>
      <c r="CD1265" s="64"/>
      <c r="CE1265" s="64"/>
      <c r="CF1265" s="64"/>
      <c r="CG1265" s="64"/>
      <c r="CH1265" s="64"/>
      <c r="CI1265" s="64"/>
      <c r="CJ1265" s="64"/>
      <c r="CK1265" s="64"/>
      <c r="CL1265" s="64"/>
      <c r="CM1265" s="64"/>
      <c r="CN1265" s="64"/>
      <c r="CO1265" s="64"/>
      <c r="CP1265" s="64"/>
      <c r="CQ1265" s="64"/>
      <c r="CR1265" s="64"/>
      <c r="CS1265" s="64"/>
      <c r="CT1265" s="64"/>
      <c r="CU1265" s="64"/>
      <c r="CV1265" s="64"/>
      <c r="CW1265" s="64"/>
      <c r="CX1265" s="64"/>
    </row>
    <row r="1266" spans="1:102" x14ac:dyDescent="0.2">
      <c r="A1266" s="64"/>
      <c r="B1266" s="64"/>
      <c r="C1266" s="102"/>
      <c r="D1266" s="102"/>
      <c r="E1266" s="102"/>
      <c r="F1266" s="102"/>
      <c r="G1266" s="102"/>
      <c r="H1266" s="102"/>
      <c r="I1266" s="64"/>
      <c r="J1266" s="64"/>
      <c r="K1266" s="64"/>
      <c r="L1266" s="64"/>
      <c r="M1266" s="64"/>
      <c r="N1266" s="64"/>
      <c r="O1266" s="64"/>
      <c r="P1266" s="64"/>
      <c r="Q1266" s="64"/>
      <c r="R1266" s="64"/>
      <c r="S1266" s="64"/>
      <c r="T1266" s="64"/>
      <c r="U1266" s="64"/>
      <c r="V1266" s="64"/>
      <c r="W1266" s="64"/>
      <c r="X1266" s="64"/>
      <c r="Y1266" s="64"/>
      <c r="Z1266" s="64"/>
      <c r="AA1266" s="64"/>
      <c r="AB1266" s="64"/>
      <c r="AC1266" s="64"/>
      <c r="AD1266" s="64"/>
      <c r="AE1266" s="64"/>
      <c r="AF1266" s="64"/>
      <c r="AG1266" s="64"/>
      <c r="AH1266" s="64"/>
      <c r="AI1266" s="64"/>
      <c r="AJ1266" s="64"/>
      <c r="AK1266" s="64"/>
      <c r="AL1266" s="64"/>
      <c r="AM1266" s="64"/>
      <c r="AN1266" s="64"/>
      <c r="AO1266" s="64"/>
      <c r="AP1266" s="64"/>
      <c r="AQ1266" s="64"/>
      <c r="AR1266" s="64"/>
      <c r="AS1266" s="64"/>
      <c r="AT1266" s="64"/>
      <c r="AU1266" s="64"/>
      <c r="AV1266" s="64"/>
      <c r="AW1266" s="64"/>
      <c r="AX1266" s="64"/>
      <c r="AY1266" s="64"/>
      <c r="AZ1266" s="64"/>
      <c r="BA1266" s="64"/>
      <c r="BB1266" s="64"/>
      <c r="BC1266" s="64"/>
      <c r="BD1266" s="64"/>
      <c r="BE1266" s="64"/>
      <c r="BF1266" s="64"/>
      <c r="BG1266" s="64"/>
      <c r="BH1266" s="64"/>
      <c r="BI1266" s="64"/>
      <c r="BJ1266" s="64"/>
      <c r="BK1266" s="64"/>
      <c r="BL1266" s="64"/>
      <c r="BM1266" s="64"/>
      <c r="BN1266" s="64"/>
      <c r="BO1266" s="64"/>
      <c r="BP1266" s="64"/>
      <c r="BQ1266" s="64"/>
      <c r="BR1266" s="64"/>
      <c r="BS1266" s="64"/>
      <c r="BT1266" s="64"/>
      <c r="BU1266" s="64"/>
      <c r="BV1266" s="64"/>
      <c r="BW1266" s="64"/>
      <c r="BX1266" s="64"/>
      <c r="BY1266" s="64"/>
      <c r="BZ1266" s="64"/>
      <c r="CA1266" s="64"/>
      <c r="CB1266" s="64"/>
      <c r="CC1266" s="64"/>
      <c r="CD1266" s="64"/>
      <c r="CE1266" s="64"/>
      <c r="CF1266" s="64"/>
      <c r="CG1266" s="64"/>
      <c r="CH1266" s="64"/>
      <c r="CI1266" s="64"/>
      <c r="CJ1266" s="64"/>
      <c r="CK1266" s="64"/>
      <c r="CL1266" s="64"/>
      <c r="CM1266" s="64"/>
      <c r="CN1266" s="64"/>
      <c r="CO1266" s="64"/>
      <c r="CP1266" s="64"/>
      <c r="CQ1266" s="64"/>
      <c r="CR1266" s="64"/>
      <c r="CS1266" s="64"/>
      <c r="CT1266" s="64"/>
      <c r="CU1266" s="64"/>
      <c r="CV1266" s="64"/>
      <c r="CW1266" s="64"/>
      <c r="CX1266" s="64"/>
    </row>
    <row r="1267" spans="1:102" x14ac:dyDescent="0.2">
      <c r="A1267" s="64"/>
      <c r="B1267" s="64"/>
      <c r="C1267" s="102"/>
      <c r="D1267" s="102"/>
      <c r="E1267" s="102"/>
      <c r="F1267" s="102"/>
      <c r="G1267" s="102"/>
      <c r="H1267" s="102"/>
      <c r="I1267" s="64"/>
      <c r="J1267" s="64"/>
      <c r="K1267" s="64"/>
      <c r="L1267" s="64"/>
      <c r="M1267" s="64"/>
      <c r="N1267" s="64"/>
      <c r="O1267" s="64"/>
      <c r="P1267" s="64"/>
      <c r="Q1267" s="64"/>
      <c r="R1267" s="64"/>
      <c r="S1267" s="64"/>
      <c r="T1267" s="64"/>
      <c r="U1267" s="64"/>
      <c r="V1267" s="64"/>
      <c r="W1267" s="64"/>
      <c r="X1267" s="64"/>
      <c r="Y1267" s="64"/>
      <c r="Z1267" s="64"/>
      <c r="AA1267" s="64"/>
      <c r="AB1267" s="64"/>
      <c r="AC1267" s="64"/>
      <c r="AD1267" s="64"/>
      <c r="AE1267" s="64"/>
      <c r="AF1267" s="64"/>
      <c r="AG1267" s="64"/>
      <c r="AH1267" s="64"/>
      <c r="AI1267" s="64"/>
      <c r="AJ1267" s="64"/>
      <c r="AK1267" s="64"/>
      <c r="AL1267" s="64"/>
      <c r="AM1267" s="64"/>
      <c r="AN1267" s="64"/>
      <c r="AO1267" s="64"/>
      <c r="AP1267" s="64"/>
      <c r="AQ1267" s="64"/>
      <c r="AR1267" s="64"/>
      <c r="AS1267" s="64"/>
      <c r="AT1267" s="64"/>
      <c r="AU1267" s="64"/>
      <c r="AV1267" s="64"/>
      <c r="AW1267" s="64"/>
      <c r="AX1267" s="64"/>
      <c r="AY1267" s="64"/>
      <c r="AZ1267" s="64"/>
      <c r="BA1267" s="64"/>
      <c r="BB1267" s="64"/>
      <c r="BC1267" s="64"/>
      <c r="BD1267" s="64"/>
      <c r="BE1267" s="64"/>
      <c r="BF1267" s="64"/>
      <c r="BG1267" s="64"/>
      <c r="BH1267" s="64"/>
      <c r="BI1267" s="64"/>
      <c r="BJ1267" s="64"/>
      <c r="BK1267" s="64"/>
      <c r="BL1267" s="64"/>
      <c r="BM1267" s="64"/>
      <c r="BN1267" s="64"/>
      <c r="BO1267" s="64"/>
      <c r="BP1267" s="64"/>
      <c r="BQ1267" s="64"/>
      <c r="BR1267" s="64"/>
      <c r="BS1267" s="64"/>
      <c r="BT1267" s="64"/>
      <c r="BU1267" s="64"/>
      <c r="BV1267" s="64"/>
      <c r="BW1267" s="64"/>
      <c r="BX1267" s="64"/>
      <c r="BY1267" s="64"/>
      <c r="BZ1267" s="64"/>
      <c r="CA1267" s="64"/>
      <c r="CB1267" s="64"/>
      <c r="CC1267" s="64"/>
      <c r="CD1267" s="64"/>
      <c r="CE1267" s="64"/>
      <c r="CF1267" s="64"/>
      <c r="CG1267" s="64"/>
      <c r="CH1267" s="64"/>
      <c r="CI1267" s="64"/>
      <c r="CJ1267" s="64"/>
      <c r="CK1267" s="64"/>
      <c r="CL1267" s="64"/>
      <c r="CM1267" s="64"/>
      <c r="CN1267" s="64"/>
      <c r="CO1267" s="64"/>
      <c r="CP1267" s="64"/>
      <c r="CQ1267" s="64"/>
      <c r="CR1267" s="64"/>
      <c r="CS1267" s="64"/>
      <c r="CT1267" s="64"/>
      <c r="CU1267" s="64"/>
      <c r="CV1267" s="64"/>
      <c r="CW1267" s="64"/>
      <c r="CX1267" s="64"/>
    </row>
    <row r="1268" spans="1:102" x14ac:dyDescent="0.2">
      <c r="A1268" s="64"/>
      <c r="B1268" s="64"/>
      <c r="C1268" s="102"/>
      <c r="D1268" s="102"/>
      <c r="E1268" s="102"/>
      <c r="F1268" s="102"/>
      <c r="G1268" s="102"/>
      <c r="H1268" s="102"/>
      <c r="I1268" s="64"/>
      <c r="J1268" s="64"/>
      <c r="K1268" s="64"/>
      <c r="L1268" s="64"/>
      <c r="M1268" s="64"/>
      <c r="N1268" s="64"/>
      <c r="O1268" s="64"/>
      <c r="P1268" s="64"/>
      <c r="Q1268" s="64"/>
      <c r="R1268" s="64"/>
      <c r="S1268" s="64"/>
      <c r="T1268" s="64"/>
      <c r="U1268" s="64"/>
      <c r="V1268" s="64"/>
      <c r="W1268" s="64"/>
      <c r="X1268" s="64"/>
      <c r="Y1268" s="64"/>
      <c r="Z1268" s="64"/>
      <c r="AA1268" s="64"/>
      <c r="AB1268" s="64"/>
      <c r="AC1268" s="64"/>
      <c r="AD1268" s="64"/>
      <c r="AE1268" s="64"/>
      <c r="AF1268" s="64"/>
      <c r="AG1268" s="64"/>
      <c r="AH1268" s="64"/>
      <c r="AI1268" s="64"/>
      <c r="AJ1268" s="64"/>
      <c r="AK1268" s="64"/>
      <c r="AL1268" s="64"/>
      <c r="AM1268" s="64"/>
      <c r="AN1268" s="64"/>
      <c r="AO1268" s="64"/>
      <c r="AP1268" s="64"/>
      <c r="AQ1268" s="64"/>
      <c r="AR1268" s="64"/>
      <c r="AS1268" s="64"/>
      <c r="AT1268" s="64"/>
      <c r="AU1268" s="64"/>
      <c r="AV1268" s="64"/>
      <c r="AW1268" s="64"/>
      <c r="AX1268" s="64"/>
      <c r="AY1268" s="64"/>
      <c r="AZ1268" s="64"/>
      <c r="BA1268" s="64"/>
      <c r="BB1268" s="64"/>
      <c r="BC1268" s="64"/>
      <c r="BD1268" s="64"/>
      <c r="BE1268" s="64"/>
      <c r="BF1268" s="64"/>
      <c r="BG1268" s="64"/>
      <c r="BH1268" s="64"/>
      <c r="BI1268" s="64"/>
      <c r="BJ1268" s="64"/>
      <c r="BK1268" s="64"/>
      <c r="BL1268" s="64"/>
      <c r="BM1268" s="64"/>
      <c r="BN1268" s="64"/>
      <c r="BO1268" s="64"/>
      <c r="BP1268" s="64"/>
      <c r="BQ1268" s="64"/>
      <c r="BR1268" s="64"/>
      <c r="BS1268" s="64"/>
      <c r="BT1268" s="64"/>
      <c r="BU1268" s="64"/>
      <c r="BV1268" s="64"/>
      <c r="BW1268" s="64"/>
      <c r="BX1268" s="64"/>
      <c r="BY1268" s="64"/>
      <c r="BZ1268" s="64"/>
      <c r="CA1268" s="64"/>
      <c r="CB1268" s="64"/>
      <c r="CC1268" s="64"/>
      <c r="CD1268" s="64"/>
      <c r="CE1268" s="64"/>
      <c r="CF1268" s="64"/>
      <c r="CG1268" s="64"/>
      <c r="CH1268" s="64"/>
      <c r="CI1268" s="64"/>
      <c r="CJ1268" s="64"/>
      <c r="CK1268" s="64"/>
      <c r="CL1268" s="64"/>
      <c r="CM1268" s="64"/>
      <c r="CN1268" s="64"/>
      <c r="CO1268" s="64"/>
      <c r="CP1268" s="64"/>
      <c r="CQ1268" s="64"/>
      <c r="CR1268" s="64"/>
      <c r="CS1268" s="64"/>
      <c r="CT1268" s="64"/>
      <c r="CU1268" s="64"/>
      <c r="CV1268" s="64"/>
      <c r="CW1268" s="64"/>
      <c r="CX1268" s="64"/>
    </row>
    <row r="1269" spans="1:102" x14ac:dyDescent="0.2">
      <c r="A1269" s="64"/>
      <c r="B1269" s="64"/>
      <c r="C1269" s="102"/>
      <c r="D1269" s="102"/>
      <c r="E1269" s="102"/>
      <c r="F1269" s="102"/>
      <c r="G1269" s="102"/>
      <c r="H1269" s="102"/>
      <c r="I1269" s="64"/>
      <c r="J1269" s="64"/>
      <c r="K1269" s="64"/>
      <c r="L1269" s="64"/>
      <c r="M1269" s="64"/>
      <c r="N1269" s="64"/>
      <c r="O1269" s="64"/>
      <c r="P1269" s="64"/>
      <c r="Q1269" s="64"/>
      <c r="R1269" s="64"/>
      <c r="S1269" s="64"/>
      <c r="T1269" s="64"/>
      <c r="U1269" s="64"/>
      <c r="V1269" s="64"/>
      <c r="W1269" s="64"/>
      <c r="X1269" s="64"/>
      <c r="Y1269" s="64"/>
      <c r="Z1269" s="64"/>
      <c r="AA1269" s="64"/>
      <c r="AB1269" s="64"/>
      <c r="AC1269" s="64"/>
      <c r="AD1269" s="64"/>
      <c r="AE1269" s="64"/>
      <c r="AF1269" s="64"/>
      <c r="AG1269" s="64"/>
      <c r="AH1269" s="64"/>
      <c r="AI1269" s="64"/>
      <c r="AJ1269" s="64"/>
      <c r="AK1269" s="64"/>
      <c r="AL1269" s="64"/>
      <c r="AM1269" s="64"/>
      <c r="AN1269" s="64"/>
      <c r="AO1269" s="64"/>
      <c r="AP1269" s="64"/>
      <c r="AQ1269" s="64"/>
      <c r="AR1269" s="64"/>
      <c r="AS1269" s="64"/>
      <c r="AT1269" s="64"/>
      <c r="AU1269" s="64"/>
      <c r="AV1269" s="64"/>
      <c r="AW1269" s="64"/>
      <c r="AX1269" s="64"/>
      <c r="AY1269" s="64"/>
      <c r="AZ1269" s="64"/>
      <c r="BA1269" s="64"/>
      <c r="BB1269" s="64"/>
      <c r="BC1269" s="64"/>
      <c r="BD1269" s="64"/>
      <c r="BE1269" s="64"/>
      <c r="BF1269" s="64"/>
      <c r="BG1269" s="64"/>
      <c r="BH1269" s="64"/>
      <c r="BI1269" s="64"/>
      <c r="BJ1269" s="64"/>
      <c r="BK1269" s="64"/>
      <c r="BL1269" s="64"/>
      <c r="BM1269" s="64"/>
      <c r="BN1269" s="64"/>
      <c r="BO1269" s="64"/>
      <c r="BP1269" s="64"/>
      <c r="BQ1269" s="64"/>
      <c r="BR1269" s="64"/>
      <c r="BS1269" s="64"/>
      <c r="BT1269" s="64"/>
      <c r="BU1269" s="64"/>
      <c r="BV1269" s="64"/>
      <c r="BW1269" s="64"/>
      <c r="BX1269" s="64"/>
      <c r="BY1269" s="64"/>
      <c r="BZ1269" s="64"/>
      <c r="CA1269" s="64"/>
      <c r="CB1269" s="64"/>
      <c r="CC1269" s="64"/>
      <c r="CD1269" s="64"/>
      <c r="CE1269" s="64"/>
      <c r="CF1269" s="64"/>
      <c r="CG1269" s="64"/>
      <c r="CH1269" s="64"/>
      <c r="CI1269" s="64"/>
      <c r="CJ1269" s="64"/>
      <c r="CK1269" s="64"/>
      <c r="CL1269" s="64"/>
      <c r="CM1269" s="64"/>
      <c r="CN1269" s="64"/>
      <c r="CO1269" s="64"/>
      <c r="CP1269" s="64"/>
      <c r="CQ1269" s="64"/>
      <c r="CR1269" s="64"/>
      <c r="CS1269" s="64"/>
      <c r="CT1269" s="64"/>
      <c r="CU1269" s="64"/>
      <c r="CV1269" s="64"/>
      <c r="CW1269" s="64"/>
      <c r="CX1269" s="64"/>
    </row>
    <row r="1270" spans="1:102" x14ac:dyDescent="0.2">
      <c r="A1270" s="64"/>
      <c r="B1270" s="64"/>
      <c r="C1270" s="102"/>
      <c r="D1270" s="102"/>
      <c r="E1270" s="102"/>
      <c r="F1270" s="102"/>
      <c r="G1270" s="102"/>
      <c r="H1270" s="102"/>
      <c r="I1270" s="64"/>
      <c r="J1270" s="64"/>
      <c r="K1270" s="64"/>
      <c r="L1270" s="64"/>
      <c r="M1270" s="64"/>
      <c r="N1270" s="64"/>
      <c r="O1270" s="64"/>
      <c r="P1270" s="64"/>
      <c r="Q1270" s="64"/>
      <c r="R1270" s="64"/>
      <c r="S1270" s="64"/>
      <c r="T1270" s="64"/>
      <c r="U1270" s="64"/>
      <c r="V1270" s="64"/>
      <c r="W1270" s="64"/>
      <c r="X1270" s="64"/>
      <c r="Y1270" s="64"/>
      <c r="Z1270" s="64"/>
      <c r="AA1270" s="64"/>
      <c r="AB1270" s="64"/>
      <c r="AC1270" s="64"/>
      <c r="AD1270" s="64"/>
      <c r="AE1270" s="64"/>
      <c r="AF1270" s="64"/>
      <c r="AG1270" s="64"/>
      <c r="AH1270" s="64"/>
      <c r="AI1270" s="64"/>
      <c r="AJ1270" s="64"/>
      <c r="AK1270" s="64"/>
      <c r="AL1270" s="64"/>
      <c r="AM1270" s="64"/>
      <c r="AN1270" s="64"/>
      <c r="AO1270" s="64"/>
      <c r="AP1270" s="64"/>
      <c r="AQ1270" s="64"/>
      <c r="AR1270" s="64"/>
      <c r="AS1270" s="64"/>
      <c r="AT1270" s="64"/>
      <c r="AU1270" s="64"/>
      <c r="AV1270" s="64"/>
      <c r="AW1270" s="64"/>
      <c r="AX1270" s="64"/>
      <c r="AY1270" s="64"/>
      <c r="AZ1270" s="64"/>
      <c r="BA1270" s="64"/>
      <c r="BB1270" s="64"/>
      <c r="BC1270" s="64"/>
      <c r="BD1270" s="64"/>
      <c r="BE1270" s="64"/>
      <c r="BF1270" s="64"/>
      <c r="BG1270" s="64"/>
      <c r="BH1270" s="64"/>
      <c r="BI1270" s="64"/>
      <c r="BJ1270" s="64"/>
      <c r="BK1270" s="64"/>
      <c r="BL1270" s="64"/>
      <c r="BM1270" s="64"/>
      <c r="BN1270" s="64"/>
      <c r="BO1270" s="64"/>
      <c r="BP1270" s="64"/>
      <c r="BQ1270" s="64"/>
      <c r="BR1270" s="64"/>
      <c r="BS1270" s="64"/>
      <c r="BT1270" s="64"/>
      <c r="BU1270" s="64"/>
      <c r="BV1270" s="64"/>
      <c r="BW1270" s="64"/>
      <c r="BX1270" s="64"/>
      <c r="BY1270" s="64"/>
      <c r="BZ1270" s="64"/>
      <c r="CA1270" s="64"/>
      <c r="CB1270" s="64"/>
      <c r="CC1270" s="64"/>
      <c r="CD1270" s="64"/>
      <c r="CE1270" s="64"/>
      <c r="CF1270" s="64"/>
      <c r="CG1270" s="64"/>
      <c r="CH1270" s="64"/>
      <c r="CI1270" s="64"/>
      <c r="CJ1270" s="64"/>
      <c r="CK1270" s="64"/>
      <c r="CL1270" s="64"/>
      <c r="CM1270" s="64"/>
      <c r="CN1270" s="64"/>
      <c r="CO1270" s="64"/>
      <c r="CP1270" s="64"/>
      <c r="CQ1270" s="64"/>
      <c r="CR1270" s="64"/>
      <c r="CS1270" s="64"/>
      <c r="CT1270" s="64"/>
      <c r="CU1270" s="64"/>
      <c r="CV1270" s="64"/>
      <c r="CW1270" s="64"/>
      <c r="CX1270" s="64"/>
    </row>
    <row r="1271" spans="1:102" x14ac:dyDescent="0.2">
      <c r="A1271" s="64"/>
      <c r="B1271" s="64"/>
      <c r="C1271" s="102"/>
      <c r="D1271" s="102"/>
      <c r="E1271" s="102"/>
      <c r="F1271" s="102"/>
      <c r="G1271" s="102"/>
      <c r="H1271" s="102"/>
      <c r="I1271" s="64"/>
      <c r="J1271" s="64"/>
      <c r="K1271" s="64"/>
      <c r="L1271" s="64"/>
      <c r="M1271" s="64"/>
      <c r="N1271" s="64"/>
      <c r="O1271" s="64"/>
      <c r="P1271" s="64"/>
      <c r="Q1271" s="64"/>
      <c r="R1271" s="64"/>
      <c r="S1271" s="64"/>
      <c r="T1271" s="64"/>
      <c r="U1271" s="64"/>
      <c r="V1271" s="64"/>
      <c r="W1271" s="64"/>
      <c r="X1271" s="64"/>
      <c r="Y1271" s="64"/>
      <c r="Z1271" s="64"/>
      <c r="AA1271" s="64"/>
      <c r="AB1271" s="64"/>
      <c r="AC1271" s="64"/>
      <c r="AD1271" s="64"/>
      <c r="AE1271" s="64"/>
      <c r="AF1271" s="64"/>
      <c r="AG1271" s="64"/>
      <c r="AH1271" s="64"/>
      <c r="AI1271" s="64"/>
      <c r="AJ1271" s="64"/>
      <c r="AK1271" s="64"/>
      <c r="AL1271" s="64"/>
      <c r="AM1271" s="64"/>
      <c r="AN1271" s="64"/>
      <c r="AO1271" s="64"/>
      <c r="AP1271" s="64"/>
      <c r="AQ1271" s="64"/>
      <c r="AR1271" s="64"/>
      <c r="AS1271" s="64"/>
      <c r="AT1271" s="64"/>
      <c r="AU1271" s="64"/>
      <c r="AV1271" s="64"/>
      <c r="AW1271" s="64"/>
      <c r="AX1271" s="64"/>
      <c r="AY1271" s="64"/>
      <c r="AZ1271" s="64"/>
      <c r="BA1271" s="64"/>
      <c r="BB1271" s="64"/>
      <c r="BC1271" s="64"/>
      <c r="BD1271" s="64"/>
      <c r="BE1271" s="64"/>
      <c r="BF1271" s="64"/>
      <c r="BG1271" s="64"/>
      <c r="BH1271" s="64"/>
      <c r="BI1271" s="64"/>
      <c r="BJ1271" s="64"/>
      <c r="BK1271" s="64"/>
      <c r="BL1271" s="64"/>
      <c r="BM1271" s="64"/>
      <c r="BN1271" s="64"/>
      <c r="BO1271" s="64"/>
      <c r="BP1271" s="64"/>
      <c r="BQ1271" s="64"/>
      <c r="BR1271" s="64"/>
      <c r="BS1271" s="64"/>
      <c r="BT1271" s="64"/>
      <c r="BU1271" s="64"/>
      <c r="BV1271" s="64"/>
      <c r="BW1271" s="64"/>
      <c r="BX1271" s="64"/>
      <c r="BY1271" s="64"/>
      <c r="BZ1271" s="64"/>
      <c r="CA1271" s="64"/>
      <c r="CB1271" s="64"/>
      <c r="CC1271" s="64"/>
      <c r="CD1271" s="64"/>
      <c r="CE1271" s="64"/>
      <c r="CF1271" s="64"/>
      <c r="CG1271" s="64"/>
      <c r="CH1271" s="64"/>
      <c r="CI1271" s="64"/>
      <c r="CJ1271" s="64"/>
      <c r="CK1271" s="64"/>
      <c r="CL1271" s="64"/>
      <c r="CM1271" s="64"/>
      <c r="CN1271" s="64"/>
      <c r="CO1271" s="64"/>
      <c r="CP1271" s="64"/>
      <c r="CQ1271" s="64"/>
      <c r="CR1271" s="64"/>
      <c r="CS1271" s="64"/>
      <c r="CT1271" s="64"/>
      <c r="CU1271" s="64"/>
      <c r="CV1271" s="64"/>
      <c r="CW1271" s="64"/>
      <c r="CX1271" s="64"/>
    </row>
    <row r="1272" spans="1:102" x14ac:dyDescent="0.2">
      <c r="A1272" s="64"/>
      <c r="B1272" s="64"/>
      <c r="C1272" s="102"/>
      <c r="D1272" s="102"/>
      <c r="E1272" s="102"/>
      <c r="F1272" s="102"/>
      <c r="G1272" s="102"/>
      <c r="H1272" s="102"/>
      <c r="I1272" s="64"/>
      <c r="J1272" s="64"/>
      <c r="K1272" s="64"/>
      <c r="L1272" s="64"/>
      <c r="M1272" s="64"/>
      <c r="N1272" s="64"/>
      <c r="O1272" s="64"/>
      <c r="P1272" s="64"/>
      <c r="Q1272" s="64"/>
      <c r="R1272" s="64"/>
      <c r="S1272" s="64"/>
      <c r="T1272" s="64"/>
      <c r="U1272" s="64"/>
      <c r="V1272" s="64"/>
      <c r="W1272" s="64"/>
      <c r="X1272" s="64"/>
      <c r="Y1272" s="64"/>
      <c r="Z1272" s="64"/>
      <c r="AA1272" s="64"/>
      <c r="AB1272" s="64"/>
      <c r="AC1272" s="64"/>
      <c r="AD1272" s="64"/>
      <c r="AE1272" s="64"/>
      <c r="AF1272" s="64"/>
      <c r="AG1272" s="64"/>
      <c r="AH1272" s="64"/>
      <c r="AI1272" s="64"/>
      <c r="AJ1272" s="64"/>
      <c r="AK1272" s="64"/>
      <c r="AL1272" s="64"/>
      <c r="AM1272" s="64"/>
      <c r="AN1272" s="64"/>
      <c r="AO1272" s="64"/>
      <c r="AP1272" s="64"/>
      <c r="AQ1272" s="64"/>
      <c r="AR1272" s="64"/>
      <c r="AS1272" s="64"/>
      <c r="AT1272" s="64"/>
      <c r="AU1272" s="64"/>
      <c r="AV1272" s="64"/>
      <c r="AW1272" s="64"/>
      <c r="AX1272" s="64"/>
      <c r="AY1272" s="64"/>
      <c r="AZ1272" s="64"/>
      <c r="BA1272" s="64"/>
      <c r="BB1272" s="64"/>
      <c r="BC1272" s="64"/>
      <c r="BD1272" s="64"/>
      <c r="BE1272" s="64"/>
      <c r="BF1272" s="64"/>
      <c r="BG1272" s="64"/>
      <c r="BH1272" s="64"/>
      <c r="BI1272" s="64"/>
      <c r="BJ1272" s="64"/>
      <c r="BK1272" s="64"/>
      <c r="BL1272" s="64"/>
      <c r="BM1272" s="64"/>
      <c r="BN1272" s="64"/>
      <c r="BO1272" s="64"/>
      <c r="BP1272" s="64"/>
      <c r="BQ1272" s="64"/>
      <c r="BR1272" s="64"/>
      <c r="BS1272" s="64"/>
      <c r="BT1272" s="64"/>
      <c r="BU1272" s="64"/>
      <c r="BV1272" s="64"/>
      <c r="BW1272" s="64"/>
      <c r="BX1272" s="64"/>
      <c r="BY1272" s="64"/>
      <c r="BZ1272" s="64"/>
      <c r="CA1272" s="64"/>
      <c r="CB1272" s="64"/>
      <c r="CC1272" s="64"/>
      <c r="CD1272" s="64"/>
      <c r="CE1272" s="64"/>
      <c r="CF1272" s="64"/>
      <c r="CG1272" s="64"/>
      <c r="CH1272" s="64"/>
      <c r="CI1272" s="64"/>
      <c r="CJ1272" s="64"/>
      <c r="CK1272" s="64"/>
      <c r="CL1272" s="64"/>
      <c r="CM1272" s="64"/>
      <c r="CN1272" s="64"/>
      <c r="CO1272" s="64"/>
      <c r="CP1272" s="64"/>
      <c r="CQ1272" s="64"/>
      <c r="CR1272" s="64"/>
      <c r="CS1272" s="64"/>
      <c r="CT1272" s="64"/>
      <c r="CU1272" s="64"/>
      <c r="CV1272" s="64"/>
      <c r="CW1272" s="64"/>
      <c r="CX1272" s="64"/>
    </row>
    <row r="1273" spans="1:102" x14ac:dyDescent="0.2">
      <c r="A1273" s="64"/>
      <c r="B1273" s="64"/>
      <c r="C1273" s="102"/>
      <c r="D1273" s="102"/>
      <c r="E1273" s="102"/>
      <c r="F1273" s="102"/>
      <c r="G1273" s="102"/>
      <c r="H1273" s="102"/>
      <c r="I1273" s="64"/>
      <c r="J1273" s="64"/>
      <c r="K1273" s="64"/>
      <c r="L1273" s="64"/>
      <c r="M1273" s="64"/>
      <c r="N1273" s="64"/>
      <c r="O1273" s="64"/>
      <c r="P1273" s="64"/>
      <c r="Q1273" s="64"/>
      <c r="R1273" s="64"/>
      <c r="S1273" s="64"/>
      <c r="T1273" s="64"/>
      <c r="U1273" s="64"/>
      <c r="V1273" s="64"/>
      <c r="W1273" s="64"/>
      <c r="X1273" s="64"/>
      <c r="Y1273" s="64"/>
      <c r="Z1273" s="64"/>
      <c r="AA1273" s="64"/>
      <c r="AB1273" s="64"/>
      <c r="AC1273" s="64"/>
      <c r="AD1273" s="64"/>
      <c r="AE1273" s="64"/>
      <c r="AF1273" s="64"/>
      <c r="AG1273" s="64"/>
      <c r="AH1273" s="64"/>
      <c r="AI1273" s="64"/>
      <c r="AJ1273" s="64"/>
      <c r="AK1273" s="64"/>
      <c r="AL1273" s="64"/>
      <c r="AM1273" s="64"/>
      <c r="AN1273" s="64"/>
      <c r="AO1273" s="64"/>
      <c r="AP1273" s="64"/>
      <c r="AQ1273" s="64"/>
      <c r="AR1273" s="64"/>
      <c r="AS1273" s="64"/>
      <c r="AT1273" s="64"/>
      <c r="AU1273" s="64"/>
      <c r="AV1273" s="64"/>
      <c r="AW1273" s="64"/>
      <c r="AX1273" s="64"/>
      <c r="AY1273" s="64"/>
      <c r="AZ1273" s="64"/>
      <c r="BA1273" s="64"/>
      <c r="BB1273" s="64"/>
      <c r="BC1273" s="64"/>
      <c r="BD1273" s="64"/>
      <c r="BE1273" s="64"/>
      <c r="BF1273" s="64"/>
      <c r="BG1273" s="64"/>
      <c r="BH1273" s="64"/>
      <c r="BI1273" s="64"/>
      <c r="BJ1273" s="64"/>
      <c r="BK1273" s="64"/>
      <c r="BL1273" s="64"/>
      <c r="BM1273" s="64"/>
      <c r="BN1273" s="64"/>
      <c r="BO1273" s="64"/>
      <c r="BP1273" s="64"/>
      <c r="BQ1273" s="64"/>
      <c r="BR1273" s="64"/>
      <c r="BS1273" s="64"/>
      <c r="BT1273" s="64"/>
      <c r="BU1273" s="64"/>
      <c r="BV1273" s="64"/>
      <c r="BW1273" s="64"/>
      <c r="BX1273" s="64"/>
      <c r="BY1273" s="64"/>
      <c r="BZ1273" s="64"/>
      <c r="CA1273" s="64"/>
      <c r="CB1273" s="64"/>
      <c r="CC1273" s="64"/>
      <c r="CD1273" s="64"/>
      <c r="CE1273" s="64"/>
      <c r="CF1273" s="64"/>
      <c r="CG1273" s="64"/>
      <c r="CH1273" s="64"/>
      <c r="CI1273" s="64"/>
      <c r="CJ1273" s="64"/>
      <c r="CK1273" s="64"/>
      <c r="CL1273" s="64"/>
      <c r="CM1273" s="64"/>
      <c r="CN1273" s="64"/>
      <c r="CO1273" s="64"/>
      <c r="CP1273" s="64"/>
      <c r="CQ1273" s="64"/>
      <c r="CR1273" s="64"/>
      <c r="CS1273" s="64"/>
      <c r="CT1273" s="64"/>
      <c r="CU1273" s="64"/>
      <c r="CV1273" s="64"/>
      <c r="CW1273" s="64"/>
      <c r="CX1273" s="64"/>
    </row>
    <row r="1274" spans="1:102" x14ac:dyDescent="0.2">
      <c r="A1274" s="64"/>
      <c r="B1274" s="64"/>
      <c r="C1274" s="102"/>
      <c r="D1274" s="102"/>
      <c r="E1274" s="102"/>
      <c r="F1274" s="102"/>
      <c r="G1274" s="102"/>
      <c r="H1274" s="102"/>
      <c r="I1274" s="64"/>
      <c r="J1274" s="64"/>
      <c r="K1274" s="64"/>
      <c r="L1274" s="64"/>
      <c r="M1274" s="64"/>
      <c r="N1274" s="64"/>
      <c r="O1274" s="64"/>
      <c r="P1274" s="64"/>
      <c r="Q1274" s="64"/>
      <c r="R1274" s="64"/>
      <c r="S1274" s="64"/>
      <c r="T1274" s="64"/>
      <c r="U1274" s="64"/>
      <c r="V1274" s="64"/>
      <c r="W1274" s="64"/>
      <c r="X1274" s="64"/>
      <c r="Y1274" s="64"/>
      <c r="Z1274" s="64"/>
      <c r="AA1274" s="64"/>
      <c r="AB1274" s="64"/>
      <c r="AC1274" s="64"/>
      <c r="AD1274" s="64"/>
      <c r="AE1274" s="64"/>
      <c r="AF1274" s="64"/>
      <c r="AG1274" s="64"/>
      <c r="AH1274" s="64"/>
      <c r="AI1274" s="64"/>
      <c r="AJ1274" s="64"/>
      <c r="AK1274" s="64"/>
      <c r="AL1274" s="64"/>
      <c r="AM1274" s="64"/>
      <c r="AN1274" s="64"/>
      <c r="AO1274" s="64"/>
      <c r="AP1274" s="64"/>
      <c r="AQ1274" s="64"/>
      <c r="AR1274" s="64"/>
      <c r="AS1274" s="64"/>
      <c r="AT1274" s="64"/>
      <c r="AU1274" s="64"/>
      <c r="AV1274" s="64"/>
      <c r="AW1274" s="64"/>
      <c r="AX1274" s="64"/>
      <c r="AY1274" s="64"/>
      <c r="AZ1274" s="64"/>
      <c r="BA1274" s="64"/>
      <c r="BB1274" s="64"/>
      <c r="BC1274" s="64"/>
      <c r="BD1274" s="64"/>
      <c r="BE1274" s="64"/>
      <c r="BF1274" s="64"/>
      <c r="BG1274" s="64"/>
      <c r="BH1274" s="64"/>
      <c r="BI1274" s="64"/>
      <c r="BJ1274" s="64"/>
      <c r="BK1274" s="64"/>
      <c r="BL1274" s="64"/>
      <c r="BM1274" s="64"/>
      <c r="BN1274" s="64"/>
      <c r="BO1274" s="64"/>
      <c r="BP1274" s="64"/>
      <c r="BQ1274" s="64"/>
      <c r="BR1274" s="64"/>
      <c r="BS1274" s="64"/>
      <c r="BT1274" s="64"/>
      <c r="BU1274" s="64"/>
      <c r="BV1274" s="64"/>
      <c r="BW1274" s="64"/>
      <c r="BX1274" s="64"/>
      <c r="BY1274" s="64"/>
      <c r="BZ1274" s="64"/>
      <c r="CA1274" s="64"/>
      <c r="CB1274" s="64"/>
      <c r="CC1274" s="64"/>
      <c r="CD1274" s="64"/>
      <c r="CE1274" s="64"/>
      <c r="CF1274" s="64"/>
      <c r="CG1274" s="64"/>
      <c r="CH1274" s="64"/>
      <c r="CI1274" s="64"/>
      <c r="CJ1274" s="64"/>
      <c r="CK1274" s="64"/>
      <c r="CL1274" s="64"/>
      <c r="CM1274" s="64"/>
      <c r="CN1274" s="64"/>
      <c r="CO1274" s="64"/>
      <c r="CP1274" s="64"/>
      <c r="CQ1274" s="64"/>
      <c r="CR1274" s="64"/>
      <c r="CS1274" s="64"/>
      <c r="CT1274" s="64"/>
      <c r="CU1274" s="64"/>
      <c r="CV1274" s="64"/>
      <c r="CW1274" s="64"/>
      <c r="CX1274" s="64"/>
    </row>
    <row r="1275" spans="1:102" x14ac:dyDescent="0.2">
      <c r="A1275" s="64"/>
      <c r="B1275" s="64"/>
      <c r="C1275" s="102"/>
      <c r="D1275" s="102"/>
      <c r="E1275" s="102"/>
      <c r="F1275" s="102"/>
      <c r="G1275" s="102"/>
      <c r="H1275" s="102"/>
      <c r="I1275" s="64"/>
      <c r="J1275" s="64"/>
      <c r="K1275" s="64"/>
      <c r="L1275" s="64"/>
      <c r="M1275" s="64"/>
      <c r="N1275" s="64"/>
      <c r="O1275" s="64"/>
      <c r="P1275" s="64"/>
      <c r="Q1275" s="64"/>
      <c r="R1275" s="64"/>
      <c r="S1275" s="64"/>
      <c r="T1275" s="64"/>
      <c r="U1275" s="64"/>
      <c r="V1275" s="64"/>
      <c r="W1275" s="64"/>
      <c r="X1275" s="64"/>
      <c r="Y1275" s="64"/>
      <c r="Z1275" s="64"/>
      <c r="AA1275" s="64"/>
      <c r="AB1275" s="64"/>
      <c r="AC1275" s="64"/>
      <c r="AD1275" s="64"/>
      <c r="AE1275" s="64"/>
      <c r="AF1275" s="64"/>
      <c r="AG1275" s="64"/>
      <c r="AH1275" s="64"/>
      <c r="AI1275" s="64"/>
      <c r="AJ1275" s="64"/>
      <c r="AK1275" s="64"/>
      <c r="AL1275" s="64"/>
      <c r="AM1275" s="64"/>
      <c r="AN1275" s="64"/>
      <c r="AO1275" s="64"/>
      <c r="AP1275" s="64"/>
      <c r="AQ1275" s="64"/>
      <c r="AR1275" s="64"/>
      <c r="AS1275" s="64"/>
      <c r="AT1275" s="64"/>
      <c r="AU1275" s="64"/>
      <c r="AV1275" s="64"/>
      <c r="AW1275" s="64"/>
      <c r="AX1275" s="64"/>
      <c r="AY1275" s="64"/>
      <c r="AZ1275" s="64"/>
      <c r="BA1275" s="64"/>
      <c r="BB1275" s="64"/>
      <c r="BC1275" s="64"/>
      <c r="BD1275" s="64"/>
      <c r="BE1275" s="64"/>
      <c r="BF1275" s="64"/>
      <c r="BG1275" s="64"/>
      <c r="BH1275" s="64"/>
      <c r="BI1275" s="64"/>
      <c r="BJ1275" s="64"/>
      <c r="BK1275" s="64"/>
      <c r="BL1275" s="64"/>
      <c r="BM1275" s="64"/>
      <c r="BN1275" s="64"/>
      <c r="BO1275" s="64"/>
      <c r="BP1275" s="64"/>
      <c r="BQ1275" s="64"/>
      <c r="BR1275" s="64"/>
      <c r="BS1275" s="64"/>
      <c r="BT1275" s="64"/>
      <c r="BU1275" s="64"/>
      <c r="BV1275" s="64"/>
      <c r="BW1275" s="64"/>
      <c r="BX1275" s="64"/>
      <c r="BY1275" s="64"/>
      <c r="BZ1275" s="64"/>
      <c r="CA1275" s="64"/>
      <c r="CB1275" s="64"/>
      <c r="CC1275" s="64"/>
      <c r="CD1275" s="64"/>
      <c r="CE1275" s="64"/>
      <c r="CF1275" s="64"/>
      <c r="CG1275" s="64"/>
      <c r="CH1275" s="64"/>
      <c r="CI1275" s="64"/>
      <c r="CJ1275" s="64"/>
      <c r="CK1275" s="64"/>
      <c r="CL1275" s="64"/>
      <c r="CM1275" s="64"/>
      <c r="CN1275" s="64"/>
      <c r="CO1275" s="64"/>
      <c r="CP1275" s="64"/>
      <c r="CQ1275" s="64"/>
      <c r="CR1275" s="64"/>
      <c r="CS1275" s="64"/>
      <c r="CT1275" s="64"/>
      <c r="CU1275" s="64"/>
      <c r="CV1275" s="64"/>
      <c r="CW1275" s="64"/>
      <c r="CX1275" s="64"/>
    </row>
    <row r="1276" spans="1:102" x14ac:dyDescent="0.2">
      <c r="A1276" s="64"/>
      <c r="B1276" s="64"/>
      <c r="C1276" s="102"/>
      <c r="D1276" s="102"/>
      <c r="E1276" s="102"/>
      <c r="F1276" s="102"/>
      <c r="G1276" s="102"/>
      <c r="H1276" s="102"/>
      <c r="I1276" s="64"/>
      <c r="J1276" s="64"/>
      <c r="K1276" s="64"/>
      <c r="L1276" s="64"/>
      <c r="M1276" s="64"/>
      <c r="N1276" s="64"/>
      <c r="O1276" s="64"/>
      <c r="P1276" s="64"/>
      <c r="Q1276" s="64"/>
      <c r="R1276" s="64"/>
      <c r="S1276" s="64"/>
      <c r="T1276" s="64"/>
      <c r="U1276" s="64"/>
      <c r="V1276" s="64"/>
      <c r="W1276" s="64"/>
      <c r="X1276" s="64"/>
      <c r="Y1276" s="64"/>
      <c r="Z1276" s="64"/>
      <c r="AA1276" s="64"/>
      <c r="AB1276" s="64"/>
      <c r="AC1276" s="64"/>
      <c r="AD1276" s="64"/>
      <c r="AE1276" s="64"/>
      <c r="AF1276" s="64"/>
      <c r="AG1276" s="64"/>
      <c r="AH1276" s="64"/>
      <c r="AI1276" s="64"/>
      <c r="AJ1276" s="64"/>
      <c r="AK1276" s="64"/>
      <c r="AL1276" s="64"/>
      <c r="AM1276" s="64"/>
      <c r="AN1276" s="64"/>
      <c r="AO1276" s="64"/>
      <c r="AP1276" s="64"/>
      <c r="AQ1276" s="64"/>
      <c r="AR1276" s="64"/>
      <c r="AS1276" s="64"/>
      <c r="AT1276" s="64"/>
      <c r="AU1276" s="64"/>
      <c r="AV1276" s="64"/>
      <c r="AW1276" s="64"/>
      <c r="AX1276" s="64"/>
      <c r="AY1276" s="64"/>
      <c r="AZ1276" s="64"/>
      <c r="BA1276" s="64"/>
      <c r="BB1276" s="64"/>
      <c r="BC1276" s="64"/>
      <c r="BD1276" s="64"/>
      <c r="BE1276" s="64"/>
      <c r="BF1276" s="64"/>
      <c r="BG1276" s="64"/>
      <c r="BH1276" s="64"/>
      <c r="BI1276" s="64"/>
      <c r="BJ1276" s="64"/>
      <c r="BK1276" s="64"/>
      <c r="BL1276" s="64"/>
      <c r="BM1276" s="64"/>
      <c r="BN1276" s="64"/>
      <c r="BO1276" s="64"/>
      <c r="BP1276" s="64"/>
      <c r="BQ1276" s="64"/>
      <c r="BR1276" s="64"/>
      <c r="BS1276" s="64"/>
      <c r="BT1276" s="64"/>
      <c r="BU1276" s="64"/>
      <c r="BV1276" s="64"/>
      <c r="BW1276" s="64"/>
      <c r="BX1276" s="64"/>
      <c r="BY1276" s="64"/>
      <c r="BZ1276" s="64"/>
      <c r="CA1276" s="64"/>
      <c r="CB1276" s="64"/>
      <c r="CC1276" s="64"/>
      <c r="CD1276" s="64"/>
      <c r="CE1276" s="64"/>
      <c r="CF1276" s="64"/>
      <c r="CG1276" s="64"/>
      <c r="CH1276" s="64"/>
      <c r="CI1276" s="64"/>
      <c r="CJ1276" s="64"/>
      <c r="CK1276" s="64"/>
      <c r="CL1276" s="64"/>
      <c r="CM1276" s="64"/>
      <c r="CN1276" s="64"/>
      <c r="CO1276" s="64"/>
      <c r="CP1276" s="64"/>
      <c r="CQ1276" s="64"/>
      <c r="CR1276" s="64"/>
      <c r="CS1276" s="64"/>
      <c r="CT1276" s="64"/>
      <c r="CU1276" s="64"/>
      <c r="CV1276" s="64"/>
      <c r="CW1276" s="64"/>
      <c r="CX1276" s="64"/>
    </row>
    <row r="1277" spans="1:102" x14ac:dyDescent="0.2">
      <c r="A1277" s="64"/>
      <c r="B1277" s="64"/>
      <c r="C1277" s="102"/>
      <c r="D1277" s="102"/>
      <c r="E1277" s="102"/>
      <c r="F1277" s="102"/>
      <c r="G1277" s="102"/>
      <c r="H1277" s="102"/>
      <c r="I1277" s="64"/>
      <c r="J1277" s="64"/>
      <c r="K1277" s="64"/>
      <c r="L1277" s="64"/>
      <c r="M1277" s="64"/>
      <c r="N1277" s="64"/>
      <c r="O1277" s="64"/>
      <c r="P1277" s="64"/>
      <c r="Q1277" s="64"/>
      <c r="R1277" s="64"/>
      <c r="S1277" s="64"/>
      <c r="T1277" s="64"/>
      <c r="U1277" s="64"/>
      <c r="V1277" s="64"/>
      <c r="W1277" s="64"/>
      <c r="X1277" s="64"/>
      <c r="Y1277" s="64"/>
      <c r="Z1277" s="64"/>
      <c r="AA1277" s="64"/>
      <c r="AB1277" s="64"/>
      <c r="AC1277" s="64"/>
      <c r="AD1277" s="64"/>
      <c r="AE1277" s="64"/>
      <c r="AF1277" s="64"/>
      <c r="AG1277" s="64"/>
      <c r="AH1277" s="64"/>
      <c r="AI1277" s="64"/>
      <c r="AJ1277" s="64"/>
      <c r="AK1277" s="64"/>
      <c r="AL1277" s="64"/>
      <c r="AM1277" s="64"/>
      <c r="AN1277" s="64"/>
      <c r="AO1277" s="64"/>
      <c r="AP1277" s="64"/>
      <c r="AQ1277" s="64"/>
      <c r="AR1277" s="64"/>
      <c r="AS1277" s="64"/>
      <c r="AT1277" s="64"/>
      <c r="AU1277" s="64"/>
      <c r="AV1277" s="64"/>
      <c r="AW1277" s="64"/>
      <c r="AX1277" s="64"/>
      <c r="AY1277" s="64"/>
      <c r="AZ1277" s="64"/>
      <c r="BA1277" s="64"/>
      <c r="BB1277" s="64"/>
      <c r="BC1277" s="64"/>
      <c r="BD1277" s="64"/>
      <c r="BE1277" s="64"/>
      <c r="BF1277" s="64"/>
      <c r="BG1277" s="64"/>
      <c r="BH1277" s="64"/>
      <c r="BI1277" s="64"/>
      <c r="BJ1277" s="64"/>
      <c r="BK1277" s="64"/>
      <c r="BL1277" s="64"/>
      <c r="BM1277" s="64"/>
      <c r="BN1277" s="64"/>
      <c r="BO1277" s="64"/>
      <c r="BP1277" s="64"/>
      <c r="BQ1277" s="64"/>
      <c r="BR1277" s="64"/>
      <c r="BS1277" s="64"/>
      <c r="BT1277" s="64"/>
      <c r="BU1277" s="64"/>
      <c r="BV1277" s="64"/>
      <c r="BW1277" s="64"/>
      <c r="BX1277" s="64"/>
      <c r="BY1277" s="64"/>
      <c r="BZ1277" s="64"/>
      <c r="CA1277" s="64"/>
      <c r="CB1277" s="64"/>
      <c r="CC1277" s="64"/>
      <c r="CD1277" s="64"/>
      <c r="CE1277" s="64"/>
      <c r="CF1277" s="64"/>
      <c r="CG1277" s="64"/>
      <c r="CH1277" s="64"/>
      <c r="CI1277" s="64"/>
      <c r="CJ1277" s="64"/>
      <c r="CK1277" s="64"/>
      <c r="CL1277" s="64"/>
      <c r="CM1277" s="64"/>
      <c r="CN1277" s="64"/>
      <c r="CO1277" s="64"/>
      <c r="CP1277" s="64"/>
      <c r="CQ1277" s="64"/>
      <c r="CR1277" s="64"/>
      <c r="CS1277" s="64"/>
      <c r="CT1277" s="64"/>
      <c r="CU1277" s="64"/>
      <c r="CV1277" s="64"/>
      <c r="CW1277" s="64"/>
      <c r="CX1277" s="64"/>
    </row>
    <row r="1278" spans="1:102" x14ac:dyDescent="0.2">
      <c r="A1278" s="64"/>
      <c r="B1278" s="64"/>
      <c r="C1278" s="102"/>
      <c r="D1278" s="102"/>
      <c r="E1278" s="102"/>
      <c r="F1278" s="102"/>
      <c r="G1278" s="102"/>
      <c r="H1278" s="102"/>
      <c r="I1278" s="64"/>
      <c r="J1278" s="64"/>
      <c r="K1278" s="64"/>
      <c r="L1278" s="64"/>
      <c r="M1278" s="64"/>
      <c r="N1278" s="64"/>
      <c r="O1278" s="64"/>
      <c r="P1278" s="64"/>
      <c r="Q1278" s="64"/>
      <c r="R1278" s="64"/>
      <c r="S1278" s="64"/>
      <c r="T1278" s="64"/>
      <c r="U1278" s="64"/>
      <c r="V1278" s="64"/>
      <c r="W1278" s="64"/>
      <c r="X1278" s="64"/>
      <c r="Y1278" s="64"/>
      <c r="Z1278" s="64"/>
      <c r="AA1278" s="64"/>
      <c r="AB1278" s="64"/>
      <c r="AC1278" s="64"/>
      <c r="AD1278" s="64"/>
      <c r="AE1278" s="64"/>
      <c r="AF1278" s="64"/>
      <c r="AG1278" s="64"/>
      <c r="AH1278" s="64"/>
      <c r="AI1278" s="64"/>
      <c r="AJ1278" s="64"/>
      <c r="AK1278" s="64"/>
      <c r="AL1278" s="64"/>
      <c r="AM1278" s="64"/>
      <c r="AN1278" s="64"/>
      <c r="AO1278" s="64"/>
      <c r="AP1278" s="64"/>
      <c r="AQ1278" s="64"/>
      <c r="AR1278" s="64"/>
      <c r="AS1278" s="64"/>
      <c r="AT1278" s="64"/>
      <c r="AU1278" s="64"/>
      <c r="AV1278" s="64"/>
      <c r="AW1278" s="64"/>
      <c r="AX1278" s="64"/>
      <c r="AY1278" s="64"/>
      <c r="AZ1278" s="64"/>
      <c r="BA1278" s="64"/>
      <c r="BB1278" s="64"/>
      <c r="BC1278" s="64"/>
      <c r="BD1278" s="64"/>
      <c r="BE1278" s="64"/>
      <c r="BF1278" s="64"/>
      <c r="BG1278" s="64"/>
      <c r="BH1278" s="64"/>
      <c r="BI1278" s="64"/>
      <c r="BJ1278" s="64"/>
      <c r="BK1278" s="64"/>
      <c r="BL1278" s="64"/>
      <c r="BM1278" s="64"/>
      <c r="BN1278" s="64"/>
      <c r="BO1278" s="64"/>
      <c r="BP1278" s="64"/>
      <c r="BQ1278" s="64"/>
      <c r="BR1278" s="64"/>
      <c r="BS1278" s="64"/>
      <c r="BT1278" s="64"/>
      <c r="BU1278" s="64"/>
      <c r="BV1278" s="64"/>
      <c r="BW1278" s="64"/>
      <c r="BX1278" s="64"/>
      <c r="BY1278" s="64"/>
      <c r="BZ1278" s="64"/>
      <c r="CA1278" s="64"/>
      <c r="CB1278" s="64"/>
      <c r="CC1278" s="64"/>
      <c r="CD1278" s="64"/>
      <c r="CE1278" s="64"/>
      <c r="CF1278" s="64"/>
      <c r="CG1278" s="64"/>
      <c r="CH1278" s="64"/>
      <c r="CI1278" s="64"/>
      <c r="CJ1278" s="64"/>
      <c r="CK1278" s="64"/>
      <c r="CL1278" s="64"/>
      <c r="CM1278" s="64"/>
      <c r="CN1278" s="64"/>
      <c r="CO1278" s="64"/>
      <c r="CP1278" s="64"/>
      <c r="CQ1278" s="64"/>
      <c r="CR1278" s="64"/>
      <c r="CS1278" s="64"/>
      <c r="CT1278" s="64"/>
      <c r="CU1278" s="64"/>
      <c r="CV1278" s="64"/>
      <c r="CW1278" s="64"/>
      <c r="CX1278" s="64"/>
    </row>
    <row r="1279" spans="1:102" x14ac:dyDescent="0.2">
      <c r="A1279" s="64"/>
      <c r="B1279" s="64"/>
      <c r="C1279" s="102"/>
      <c r="D1279" s="102"/>
      <c r="E1279" s="102"/>
      <c r="F1279" s="102"/>
      <c r="G1279" s="102"/>
      <c r="H1279" s="102"/>
      <c r="I1279" s="64"/>
      <c r="J1279" s="64"/>
      <c r="K1279" s="64"/>
      <c r="L1279" s="64"/>
      <c r="M1279" s="64"/>
      <c r="N1279" s="64"/>
      <c r="O1279" s="64"/>
      <c r="P1279" s="64"/>
      <c r="Q1279" s="64"/>
      <c r="R1279" s="64"/>
      <c r="S1279" s="64"/>
      <c r="T1279" s="64"/>
      <c r="U1279" s="64"/>
      <c r="V1279" s="64"/>
      <c r="W1279" s="64"/>
      <c r="X1279" s="64"/>
      <c r="Y1279" s="64"/>
      <c r="Z1279" s="64"/>
      <c r="AA1279" s="64"/>
      <c r="AB1279" s="64"/>
      <c r="AC1279" s="64"/>
      <c r="AD1279" s="64"/>
      <c r="AE1279" s="64"/>
      <c r="AF1279" s="64"/>
      <c r="AG1279" s="64"/>
      <c r="AH1279" s="64"/>
      <c r="AI1279" s="64"/>
      <c r="AJ1279" s="64"/>
      <c r="AK1279" s="64"/>
      <c r="AL1279" s="64"/>
      <c r="AM1279" s="64"/>
      <c r="AN1279" s="64"/>
      <c r="AO1279" s="64"/>
      <c r="AP1279" s="64"/>
      <c r="AQ1279" s="64"/>
      <c r="AR1279" s="64"/>
      <c r="AS1279" s="64"/>
      <c r="AT1279" s="64"/>
      <c r="AU1279" s="64"/>
      <c r="AV1279" s="64"/>
      <c r="AW1279" s="64"/>
      <c r="AX1279" s="64"/>
      <c r="AY1279" s="64"/>
      <c r="AZ1279" s="64"/>
      <c r="BA1279" s="64"/>
      <c r="BB1279" s="64"/>
      <c r="BC1279" s="64"/>
      <c r="BD1279" s="64"/>
      <c r="BE1279" s="64"/>
      <c r="BF1279" s="64"/>
      <c r="BG1279" s="64"/>
      <c r="BH1279" s="64"/>
      <c r="BI1279" s="64"/>
      <c r="BJ1279" s="64"/>
      <c r="BK1279" s="64"/>
      <c r="BL1279" s="64"/>
      <c r="BM1279" s="64"/>
      <c r="BN1279" s="64"/>
      <c r="BO1279" s="64"/>
      <c r="BP1279" s="64"/>
      <c r="BQ1279" s="64"/>
      <c r="BR1279" s="64"/>
      <c r="BS1279" s="64"/>
      <c r="BT1279" s="64"/>
      <c r="BU1279" s="64"/>
      <c r="BV1279" s="64"/>
      <c r="BW1279" s="64"/>
      <c r="BX1279" s="64"/>
      <c r="BY1279" s="64"/>
      <c r="BZ1279" s="64"/>
      <c r="CA1279" s="64"/>
      <c r="CB1279" s="64"/>
      <c r="CC1279" s="64"/>
      <c r="CD1279" s="64"/>
      <c r="CE1279" s="64"/>
      <c r="CF1279" s="64"/>
      <c r="CG1279" s="64"/>
      <c r="CH1279" s="64"/>
      <c r="CI1279" s="64"/>
      <c r="CJ1279" s="64"/>
      <c r="CK1279" s="64"/>
      <c r="CL1279" s="64"/>
      <c r="CM1279" s="64"/>
      <c r="CN1279" s="64"/>
      <c r="CO1279" s="64"/>
      <c r="CP1279" s="64"/>
      <c r="CQ1279" s="64"/>
      <c r="CR1279" s="64"/>
      <c r="CS1279" s="64"/>
      <c r="CT1279" s="64"/>
      <c r="CU1279" s="64"/>
      <c r="CV1279" s="64"/>
      <c r="CW1279" s="64"/>
      <c r="CX1279" s="64"/>
    </row>
    <row r="1280" spans="1:102" x14ac:dyDescent="0.2">
      <c r="A1280" s="64"/>
      <c r="B1280" s="64"/>
      <c r="C1280" s="102"/>
      <c r="D1280" s="102"/>
      <c r="E1280" s="102"/>
      <c r="F1280" s="102"/>
      <c r="G1280" s="102"/>
      <c r="H1280" s="102"/>
      <c r="I1280" s="64"/>
      <c r="J1280" s="64"/>
      <c r="K1280" s="64"/>
      <c r="L1280" s="64"/>
      <c r="M1280" s="64"/>
      <c r="N1280" s="64"/>
      <c r="O1280" s="64"/>
      <c r="P1280" s="64"/>
      <c r="Q1280" s="64"/>
      <c r="R1280" s="64"/>
      <c r="S1280" s="64"/>
      <c r="T1280" s="64"/>
      <c r="U1280" s="64"/>
      <c r="V1280" s="64"/>
      <c r="W1280" s="64"/>
      <c r="X1280" s="64"/>
      <c r="Y1280" s="64"/>
      <c r="Z1280" s="64"/>
      <c r="AA1280" s="64"/>
      <c r="AB1280" s="64"/>
      <c r="AC1280" s="64"/>
      <c r="AD1280" s="64"/>
      <c r="AE1280" s="64"/>
      <c r="AF1280" s="64"/>
      <c r="AG1280" s="64"/>
      <c r="AH1280" s="64"/>
      <c r="AI1280" s="64"/>
      <c r="AJ1280" s="64"/>
      <c r="AK1280" s="64"/>
      <c r="AL1280" s="64"/>
      <c r="AM1280" s="64"/>
      <c r="AN1280" s="64"/>
      <c r="AO1280" s="64"/>
      <c r="AP1280" s="64"/>
      <c r="AQ1280" s="64"/>
      <c r="AR1280" s="64"/>
      <c r="AS1280" s="64"/>
      <c r="AT1280" s="64"/>
      <c r="AU1280" s="64"/>
      <c r="AV1280" s="64"/>
      <c r="AW1280" s="64"/>
      <c r="AX1280" s="64"/>
      <c r="AY1280" s="64"/>
      <c r="AZ1280" s="64"/>
      <c r="BA1280" s="64"/>
      <c r="BB1280" s="64"/>
      <c r="BC1280" s="64"/>
      <c r="BD1280" s="64"/>
      <c r="BE1280" s="64"/>
      <c r="BF1280" s="64"/>
      <c r="BG1280" s="64"/>
      <c r="BH1280" s="64"/>
      <c r="BI1280" s="64"/>
      <c r="BJ1280" s="64"/>
      <c r="BK1280" s="64"/>
      <c r="BL1280" s="64"/>
      <c r="BM1280" s="64"/>
      <c r="BN1280" s="64"/>
      <c r="BO1280" s="64"/>
      <c r="BP1280" s="64"/>
      <c r="BQ1280" s="64"/>
      <c r="BR1280" s="64"/>
      <c r="BS1280" s="64"/>
      <c r="BT1280" s="64"/>
      <c r="BU1280" s="64"/>
      <c r="BV1280" s="64"/>
      <c r="BW1280" s="64"/>
      <c r="BX1280" s="64"/>
      <c r="BY1280" s="64"/>
      <c r="BZ1280" s="64"/>
      <c r="CA1280" s="64"/>
      <c r="CB1280" s="64"/>
      <c r="CC1280" s="64"/>
      <c r="CD1280" s="64"/>
      <c r="CE1280" s="64"/>
      <c r="CF1280" s="64"/>
      <c r="CG1280" s="64"/>
      <c r="CH1280" s="64"/>
      <c r="CI1280" s="64"/>
      <c r="CJ1280" s="64"/>
      <c r="CK1280" s="64"/>
      <c r="CL1280" s="64"/>
      <c r="CM1280" s="64"/>
      <c r="CN1280" s="64"/>
      <c r="CO1280" s="64"/>
      <c r="CP1280" s="64"/>
      <c r="CQ1280" s="64"/>
      <c r="CR1280" s="64"/>
      <c r="CS1280" s="64"/>
      <c r="CT1280" s="64"/>
      <c r="CU1280" s="64"/>
      <c r="CV1280" s="64"/>
      <c r="CW1280" s="64"/>
      <c r="CX1280" s="64"/>
    </row>
    <row r="1281" spans="1:102" x14ac:dyDescent="0.2">
      <c r="A1281" s="64"/>
      <c r="B1281" s="64"/>
      <c r="C1281" s="102"/>
      <c r="D1281" s="102"/>
      <c r="E1281" s="102"/>
      <c r="F1281" s="102"/>
      <c r="G1281" s="102"/>
      <c r="H1281" s="102"/>
      <c r="I1281" s="64"/>
      <c r="J1281" s="64"/>
      <c r="K1281" s="64"/>
      <c r="L1281" s="64"/>
      <c r="M1281" s="64"/>
      <c r="N1281" s="64"/>
      <c r="O1281" s="64"/>
      <c r="P1281" s="64"/>
      <c r="Q1281" s="64"/>
      <c r="R1281" s="64"/>
      <c r="S1281" s="64"/>
      <c r="T1281" s="64"/>
      <c r="U1281" s="64"/>
      <c r="V1281" s="64"/>
      <c r="W1281" s="64"/>
      <c r="X1281" s="64"/>
      <c r="Y1281" s="64"/>
      <c r="Z1281" s="64"/>
      <c r="AA1281" s="64"/>
      <c r="AB1281" s="64"/>
      <c r="AC1281" s="64"/>
      <c r="AD1281" s="64"/>
      <c r="AE1281" s="64"/>
      <c r="AF1281" s="64"/>
      <c r="AG1281" s="64"/>
      <c r="AH1281" s="64"/>
      <c r="AI1281" s="64"/>
      <c r="AJ1281" s="64"/>
      <c r="AK1281" s="64"/>
      <c r="AL1281" s="64"/>
      <c r="AM1281" s="64"/>
      <c r="AN1281" s="64"/>
      <c r="AO1281" s="64"/>
      <c r="AP1281" s="64"/>
      <c r="AQ1281" s="64"/>
      <c r="AR1281" s="64"/>
      <c r="AS1281" s="64"/>
      <c r="AT1281" s="64"/>
      <c r="AU1281" s="64"/>
      <c r="AV1281" s="64"/>
      <c r="AW1281" s="64"/>
      <c r="AX1281" s="64"/>
      <c r="AY1281" s="64"/>
      <c r="AZ1281" s="64"/>
      <c r="BA1281" s="64"/>
      <c r="BB1281" s="64"/>
      <c r="BC1281" s="64"/>
      <c r="BD1281" s="64"/>
      <c r="BE1281" s="64"/>
      <c r="BF1281" s="64"/>
      <c r="BG1281" s="64"/>
      <c r="BH1281" s="64"/>
      <c r="BI1281" s="64"/>
      <c r="BJ1281" s="64"/>
      <c r="BK1281" s="64"/>
      <c r="BL1281" s="64"/>
      <c r="BM1281" s="64"/>
      <c r="BN1281" s="64"/>
      <c r="BO1281" s="64"/>
      <c r="BP1281" s="64"/>
      <c r="BQ1281" s="64"/>
      <c r="BR1281" s="64"/>
      <c r="BS1281" s="64"/>
      <c r="BT1281" s="64"/>
      <c r="BU1281" s="64"/>
      <c r="BV1281" s="64"/>
      <c r="BW1281" s="64"/>
      <c r="BX1281" s="64"/>
      <c r="BY1281" s="64"/>
      <c r="BZ1281" s="64"/>
      <c r="CA1281" s="64"/>
      <c r="CB1281" s="64"/>
      <c r="CC1281" s="64"/>
      <c r="CD1281" s="64"/>
      <c r="CE1281" s="64"/>
      <c r="CF1281" s="64"/>
      <c r="CG1281" s="64"/>
      <c r="CH1281" s="64"/>
      <c r="CI1281" s="64"/>
      <c r="CJ1281" s="64"/>
      <c r="CK1281" s="64"/>
      <c r="CL1281" s="64"/>
      <c r="CM1281" s="64"/>
      <c r="CN1281" s="64"/>
      <c r="CO1281" s="64"/>
      <c r="CP1281" s="64"/>
      <c r="CQ1281" s="64"/>
      <c r="CR1281" s="64"/>
      <c r="CS1281" s="64"/>
      <c r="CT1281" s="64"/>
      <c r="CU1281" s="64"/>
      <c r="CV1281" s="64"/>
      <c r="CW1281" s="64"/>
      <c r="CX1281" s="64"/>
    </row>
    <row r="1282" spans="1:102" x14ac:dyDescent="0.2">
      <c r="A1282" s="64"/>
      <c r="B1282" s="64"/>
      <c r="C1282" s="102"/>
      <c r="D1282" s="102"/>
      <c r="E1282" s="102"/>
      <c r="F1282" s="102"/>
      <c r="G1282" s="102"/>
      <c r="H1282" s="102"/>
      <c r="I1282" s="64"/>
      <c r="J1282" s="64"/>
      <c r="K1282" s="64"/>
      <c r="L1282" s="64"/>
      <c r="M1282" s="64"/>
      <c r="N1282" s="64"/>
      <c r="O1282" s="64"/>
      <c r="P1282" s="64"/>
      <c r="Q1282" s="64"/>
      <c r="R1282" s="64"/>
      <c r="S1282" s="64"/>
      <c r="T1282" s="64"/>
      <c r="U1282" s="64"/>
      <c r="V1282" s="64"/>
      <c r="W1282" s="64"/>
      <c r="X1282" s="64"/>
      <c r="Y1282" s="64"/>
      <c r="Z1282" s="64"/>
      <c r="AA1282" s="64"/>
      <c r="AB1282" s="64"/>
      <c r="AC1282" s="64"/>
      <c r="AD1282" s="64"/>
      <c r="AE1282" s="64"/>
      <c r="AF1282" s="64"/>
      <c r="AG1282" s="64"/>
      <c r="AH1282" s="64"/>
      <c r="AI1282" s="64"/>
      <c r="AJ1282" s="64"/>
      <c r="AK1282" s="64"/>
      <c r="AL1282" s="64"/>
      <c r="AM1282" s="64"/>
      <c r="AN1282" s="64"/>
      <c r="AO1282" s="64"/>
      <c r="AP1282" s="64"/>
      <c r="AQ1282" s="64"/>
      <c r="AR1282" s="64"/>
      <c r="AS1282" s="64"/>
      <c r="AT1282" s="64"/>
      <c r="AU1282" s="64"/>
      <c r="AV1282" s="64"/>
      <c r="AW1282" s="64"/>
      <c r="AX1282" s="64"/>
      <c r="AY1282" s="64"/>
      <c r="AZ1282" s="64"/>
      <c r="BA1282" s="64"/>
      <c r="BB1282" s="64"/>
      <c r="BC1282" s="64"/>
      <c r="BD1282" s="64"/>
      <c r="BE1282" s="64"/>
      <c r="BF1282" s="64"/>
      <c r="BG1282" s="64"/>
      <c r="BH1282" s="64"/>
      <c r="BI1282" s="64"/>
      <c r="BJ1282" s="64"/>
      <c r="BK1282" s="64"/>
      <c r="BL1282" s="64"/>
      <c r="BM1282" s="64"/>
      <c r="BN1282" s="64"/>
      <c r="BO1282" s="64"/>
      <c r="BP1282" s="64"/>
      <c r="BQ1282" s="64"/>
      <c r="BR1282" s="64"/>
      <c r="BS1282" s="64"/>
      <c r="BT1282" s="64"/>
      <c r="BU1282" s="64"/>
      <c r="BV1282" s="64"/>
      <c r="BW1282" s="64"/>
      <c r="BX1282" s="64"/>
      <c r="BY1282" s="64"/>
      <c r="BZ1282" s="64"/>
      <c r="CA1282" s="64"/>
      <c r="CB1282" s="64"/>
      <c r="CC1282" s="64"/>
      <c r="CD1282" s="64"/>
      <c r="CE1282" s="64"/>
      <c r="CF1282" s="64"/>
      <c r="CG1282" s="64"/>
      <c r="CH1282" s="64"/>
      <c r="CI1282" s="64"/>
      <c r="CJ1282" s="64"/>
      <c r="CK1282" s="64"/>
      <c r="CL1282" s="64"/>
      <c r="CM1282" s="64"/>
      <c r="CN1282" s="64"/>
      <c r="CO1282" s="64"/>
      <c r="CP1282" s="64"/>
      <c r="CQ1282" s="64"/>
      <c r="CR1282" s="64"/>
      <c r="CS1282" s="64"/>
      <c r="CT1282" s="64"/>
      <c r="CU1282" s="64"/>
      <c r="CV1282" s="64"/>
      <c r="CW1282" s="64"/>
      <c r="CX1282" s="64"/>
    </row>
    <row r="1283" spans="1:102" x14ac:dyDescent="0.2">
      <c r="A1283" s="64"/>
      <c r="B1283" s="64"/>
      <c r="C1283" s="102"/>
      <c r="D1283" s="102"/>
      <c r="E1283" s="102"/>
      <c r="F1283" s="102"/>
      <c r="G1283" s="102"/>
      <c r="H1283" s="102"/>
      <c r="I1283" s="64"/>
      <c r="J1283" s="64"/>
      <c r="K1283" s="64"/>
      <c r="L1283" s="64"/>
      <c r="M1283" s="64"/>
      <c r="N1283" s="64"/>
      <c r="O1283" s="64"/>
      <c r="P1283" s="64"/>
      <c r="Q1283" s="64"/>
      <c r="R1283" s="64"/>
      <c r="S1283" s="64"/>
      <c r="T1283" s="64"/>
      <c r="U1283" s="64"/>
      <c r="V1283" s="64"/>
      <c r="W1283" s="64"/>
      <c r="X1283" s="64"/>
      <c r="Y1283" s="64"/>
      <c r="Z1283" s="64"/>
      <c r="AA1283" s="64"/>
      <c r="AB1283" s="64"/>
      <c r="AC1283" s="64"/>
      <c r="AD1283" s="64"/>
      <c r="AE1283" s="64"/>
      <c r="AF1283" s="64"/>
      <c r="AG1283" s="64"/>
      <c r="AH1283" s="64"/>
      <c r="AI1283" s="64"/>
      <c r="AJ1283" s="64"/>
      <c r="AK1283" s="64"/>
      <c r="AL1283" s="64"/>
      <c r="AM1283" s="64"/>
      <c r="AN1283" s="64"/>
      <c r="AO1283" s="64"/>
      <c r="AP1283" s="64"/>
      <c r="AQ1283" s="64"/>
      <c r="AR1283" s="64"/>
      <c r="AS1283" s="64"/>
      <c r="AT1283" s="64"/>
      <c r="AU1283" s="64"/>
      <c r="AV1283" s="64"/>
      <c r="AW1283" s="64"/>
      <c r="AX1283" s="64"/>
      <c r="AY1283" s="64"/>
      <c r="AZ1283" s="64"/>
      <c r="BA1283" s="64"/>
      <c r="BB1283" s="64"/>
      <c r="BC1283" s="64"/>
      <c r="BD1283" s="64"/>
      <c r="BE1283" s="64"/>
      <c r="BF1283" s="64"/>
      <c r="BG1283" s="64"/>
      <c r="BH1283" s="64"/>
      <c r="BI1283" s="64"/>
      <c r="BJ1283" s="64"/>
      <c r="BK1283" s="64"/>
      <c r="BL1283" s="64"/>
      <c r="BM1283" s="64"/>
      <c r="BN1283" s="64"/>
      <c r="BO1283" s="64"/>
      <c r="BP1283" s="64"/>
      <c r="BQ1283" s="64"/>
      <c r="BR1283" s="64"/>
      <c r="BS1283" s="64"/>
      <c r="BT1283" s="64"/>
      <c r="BU1283" s="64"/>
      <c r="BV1283" s="64"/>
      <c r="BW1283" s="64"/>
      <c r="BX1283" s="64"/>
      <c r="BY1283" s="64"/>
      <c r="BZ1283" s="64"/>
      <c r="CA1283" s="64"/>
      <c r="CB1283" s="64"/>
      <c r="CC1283" s="64"/>
      <c r="CD1283" s="64"/>
      <c r="CE1283" s="64"/>
      <c r="CF1283" s="64"/>
      <c r="CG1283" s="64"/>
      <c r="CH1283" s="64"/>
      <c r="CI1283" s="64"/>
      <c r="CJ1283" s="64"/>
      <c r="CK1283" s="64"/>
      <c r="CL1283" s="64"/>
      <c r="CM1283" s="64"/>
      <c r="CN1283" s="64"/>
      <c r="CO1283" s="64"/>
      <c r="CP1283" s="64"/>
      <c r="CQ1283" s="64"/>
      <c r="CR1283" s="64"/>
      <c r="CS1283" s="64"/>
      <c r="CT1283" s="64"/>
      <c r="CU1283" s="64"/>
      <c r="CV1283" s="64"/>
      <c r="CW1283" s="64"/>
      <c r="CX1283" s="64"/>
    </row>
    <row r="1284" spans="1:102" x14ac:dyDescent="0.2">
      <c r="A1284" s="64"/>
      <c r="B1284" s="64"/>
      <c r="C1284" s="102"/>
      <c r="D1284" s="102"/>
      <c r="E1284" s="102"/>
      <c r="F1284" s="102"/>
      <c r="G1284" s="102"/>
      <c r="H1284" s="102"/>
      <c r="I1284" s="64"/>
      <c r="J1284" s="64"/>
      <c r="K1284" s="64"/>
      <c r="L1284" s="64"/>
      <c r="M1284" s="64"/>
      <c r="N1284" s="64"/>
      <c r="O1284" s="64"/>
      <c r="P1284" s="64"/>
      <c r="Q1284" s="64"/>
      <c r="R1284" s="64"/>
      <c r="S1284" s="64"/>
      <c r="T1284" s="64"/>
      <c r="U1284" s="64"/>
      <c r="V1284" s="64"/>
      <c r="W1284" s="64"/>
      <c r="X1284" s="64"/>
      <c r="Y1284" s="64"/>
      <c r="Z1284" s="64"/>
      <c r="AA1284" s="64"/>
      <c r="AB1284" s="64"/>
      <c r="AC1284" s="64"/>
      <c r="AD1284" s="64"/>
      <c r="AE1284" s="64"/>
      <c r="AF1284" s="64"/>
      <c r="AG1284" s="64"/>
      <c r="AH1284" s="64"/>
      <c r="AI1284" s="64"/>
      <c r="AJ1284" s="64"/>
      <c r="AK1284" s="64"/>
      <c r="AL1284" s="64"/>
      <c r="AM1284" s="64"/>
      <c r="AN1284" s="64"/>
      <c r="AO1284" s="64"/>
      <c r="AP1284" s="64"/>
      <c r="AQ1284" s="64"/>
      <c r="AR1284" s="64"/>
      <c r="AS1284" s="64"/>
      <c r="AT1284" s="64"/>
      <c r="AU1284" s="64"/>
      <c r="AV1284" s="64"/>
      <c r="AW1284" s="64"/>
      <c r="AX1284" s="64"/>
      <c r="AY1284" s="64"/>
      <c r="AZ1284" s="64"/>
      <c r="BA1284" s="64"/>
      <c r="BB1284" s="64"/>
      <c r="BC1284" s="64"/>
      <c r="BD1284" s="64"/>
      <c r="BE1284" s="64"/>
      <c r="BF1284" s="64"/>
      <c r="BG1284" s="64"/>
      <c r="BH1284" s="64"/>
      <c r="BI1284" s="64"/>
      <c r="BJ1284" s="64"/>
      <c r="BK1284" s="64"/>
      <c r="BL1284" s="64"/>
      <c r="BM1284" s="64"/>
      <c r="BN1284" s="64"/>
      <c r="BO1284" s="64"/>
      <c r="BP1284" s="64"/>
      <c r="BQ1284" s="64"/>
      <c r="BR1284" s="64"/>
      <c r="BS1284" s="64"/>
      <c r="BT1284" s="64"/>
      <c r="BU1284" s="64"/>
      <c r="BV1284" s="64"/>
      <c r="BW1284" s="64"/>
      <c r="BX1284" s="64"/>
      <c r="BY1284" s="64"/>
      <c r="BZ1284" s="64"/>
      <c r="CA1284" s="64"/>
      <c r="CB1284" s="64"/>
      <c r="CC1284" s="64"/>
      <c r="CD1284" s="64"/>
      <c r="CE1284" s="64"/>
      <c r="CF1284" s="64"/>
      <c r="CG1284" s="64"/>
      <c r="CH1284" s="64"/>
      <c r="CI1284" s="64"/>
      <c r="CJ1284" s="64"/>
      <c r="CK1284" s="64"/>
      <c r="CL1284" s="64"/>
      <c r="CM1284" s="64"/>
      <c r="CN1284" s="64"/>
      <c r="CO1284" s="64"/>
      <c r="CP1284" s="64"/>
      <c r="CQ1284" s="64"/>
      <c r="CR1284" s="64"/>
      <c r="CS1284" s="64"/>
      <c r="CT1284" s="64"/>
      <c r="CU1284" s="64"/>
      <c r="CV1284" s="64"/>
      <c r="CW1284" s="64"/>
      <c r="CX1284" s="64"/>
    </row>
    <row r="1285" spans="1:102" x14ac:dyDescent="0.2">
      <c r="A1285" s="64"/>
      <c r="B1285" s="64"/>
      <c r="C1285" s="102"/>
      <c r="D1285" s="102"/>
      <c r="E1285" s="102"/>
      <c r="F1285" s="102"/>
      <c r="G1285" s="102"/>
      <c r="H1285" s="102"/>
      <c r="I1285" s="64"/>
      <c r="J1285" s="64"/>
      <c r="K1285" s="64"/>
      <c r="L1285" s="64"/>
      <c r="M1285" s="64"/>
      <c r="N1285" s="64"/>
      <c r="O1285" s="64"/>
      <c r="P1285" s="64"/>
      <c r="Q1285" s="64"/>
      <c r="R1285" s="64"/>
      <c r="S1285" s="64"/>
      <c r="T1285" s="64"/>
      <c r="U1285" s="64"/>
      <c r="V1285" s="64"/>
      <c r="W1285" s="64"/>
      <c r="X1285" s="64"/>
      <c r="Y1285" s="64"/>
      <c r="Z1285" s="64"/>
      <c r="AA1285" s="64"/>
      <c r="AB1285" s="64"/>
      <c r="AC1285" s="64"/>
      <c r="AD1285" s="64"/>
      <c r="AE1285" s="64"/>
      <c r="AF1285" s="64"/>
      <c r="AG1285" s="64"/>
      <c r="AH1285" s="64"/>
      <c r="AI1285" s="64"/>
      <c r="AJ1285" s="64"/>
      <c r="AK1285" s="64"/>
      <c r="AL1285" s="64"/>
      <c r="AM1285" s="64"/>
      <c r="AN1285" s="64"/>
      <c r="AO1285" s="64"/>
      <c r="AP1285" s="64"/>
      <c r="AQ1285" s="64"/>
      <c r="AR1285" s="64"/>
      <c r="AS1285" s="64"/>
      <c r="AT1285" s="64"/>
      <c r="AU1285" s="64"/>
      <c r="AV1285" s="64"/>
      <c r="AW1285" s="64"/>
      <c r="AX1285" s="64"/>
      <c r="AY1285" s="64"/>
      <c r="AZ1285" s="64"/>
      <c r="BA1285" s="64"/>
      <c r="BB1285" s="64"/>
      <c r="BC1285" s="64"/>
      <c r="BD1285" s="64"/>
      <c r="BE1285" s="64"/>
      <c r="BF1285" s="64"/>
      <c r="BG1285" s="64"/>
      <c r="BH1285" s="64"/>
      <c r="BI1285" s="64"/>
      <c r="BJ1285" s="64"/>
      <c r="BK1285" s="64"/>
      <c r="BL1285" s="64"/>
      <c r="BM1285" s="64"/>
      <c r="BN1285" s="64"/>
      <c r="BO1285" s="64"/>
      <c r="BP1285" s="64"/>
      <c r="BQ1285" s="64"/>
      <c r="BR1285" s="64"/>
      <c r="BS1285" s="64"/>
      <c r="BT1285" s="64"/>
      <c r="BU1285" s="64"/>
      <c r="BV1285" s="64"/>
      <c r="BW1285" s="64"/>
      <c r="BX1285" s="64"/>
      <c r="BY1285" s="64"/>
      <c r="BZ1285" s="64"/>
      <c r="CA1285" s="64"/>
      <c r="CB1285" s="64"/>
      <c r="CC1285" s="64"/>
      <c r="CD1285" s="64"/>
      <c r="CE1285" s="64"/>
      <c r="CF1285" s="64"/>
      <c r="CG1285" s="64"/>
      <c r="CH1285" s="64"/>
      <c r="CI1285" s="64"/>
      <c r="CJ1285" s="64"/>
      <c r="CK1285" s="64"/>
      <c r="CL1285" s="64"/>
      <c r="CM1285" s="64"/>
      <c r="CN1285" s="64"/>
      <c r="CO1285" s="64"/>
      <c r="CP1285" s="64"/>
      <c r="CQ1285" s="64"/>
      <c r="CR1285" s="64"/>
      <c r="CS1285" s="64"/>
      <c r="CT1285" s="64"/>
      <c r="CU1285" s="64"/>
      <c r="CV1285" s="64"/>
      <c r="CW1285" s="64"/>
      <c r="CX1285" s="64"/>
    </row>
    <row r="1286" spans="1:102" x14ac:dyDescent="0.2">
      <c r="A1286" s="64"/>
      <c r="B1286" s="64"/>
      <c r="C1286" s="102"/>
      <c r="D1286" s="102"/>
      <c r="E1286" s="102"/>
      <c r="F1286" s="102"/>
      <c r="G1286" s="102"/>
      <c r="H1286" s="102"/>
      <c r="I1286" s="64"/>
      <c r="J1286" s="64"/>
      <c r="K1286" s="64"/>
      <c r="L1286" s="64"/>
      <c r="M1286" s="64"/>
      <c r="N1286" s="64"/>
      <c r="O1286" s="64"/>
      <c r="P1286" s="64"/>
      <c r="Q1286" s="64"/>
      <c r="R1286" s="64"/>
      <c r="S1286" s="64"/>
      <c r="T1286" s="64"/>
      <c r="U1286" s="64"/>
      <c r="V1286" s="64"/>
      <c r="W1286" s="64"/>
      <c r="X1286" s="64"/>
      <c r="Y1286" s="64"/>
      <c r="Z1286" s="64"/>
      <c r="AA1286" s="64"/>
      <c r="AB1286" s="64"/>
      <c r="AC1286" s="64"/>
      <c r="AD1286" s="64"/>
      <c r="AE1286" s="64"/>
      <c r="AF1286" s="64"/>
      <c r="AG1286" s="64"/>
      <c r="AH1286" s="64"/>
      <c r="AI1286" s="64"/>
      <c r="AJ1286" s="64"/>
      <c r="AK1286" s="64"/>
      <c r="AL1286" s="64"/>
      <c r="AM1286" s="64"/>
      <c r="AN1286" s="64"/>
      <c r="AO1286" s="64"/>
      <c r="AP1286" s="64"/>
      <c r="AQ1286" s="64"/>
      <c r="AR1286" s="64"/>
      <c r="AS1286" s="64"/>
      <c r="AT1286" s="64"/>
      <c r="AU1286" s="64"/>
      <c r="AV1286" s="64"/>
      <c r="AW1286" s="64"/>
      <c r="AX1286" s="64"/>
      <c r="AY1286" s="64"/>
      <c r="AZ1286" s="64"/>
      <c r="BA1286" s="64"/>
      <c r="BB1286" s="64"/>
      <c r="BC1286" s="64"/>
      <c r="BD1286" s="64"/>
      <c r="BE1286" s="64"/>
      <c r="BF1286" s="64"/>
      <c r="BG1286" s="64"/>
      <c r="BH1286" s="64"/>
      <c r="BI1286" s="64"/>
      <c r="BJ1286" s="64"/>
      <c r="BK1286" s="64"/>
      <c r="BL1286" s="64"/>
      <c r="BM1286" s="64"/>
      <c r="BN1286" s="64"/>
      <c r="BO1286" s="64"/>
      <c r="BP1286" s="64"/>
      <c r="BQ1286" s="64"/>
      <c r="BR1286" s="64"/>
      <c r="BS1286" s="64"/>
      <c r="BT1286" s="64"/>
      <c r="BU1286" s="64"/>
      <c r="BV1286" s="64"/>
      <c r="BW1286" s="64"/>
      <c r="BX1286" s="64"/>
      <c r="BY1286" s="64"/>
      <c r="BZ1286" s="64"/>
      <c r="CA1286" s="64"/>
      <c r="CB1286" s="64"/>
      <c r="CC1286" s="64"/>
      <c r="CD1286" s="64"/>
      <c r="CE1286" s="64"/>
      <c r="CF1286" s="64"/>
      <c r="CG1286" s="64"/>
      <c r="CH1286" s="64"/>
      <c r="CI1286" s="64"/>
      <c r="CJ1286" s="64"/>
      <c r="CK1286" s="64"/>
      <c r="CL1286" s="64"/>
      <c r="CM1286" s="64"/>
      <c r="CN1286" s="64"/>
      <c r="CO1286" s="64"/>
      <c r="CP1286" s="64"/>
      <c r="CQ1286" s="64"/>
      <c r="CR1286" s="64"/>
      <c r="CS1286" s="64"/>
      <c r="CT1286" s="64"/>
      <c r="CU1286" s="64"/>
      <c r="CV1286" s="64"/>
      <c r="CW1286" s="64"/>
      <c r="CX1286" s="64"/>
    </row>
    <row r="1287" spans="1:102" x14ac:dyDescent="0.2">
      <c r="A1287" s="64"/>
      <c r="B1287" s="64"/>
      <c r="C1287" s="102"/>
      <c r="D1287" s="102"/>
      <c r="E1287" s="102"/>
      <c r="F1287" s="102"/>
      <c r="G1287" s="102"/>
      <c r="H1287" s="102"/>
      <c r="I1287" s="64"/>
      <c r="J1287" s="64"/>
      <c r="K1287" s="64"/>
      <c r="L1287" s="64"/>
      <c r="M1287" s="64"/>
      <c r="N1287" s="64"/>
      <c r="O1287" s="64"/>
      <c r="P1287" s="64"/>
      <c r="Q1287" s="64"/>
      <c r="R1287" s="64"/>
      <c r="S1287" s="64"/>
      <c r="T1287" s="64"/>
      <c r="U1287" s="64"/>
      <c r="V1287" s="64"/>
      <c r="W1287" s="64"/>
      <c r="X1287" s="64"/>
      <c r="Y1287" s="64"/>
      <c r="Z1287" s="64"/>
      <c r="AA1287" s="64"/>
      <c r="AB1287" s="64"/>
      <c r="AC1287" s="64"/>
      <c r="AD1287" s="64"/>
      <c r="AE1287" s="64"/>
      <c r="AF1287" s="64"/>
      <c r="AG1287" s="64"/>
      <c r="AH1287" s="64"/>
      <c r="AI1287" s="64"/>
      <c r="AJ1287" s="64"/>
      <c r="AK1287" s="64"/>
      <c r="AL1287" s="64"/>
      <c r="AM1287" s="64"/>
      <c r="AN1287" s="64"/>
      <c r="AO1287" s="64"/>
      <c r="AP1287" s="64"/>
      <c r="AQ1287" s="64"/>
      <c r="AR1287" s="64"/>
      <c r="AS1287" s="64"/>
      <c r="AT1287" s="64"/>
      <c r="AU1287" s="64"/>
      <c r="AV1287" s="64"/>
      <c r="AW1287" s="64"/>
      <c r="AX1287" s="64"/>
      <c r="AY1287" s="64"/>
      <c r="AZ1287" s="64"/>
      <c r="BA1287" s="64"/>
      <c r="BB1287" s="64"/>
      <c r="BC1287" s="64"/>
      <c r="BD1287" s="64"/>
      <c r="BE1287" s="64"/>
      <c r="BF1287" s="64"/>
      <c r="BG1287" s="64"/>
      <c r="BH1287" s="64"/>
      <c r="BI1287" s="64"/>
      <c r="BJ1287" s="64"/>
      <c r="BK1287" s="64"/>
      <c r="BL1287" s="64"/>
      <c r="BM1287" s="64"/>
      <c r="BN1287" s="64"/>
      <c r="BO1287" s="64"/>
      <c r="BP1287" s="64"/>
      <c r="BQ1287" s="64"/>
      <c r="BR1287" s="64"/>
      <c r="BS1287" s="64"/>
      <c r="BT1287" s="64"/>
      <c r="BU1287" s="64"/>
      <c r="BV1287" s="64"/>
      <c r="BW1287" s="64"/>
      <c r="BX1287" s="64"/>
      <c r="BY1287" s="64"/>
      <c r="BZ1287" s="64"/>
      <c r="CA1287" s="64"/>
      <c r="CB1287" s="64"/>
      <c r="CC1287" s="64"/>
      <c r="CD1287" s="64"/>
      <c r="CE1287" s="64"/>
      <c r="CF1287" s="64"/>
      <c r="CG1287" s="64"/>
      <c r="CH1287" s="64"/>
      <c r="CI1287" s="64"/>
      <c r="CJ1287" s="64"/>
      <c r="CK1287" s="64"/>
      <c r="CL1287" s="64"/>
      <c r="CM1287" s="64"/>
      <c r="CN1287" s="64"/>
      <c r="CO1287" s="64"/>
      <c r="CP1287" s="64"/>
      <c r="CQ1287" s="64"/>
      <c r="CR1287" s="64"/>
      <c r="CS1287" s="64"/>
      <c r="CT1287" s="64"/>
      <c r="CU1287" s="64"/>
      <c r="CV1287" s="64"/>
      <c r="CW1287" s="64"/>
      <c r="CX1287" s="64"/>
    </row>
    <row r="1288" spans="1:102" x14ac:dyDescent="0.2">
      <c r="A1288" s="64"/>
      <c r="B1288" s="64"/>
      <c r="C1288" s="102"/>
      <c r="D1288" s="102"/>
      <c r="E1288" s="102"/>
      <c r="F1288" s="102"/>
      <c r="G1288" s="102"/>
      <c r="H1288" s="102"/>
      <c r="I1288" s="64"/>
      <c r="J1288" s="64"/>
      <c r="K1288" s="64"/>
      <c r="L1288" s="64"/>
      <c r="M1288" s="64"/>
      <c r="N1288" s="64"/>
      <c r="O1288" s="64"/>
      <c r="P1288" s="64"/>
      <c r="Q1288" s="64"/>
      <c r="R1288" s="64"/>
      <c r="S1288" s="64"/>
      <c r="T1288" s="64"/>
      <c r="U1288" s="64"/>
      <c r="V1288" s="64"/>
      <c r="W1288" s="64"/>
      <c r="X1288" s="64"/>
      <c r="Y1288" s="64"/>
      <c r="Z1288" s="64"/>
      <c r="AA1288" s="64"/>
      <c r="AB1288" s="64"/>
      <c r="AC1288" s="64"/>
      <c r="AD1288" s="64"/>
      <c r="AE1288" s="64"/>
      <c r="AF1288" s="64"/>
      <c r="AG1288" s="64"/>
      <c r="AH1288" s="64"/>
      <c r="AI1288" s="64"/>
      <c r="AJ1288" s="64"/>
      <c r="AK1288" s="64"/>
      <c r="AL1288" s="64"/>
      <c r="AM1288" s="64"/>
      <c r="AN1288" s="64"/>
      <c r="AO1288" s="64"/>
      <c r="AP1288" s="64"/>
      <c r="AQ1288" s="64"/>
      <c r="AR1288" s="64"/>
      <c r="AS1288" s="64"/>
      <c r="AT1288" s="64"/>
      <c r="AU1288" s="64"/>
      <c r="AV1288" s="64"/>
      <c r="AW1288" s="64"/>
      <c r="AX1288" s="64"/>
      <c r="AY1288" s="64"/>
      <c r="AZ1288" s="64"/>
      <c r="BA1288" s="64"/>
      <c r="BB1288" s="64"/>
      <c r="BC1288" s="64"/>
      <c r="BD1288" s="64"/>
      <c r="BE1288" s="64"/>
      <c r="BF1288" s="64"/>
      <c r="BG1288" s="64"/>
      <c r="BH1288" s="64"/>
      <c r="BI1288" s="64"/>
      <c r="BJ1288" s="64"/>
      <c r="BK1288" s="64"/>
      <c r="BL1288" s="64"/>
      <c r="BM1288" s="64"/>
      <c r="BN1288" s="64"/>
      <c r="BO1288" s="64"/>
      <c r="BP1288" s="64"/>
      <c r="BQ1288" s="64"/>
      <c r="BR1288" s="64"/>
      <c r="BS1288" s="64"/>
      <c r="BT1288" s="64"/>
      <c r="BU1288" s="64"/>
      <c r="BV1288" s="64"/>
      <c r="BW1288" s="64"/>
      <c r="BX1288" s="64"/>
      <c r="BY1288" s="64"/>
      <c r="BZ1288" s="64"/>
      <c r="CA1288" s="64"/>
      <c r="CB1288" s="64"/>
      <c r="CC1288" s="64"/>
      <c r="CD1288" s="64"/>
      <c r="CE1288" s="64"/>
      <c r="CF1288" s="64"/>
      <c r="CG1288" s="64"/>
      <c r="CH1288" s="64"/>
      <c r="CI1288" s="64"/>
      <c r="CJ1288" s="64"/>
      <c r="CK1288" s="64"/>
      <c r="CL1288" s="64"/>
      <c r="CM1288" s="64"/>
      <c r="CN1288" s="64"/>
      <c r="CO1288" s="64"/>
      <c r="CP1288" s="64"/>
      <c r="CQ1288" s="64"/>
      <c r="CR1288" s="64"/>
      <c r="CS1288" s="64"/>
      <c r="CT1288" s="64"/>
      <c r="CU1288" s="64"/>
      <c r="CV1288" s="64"/>
      <c r="CW1288" s="64"/>
      <c r="CX1288" s="64"/>
    </row>
    <row r="1289" spans="1:102" x14ac:dyDescent="0.2">
      <c r="A1289" s="64"/>
      <c r="B1289" s="64"/>
      <c r="C1289" s="102"/>
      <c r="D1289" s="102"/>
      <c r="E1289" s="102"/>
      <c r="F1289" s="102"/>
      <c r="G1289" s="102"/>
      <c r="H1289" s="102"/>
      <c r="I1289" s="64"/>
      <c r="J1289" s="64"/>
      <c r="K1289" s="64"/>
      <c r="L1289" s="64"/>
      <c r="M1289" s="64"/>
      <c r="N1289" s="64"/>
      <c r="O1289" s="64"/>
      <c r="P1289" s="64"/>
      <c r="Q1289" s="64"/>
      <c r="R1289" s="64"/>
      <c r="S1289" s="64"/>
      <c r="T1289" s="64"/>
      <c r="U1289" s="64"/>
      <c r="V1289" s="64"/>
      <c r="W1289" s="64"/>
      <c r="X1289" s="64"/>
      <c r="Y1289" s="64"/>
      <c r="Z1289" s="64"/>
      <c r="AA1289" s="64"/>
      <c r="AB1289" s="64"/>
      <c r="AC1289" s="64"/>
      <c r="AD1289" s="64"/>
      <c r="AE1289" s="64"/>
      <c r="AF1289" s="64"/>
      <c r="AG1289" s="64"/>
      <c r="AH1289" s="64"/>
      <c r="AI1289" s="64"/>
      <c r="AJ1289" s="64"/>
      <c r="AK1289" s="64"/>
      <c r="AL1289" s="64"/>
      <c r="AM1289" s="64"/>
      <c r="AN1289" s="64"/>
      <c r="AO1289" s="64"/>
      <c r="AP1289" s="64"/>
      <c r="AQ1289" s="64"/>
      <c r="AR1289" s="64"/>
      <c r="AS1289" s="64"/>
      <c r="AT1289" s="64"/>
      <c r="AU1289" s="64"/>
      <c r="AV1289" s="64"/>
      <c r="AW1289" s="64"/>
      <c r="AX1289" s="64"/>
      <c r="AY1289" s="64"/>
      <c r="AZ1289" s="64"/>
      <c r="BA1289" s="64"/>
      <c r="BB1289" s="64"/>
      <c r="BC1289" s="64"/>
      <c r="BD1289" s="64"/>
      <c r="BE1289" s="64"/>
      <c r="BF1289" s="64"/>
      <c r="BG1289" s="64"/>
      <c r="BH1289" s="64"/>
      <c r="BI1289" s="64"/>
      <c r="BJ1289" s="64"/>
      <c r="BK1289" s="64"/>
      <c r="BL1289" s="64"/>
      <c r="BM1289" s="64"/>
      <c r="BN1289" s="64"/>
      <c r="BO1289" s="64"/>
      <c r="BP1289" s="64"/>
      <c r="BQ1289" s="64"/>
      <c r="BR1289" s="64"/>
      <c r="BS1289" s="64"/>
      <c r="BT1289" s="64"/>
      <c r="BU1289" s="64"/>
      <c r="BV1289" s="64"/>
      <c r="BW1289" s="64"/>
      <c r="BX1289" s="64"/>
      <c r="BY1289" s="64"/>
      <c r="BZ1289" s="64"/>
      <c r="CA1289" s="64"/>
      <c r="CB1289" s="64"/>
      <c r="CC1289" s="64"/>
      <c r="CD1289" s="64"/>
      <c r="CE1289" s="64"/>
      <c r="CF1289" s="64"/>
      <c r="CG1289" s="64"/>
      <c r="CH1289" s="64"/>
      <c r="CI1289" s="64"/>
      <c r="CJ1289" s="64"/>
      <c r="CK1289" s="64"/>
      <c r="CL1289" s="64"/>
      <c r="CM1289" s="64"/>
      <c r="CN1289" s="64"/>
      <c r="CO1289" s="64"/>
      <c r="CP1289" s="64"/>
      <c r="CQ1289" s="64"/>
      <c r="CR1289" s="64"/>
      <c r="CS1289" s="64"/>
      <c r="CT1289" s="64"/>
      <c r="CU1289" s="64"/>
      <c r="CV1289" s="64"/>
      <c r="CW1289" s="64"/>
      <c r="CX1289" s="64"/>
    </row>
    <row r="1290" spans="1:102" x14ac:dyDescent="0.2">
      <c r="A1290" s="64"/>
      <c r="B1290" s="64"/>
      <c r="C1290" s="102"/>
      <c r="D1290" s="102"/>
      <c r="E1290" s="102"/>
      <c r="F1290" s="102"/>
      <c r="G1290" s="102"/>
      <c r="H1290" s="102"/>
      <c r="I1290" s="64"/>
      <c r="J1290" s="64"/>
      <c r="K1290" s="64"/>
      <c r="L1290" s="64"/>
      <c r="M1290" s="64"/>
      <c r="N1290" s="64"/>
      <c r="O1290" s="64"/>
      <c r="P1290" s="64"/>
      <c r="Q1290" s="64"/>
      <c r="R1290" s="64"/>
      <c r="S1290" s="64"/>
      <c r="T1290" s="64"/>
      <c r="U1290" s="64"/>
      <c r="V1290" s="64"/>
      <c r="W1290" s="64"/>
      <c r="X1290" s="64"/>
      <c r="Y1290" s="64"/>
      <c r="Z1290" s="64"/>
      <c r="AA1290" s="64"/>
      <c r="AB1290" s="64"/>
      <c r="AC1290" s="64"/>
      <c r="AD1290" s="64"/>
      <c r="AE1290" s="64"/>
      <c r="AF1290" s="64"/>
      <c r="AG1290" s="64"/>
      <c r="AH1290" s="64"/>
      <c r="AI1290" s="64"/>
      <c r="AJ1290" s="64"/>
      <c r="AK1290" s="64"/>
      <c r="AL1290" s="64"/>
      <c r="AM1290" s="64"/>
      <c r="AN1290" s="64"/>
      <c r="AO1290" s="64"/>
      <c r="AP1290" s="64"/>
      <c r="AQ1290" s="64"/>
      <c r="AR1290" s="64"/>
      <c r="AS1290" s="64"/>
      <c r="AT1290" s="64"/>
      <c r="AU1290" s="64"/>
      <c r="AV1290" s="64"/>
      <c r="AW1290" s="64"/>
      <c r="AX1290" s="64"/>
      <c r="AY1290" s="64"/>
      <c r="AZ1290" s="64"/>
      <c r="BA1290" s="64"/>
      <c r="BB1290" s="64"/>
      <c r="BC1290" s="64"/>
      <c r="BD1290" s="64"/>
      <c r="BE1290" s="64"/>
      <c r="BF1290" s="64"/>
      <c r="BG1290" s="64"/>
      <c r="BH1290" s="64"/>
      <c r="BI1290" s="64"/>
      <c r="BJ1290" s="64"/>
      <c r="BK1290" s="64"/>
      <c r="BL1290" s="64"/>
      <c r="BM1290" s="64"/>
      <c r="BN1290" s="64"/>
      <c r="BO1290" s="64"/>
      <c r="BP1290" s="64"/>
      <c r="BQ1290" s="64"/>
      <c r="BR1290" s="64"/>
      <c r="BS1290" s="64"/>
      <c r="BT1290" s="64"/>
      <c r="BU1290" s="64"/>
      <c r="BV1290" s="64"/>
      <c r="BW1290" s="64"/>
      <c r="BX1290" s="64"/>
      <c r="BY1290" s="64"/>
      <c r="BZ1290" s="64"/>
      <c r="CA1290" s="64"/>
      <c r="CB1290" s="64"/>
      <c r="CC1290" s="64"/>
      <c r="CD1290" s="64"/>
      <c r="CE1290" s="64"/>
      <c r="CF1290" s="64"/>
      <c r="CG1290" s="64"/>
      <c r="CH1290" s="64"/>
      <c r="CI1290" s="64"/>
      <c r="CJ1290" s="64"/>
      <c r="CK1290" s="64"/>
      <c r="CL1290" s="64"/>
      <c r="CM1290" s="64"/>
      <c r="CN1290" s="64"/>
      <c r="CO1290" s="64"/>
      <c r="CP1290" s="64"/>
      <c r="CQ1290" s="64"/>
      <c r="CR1290" s="64"/>
      <c r="CS1290" s="64"/>
      <c r="CT1290" s="64"/>
      <c r="CU1290" s="64"/>
      <c r="CV1290" s="64"/>
      <c r="CW1290" s="64"/>
      <c r="CX1290" s="64"/>
    </row>
    <row r="1291" spans="1:102" x14ac:dyDescent="0.2">
      <c r="A1291" s="64"/>
      <c r="B1291" s="64"/>
      <c r="C1291" s="102"/>
      <c r="D1291" s="102"/>
      <c r="E1291" s="102"/>
      <c r="F1291" s="102"/>
      <c r="G1291" s="102"/>
      <c r="H1291" s="102"/>
      <c r="I1291" s="64"/>
      <c r="J1291" s="64"/>
      <c r="K1291" s="64"/>
      <c r="L1291" s="64"/>
      <c r="M1291" s="64"/>
      <c r="N1291" s="64"/>
      <c r="O1291" s="64"/>
      <c r="P1291" s="64"/>
      <c r="Q1291" s="64"/>
      <c r="R1291" s="64"/>
      <c r="S1291" s="64"/>
      <c r="T1291" s="64"/>
      <c r="U1291" s="64"/>
      <c r="V1291" s="64"/>
      <c r="W1291" s="64"/>
      <c r="X1291" s="64"/>
      <c r="Y1291" s="64"/>
      <c r="Z1291" s="64"/>
      <c r="AA1291" s="64"/>
      <c r="AB1291" s="64"/>
      <c r="AC1291" s="64"/>
      <c r="AD1291" s="64"/>
      <c r="AE1291" s="64"/>
      <c r="AF1291" s="64"/>
      <c r="AG1291" s="64"/>
      <c r="AH1291" s="64"/>
      <c r="AI1291" s="64"/>
      <c r="AJ1291" s="64"/>
      <c r="AK1291" s="64"/>
      <c r="AL1291" s="64"/>
      <c r="AM1291" s="64"/>
      <c r="AN1291" s="64"/>
      <c r="AO1291" s="64"/>
      <c r="AP1291" s="64"/>
      <c r="AQ1291" s="64"/>
      <c r="AR1291" s="64"/>
      <c r="AS1291" s="64"/>
      <c r="AT1291" s="64"/>
      <c r="AU1291" s="64"/>
      <c r="AV1291" s="64"/>
      <c r="AW1291" s="64"/>
      <c r="AX1291" s="64"/>
      <c r="AY1291" s="64"/>
      <c r="AZ1291" s="64"/>
      <c r="BA1291" s="64"/>
      <c r="BB1291" s="64"/>
      <c r="BC1291" s="64"/>
      <c r="BD1291" s="64"/>
      <c r="BE1291" s="64"/>
      <c r="BF1291" s="64"/>
      <c r="BG1291" s="64"/>
      <c r="BH1291" s="64"/>
      <c r="BI1291" s="64"/>
      <c r="BJ1291" s="64"/>
      <c r="BK1291" s="64"/>
      <c r="BL1291" s="64"/>
      <c r="BM1291" s="64"/>
      <c r="BN1291" s="64"/>
      <c r="BO1291" s="64"/>
      <c r="BP1291" s="64"/>
      <c r="BQ1291" s="64"/>
      <c r="BR1291" s="64"/>
      <c r="BS1291" s="64"/>
      <c r="BT1291" s="64"/>
      <c r="BU1291" s="64"/>
      <c r="BV1291" s="64"/>
      <c r="BW1291" s="64"/>
      <c r="BX1291" s="64"/>
      <c r="BY1291" s="64"/>
      <c r="BZ1291" s="64"/>
      <c r="CA1291" s="64"/>
      <c r="CB1291" s="64"/>
      <c r="CC1291" s="64"/>
      <c r="CD1291" s="64"/>
      <c r="CE1291" s="64"/>
      <c r="CF1291" s="64"/>
      <c r="CG1291" s="64"/>
      <c r="CH1291" s="64"/>
      <c r="CI1291" s="64"/>
      <c r="CJ1291" s="64"/>
      <c r="CK1291" s="64"/>
      <c r="CL1291" s="64"/>
      <c r="CM1291" s="64"/>
      <c r="CN1291" s="64"/>
      <c r="CO1291" s="64"/>
      <c r="CP1291" s="64"/>
      <c r="CQ1291" s="64"/>
      <c r="CR1291" s="64"/>
      <c r="CS1291" s="64"/>
      <c r="CT1291" s="64"/>
      <c r="CU1291" s="64"/>
      <c r="CV1291" s="64"/>
      <c r="CW1291" s="64"/>
      <c r="CX1291" s="64"/>
    </row>
    <row r="1292" spans="1:102" x14ac:dyDescent="0.2">
      <c r="A1292" s="64"/>
      <c r="B1292" s="64"/>
      <c r="C1292" s="102"/>
      <c r="D1292" s="102"/>
      <c r="E1292" s="102"/>
      <c r="F1292" s="102"/>
      <c r="G1292" s="102"/>
      <c r="H1292" s="102"/>
      <c r="I1292" s="64"/>
      <c r="J1292" s="64"/>
      <c r="K1292" s="64"/>
      <c r="L1292" s="64"/>
      <c r="M1292" s="64"/>
      <c r="N1292" s="64"/>
      <c r="O1292" s="64"/>
      <c r="P1292" s="64"/>
      <c r="Q1292" s="64"/>
      <c r="R1292" s="64"/>
      <c r="S1292" s="64"/>
      <c r="T1292" s="64"/>
      <c r="U1292" s="64"/>
      <c r="V1292" s="64"/>
      <c r="W1292" s="64"/>
      <c r="X1292" s="64"/>
      <c r="Y1292" s="64"/>
      <c r="Z1292" s="64"/>
      <c r="AA1292" s="64"/>
      <c r="AB1292" s="64"/>
      <c r="AC1292" s="64"/>
      <c r="AD1292" s="64"/>
      <c r="AE1292" s="64"/>
      <c r="AF1292" s="64"/>
      <c r="AG1292" s="64"/>
      <c r="AH1292" s="64"/>
      <c r="AI1292" s="64"/>
      <c r="AJ1292" s="64"/>
      <c r="AK1292" s="64"/>
      <c r="AL1292" s="64"/>
      <c r="AM1292" s="64"/>
      <c r="AN1292" s="64"/>
      <c r="AO1292" s="64"/>
      <c r="AP1292" s="64"/>
      <c r="AQ1292" s="64"/>
      <c r="AR1292" s="64"/>
      <c r="AS1292" s="64"/>
      <c r="AT1292" s="64"/>
      <c r="AU1292" s="64"/>
      <c r="AV1292" s="64"/>
      <c r="AW1292" s="64"/>
      <c r="AX1292" s="64"/>
      <c r="AY1292" s="64"/>
      <c r="AZ1292" s="64"/>
      <c r="BA1292" s="64"/>
      <c r="BB1292" s="64"/>
      <c r="BC1292" s="64"/>
      <c r="BD1292" s="64"/>
      <c r="BE1292" s="64"/>
      <c r="BF1292" s="64"/>
      <c r="BG1292" s="64"/>
      <c r="BH1292" s="64"/>
      <c r="BI1292" s="64"/>
      <c r="BJ1292" s="64"/>
      <c r="BK1292" s="64"/>
      <c r="BL1292" s="64"/>
      <c r="BM1292" s="64"/>
      <c r="BN1292" s="64"/>
      <c r="BO1292" s="64"/>
      <c r="BP1292" s="64"/>
      <c r="BQ1292" s="64"/>
      <c r="BR1292" s="64"/>
      <c r="BS1292" s="64"/>
      <c r="BT1292" s="64"/>
      <c r="BU1292" s="64"/>
      <c r="BV1292" s="64"/>
      <c r="BW1292" s="64"/>
      <c r="BX1292" s="64"/>
      <c r="BY1292" s="64"/>
      <c r="BZ1292" s="64"/>
      <c r="CA1292" s="64"/>
      <c r="CB1292" s="64"/>
      <c r="CC1292" s="64"/>
      <c r="CD1292" s="64"/>
      <c r="CE1292" s="64"/>
      <c r="CF1292" s="64"/>
      <c r="CG1292" s="64"/>
      <c r="CH1292" s="64"/>
      <c r="CI1292" s="64"/>
      <c r="CJ1292" s="64"/>
      <c r="CK1292" s="64"/>
      <c r="CL1292" s="64"/>
      <c r="CM1292" s="64"/>
      <c r="CN1292" s="64"/>
      <c r="CO1292" s="64"/>
      <c r="CP1292" s="64"/>
      <c r="CQ1292" s="64"/>
      <c r="CR1292" s="64"/>
      <c r="CS1292" s="64"/>
      <c r="CT1292" s="64"/>
      <c r="CU1292" s="64"/>
      <c r="CV1292" s="64"/>
      <c r="CW1292" s="64"/>
      <c r="CX1292" s="64"/>
    </row>
    <row r="1293" spans="1:102" x14ac:dyDescent="0.2">
      <c r="A1293" s="64"/>
      <c r="B1293" s="64"/>
      <c r="C1293" s="102"/>
      <c r="D1293" s="102"/>
      <c r="E1293" s="102"/>
      <c r="F1293" s="102"/>
      <c r="G1293" s="102"/>
      <c r="H1293" s="102"/>
      <c r="I1293" s="64"/>
      <c r="J1293" s="64"/>
      <c r="K1293" s="64"/>
      <c r="L1293" s="64"/>
      <c r="M1293" s="64"/>
      <c r="N1293" s="64"/>
      <c r="O1293" s="64"/>
      <c r="P1293" s="64"/>
      <c r="Q1293" s="64"/>
      <c r="R1293" s="64"/>
      <c r="S1293" s="64"/>
      <c r="T1293" s="64"/>
      <c r="U1293" s="64"/>
      <c r="V1293" s="64"/>
      <c r="W1293" s="64"/>
      <c r="X1293" s="64"/>
      <c r="Y1293" s="64"/>
      <c r="Z1293" s="64"/>
      <c r="AA1293" s="64"/>
      <c r="AB1293" s="64"/>
      <c r="AC1293" s="64"/>
      <c r="AD1293" s="64"/>
      <c r="AE1293" s="64"/>
      <c r="AF1293" s="64"/>
      <c r="AG1293" s="64"/>
      <c r="AH1293" s="64"/>
      <c r="AI1293" s="64"/>
      <c r="AJ1293" s="64"/>
      <c r="AK1293" s="64"/>
      <c r="AL1293" s="64"/>
      <c r="AM1293" s="64"/>
      <c r="AN1293" s="64"/>
      <c r="AO1293" s="64"/>
      <c r="AP1293" s="64"/>
      <c r="AQ1293" s="64"/>
      <c r="AR1293" s="64"/>
      <c r="AS1293" s="64"/>
      <c r="AT1293" s="64"/>
      <c r="AU1293" s="64"/>
      <c r="AV1293" s="64"/>
      <c r="AW1293" s="64"/>
      <c r="AX1293" s="64"/>
      <c r="AY1293" s="64"/>
      <c r="AZ1293" s="64"/>
      <c r="BA1293" s="64"/>
      <c r="BB1293" s="64"/>
      <c r="BC1293" s="64"/>
      <c r="BD1293" s="64"/>
      <c r="BE1293" s="64"/>
      <c r="BF1293" s="64"/>
      <c r="BG1293" s="64"/>
      <c r="BH1293" s="64"/>
      <c r="BI1293" s="64"/>
      <c r="BJ1293" s="64"/>
      <c r="BK1293" s="64"/>
      <c r="BL1293" s="64"/>
      <c r="BM1293" s="64"/>
      <c r="BN1293" s="64"/>
      <c r="BO1293" s="64"/>
      <c r="BP1293" s="64"/>
      <c r="BQ1293" s="64"/>
      <c r="BR1293" s="64"/>
      <c r="BS1293" s="64"/>
      <c r="BT1293" s="64"/>
      <c r="BU1293" s="64"/>
      <c r="BV1293" s="64"/>
      <c r="BW1293" s="64"/>
      <c r="BX1293" s="64"/>
      <c r="BY1293" s="64"/>
      <c r="BZ1293" s="64"/>
      <c r="CA1293" s="64"/>
      <c r="CB1293" s="64"/>
      <c r="CC1293" s="64"/>
      <c r="CD1293" s="64"/>
      <c r="CE1293" s="64"/>
      <c r="CF1293" s="64"/>
      <c r="CG1293" s="64"/>
      <c r="CH1293" s="64"/>
      <c r="CI1293" s="64"/>
      <c r="CJ1293" s="64"/>
      <c r="CK1293" s="64"/>
      <c r="CL1293" s="64"/>
      <c r="CM1293" s="64"/>
      <c r="CN1293" s="64"/>
      <c r="CO1293" s="64"/>
      <c r="CP1293" s="64"/>
      <c r="CQ1293" s="64"/>
      <c r="CR1293" s="64"/>
      <c r="CS1293" s="64"/>
      <c r="CT1293" s="64"/>
      <c r="CU1293" s="64"/>
      <c r="CV1293" s="64"/>
      <c r="CW1293" s="64"/>
      <c r="CX1293" s="64"/>
    </row>
    <row r="1294" spans="1:102" x14ac:dyDescent="0.2">
      <c r="A1294" s="64"/>
      <c r="B1294" s="64"/>
      <c r="C1294" s="102"/>
      <c r="D1294" s="102"/>
      <c r="E1294" s="102"/>
      <c r="F1294" s="102"/>
      <c r="G1294" s="102"/>
      <c r="H1294" s="102"/>
      <c r="I1294" s="64"/>
      <c r="J1294" s="64"/>
      <c r="K1294" s="64"/>
      <c r="L1294" s="64"/>
      <c r="M1294" s="64"/>
      <c r="N1294" s="64"/>
      <c r="O1294" s="64"/>
      <c r="P1294" s="64"/>
      <c r="Q1294" s="64"/>
      <c r="R1294" s="64"/>
      <c r="S1294" s="64"/>
      <c r="T1294" s="64"/>
      <c r="U1294" s="64"/>
      <c r="V1294" s="64"/>
      <c r="W1294" s="64"/>
      <c r="X1294" s="64"/>
      <c r="Y1294" s="64"/>
      <c r="Z1294" s="64"/>
      <c r="AA1294" s="64"/>
      <c r="AB1294" s="64"/>
      <c r="AC1294" s="64"/>
      <c r="AD1294" s="64"/>
      <c r="AE1294" s="64"/>
      <c r="AF1294" s="64"/>
      <c r="AG1294" s="64"/>
      <c r="AH1294" s="64"/>
      <c r="AI1294" s="64"/>
      <c r="AJ1294" s="64"/>
      <c r="AK1294" s="64"/>
      <c r="AL1294" s="64"/>
      <c r="AM1294" s="64"/>
      <c r="AN1294" s="64"/>
      <c r="AO1294" s="64"/>
      <c r="AP1294" s="64"/>
      <c r="AQ1294" s="64"/>
      <c r="AR1294" s="64"/>
      <c r="AS1294" s="64"/>
      <c r="AT1294" s="64"/>
      <c r="AU1294" s="64"/>
      <c r="AV1294" s="64"/>
      <c r="AW1294" s="64"/>
      <c r="AX1294" s="64"/>
      <c r="AY1294" s="64"/>
      <c r="AZ1294" s="64"/>
      <c r="BA1294" s="64"/>
      <c r="BB1294" s="64"/>
      <c r="BC1294" s="64"/>
      <c r="BD1294" s="64"/>
      <c r="BE1294" s="64"/>
      <c r="BF1294" s="64"/>
      <c r="BG1294" s="64"/>
      <c r="BH1294" s="64"/>
      <c r="BI1294" s="64"/>
      <c r="BJ1294" s="64"/>
      <c r="BK1294" s="64"/>
      <c r="BL1294" s="64"/>
      <c r="BM1294" s="64"/>
      <c r="BN1294" s="64"/>
      <c r="BO1294" s="64"/>
      <c r="BP1294" s="64"/>
      <c r="BQ1294" s="64"/>
      <c r="BR1294" s="64"/>
      <c r="BS1294" s="64"/>
      <c r="BT1294" s="64"/>
      <c r="BU1294" s="64"/>
      <c r="BV1294" s="64"/>
      <c r="BW1294" s="64"/>
      <c r="BX1294" s="64"/>
      <c r="BY1294" s="64"/>
      <c r="BZ1294" s="64"/>
      <c r="CA1294" s="64"/>
      <c r="CB1294" s="64"/>
      <c r="CC1294" s="64"/>
      <c r="CD1294" s="64"/>
      <c r="CE1294" s="64"/>
      <c r="CF1294" s="64"/>
      <c r="CG1294" s="64"/>
      <c r="CH1294" s="64"/>
      <c r="CI1294" s="64"/>
      <c r="CJ1294" s="64"/>
      <c r="CK1294" s="64"/>
      <c r="CL1294" s="64"/>
      <c r="CM1294" s="64"/>
      <c r="CN1294" s="64"/>
      <c r="CO1294" s="64"/>
      <c r="CP1294" s="64"/>
      <c r="CQ1294" s="64"/>
      <c r="CR1294" s="64"/>
      <c r="CS1294" s="64"/>
      <c r="CT1294" s="64"/>
      <c r="CU1294" s="64"/>
      <c r="CV1294" s="64"/>
      <c r="CW1294" s="64"/>
      <c r="CX1294" s="64"/>
    </row>
    <row r="1295" spans="1:102" x14ac:dyDescent="0.2">
      <c r="A1295" s="64"/>
      <c r="B1295" s="64"/>
      <c r="C1295" s="102"/>
      <c r="D1295" s="102"/>
      <c r="E1295" s="102"/>
      <c r="F1295" s="102"/>
      <c r="G1295" s="102"/>
      <c r="H1295" s="102"/>
      <c r="I1295" s="64"/>
      <c r="J1295" s="64"/>
      <c r="K1295" s="64"/>
      <c r="L1295" s="64"/>
      <c r="M1295" s="64"/>
      <c r="N1295" s="64"/>
      <c r="O1295" s="64"/>
      <c r="P1295" s="64"/>
      <c r="Q1295" s="64"/>
      <c r="R1295" s="64"/>
      <c r="S1295" s="64"/>
      <c r="T1295" s="64"/>
      <c r="U1295" s="64"/>
      <c r="V1295" s="64"/>
      <c r="W1295" s="64"/>
      <c r="X1295" s="64"/>
      <c r="Y1295" s="64"/>
      <c r="Z1295" s="64"/>
      <c r="AA1295" s="64"/>
      <c r="AB1295" s="64"/>
      <c r="AC1295" s="64"/>
      <c r="AD1295" s="64"/>
      <c r="AE1295" s="64"/>
      <c r="AF1295" s="64"/>
      <c r="AG1295" s="64"/>
      <c r="AH1295" s="64"/>
      <c r="AI1295" s="64"/>
      <c r="AJ1295" s="64"/>
      <c r="AK1295" s="64"/>
      <c r="AL1295" s="64"/>
      <c r="AM1295" s="64"/>
      <c r="AN1295" s="64"/>
      <c r="AO1295" s="64"/>
      <c r="AP1295" s="64"/>
      <c r="AQ1295" s="64"/>
      <c r="AR1295" s="64"/>
      <c r="AS1295" s="64"/>
      <c r="AT1295" s="64"/>
      <c r="AU1295" s="64"/>
      <c r="AV1295" s="64"/>
      <c r="AW1295" s="64"/>
      <c r="AX1295" s="64"/>
      <c r="AY1295" s="64"/>
      <c r="AZ1295" s="64"/>
      <c r="BA1295" s="64"/>
      <c r="BB1295" s="64"/>
      <c r="BC1295" s="64"/>
      <c r="BD1295" s="64"/>
      <c r="BE1295" s="64"/>
      <c r="BF1295" s="64"/>
      <c r="BG1295" s="64"/>
      <c r="BH1295" s="64"/>
      <c r="BI1295" s="64"/>
      <c r="BJ1295" s="64"/>
      <c r="BK1295" s="64"/>
      <c r="BL1295" s="64"/>
      <c r="BM1295" s="64"/>
      <c r="BN1295" s="64"/>
      <c r="BO1295" s="64"/>
      <c r="BP1295" s="64"/>
      <c r="BQ1295" s="64"/>
      <c r="BR1295" s="64"/>
      <c r="BS1295" s="64"/>
      <c r="BT1295" s="64"/>
      <c r="BU1295" s="64"/>
      <c r="BV1295" s="64"/>
      <c r="BW1295" s="64"/>
      <c r="BX1295" s="64"/>
      <c r="BY1295" s="64"/>
      <c r="BZ1295" s="64"/>
      <c r="CA1295" s="64"/>
      <c r="CB1295" s="64"/>
      <c r="CC1295" s="64"/>
      <c r="CD1295" s="64"/>
      <c r="CE1295" s="64"/>
      <c r="CF1295" s="64"/>
      <c r="CG1295" s="64"/>
      <c r="CH1295" s="64"/>
      <c r="CI1295" s="64"/>
      <c r="CJ1295" s="64"/>
      <c r="CK1295" s="64"/>
      <c r="CL1295" s="64"/>
      <c r="CM1295" s="64"/>
      <c r="CN1295" s="64"/>
      <c r="CO1295" s="64"/>
      <c r="CP1295" s="64"/>
      <c r="CQ1295" s="64"/>
      <c r="CR1295" s="64"/>
      <c r="CS1295" s="64"/>
      <c r="CT1295" s="64"/>
      <c r="CU1295" s="64"/>
      <c r="CV1295" s="64"/>
      <c r="CW1295" s="64"/>
      <c r="CX1295" s="64"/>
    </row>
    <row r="1296" spans="1:102" x14ac:dyDescent="0.2">
      <c r="A1296" s="64"/>
      <c r="B1296" s="64"/>
      <c r="C1296" s="102"/>
      <c r="D1296" s="102"/>
      <c r="E1296" s="102"/>
      <c r="F1296" s="102"/>
      <c r="G1296" s="102"/>
      <c r="H1296" s="102"/>
      <c r="I1296" s="64"/>
      <c r="J1296" s="64"/>
      <c r="K1296" s="64"/>
      <c r="L1296" s="64"/>
      <c r="M1296" s="64"/>
      <c r="N1296" s="64"/>
      <c r="O1296" s="64"/>
      <c r="P1296" s="64"/>
      <c r="Q1296" s="64"/>
      <c r="R1296" s="64"/>
      <c r="S1296" s="64"/>
      <c r="T1296" s="64"/>
      <c r="U1296" s="64"/>
      <c r="V1296" s="64"/>
      <c r="W1296" s="64"/>
      <c r="X1296" s="64"/>
      <c r="Y1296" s="64"/>
      <c r="Z1296" s="64"/>
      <c r="AA1296" s="64"/>
      <c r="AB1296" s="64"/>
      <c r="AC1296" s="64"/>
      <c r="AD1296" s="64"/>
      <c r="AE1296" s="64"/>
      <c r="AF1296" s="64"/>
      <c r="AG1296" s="64"/>
      <c r="AH1296" s="64"/>
      <c r="AI1296" s="64"/>
      <c r="AJ1296" s="64"/>
      <c r="AK1296" s="64"/>
      <c r="AL1296" s="64"/>
      <c r="AM1296" s="64"/>
      <c r="AN1296" s="64"/>
      <c r="AO1296" s="64"/>
      <c r="AP1296" s="64"/>
      <c r="AQ1296" s="64"/>
      <c r="AR1296" s="64"/>
      <c r="AS1296" s="64"/>
      <c r="AT1296" s="64"/>
      <c r="AU1296" s="64"/>
      <c r="AV1296" s="64"/>
      <c r="AW1296" s="64"/>
      <c r="AX1296" s="64"/>
      <c r="AY1296" s="64"/>
      <c r="AZ1296" s="64"/>
      <c r="BA1296" s="64"/>
      <c r="BB1296" s="64"/>
      <c r="BC1296" s="64"/>
      <c r="BD1296" s="64"/>
      <c r="BE1296" s="64"/>
      <c r="BF1296" s="64"/>
      <c r="BG1296" s="64"/>
      <c r="BH1296" s="64"/>
      <c r="BI1296" s="64"/>
      <c r="BJ1296" s="64"/>
      <c r="BK1296" s="64"/>
      <c r="BL1296" s="64"/>
      <c r="BM1296" s="64"/>
      <c r="BN1296" s="64"/>
      <c r="BO1296" s="64"/>
      <c r="BP1296" s="64"/>
      <c r="BQ1296" s="64"/>
      <c r="BR1296" s="64"/>
      <c r="BS1296" s="64"/>
      <c r="BT1296" s="64"/>
      <c r="BU1296" s="64"/>
      <c r="BV1296" s="64"/>
      <c r="BW1296" s="64"/>
      <c r="BX1296" s="64"/>
      <c r="BY1296" s="64"/>
      <c r="BZ1296" s="64"/>
      <c r="CA1296" s="64"/>
      <c r="CB1296" s="64"/>
      <c r="CC1296" s="64"/>
      <c r="CD1296" s="64"/>
      <c r="CE1296" s="64"/>
      <c r="CF1296" s="64"/>
      <c r="CG1296" s="64"/>
      <c r="CH1296" s="64"/>
      <c r="CI1296" s="64"/>
      <c r="CJ1296" s="64"/>
      <c r="CK1296" s="64"/>
      <c r="CL1296" s="64"/>
      <c r="CM1296" s="64"/>
      <c r="CN1296" s="64"/>
      <c r="CO1296" s="64"/>
      <c r="CP1296" s="64"/>
      <c r="CQ1296" s="64"/>
      <c r="CR1296" s="64"/>
      <c r="CS1296" s="64"/>
      <c r="CT1296" s="64"/>
      <c r="CU1296" s="64"/>
      <c r="CV1296" s="64"/>
      <c r="CW1296" s="64"/>
      <c r="CX1296" s="64"/>
    </row>
    <row r="1297" spans="1:102" x14ac:dyDescent="0.2">
      <c r="A1297" s="64"/>
      <c r="B1297" s="64"/>
      <c r="C1297" s="102"/>
      <c r="D1297" s="102"/>
      <c r="E1297" s="102"/>
      <c r="F1297" s="102"/>
      <c r="G1297" s="102"/>
      <c r="H1297" s="102"/>
      <c r="I1297" s="64"/>
      <c r="J1297" s="64"/>
      <c r="K1297" s="64"/>
      <c r="L1297" s="64"/>
      <c r="M1297" s="64"/>
      <c r="N1297" s="64"/>
      <c r="O1297" s="64"/>
      <c r="P1297" s="64"/>
      <c r="Q1297" s="64"/>
      <c r="R1297" s="64"/>
      <c r="S1297" s="64"/>
      <c r="T1297" s="64"/>
      <c r="U1297" s="64"/>
      <c r="V1297" s="64"/>
      <c r="W1297" s="64"/>
      <c r="X1297" s="64"/>
      <c r="Y1297" s="64"/>
      <c r="Z1297" s="64"/>
      <c r="AA1297" s="64"/>
      <c r="AB1297" s="64"/>
      <c r="AC1297" s="64"/>
      <c r="AD1297" s="64"/>
      <c r="AE1297" s="64"/>
      <c r="AF1297" s="64"/>
      <c r="AG1297" s="64"/>
      <c r="AH1297" s="64"/>
      <c r="AI1297" s="64"/>
      <c r="AJ1297" s="64"/>
      <c r="AK1297" s="64"/>
      <c r="AL1297" s="64"/>
      <c r="AM1297" s="64"/>
      <c r="AN1297" s="64"/>
      <c r="AO1297" s="64"/>
      <c r="AP1297" s="64"/>
      <c r="AQ1297" s="64"/>
      <c r="AR1297" s="64"/>
      <c r="AS1297" s="64"/>
      <c r="AT1297" s="64"/>
      <c r="AU1297" s="64"/>
      <c r="AV1297" s="64"/>
      <c r="AW1297" s="64"/>
      <c r="AX1297" s="64"/>
      <c r="AY1297" s="64"/>
      <c r="AZ1297" s="64"/>
      <c r="BA1297" s="64"/>
      <c r="BB1297" s="64"/>
      <c r="BC1297" s="64"/>
      <c r="BD1297" s="64"/>
      <c r="BE1297" s="64"/>
      <c r="BF1297" s="64"/>
      <c r="BG1297" s="64"/>
      <c r="BH1297" s="64"/>
      <c r="BI1297" s="64"/>
      <c r="BJ1297" s="64"/>
      <c r="BK1297" s="64"/>
      <c r="BL1297" s="64"/>
      <c r="BM1297" s="64"/>
      <c r="BN1297" s="64"/>
      <c r="BO1297" s="64"/>
      <c r="BP1297" s="64"/>
      <c r="BQ1297" s="64"/>
      <c r="BR1297" s="64"/>
      <c r="BS1297" s="64"/>
      <c r="BT1297" s="64"/>
      <c r="BU1297" s="64"/>
      <c r="BV1297" s="64"/>
      <c r="BW1297" s="64"/>
      <c r="BX1297" s="64"/>
      <c r="BY1297" s="64"/>
      <c r="BZ1297" s="64"/>
      <c r="CA1297" s="64"/>
      <c r="CB1297" s="64"/>
      <c r="CC1297" s="64"/>
      <c r="CD1297" s="64"/>
      <c r="CE1297" s="64"/>
      <c r="CF1297" s="64"/>
      <c r="CG1297" s="64"/>
      <c r="CH1297" s="64"/>
      <c r="CI1297" s="64"/>
      <c r="CJ1297" s="64"/>
      <c r="CK1297" s="64"/>
      <c r="CL1297" s="64"/>
      <c r="CM1297" s="64"/>
      <c r="CN1297" s="64"/>
      <c r="CO1297" s="64"/>
      <c r="CP1297" s="64"/>
      <c r="CQ1297" s="64"/>
      <c r="CR1297" s="64"/>
      <c r="CS1297" s="64"/>
      <c r="CT1297" s="64"/>
      <c r="CU1297" s="64"/>
      <c r="CV1297" s="64"/>
      <c r="CW1297" s="64"/>
      <c r="CX1297" s="64"/>
    </row>
    <row r="1298" spans="1:102" x14ac:dyDescent="0.2">
      <c r="A1298" s="64"/>
      <c r="B1298" s="64"/>
      <c r="C1298" s="102"/>
      <c r="D1298" s="102"/>
      <c r="E1298" s="102"/>
      <c r="F1298" s="102"/>
      <c r="G1298" s="102"/>
      <c r="H1298" s="102"/>
      <c r="I1298" s="64"/>
      <c r="J1298" s="64"/>
      <c r="K1298" s="64"/>
      <c r="L1298" s="64"/>
      <c r="M1298" s="64"/>
      <c r="N1298" s="64"/>
      <c r="O1298" s="64"/>
      <c r="P1298" s="64"/>
      <c r="Q1298" s="64"/>
      <c r="R1298" s="64"/>
      <c r="S1298" s="64"/>
      <c r="T1298" s="64"/>
      <c r="U1298" s="64"/>
      <c r="V1298" s="64"/>
      <c r="W1298" s="64"/>
      <c r="X1298" s="64"/>
      <c r="Y1298" s="64"/>
      <c r="Z1298" s="64"/>
      <c r="AA1298" s="64"/>
      <c r="AB1298" s="64"/>
      <c r="AC1298" s="64"/>
      <c r="AD1298" s="64"/>
      <c r="AE1298" s="64"/>
      <c r="AF1298" s="64"/>
      <c r="AG1298" s="64"/>
      <c r="AH1298" s="64"/>
      <c r="AI1298" s="64"/>
      <c r="AJ1298" s="64"/>
      <c r="AK1298" s="64"/>
      <c r="AL1298" s="64"/>
      <c r="AM1298" s="64"/>
      <c r="AN1298" s="64"/>
      <c r="AO1298" s="64"/>
      <c r="AP1298" s="64"/>
      <c r="AQ1298" s="64"/>
      <c r="AR1298" s="64"/>
      <c r="AS1298" s="64"/>
      <c r="AT1298" s="64"/>
      <c r="AU1298" s="64"/>
      <c r="AV1298" s="64"/>
      <c r="AW1298" s="64"/>
      <c r="AX1298" s="64"/>
      <c r="AY1298" s="64"/>
      <c r="AZ1298" s="64"/>
      <c r="BA1298" s="64"/>
      <c r="BB1298" s="64"/>
      <c r="BC1298" s="64"/>
      <c r="BD1298" s="64"/>
      <c r="BE1298" s="64"/>
      <c r="BF1298" s="64"/>
      <c r="BG1298" s="64"/>
      <c r="BH1298" s="64"/>
      <c r="BI1298" s="64"/>
      <c r="BJ1298" s="64"/>
      <c r="BK1298" s="64"/>
      <c r="BL1298" s="64"/>
      <c r="BM1298" s="64"/>
      <c r="BN1298" s="64"/>
      <c r="BO1298" s="64"/>
      <c r="BP1298" s="64"/>
      <c r="BQ1298" s="64"/>
      <c r="BR1298" s="64"/>
      <c r="BS1298" s="64"/>
      <c r="BT1298" s="64"/>
      <c r="BU1298" s="64"/>
      <c r="BV1298" s="64"/>
      <c r="BW1298" s="64"/>
      <c r="BX1298" s="64"/>
      <c r="BY1298" s="64"/>
      <c r="BZ1298" s="64"/>
      <c r="CA1298" s="64"/>
      <c r="CB1298" s="64"/>
      <c r="CC1298" s="64"/>
      <c r="CD1298" s="64"/>
      <c r="CE1298" s="64"/>
      <c r="CF1298" s="64"/>
      <c r="CG1298" s="64"/>
      <c r="CH1298" s="64"/>
      <c r="CI1298" s="64"/>
      <c r="CJ1298" s="64"/>
      <c r="CK1298" s="64"/>
      <c r="CL1298" s="64"/>
      <c r="CM1298" s="64"/>
      <c r="CN1298" s="64"/>
      <c r="CO1298" s="64"/>
      <c r="CP1298" s="64"/>
      <c r="CQ1298" s="64"/>
      <c r="CR1298" s="64"/>
      <c r="CS1298" s="64"/>
      <c r="CT1298" s="64"/>
      <c r="CU1298" s="64"/>
      <c r="CV1298" s="64"/>
      <c r="CW1298" s="64"/>
      <c r="CX1298" s="64"/>
    </row>
    <row r="1299" spans="1:102" x14ac:dyDescent="0.2">
      <c r="A1299" s="64"/>
      <c r="B1299" s="64"/>
      <c r="C1299" s="102"/>
      <c r="D1299" s="102"/>
      <c r="E1299" s="102"/>
      <c r="F1299" s="102"/>
      <c r="G1299" s="102"/>
      <c r="H1299" s="102"/>
      <c r="I1299" s="64"/>
      <c r="J1299" s="64"/>
      <c r="K1299" s="64"/>
      <c r="L1299" s="64"/>
      <c r="M1299" s="64"/>
      <c r="N1299" s="64"/>
      <c r="O1299" s="64"/>
      <c r="P1299" s="64"/>
      <c r="Q1299" s="64"/>
      <c r="R1299" s="64"/>
      <c r="S1299" s="64"/>
      <c r="T1299" s="64"/>
      <c r="U1299" s="64"/>
      <c r="V1299" s="64"/>
      <c r="W1299" s="64"/>
      <c r="X1299" s="64"/>
      <c r="Y1299" s="64"/>
      <c r="Z1299" s="64"/>
      <c r="AA1299" s="64"/>
      <c r="AB1299" s="64"/>
      <c r="AC1299" s="64"/>
      <c r="AD1299" s="64"/>
      <c r="AE1299" s="64"/>
      <c r="AF1299" s="64"/>
      <c r="AG1299" s="64"/>
      <c r="AH1299" s="64"/>
      <c r="AI1299" s="64"/>
      <c r="AJ1299" s="64"/>
      <c r="AK1299" s="64"/>
      <c r="AL1299" s="64"/>
      <c r="AM1299" s="64"/>
      <c r="AN1299" s="64"/>
      <c r="AO1299" s="64"/>
      <c r="AP1299" s="64"/>
      <c r="AQ1299" s="64"/>
      <c r="AR1299" s="64"/>
      <c r="AS1299" s="64"/>
      <c r="AT1299" s="64"/>
      <c r="AU1299" s="64"/>
      <c r="AV1299" s="64"/>
      <c r="AW1299" s="64"/>
      <c r="AX1299" s="64"/>
      <c r="AY1299" s="64"/>
      <c r="AZ1299" s="64"/>
      <c r="BA1299" s="64"/>
      <c r="BB1299" s="64"/>
      <c r="BC1299" s="64"/>
      <c r="BD1299" s="64"/>
      <c r="BE1299" s="64"/>
      <c r="BF1299" s="64"/>
      <c r="BG1299" s="64"/>
      <c r="BH1299" s="64"/>
      <c r="BI1299" s="64"/>
      <c r="BJ1299" s="64"/>
      <c r="BK1299" s="64"/>
      <c r="BL1299" s="64"/>
      <c r="BM1299" s="64"/>
      <c r="BN1299" s="64"/>
      <c r="BO1299" s="64"/>
      <c r="BP1299" s="64"/>
      <c r="BQ1299" s="64"/>
      <c r="BR1299" s="64"/>
      <c r="BS1299" s="64"/>
      <c r="BT1299" s="64"/>
      <c r="BU1299" s="64"/>
      <c r="BV1299" s="64"/>
      <c r="BW1299" s="64"/>
      <c r="BX1299" s="64"/>
      <c r="BY1299" s="64"/>
      <c r="BZ1299" s="64"/>
      <c r="CA1299" s="64"/>
      <c r="CB1299" s="64"/>
      <c r="CC1299" s="64"/>
      <c r="CD1299" s="64"/>
      <c r="CE1299" s="64"/>
      <c r="CF1299" s="64"/>
      <c r="CG1299" s="64"/>
      <c r="CH1299" s="64"/>
      <c r="CI1299" s="64"/>
      <c r="CJ1299" s="64"/>
      <c r="CK1299" s="64"/>
      <c r="CL1299" s="64"/>
      <c r="CM1299" s="64"/>
      <c r="CN1299" s="64"/>
      <c r="CO1299" s="64"/>
      <c r="CP1299" s="64"/>
      <c r="CQ1299" s="64"/>
      <c r="CR1299" s="64"/>
      <c r="CS1299" s="64"/>
      <c r="CT1299" s="64"/>
      <c r="CU1299" s="64"/>
      <c r="CV1299" s="64"/>
      <c r="CW1299" s="64"/>
      <c r="CX1299" s="64"/>
    </row>
    <row r="1300" spans="1:102" x14ac:dyDescent="0.2">
      <c r="A1300" s="64"/>
      <c r="B1300" s="64"/>
      <c r="C1300" s="102"/>
      <c r="D1300" s="102"/>
      <c r="E1300" s="102"/>
      <c r="F1300" s="102"/>
      <c r="G1300" s="102"/>
      <c r="H1300" s="102"/>
      <c r="I1300" s="64"/>
      <c r="J1300" s="64"/>
      <c r="K1300" s="64"/>
      <c r="L1300" s="64"/>
      <c r="M1300" s="64"/>
      <c r="N1300" s="64"/>
      <c r="O1300" s="64"/>
      <c r="P1300" s="64"/>
      <c r="Q1300" s="64"/>
      <c r="R1300" s="64"/>
      <c r="S1300" s="64"/>
      <c r="T1300" s="64"/>
      <c r="U1300" s="64"/>
      <c r="V1300" s="64"/>
      <c r="W1300" s="64"/>
      <c r="X1300" s="64"/>
      <c r="Y1300" s="64"/>
      <c r="Z1300" s="64"/>
      <c r="AA1300" s="64"/>
      <c r="AB1300" s="64"/>
      <c r="AC1300" s="64"/>
      <c r="AD1300" s="64"/>
      <c r="AE1300" s="64"/>
      <c r="AF1300" s="64"/>
      <c r="AG1300" s="64"/>
      <c r="AH1300" s="64"/>
      <c r="AI1300" s="64"/>
      <c r="AJ1300" s="64"/>
      <c r="AK1300" s="64"/>
      <c r="AL1300" s="64"/>
      <c r="AM1300" s="64"/>
      <c r="AN1300" s="64"/>
      <c r="AO1300" s="64"/>
      <c r="AP1300" s="64"/>
      <c r="AQ1300" s="64"/>
      <c r="AR1300" s="64"/>
      <c r="AS1300" s="64"/>
      <c r="AT1300" s="64"/>
      <c r="AU1300" s="64"/>
      <c r="AV1300" s="64"/>
      <c r="AW1300" s="64"/>
      <c r="AX1300" s="64"/>
      <c r="AY1300" s="64"/>
      <c r="AZ1300" s="64"/>
      <c r="BA1300" s="64"/>
      <c r="BB1300" s="64"/>
      <c r="BC1300" s="64"/>
      <c r="BD1300" s="64"/>
      <c r="BE1300" s="64"/>
      <c r="BF1300" s="64"/>
      <c r="BG1300" s="64"/>
      <c r="BH1300" s="64"/>
      <c r="BI1300" s="64"/>
      <c r="BJ1300" s="64"/>
      <c r="BK1300" s="64"/>
      <c r="BL1300" s="64"/>
      <c r="BM1300" s="64"/>
      <c r="BN1300" s="64"/>
      <c r="BO1300" s="64"/>
      <c r="BP1300" s="64"/>
      <c r="BQ1300" s="64"/>
      <c r="BR1300" s="64"/>
      <c r="BS1300" s="64"/>
      <c r="BT1300" s="64"/>
      <c r="BU1300" s="64"/>
      <c r="BV1300" s="64"/>
      <c r="BW1300" s="64"/>
      <c r="BX1300" s="64"/>
      <c r="BY1300" s="64"/>
      <c r="BZ1300" s="64"/>
      <c r="CA1300" s="64"/>
      <c r="CB1300" s="64"/>
      <c r="CC1300" s="64"/>
      <c r="CD1300" s="64"/>
      <c r="CE1300" s="64"/>
      <c r="CF1300" s="64"/>
      <c r="CG1300" s="64"/>
      <c r="CH1300" s="64"/>
      <c r="CI1300" s="64"/>
      <c r="CJ1300" s="64"/>
      <c r="CK1300" s="64"/>
      <c r="CL1300" s="64"/>
      <c r="CM1300" s="64"/>
      <c r="CN1300" s="64"/>
      <c r="CO1300" s="64"/>
      <c r="CP1300" s="64"/>
      <c r="CQ1300" s="64"/>
      <c r="CR1300" s="64"/>
      <c r="CS1300" s="64"/>
      <c r="CT1300" s="64"/>
      <c r="CU1300" s="64"/>
      <c r="CV1300" s="64"/>
      <c r="CW1300" s="64"/>
      <c r="CX1300" s="64"/>
    </row>
    <row r="1301" spans="1:102" x14ac:dyDescent="0.2">
      <c r="A1301" s="64"/>
      <c r="B1301" s="64"/>
      <c r="C1301" s="102"/>
      <c r="D1301" s="102"/>
      <c r="E1301" s="102"/>
      <c r="F1301" s="102"/>
      <c r="G1301" s="102"/>
      <c r="H1301" s="102"/>
      <c r="I1301" s="64"/>
      <c r="J1301" s="64"/>
      <c r="K1301" s="64"/>
      <c r="L1301" s="64"/>
      <c r="M1301" s="64"/>
      <c r="N1301" s="64"/>
      <c r="O1301" s="64"/>
      <c r="P1301" s="64"/>
      <c r="Q1301" s="64"/>
      <c r="R1301" s="64"/>
      <c r="S1301" s="64"/>
      <c r="T1301" s="64"/>
      <c r="U1301" s="64"/>
      <c r="V1301" s="64"/>
      <c r="W1301" s="64"/>
      <c r="X1301" s="64"/>
      <c r="Y1301" s="64"/>
      <c r="Z1301" s="64"/>
      <c r="AA1301" s="64"/>
      <c r="AB1301" s="64"/>
      <c r="AC1301" s="64"/>
      <c r="AD1301" s="64"/>
      <c r="AE1301" s="64"/>
      <c r="AF1301" s="64"/>
      <c r="AG1301" s="64"/>
      <c r="AH1301" s="64"/>
      <c r="AI1301" s="64"/>
      <c r="AJ1301" s="64"/>
      <c r="AK1301" s="64"/>
      <c r="AL1301" s="64"/>
      <c r="AM1301" s="64"/>
      <c r="AN1301" s="64"/>
      <c r="AO1301" s="64"/>
      <c r="AP1301" s="64"/>
      <c r="AQ1301" s="64"/>
      <c r="AR1301" s="64"/>
      <c r="AS1301" s="64"/>
      <c r="AT1301" s="64"/>
      <c r="AU1301" s="64"/>
      <c r="AV1301" s="64"/>
      <c r="AW1301" s="64"/>
      <c r="AX1301" s="64"/>
      <c r="AY1301" s="64"/>
      <c r="AZ1301" s="64"/>
      <c r="BA1301" s="64"/>
      <c r="BB1301" s="64"/>
      <c r="BC1301" s="64"/>
      <c r="BD1301" s="64"/>
      <c r="BE1301" s="64"/>
      <c r="BF1301" s="64"/>
      <c r="BG1301" s="64"/>
      <c r="BH1301" s="64"/>
      <c r="BI1301" s="64"/>
      <c r="BJ1301" s="64"/>
      <c r="BK1301" s="64"/>
      <c r="BL1301" s="64"/>
      <c r="BM1301" s="64"/>
      <c r="BN1301" s="64"/>
      <c r="BO1301" s="64"/>
      <c r="BP1301" s="64"/>
      <c r="BQ1301" s="64"/>
      <c r="BR1301" s="64"/>
      <c r="BS1301" s="64"/>
      <c r="BT1301" s="64"/>
      <c r="BU1301" s="64"/>
      <c r="BV1301" s="64"/>
      <c r="BW1301" s="64"/>
      <c r="BX1301" s="64"/>
      <c r="BY1301" s="64"/>
      <c r="BZ1301" s="64"/>
      <c r="CA1301" s="64"/>
      <c r="CB1301" s="64"/>
      <c r="CC1301" s="64"/>
      <c r="CD1301" s="64"/>
      <c r="CE1301" s="64"/>
      <c r="CF1301" s="64"/>
      <c r="CG1301" s="64"/>
      <c r="CH1301" s="64"/>
      <c r="CI1301" s="64"/>
      <c r="CJ1301" s="64"/>
      <c r="CK1301" s="64"/>
      <c r="CL1301" s="64"/>
      <c r="CM1301" s="64"/>
      <c r="CN1301" s="64"/>
      <c r="CO1301" s="64"/>
      <c r="CP1301" s="64"/>
      <c r="CQ1301" s="64"/>
      <c r="CR1301" s="64"/>
      <c r="CS1301" s="64"/>
      <c r="CT1301" s="64"/>
      <c r="CU1301" s="64"/>
      <c r="CV1301" s="64"/>
      <c r="CW1301" s="64"/>
      <c r="CX1301" s="64"/>
    </row>
    <row r="1302" spans="1:102" x14ac:dyDescent="0.2">
      <c r="A1302" s="64"/>
      <c r="B1302" s="64"/>
      <c r="C1302" s="102"/>
      <c r="D1302" s="102"/>
      <c r="E1302" s="102"/>
      <c r="F1302" s="102"/>
      <c r="G1302" s="102"/>
      <c r="H1302" s="102"/>
      <c r="I1302" s="64"/>
      <c r="J1302" s="64"/>
      <c r="K1302" s="64"/>
      <c r="L1302" s="64"/>
      <c r="M1302" s="64"/>
      <c r="N1302" s="64"/>
      <c r="O1302" s="64"/>
      <c r="P1302" s="64"/>
      <c r="Q1302" s="64"/>
      <c r="R1302" s="64"/>
      <c r="S1302" s="64"/>
      <c r="T1302" s="64"/>
      <c r="U1302" s="64"/>
      <c r="V1302" s="64"/>
      <c r="W1302" s="64"/>
      <c r="X1302" s="64"/>
      <c r="Y1302" s="64"/>
      <c r="Z1302" s="64"/>
      <c r="AA1302" s="64"/>
      <c r="AB1302" s="64"/>
      <c r="AC1302" s="64"/>
      <c r="AD1302" s="64"/>
      <c r="AE1302" s="64"/>
      <c r="AF1302" s="64"/>
      <c r="AG1302" s="64"/>
      <c r="AH1302" s="64"/>
      <c r="AI1302" s="64"/>
      <c r="AJ1302" s="64"/>
      <c r="AK1302" s="64"/>
      <c r="AL1302" s="64"/>
      <c r="AM1302" s="64"/>
      <c r="AN1302" s="64"/>
      <c r="AO1302" s="64"/>
      <c r="AP1302" s="64"/>
      <c r="AQ1302" s="64"/>
      <c r="AR1302" s="64"/>
      <c r="AS1302" s="64"/>
      <c r="AT1302" s="64"/>
      <c r="AU1302" s="64"/>
      <c r="AV1302" s="64"/>
      <c r="AW1302" s="64"/>
      <c r="AX1302" s="64"/>
      <c r="AY1302" s="64"/>
      <c r="AZ1302" s="64"/>
      <c r="BA1302" s="64"/>
      <c r="BB1302" s="64"/>
      <c r="BC1302" s="64"/>
      <c r="BD1302" s="64"/>
      <c r="BE1302" s="64"/>
      <c r="BF1302" s="64"/>
      <c r="BG1302" s="64"/>
      <c r="BH1302" s="64"/>
      <c r="BI1302" s="64"/>
      <c r="BJ1302" s="64"/>
      <c r="BK1302" s="64"/>
      <c r="BL1302" s="64"/>
      <c r="BM1302" s="64"/>
      <c r="BN1302" s="64"/>
      <c r="BO1302" s="64"/>
      <c r="BP1302" s="64"/>
      <c r="BQ1302" s="64"/>
      <c r="BR1302" s="64"/>
      <c r="BS1302" s="64"/>
      <c r="BT1302" s="64"/>
      <c r="BU1302" s="64"/>
      <c r="BV1302" s="64"/>
      <c r="BW1302" s="64"/>
      <c r="BX1302" s="64"/>
      <c r="BY1302" s="64"/>
      <c r="BZ1302" s="64"/>
      <c r="CA1302" s="64"/>
      <c r="CB1302" s="64"/>
      <c r="CC1302" s="64"/>
      <c r="CD1302" s="64"/>
      <c r="CE1302" s="64"/>
      <c r="CF1302" s="64"/>
      <c r="CG1302" s="64"/>
      <c r="CH1302" s="64"/>
      <c r="CI1302" s="64"/>
      <c r="CJ1302" s="64"/>
      <c r="CK1302" s="64"/>
      <c r="CL1302" s="64"/>
      <c r="CM1302" s="64"/>
      <c r="CN1302" s="64"/>
      <c r="CO1302" s="64"/>
      <c r="CP1302" s="64"/>
      <c r="CQ1302" s="64"/>
      <c r="CR1302" s="64"/>
      <c r="CS1302" s="64"/>
      <c r="CT1302" s="64"/>
      <c r="CU1302" s="64"/>
      <c r="CV1302" s="64"/>
      <c r="CW1302" s="64"/>
      <c r="CX1302" s="64"/>
    </row>
    <row r="1303" spans="1:102" x14ac:dyDescent="0.2">
      <c r="A1303" s="64"/>
      <c r="B1303" s="64"/>
      <c r="C1303" s="102"/>
      <c r="D1303" s="102"/>
      <c r="E1303" s="102"/>
      <c r="F1303" s="102"/>
      <c r="G1303" s="102"/>
      <c r="H1303" s="102"/>
      <c r="I1303" s="64"/>
      <c r="J1303" s="64"/>
      <c r="K1303" s="64"/>
      <c r="L1303" s="64"/>
      <c r="M1303" s="64"/>
      <c r="N1303" s="64"/>
      <c r="O1303" s="64"/>
      <c r="P1303" s="64"/>
      <c r="Q1303" s="64"/>
      <c r="R1303" s="64"/>
      <c r="S1303" s="64"/>
      <c r="T1303" s="64"/>
      <c r="U1303" s="64"/>
      <c r="V1303" s="64"/>
      <c r="W1303" s="64"/>
      <c r="X1303" s="64"/>
      <c r="Y1303" s="64"/>
      <c r="Z1303" s="64"/>
      <c r="AA1303" s="64"/>
      <c r="AB1303" s="64"/>
      <c r="AC1303" s="64"/>
      <c r="AD1303" s="64"/>
      <c r="AE1303" s="64"/>
      <c r="AF1303" s="64"/>
      <c r="AG1303" s="64"/>
      <c r="AH1303" s="64"/>
      <c r="AI1303" s="64"/>
      <c r="AJ1303" s="64"/>
      <c r="AK1303" s="64"/>
      <c r="AL1303" s="64"/>
      <c r="AM1303" s="64"/>
      <c r="AN1303" s="64"/>
      <c r="AO1303" s="64"/>
      <c r="AP1303" s="64"/>
      <c r="AQ1303" s="64"/>
      <c r="AR1303" s="64"/>
      <c r="AS1303" s="64"/>
      <c r="AT1303" s="64"/>
      <c r="AU1303" s="64"/>
      <c r="AV1303" s="64"/>
      <c r="AW1303" s="64"/>
      <c r="AX1303" s="64"/>
      <c r="AY1303" s="64"/>
      <c r="AZ1303" s="64"/>
      <c r="BA1303" s="64"/>
      <c r="BB1303" s="64"/>
      <c r="BC1303" s="64"/>
      <c r="BD1303" s="64"/>
      <c r="BE1303" s="64"/>
      <c r="BF1303" s="64"/>
      <c r="BG1303" s="64"/>
      <c r="BH1303" s="64"/>
      <c r="BI1303" s="64"/>
      <c r="BJ1303" s="64"/>
      <c r="BK1303" s="64"/>
      <c r="BL1303" s="64"/>
      <c r="BM1303" s="64"/>
      <c r="BN1303" s="64"/>
      <c r="BO1303" s="64"/>
      <c r="BP1303" s="64"/>
      <c r="BQ1303" s="64"/>
      <c r="BR1303" s="64"/>
      <c r="BS1303" s="64"/>
      <c r="BT1303" s="64"/>
      <c r="BU1303" s="64"/>
      <c r="BV1303" s="64"/>
      <c r="BW1303" s="64"/>
      <c r="BX1303" s="64"/>
      <c r="BY1303" s="64"/>
      <c r="BZ1303" s="64"/>
      <c r="CA1303" s="64"/>
      <c r="CB1303" s="64"/>
      <c r="CC1303" s="64"/>
      <c r="CD1303" s="64"/>
      <c r="CE1303" s="64"/>
      <c r="CF1303" s="64"/>
      <c r="CG1303" s="64"/>
      <c r="CH1303" s="64"/>
      <c r="CI1303" s="64"/>
      <c r="CJ1303" s="64"/>
      <c r="CK1303" s="64"/>
      <c r="CL1303" s="64"/>
      <c r="CM1303" s="64"/>
      <c r="CN1303" s="64"/>
      <c r="CO1303" s="64"/>
      <c r="CP1303" s="64"/>
      <c r="CQ1303" s="64"/>
      <c r="CR1303" s="64"/>
      <c r="CS1303" s="64"/>
      <c r="CT1303" s="64"/>
      <c r="CU1303" s="64"/>
      <c r="CV1303" s="64"/>
      <c r="CW1303" s="64"/>
      <c r="CX1303" s="64"/>
    </row>
    <row r="1304" spans="1:102" x14ac:dyDescent="0.2">
      <c r="A1304" s="64"/>
      <c r="B1304" s="64"/>
      <c r="C1304" s="102"/>
      <c r="D1304" s="102"/>
      <c r="E1304" s="102"/>
      <c r="F1304" s="102"/>
      <c r="G1304" s="102"/>
      <c r="H1304" s="102"/>
      <c r="I1304" s="64"/>
      <c r="J1304" s="64"/>
      <c r="K1304" s="64"/>
      <c r="L1304" s="64"/>
      <c r="M1304" s="64"/>
      <c r="N1304" s="64"/>
      <c r="O1304" s="64"/>
      <c r="P1304" s="64"/>
      <c r="Q1304" s="64"/>
      <c r="R1304" s="64"/>
      <c r="S1304" s="64"/>
      <c r="T1304" s="64"/>
      <c r="U1304" s="64"/>
      <c r="V1304" s="64"/>
      <c r="W1304" s="64"/>
      <c r="X1304" s="64"/>
      <c r="Y1304" s="64"/>
      <c r="Z1304" s="64"/>
      <c r="AA1304" s="64"/>
      <c r="AB1304" s="64"/>
      <c r="AC1304" s="64"/>
      <c r="AD1304" s="64"/>
      <c r="AE1304" s="64"/>
      <c r="AF1304" s="64"/>
      <c r="AG1304" s="64"/>
      <c r="AH1304" s="64"/>
      <c r="AI1304" s="64"/>
      <c r="AJ1304" s="64"/>
      <c r="AK1304" s="64"/>
      <c r="AL1304" s="64"/>
      <c r="AM1304" s="64"/>
      <c r="AN1304" s="64"/>
      <c r="AO1304" s="64"/>
      <c r="AP1304" s="64"/>
      <c r="AQ1304" s="64"/>
      <c r="AR1304" s="64"/>
      <c r="AS1304" s="64"/>
      <c r="AT1304" s="64"/>
      <c r="AU1304" s="64"/>
      <c r="AV1304" s="64"/>
      <c r="AW1304" s="64"/>
      <c r="AX1304" s="64"/>
      <c r="AY1304" s="64"/>
      <c r="AZ1304" s="64"/>
      <c r="BA1304" s="64"/>
      <c r="BB1304" s="64"/>
      <c r="BC1304" s="64"/>
      <c r="BD1304" s="64"/>
      <c r="BE1304" s="64"/>
      <c r="BF1304" s="64"/>
      <c r="BG1304" s="64"/>
      <c r="BH1304" s="64"/>
      <c r="BI1304" s="64"/>
      <c r="BJ1304" s="64"/>
      <c r="BK1304" s="64"/>
      <c r="BL1304" s="64"/>
      <c r="BM1304" s="64"/>
      <c r="BN1304" s="64"/>
      <c r="BO1304" s="64"/>
      <c r="BP1304" s="64"/>
      <c r="BQ1304" s="64"/>
      <c r="BR1304" s="64"/>
      <c r="BS1304" s="64"/>
      <c r="BT1304" s="64"/>
      <c r="BU1304" s="64"/>
      <c r="BV1304" s="64"/>
      <c r="BW1304" s="64"/>
      <c r="BX1304" s="64"/>
      <c r="BY1304" s="64"/>
      <c r="BZ1304" s="64"/>
      <c r="CA1304" s="64"/>
      <c r="CB1304" s="64"/>
      <c r="CC1304" s="64"/>
      <c r="CD1304" s="64"/>
      <c r="CE1304" s="64"/>
      <c r="CF1304" s="64"/>
      <c r="CG1304" s="64"/>
      <c r="CH1304" s="64"/>
      <c r="CI1304" s="64"/>
      <c r="CJ1304" s="64"/>
      <c r="CK1304" s="64"/>
      <c r="CL1304" s="64"/>
      <c r="CM1304" s="64"/>
      <c r="CN1304" s="64"/>
      <c r="CO1304" s="64"/>
      <c r="CP1304" s="64"/>
      <c r="CQ1304" s="64"/>
      <c r="CR1304" s="64"/>
      <c r="CS1304" s="64"/>
      <c r="CT1304" s="64"/>
      <c r="CU1304" s="64"/>
      <c r="CV1304" s="64"/>
      <c r="CW1304" s="64"/>
      <c r="CX1304" s="64"/>
    </row>
    <row r="1305" spans="1:102" x14ac:dyDescent="0.2">
      <c r="A1305" s="64"/>
      <c r="B1305" s="64"/>
      <c r="C1305" s="102"/>
      <c r="D1305" s="102"/>
      <c r="E1305" s="102"/>
      <c r="F1305" s="102"/>
      <c r="G1305" s="102"/>
      <c r="H1305" s="102"/>
      <c r="I1305" s="64"/>
      <c r="J1305" s="64"/>
      <c r="K1305" s="64"/>
      <c r="L1305" s="64"/>
      <c r="M1305" s="64"/>
      <c r="N1305" s="64"/>
      <c r="O1305" s="64"/>
      <c r="P1305" s="64"/>
      <c r="Q1305" s="64"/>
      <c r="R1305" s="64"/>
      <c r="S1305" s="64"/>
      <c r="T1305" s="64"/>
      <c r="U1305" s="64"/>
      <c r="V1305" s="64"/>
      <c r="W1305" s="64"/>
      <c r="X1305" s="64"/>
      <c r="Y1305" s="64"/>
      <c r="Z1305" s="64"/>
      <c r="AA1305" s="64"/>
      <c r="AB1305" s="64"/>
      <c r="AC1305" s="64"/>
      <c r="AD1305" s="64"/>
      <c r="AE1305" s="64"/>
      <c r="AF1305" s="64"/>
      <c r="AG1305" s="64"/>
      <c r="AH1305" s="64"/>
      <c r="AI1305" s="64"/>
      <c r="AJ1305" s="64"/>
      <c r="AK1305" s="64"/>
      <c r="AL1305" s="64"/>
      <c r="AM1305" s="64"/>
      <c r="AN1305" s="64"/>
      <c r="AO1305" s="64"/>
      <c r="AP1305" s="64"/>
      <c r="AQ1305" s="64"/>
      <c r="AR1305" s="64"/>
      <c r="AS1305" s="64"/>
      <c r="AT1305" s="64"/>
      <c r="AU1305" s="64"/>
      <c r="AV1305" s="64"/>
      <c r="AW1305" s="64"/>
      <c r="AX1305" s="64"/>
      <c r="AY1305" s="64"/>
      <c r="AZ1305" s="64"/>
      <c r="BA1305" s="64"/>
      <c r="BB1305" s="64"/>
      <c r="BC1305" s="64"/>
      <c r="BD1305" s="64"/>
      <c r="BE1305" s="64"/>
      <c r="BF1305" s="64"/>
      <c r="BG1305" s="64"/>
      <c r="BH1305" s="64"/>
      <c r="BI1305" s="64"/>
      <c r="BJ1305" s="64"/>
      <c r="BK1305" s="64"/>
      <c r="BL1305" s="64"/>
      <c r="BM1305" s="64"/>
      <c r="BN1305" s="64"/>
      <c r="BO1305" s="64"/>
      <c r="BP1305" s="64"/>
      <c r="BQ1305" s="64"/>
      <c r="BR1305" s="64"/>
      <c r="BS1305" s="64"/>
      <c r="BT1305" s="64"/>
      <c r="BU1305" s="64"/>
      <c r="BV1305" s="64"/>
      <c r="BW1305" s="64"/>
      <c r="BX1305" s="64"/>
      <c r="BY1305" s="64"/>
      <c r="BZ1305" s="64"/>
      <c r="CA1305" s="64"/>
      <c r="CB1305" s="64"/>
      <c r="CC1305" s="64"/>
      <c r="CD1305" s="64"/>
      <c r="CE1305" s="64"/>
      <c r="CF1305" s="64"/>
      <c r="CG1305" s="64"/>
      <c r="CH1305" s="64"/>
      <c r="CI1305" s="64"/>
      <c r="CJ1305" s="64"/>
      <c r="CK1305" s="64"/>
      <c r="CL1305" s="64"/>
      <c r="CM1305" s="64"/>
      <c r="CN1305" s="64"/>
      <c r="CO1305" s="64"/>
      <c r="CP1305" s="64"/>
      <c r="CQ1305" s="64"/>
      <c r="CR1305" s="64"/>
      <c r="CS1305" s="64"/>
      <c r="CT1305" s="64"/>
      <c r="CU1305" s="64"/>
      <c r="CV1305" s="64"/>
      <c r="CW1305" s="64"/>
      <c r="CX1305" s="64"/>
    </row>
    <row r="1306" spans="1:102" x14ac:dyDescent="0.2">
      <c r="A1306" s="64"/>
      <c r="B1306" s="64"/>
      <c r="C1306" s="102"/>
      <c r="D1306" s="102"/>
      <c r="E1306" s="102"/>
      <c r="F1306" s="102"/>
      <c r="G1306" s="102"/>
      <c r="H1306" s="102"/>
      <c r="I1306" s="64"/>
      <c r="J1306" s="64"/>
      <c r="K1306" s="64"/>
      <c r="L1306" s="64"/>
      <c r="M1306" s="64"/>
      <c r="N1306" s="64"/>
      <c r="O1306" s="64"/>
      <c r="P1306" s="64"/>
      <c r="Q1306" s="64"/>
      <c r="R1306" s="64"/>
      <c r="S1306" s="64"/>
      <c r="T1306" s="64"/>
      <c r="U1306" s="64"/>
      <c r="V1306" s="64"/>
      <c r="W1306" s="64"/>
      <c r="X1306" s="64"/>
      <c r="Y1306" s="64"/>
      <c r="Z1306" s="64"/>
      <c r="AA1306" s="64"/>
      <c r="AB1306" s="64"/>
      <c r="AC1306" s="64"/>
      <c r="AD1306" s="64"/>
      <c r="AE1306" s="64"/>
      <c r="AF1306" s="64"/>
      <c r="AG1306" s="64"/>
      <c r="AH1306" s="64"/>
      <c r="AI1306" s="64"/>
      <c r="AJ1306" s="64"/>
      <c r="AK1306" s="64"/>
      <c r="AL1306" s="64"/>
      <c r="AM1306" s="64"/>
      <c r="AN1306" s="64"/>
      <c r="AO1306" s="64"/>
      <c r="AP1306" s="64"/>
      <c r="AQ1306" s="64"/>
      <c r="AR1306" s="64"/>
      <c r="AS1306" s="64"/>
      <c r="AT1306" s="64"/>
      <c r="AU1306" s="64"/>
      <c r="AV1306" s="64"/>
      <c r="AW1306" s="64"/>
      <c r="AX1306" s="64"/>
      <c r="AY1306" s="64"/>
      <c r="AZ1306" s="64"/>
      <c r="BA1306" s="64"/>
      <c r="BB1306" s="64"/>
      <c r="BC1306" s="64"/>
      <c r="BD1306" s="64"/>
      <c r="BE1306" s="64"/>
      <c r="BF1306" s="64"/>
      <c r="BG1306" s="64"/>
      <c r="BH1306" s="64"/>
      <c r="BI1306" s="64"/>
      <c r="BJ1306" s="64"/>
      <c r="BK1306" s="64"/>
      <c r="BL1306" s="64"/>
      <c r="BM1306" s="64"/>
      <c r="BN1306" s="64"/>
      <c r="BO1306" s="64"/>
      <c r="BP1306" s="64"/>
      <c r="BQ1306" s="64"/>
      <c r="BR1306" s="64"/>
      <c r="BS1306" s="64"/>
      <c r="BT1306" s="64"/>
      <c r="BU1306" s="64"/>
      <c r="BV1306" s="64"/>
      <c r="BW1306" s="64"/>
      <c r="BX1306" s="64"/>
      <c r="BY1306" s="64"/>
      <c r="BZ1306" s="64"/>
      <c r="CA1306" s="64"/>
      <c r="CB1306" s="64"/>
      <c r="CC1306" s="64"/>
      <c r="CD1306" s="64"/>
      <c r="CE1306" s="64"/>
      <c r="CF1306" s="64"/>
      <c r="CG1306" s="64"/>
      <c r="CH1306" s="64"/>
      <c r="CI1306" s="64"/>
      <c r="CJ1306" s="64"/>
      <c r="CK1306" s="64"/>
      <c r="CL1306" s="64"/>
      <c r="CM1306" s="64"/>
      <c r="CN1306" s="64"/>
      <c r="CO1306" s="64"/>
      <c r="CP1306" s="64"/>
      <c r="CQ1306" s="64"/>
      <c r="CR1306" s="64"/>
      <c r="CS1306" s="64"/>
      <c r="CT1306" s="64"/>
      <c r="CU1306" s="64"/>
      <c r="CV1306" s="64"/>
      <c r="CW1306" s="64"/>
      <c r="CX1306" s="64"/>
    </row>
    <row r="1307" spans="1:102" x14ac:dyDescent="0.2">
      <c r="A1307" s="64"/>
      <c r="B1307" s="64"/>
      <c r="C1307" s="102"/>
      <c r="D1307" s="102"/>
      <c r="E1307" s="102"/>
      <c r="F1307" s="102"/>
      <c r="G1307" s="102"/>
      <c r="H1307" s="102"/>
      <c r="I1307" s="64"/>
      <c r="J1307" s="64"/>
      <c r="K1307" s="64"/>
      <c r="L1307" s="64"/>
      <c r="M1307" s="64"/>
      <c r="N1307" s="64"/>
      <c r="O1307" s="64"/>
      <c r="P1307" s="64"/>
      <c r="Q1307" s="64"/>
      <c r="R1307" s="64"/>
      <c r="S1307" s="64"/>
      <c r="T1307" s="64"/>
      <c r="U1307" s="64"/>
      <c r="V1307" s="64"/>
      <c r="W1307" s="64"/>
      <c r="X1307" s="64"/>
      <c r="Y1307" s="64"/>
      <c r="Z1307" s="64"/>
      <c r="AA1307" s="64"/>
      <c r="AB1307" s="64"/>
      <c r="AC1307" s="64"/>
      <c r="AD1307" s="64"/>
      <c r="AE1307" s="64"/>
      <c r="AF1307" s="64"/>
      <c r="AG1307" s="64"/>
      <c r="AH1307" s="64"/>
      <c r="AI1307" s="64"/>
      <c r="AJ1307" s="64"/>
      <c r="AK1307" s="64"/>
      <c r="AL1307" s="64"/>
      <c r="AM1307" s="64"/>
      <c r="AN1307" s="64"/>
      <c r="AO1307" s="64"/>
      <c r="AP1307" s="64"/>
      <c r="AQ1307" s="64"/>
      <c r="AR1307" s="64"/>
      <c r="AS1307" s="64"/>
      <c r="AT1307" s="64"/>
      <c r="AU1307" s="64"/>
      <c r="AV1307" s="64"/>
      <c r="AW1307" s="64"/>
      <c r="AX1307" s="64"/>
      <c r="AY1307" s="64"/>
      <c r="AZ1307" s="64"/>
      <c r="BA1307" s="64"/>
      <c r="BB1307" s="64"/>
      <c r="BC1307" s="64"/>
      <c r="BD1307" s="64"/>
      <c r="BE1307" s="64"/>
      <c r="BF1307" s="64"/>
      <c r="BG1307" s="64"/>
      <c r="BH1307" s="64"/>
      <c r="BI1307" s="64"/>
      <c r="BJ1307" s="64"/>
      <c r="BK1307" s="64"/>
      <c r="BL1307" s="64"/>
      <c r="BM1307" s="64"/>
      <c r="BN1307" s="64"/>
      <c r="BO1307" s="64"/>
      <c r="BP1307" s="64"/>
      <c r="BQ1307" s="64"/>
      <c r="BR1307" s="64"/>
      <c r="BS1307" s="64"/>
      <c r="BT1307" s="64"/>
      <c r="BU1307" s="64"/>
      <c r="BV1307" s="64"/>
      <c r="BW1307" s="64"/>
      <c r="BX1307" s="64"/>
      <c r="BY1307" s="64"/>
      <c r="BZ1307" s="64"/>
      <c r="CA1307" s="64"/>
      <c r="CB1307" s="64"/>
      <c r="CC1307" s="64"/>
      <c r="CD1307" s="64"/>
      <c r="CE1307" s="64"/>
      <c r="CF1307" s="64"/>
      <c r="CG1307" s="64"/>
      <c r="CH1307" s="64"/>
      <c r="CI1307" s="64"/>
      <c r="CJ1307" s="64"/>
      <c r="CK1307" s="64"/>
      <c r="CL1307" s="64"/>
      <c r="CM1307" s="64"/>
      <c r="CN1307" s="64"/>
      <c r="CO1307" s="64"/>
      <c r="CP1307" s="64"/>
      <c r="CQ1307" s="64"/>
      <c r="CR1307" s="64"/>
      <c r="CS1307" s="64"/>
      <c r="CT1307" s="64"/>
      <c r="CU1307" s="64"/>
      <c r="CV1307" s="64"/>
      <c r="CW1307" s="64"/>
      <c r="CX1307" s="64"/>
    </row>
    <row r="1308" spans="1:102" x14ac:dyDescent="0.2">
      <c r="A1308" s="64"/>
      <c r="B1308" s="64"/>
      <c r="C1308" s="102"/>
      <c r="D1308" s="102"/>
      <c r="E1308" s="102"/>
      <c r="F1308" s="102"/>
      <c r="G1308" s="102"/>
      <c r="H1308" s="102"/>
      <c r="I1308" s="64"/>
      <c r="J1308" s="64"/>
      <c r="K1308" s="64"/>
      <c r="L1308" s="64"/>
      <c r="M1308" s="64"/>
      <c r="N1308" s="64"/>
      <c r="O1308" s="64"/>
      <c r="P1308" s="64"/>
      <c r="Q1308" s="64"/>
      <c r="R1308" s="64"/>
      <c r="S1308" s="64"/>
      <c r="T1308" s="64"/>
      <c r="U1308" s="64"/>
      <c r="V1308" s="64"/>
      <c r="W1308" s="64"/>
      <c r="X1308" s="64"/>
      <c r="Y1308" s="64"/>
      <c r="Z1308" s="64"/>
      <c r="AA1308" s="64"/>
      <c r="AB1308" s="64"/>
      <c r="AC1308" s="64"/>
      <c r="AD1308" s="64"/>
      <c r="AE1308" s="64"/>
      <c r="AF1308" s="64"/>
      <c r="AG1308" s="64"/>
      <c r="AH1308" s="64"/>
      <c r="AI1308" s="64"/>
      <c r="AJ1308" s="64"/>
      <c r="AK1308" s="64"/>
      <c r="AL1308" s="64"/>
      <c r="AM1308" s="64"/>
      <c r="AN1308" s="64"/>
      <c r="AO1308" s="64"/>
      <c r="AP1308" s="64"/>
      <c r="AQ1308" s="64"/>
      <c r="AR1308" s="64"/>
      <c r="AS1308" s="64"/>
      <c r="AT1308" s="64"/>
      <c r="AU1308" s="64"/>
      <c r="AV1308" s="64"/>
      <c r="AW1308" s="64"/>
      <c r="AX1308" s="64"/>
      <c r="AY1308" s="64"/>
      <c r="AZ1308" s="64"/>
      <c r="BA1308" s="64"/>
      <c r="BB1308" s="64"/>
      <c r="BC1308" s="64"/>
      <c r="BD1308" s="64"/>
      <c r="BE1308" s="64"/>
      <c r="BF1308" s="64"/>
      <c r="BG1308" s="64"/>
      <c r="BH1308" s="64"/>
      <c r="BI1308" s="64"/>
      <c r="BJ1308" s="64"/>
      <c r="BK1308" s="64"/>
      <c r="BL1308" s="64"/>
      <c r="BM1308" s="64"/>
      <c r="BN1308" s="64"/>
      <c r="BO1308" s="64"/>
      <c r="BP1308" s="64"/>
      <c r="BQ1308" s="64"/>
      <c r="BR1308" s="64"/>
      <c r="BS1308" s="64"/>
      <c r="BT1308" s="64"/>
      <c r="BU1308" s="64"/>
      <c r="BV1308" s="64"/>
      <c r="BW1308" s="64"/>
      <c r="BX1308" s="64"/>
      <c r="BY1308" s="64"/>
      <c r="BZ1308" s="64"/>
      <c r="CA1308" s="64"/>
      <c r="CB1308" s="64"/>
      <c r="CC1308" s="64"/>
      <c r="CD1308" s="64"/>
      <c r="CE1308" s="64"/>
      <c r="CF1308" s="64"/>
      <c r="CG1308" s="64"/>
      <c r="CH1308" s="64"/>
      <c r="CI1308" s="64"/>
      <c r="CJ1308" s="64"/>
      <c r="CK1308" s="64"/>
      <c r="CL1308" s="64"/>
      <c r="CM1308" s="64"/>
      <c r="CN1308" s="64"/>
      <c r="CO1308" s="64"/>
      <c r="CP1308" s="64"/>
      <c r="CQ1308" s="64"/>
      <c r="CR1308" s="64"/>
      <c r="CS1308" s="64"/>
      <c r="CT1308" s="64"/>
      <c r="CU1308" s="64"/>
      <c r="CV1308" s="64"/>
      <c r="CW1308" s="64"/>
      <c r="CX1308" s="64"/>
    </row>
    <row r="1309" spans="1:102" x14ac:dyDescent="0.2">
      <c r="A1309" s="64"/>
      <c r="B1309" s="64"/>
      <c r="C1309" s="102"/>
      <c r="D1309" s="102"/>
      <c r="E1309" s="102"/>
      <c r="F1309" s="102"/>
      <c r="G1309" s="102"/>
      <c r="H1309" s="102"/>
      <c r="I1309" s="64"/>
      <c r="J1309" s="64"/>
      <c r="K1309" s="64"/>
      <c r="L1309" s="64"/>
      <c r="M1309" s="64"/>
      <c r="N1309" s="64"/>
      <c r="O1309" s="64"/>
      <c r="P1309" s="64"/>
      <c r="Q1309" s="64"/>
      <c r="R1309" s="64"/>
      <c r="S1309" s="64"/>
      <c r="T1309" s="64"/>
      <c r="U1309" s="64"/>
      <c r="V1309" s="64"/>
      <c r="W1309" s="64"/>
      <c r="X1309" s="64"/>
      <c r="Y1309" s="64"/>
      <c r="Z1309" s="64"/>
      <c r="AA1309" s="64"/>
      <c r="AB1309" s="64"/>
      <c r="AC1309" s="64"/>
      <c r="AD1309" s="64"/>
      <c r="AE1309" s="64"/>
      <c r="AF1309" s="64"/>
      <c r="AG1309" s="64"/>
      <c r="AH1309" s="64"/>
      <c r="AI1309" s="64"/>
      <c r="AJ1309" s="64"/>
      <c r="AK1309" s="64"/>
      <c r="AL1309" s="64"/>
      <c r="AM1309" s="64"/>
      <c r="AN1309" s="64"/>
      <c r="AO1309" s="64"/>
      <c r="AP1309" s="64"/>
      <c r="AQ1309" s="64"/>
      <c r="AR1309" s="64"/>
      <c r="AS1309" s="64"/>
      <c r="AT1309" s="64"/>
      <c r="AU1309" s="64"/>
      <c r="AV1309" s="64"/>
      <c r="AW1309" s="64"/>
      <c r="AX1309" s="64"/>
      <c r="AY1309" s="64"/>
      <c r="AZ1309" s="64"/>
      <c r="BA1309" s="64"/>
      <c r="BB1309" s="64"/>
      <c r="BC1309" s="64"/>
      <c r="BD1309" s="64"/>
      <c r="BE1309" s="64"/>
      <c r="BF1309" s="64"/>
      <c r="BG1309" s="64"/>
      <c r="BH1309" s="64"/>
      <c r="BI1309" s="64"/>
      <c r="BJ1309" s="64"/>
      <c r="BK1309" s="64"/>
      <c r="BL1309" s="64"/>
      <c r="BM1309" s="64"/>
      <c r="BN1309" s="64"/>
      <c r="BO1309" s="64"/>
      <c r="BP1309" s="64"/>
      <c r="BQ1309" s="64"/>
      <c r="BR1309" s="64"/>
      <c r="BS1309" s="64"/>
      <c r="BT1309" s="64"/>
      <c r="BU1309" s="64"/>
      <c r="BV1309" s="64"/>
      <c r="BW1309" s="64"/>
      <c r="BX1309" s="64"/>
      <c r="BY1309" s="64"/>
      <c r="BZ1309" s="64"/>
      <c r="CA1309" s="64"/>
      <c r="CB1309" s="64"/>
      <c r="CC1309" s="64"/>
      <c r="CD1309" s="64"/>
      <c r="CE1309" s="64"/>
      <c r="CF1309" s="64"/>
      <c r="CG1309" s="64"/>
      <c r="CH1309" s="64"/>
      <c r="CI1309" s="64"/>
      <c r="CJ1309" s="64"/>
      <c r="CK1309" s="64"/>
      <c r="CL1309" s="64"/>
      <c r="CM1309" s="64"/>
      <c r="CN1309" s="64"/>
      <c r="CO1309" s="64"/>
      <c r="CP1309" s="64"/>
      <c r="CQ1309" s="64"/>
      <c r="CR1309" s="64"/>
      <c r="CS1309" s="64"/>
      <c r="CT1309" s="64"/>
      <c r="CU1309" s="64"/>
      <c r="CV1309" s="64"/>
      <c r="CW1309" s="64"/>
      <c r="CX1309" s="64"/>
    </row>
    <row r="1310" spans="1:102" x14ac:dyDescent="0.2">
      <c r="A1310" s="64"/>
      <c r="B1310" s="64"/>
      <c r="C1310" s="102"/>
      <c r="D1310" s="102"/>
      <c r="E1310" s="102"/>
      <c r="F1310" s="102"/>
      <c r="G1310" s="102"/>
      <c r="H1310" s="102"/>
      <c r="I1310" s="64"/>
      <c r="J1310" s="64"/>
      <c r="K1310" s="64"/>
      <c r="L1310" s="64"/>
      <c r="M1310" s="64"/>
      <c r="N1310" s="64"/>
      <c r="O1310" s="64"/>
      <c r="P1310" s="64"/>
      <c r="Q1310" s="64"/>
      <c r="R1310" s="64"/>
      <c r="S1310" s="64"/>
      <c r="T1310" s="64"/>
      <c r="U1310" s="64"/>
      <c r="V1310" s="64"/>
      <c r="W1310" s="64"/>
      <c r="X1310" s="64"/>
      <c r="Y1310" s="64"/>
      <c r="Z1310" s="64"/>
      <c r="AA1310" s="64"/>
      <c r="AB1310" s="64"/>
      <c r="AC1310" s="64"/>
      <c r="AD1310" s="64"/>
      <c r="AE1310" s="64"/>
      <c r="AF1310" s="64"/>
      <c r="AG1310" s="64"/>
      <c r="AH1310" s="64"/>
      <c r="AI1310" s="64"/>
      <c r="AJ1310" s="64"/>
      <c r="AK1310" s="64"/>
      <c r="AL1310" s="64"/>
      <c r="AM1310" s="64"/>
      <c r="AN1310" s="64"/>
      <c r="AO1310" s="64"/>
      <c r="AP1310" s="64"/>
      <c r="AQ1310" s="64"/>
      <c r="AR1310" s="64"/>
      <c r="AS1310" s="64"/>
      <c r="AT1310" s="64"/>
      <c r="AU1310" s="64"/>
      <c r="AV1310" s="64"/>
      <c r="AW1310" s="64"/>
      <c r="AX1310" s="64"/>
      <c r="AY1310" s="64"/>
      <c r="AZ1310" s="64"/>
      <c r="BA1310" s="64"/>
      <c r="BB1310" s="64"/>
      <c r="BC1310" s="64"/>
      <c r="BD1310" s="64"/>
      <c r="BE1310" s="64"/>
      <c r="BF1310" s="64"/>
      <c r="BG1310" s="64"/>
      <c r="BH1310" s="64"/>
      <c r="BI1310" s="64"/>
      <c r="BJ1310" s="64"/>
      <c r="BK1310" s="64"/>
      <c r="BL1310" s="64"/>
      <c r="BM1310" s="64"/>
      <c r="BN1310" s="64"/>
      <c r="BO1310" s="64"/>
      <c r="BP1310" s="64"/>
      <c r="BQ1310" s="64"/>
      <c r="BR1310" s="64"/>
      <c r="BS1310" s="64"/>
      <c r="BT1310" s="64"/>
      <c r="BU1310" s="64"/>
      <c r="BV1310" s="64"/>
      <c r="BW1310" s="64"/>
      <c r="BX1310" s="64"/>
      <c r="BY1310" s="64"/>
      <c r="BZ1310" s="64"/>
      <c r="CA1310" s="64"/>
      <c r="CB1310" s="64"/>
      <c r="CC1310" s="64"/>
      <c r="CD1310" s="64"/>
      <c r="CE1310" s="64"/>
      <c r="CF1310" s="64"/>
      <c r="CG1310" s="64"/>
      <c r="CH1310" s="64"/>
      <c r="CI1310" s="64"/>
      <c r="CJ1310" s="64"/>
      <c r="CK1310" s="64"/>
      <c r="CL1310" s="64"/>
      <c r="CM1310" s="64"/>
      <c r="CN1310" s="64"/>
      <c r="CO1310" s="64"/>
      <c r="CP1310" s="64"/>
      <c r="CQ1310" s="64"/>
      <c r="CR1310" s="64"/>
      <c r="CS1310" s="64"/>
      <c r="CT1310" s="64"/>
      <c r="CU1310" s="64"/>
      <c r="CV1310" s="64"/>
      <c r="CW1310" s="64"/>
      <c r="CX1310" s="64"/>
    </row>
    <row r="1311" spans="1:102" x14ac:dyDescent="0.2">
      <c r="A1311" s="64"/>
      <c r="B1311" s="64"/>
      <c r="C1311" s="102"/>
      <c r="D1311" s="102"/>
      <c r="E1311" s="102"/>
      <c r="F1311" s="102"/>
      <c r="G1311" s="102"/>
      <c r="H1311" s="102"/>
      <c r="I1311" s="64"/>
      <c r="J1311" s="64"/>
      <c r="K1311" s="64"/>
      <c r="L1311" s="64"/>
      <c r="M1311" s="64"/>
      <c r="N1311" s="64"/>
      <c r="O1311" s="64"/>
      <c r="P1311" s="64"/>
      <c r="Q1311" s="64"/>
      <c r="R1311" s="64"/>
      <c r="S1311" s="64"/>
      <c r="T1311" s="64"/>
      <c r="U1311" s="64"/>
      <c r="V1311" s="64"/>
      <c r="W1311" s="64"/>
      <c r="X1311" s="64"/>
      <c r="Y1311" s="64"/>
      <c r="Z1311" s="64"/>
      <c r="AA1311" s="64"/>
      <c r="AB1311" s="64"/>
      <c r="AC1311" s="64"/>
      <c r="AD1311" s="64"/>
      <c r="AE1311" s="64"/>
      <c r="AF1311" s="64"/>
      <c r="AG1311" s="64"/>
      <c r="AH1311" s="64"/>
      <c r="AI1311" s="64"/>
      <c r="AJ1311" s="64"/>
      <c r="AK1311" s="64"/>
      <c r="AL1311" s="64"/>
      <c r="AM1311" s="64"/>
      <c r="AN1311" s="64"/>
      <c r="AO1311" s="64"/>
      <c r="AP1311" s="64"/>
      <c r="AQ1311" s="64"/>
      <c r="AR1311" s="64"/>
      <c r="AS1311" s="64"/>
      <c r="AT1311" s="64"/>
      <c r="AU1311" s="64"/>
      <c r="AV1311" s="64"/>
      <c r="AW1311" s="64"/>
      <c r="AX1311" s="64"/>
      <c r="AY1311" s="64"/>
      <c r="AZ1311" s="64"/>
      <c r="BA1311" s="64"/>
      <c r="BB1311" s="64"/>
      <c r="BC1311" s="64"/>
      <c r="BD1311" s="64"/>
      <c r="BE1311" s="64"/>
      <c r="BF1311" s="64"/>
      <c r="BG1311" s="64"/>
      <c r="BH1311" s="64"/>
      <c r="BI1311" s="64"/>
      <c r="BJ1311" s="64"/>
      <c r="BK1311" s="64"/>
      <c r="BL1311" s="64"/>
      <c r="BM1311" s="64"/>
      <c r="BN1311" s="64"/>
      <c r="BO1311" s="64"/>
      <c r="BP1311" s="64"/>
      <c r="BQ1311" s="64"/>
      <c r="BR1311" s="64"/>
      <c r="BS1311" s="64"/>
      <c r="BT1311" s="64"/>
      <c r="BU1311" s="64"/>
      <c r="BV1311" s="64"/>
      <c r="BW1311" s="64"/>
      <c r="BX1311" s="64"/>
      <c r="BY1311" s="64"/>
      <c r="BZ1311" s="64"/>
      <c r="CA1311" s="64"/>
      <c r="CB1311" s="64"/>
      <c r="CC1311" s="64"/>
      <c r="CD1311" s="64"/>
      <c r="CE1311" s="64"/>
      <c r="CF1311" s="64"/>
      <c r="CG1311" s="64"/>
      <c r="CH1311" s="64"/>
      <c r="CI1311" s="64"/>
      <c r="CJ1311" s="64"/>
      <c r="CK1311" s="64"/>
      <c r="CL1311" s="64"/>
      <c r="CM1311" s="64"/>
      <c r="CN1311" s="64"/>
      <c r="CO1311" s="64"/>
      <c r="CP1311" s="64"/>
      <c r="CQ1311" s="64"/>
      <c r="CR1311" s="64"/>
      <c r="CS1311" s="64"/>
      <c r="CT1311" s="64"/>
      <c r="CU1311" s="64"/>
      <c r="CV1311" s="64"/>
      <c r="CW1311" s="64"/>
      <c r="CX1311" s="64"/>
    </row>
    <row r="1312" spans="1:102" x14ac:dyDescent="0.2">
      <c r="A1312" s="64"/>
      <c r="B1312" s="64"/>
      <c r="C1312" s="102"/>
      <c r="D1312" s="102"/>
      <c r="E1312" s="102"/>
      <c r="F1312" s="102"/>
      <c r="G1312" s="102"/>
      <c r="H1312" s="102"/>
      <c r="I1312" s="64"/>
      <c r="J1312" s="64"/>
      <c r="K1312" s="64"/>
      <c r="L1312" s="64"/>
      <c r="M1312" s="64"/>
      <c r="N1312" s="64"/>
      <c r="O1312" s="64"/>
      <c r="P1312" s="64"/>
      <c r="Q1312" s="64"/>
      <c r="R1312" s="64"/>
      <c r="S1312" s="64"/>
      <c r="T1312" s="64"/>
      <c r="U1312" s="64"/>
      <c r="V1312" s="64"/>
      <c r="W1312" s="64"/>
      <c r="X1312" s="64"/>
      <c r="Y1312" s="64"/>
      <c r="Z1312" s="64"/>
      <c r="AA1312" s="64"/>
      <c r="AB1312" s="64"/>
      <c r="AC1312" s="64"/>
      <c r="AD1312" s="64"/>
      <c r="AE1312" s="64"/>
      <c r="AF1312" s="64"/>
      <c r="AG1312" s="64"/>
      <c r="AH1312" s="64"/>
      <c r="AI1312" s="64"/>
      <c r="AJ1312" s="64"/>
      <c r="AK1312" s="64"/>
      <c r="AL1312" s="64"/>
      <c r="AM1312" s="64"/>
      <c r="AN1312" s="64"/>
      <c r="AO1312" s="64"/>
      <c r="AP1312" s="64"/>
      <c r="AQ1312" s="64"/>
      <c r="AR1312" s="64"/>
      <c r="AS1312" s="64"/>
      <c r="AT1312" s="64"/>
      <c r="AU1312" s="64"/>
      <c r="AV1312" s="64"/>
      <c r="AW1312" s="64"/>
      <c r="AX1312" s="64"/>
      <c r="AY1312" s="64"/>
      <c r="AZ1312" s="64"/>
      <c r="BA1312" s="64"/>
      <c r="BB1312" s="64"/>
      <c r="BC1312" s="64"/>
      <c r="BD1312" s="64"/>
      <c r="BE1312" s="64"/>
      <c r="BF1312" s="64"/>
      <c r="BG1312" s="64"/>
      <c r="BH1312" s="64"/>
      <c r="BI1312" s="64"/>
      <c r="BJ1312" s="64"/>
      <c r="BK1312" s="64"/>
      <c r="BL1312" s="64"/>
      <c r="BM1312" s="64"/>
      <c r="BN1312" s="64"/>
      <c r="BO1312" s="64"/>
      <c r="BP1312" s="64"/>
      <c r="BQ1312" s="64"/>
      <c r="BR1312" s="64"/>
      <c r="BS1312" s="64"/>
      <c r="BT1312" s="64"/>
      <c r="BU1312" s="64"/>
      <c r="BV1312" s="64"/>
      <c r="BW1312" s="64"/>
      <c r="BX1312" s="64"/>
      <c r="BY1312" s="64"/>
      <c r="BZ1312" s="64"/>
      <c r="CA1312" s="64"/>
      <c r="CB1312" s="64"/>
      <c r="CC1312" s="64"/>
      <c r="CD1312" s="64"/>
      <c r="CE1312" s="64"/>
      <c r="CF1312" s="64"/>
      <c r="CG1312" s="64"/>
      <c r="CH1312" s="64"/>
      <c r="CI1312" s="64"/>
      <c r="CJ1312" s="64"/>
      <c r="CK1312" s="64"/>
      <c r="CL1312" s="64"/>
      <c r="CM1312" s="64"/>
      <c r="CN1312" s="64"/>
      <c r="CO1312" s="64"/>
      <c r="CP1312" s="64"/>
      <c r="CQ1312" s="64"/>
      <c r="CR1312" s="64"/>
      <c r="CS1312" s="64"/>
      <c r="CT1312" s="64"/>
      <c r="CU1312" s="64"/>
      <c r="CV1312" s="64"/>
      <c r="CW1312" s="64"/>
      <c r="CX1312" s="64"/>
    </row>
    <row r="1313" spans="1:102" x14ac:dyDescent="0.2">
      <c r="A1313" s="64"/>
      <c r="B1313" s="64"/>
      <c r="C1313" s="102"/>
      <c r="D1313" s="102"/>
      <c r="E1313" s="102"/>
      <c r="F1313" s="102"/>
      <c r="G1313" s="102"/>
      <c r="H1313" s="102"/>
      <c r="I1313" s="64"/>
      <c r="J1313" s="64"/>
      <c r="K1313" s="64"/>
      <c r="L1313" s="64"/>
      <c r="M1313" s="64"/>
      <c r="N1313" s="64"/>
      <c r="O1313" s="64"/>
      <c r="P1313" s="64"/>
      <c r="Q1313" s="64"/>
      <c r="R1313" s="64"/>
      <c r="S1313" s="64"/>
      <c r="T1313" s="64"/>
      <c r="U1313" s="64"/>
      <c r="V1313" s="64"/>
      <c r="W1313" s="64"/>
      <c r="X1313" s="64"/>
      <c r="Y1313" s="64"/>
      <c r="Z1313" s="64"/>
      <c r="AA1313" s="64"/>
      <c r="AB1313" s="64"/>
      <c r="AC1313" s="64"/>
      <c r="AD1313" s="64"/>
      <c r="AE1313" s="64"/>
      <c r="AF1313" s="64"/>
      <c r="AG1313" s="64"/>
      <c r="AH1313" s="64"/>
      <c r="AI1313" s="64"/>
      <c r="AJ1313" s="64"/>
      <c r="AK1313" s="64"/>
      <c r="AL1313" s="64"/>
      <c r="AM1313" s="64"/>
      <c r="AN1313" s="64"/>
      <c r="AO1313" s="64"/>
      <c r="AP1313" s="64"/>
      <c r="AQ1313" s="64"/>
      <c r="AR1313" s="64"/>
      <c r="AS1313" s="64"/>
      <c r="AT1313" s="64"/>
      <c r="AU1313" s="64"/>
      <c r="AV1313" s="64"/>
      <c r="AW1313" s="64"/>
      <c r="AX1313" s="64"/>
      <c r="AY1313" s="64"/>
      <c r="AZ1313" s="64"/>
      <c r="BA1313" s="64"/>
      <c r="BB1313" s="64"/>
      <c r="BC1313" s="64"/>
      <c r="BD1313" s="64"/>
      <c r="BE1313" s="64"/>
      <c r="BF1313" s="64"/>
      <c r="BG1313" s="64"/>
      <c r="BH1313" s="64"/>
      <c r="BI1313" s="64"/>
      <c r="BJ1313" s="64"/>
      <c r="BK1313" s="64"/>
      <c r="BL1313" s="64"/>
      <c r="BM1313" s="64"/>
      <c r="BN1313" s="64"/>
      <c r="BO1313" s="64"/>
      <c r="BP1313" s="64"/>
      <c r="BQ1313" s="64"/>
      <c r="BR1313" s="64"/>
      <c r="BS1313" s="64"/>
      <c r="BT1313" s="64"/>
      <c r="BU1313" s="64"/>
      <c r="BV1313" s="64"/>
      <c r="BW1313" s="64"/>
      <c r="BX1313" s="64"/>
      <c r="BY1313" s="64"/>
      <c r="BZ1313" s="64"/>
      <c r="CA1313" s="64"/>
      <c r="CB1313" s="64"/>
      <c r="CC1313" s="64"/>
      <c r="CD1313" s="64"/>
      <c r="CE1313" s="64"/>
      <c r="CF1313" s="64"/>
      <c r="CG1313" s="64"/>
      <c r="CH1313" s="64"/>
      <c r="CI1313" s="64"/>
      <c r="CJ1313" s="64"/>
      <c r="CK1313" s="64"/>
      <c r="CL1313" s="64"/>
      <c r="CM1313" s="64"/>
      <c r="CN1313" s="64"/>
      <c r="CO1313" s="64"/>
      <c r="CP1313" s="64"/>
      <c r="CQ1313" s="64"/>
      <c r="CR1313" s="64"/>
      <c r="CS1313" s="64"/>
      <c r="CT1313" s="64"/>
      <c r="CU1313" s="64"/>
      <c r="CV1313" s="64"/>
      <c r="CW1313" s="64"/>
      <c r="CX1313" s="64"/>
    </row>
    <row r="1314" spans="1:102" x14ac:dyDescent="0.2">
      <c r="A1314" s="64"/>
      <c r="B1314" s="64"/>
      <c r="C1314" s="102"/>
      <c r="D1314" s="102"/>
      <c r="E1314" s="102"/>
      <c r="F1314" s="102"/>
      <c r="G1314" s="102"/>
      <c r="H1314" s="102"/>
      <c r="I1314" s="64"/>
      <c r="J1314" s="64"/>
      <c r="K1314" s="64"/>
      <c r="L1314" s="64"/>
      <c r="M1314" s="64"/>
      <c r="N1314" s="64"/>
      <c r="O1314" s="64"/>
      <c r="P1314" s="64"/>
      <c r="Q1314" s="64"/>
      <c r="R1314" s="64"/>
      <c r="S1314" s="64"/>
      <c r="T1314" s="64"/>
      <c r="U1314" s="64"/>
      <c r="V1314" s="64"/>
      <c r="W1314" s="64"/>
      <c r="X1314" s="64"/>
      <c r="Y1314" s="64"/>
      <c r="Z1314" s="64"/>
      <c r="AA1314" s="64"/>
      <c r="AB1314" s="64"/>
      <c r="AC1314" s="64"/>
      <c r="AD1314" s="64"/>
      <c r="AE1314" s="64"/>
      <c r="AF1314" s="64"/>
      <c r="AG1314" s="64"/>
      <c r="AH1314" s="64"/>
      <c r="AI1314" s="64"/>
      <c r="AJ1314" s="64"/>
      <c r="AK1314" s="64"/>
      <c r="AL1314" s="64"/>
      <c r="AM1314" s="64"/>
      <c r="AN1314" s="64"/>
      <c r="AO1314" s="64"/>
      <c r="AP1314" s="64"/>
      <c r="AQ1314" s="64"/>
      <c r="AR1314" s="64"/>
      <c r="AS1314" s="64"/>
      <c r="AT1314" s="64"/>
      <c r="AU1314" s="64"/>
      <c r="AV1314" s="64"/>
      <c r="AW1314" s="64"/>
      <c r="AX1314" s="64"/>
      <c r="AY1314" s="64"/>
      <c r="AZ1314" s="64"/>
      <c r="BA1314" s="64"/>
      <c r="BB1314" s="64"/>
      <c r="BC1314" s="64"/>
      <c r="BD1314" s="64"/>
      <c r="BE1314" s="64"/>
      <c r="BF1314" s="64"/>
      <c r="BG1314" s="64"/>
      <c r="BH1314" s="64"/>
      <c r="BI1314" s="64"/>
      <c r="BJ1314" s="64"/>
      <c r="BK1314" s="64"/>
      <c r="BL1314" s="64"/>
      <c r="BM1314" s="64"/>
      <c r="BN1314" s="64"/>
      <c r="BO1314" s="64"/>
      <c r="BP1314" s="64"/>
      <c r="BQ1314" s="64"/>
      <c r="BR1314" s="64"/>
      <c r="BS1314" s="64"/>
      <c r="BT1314" s="64"/>
      <c r="BU1314" s="64"/>
      <c r="BV1314" s="64"/>
      <c r="BW1314" s="64"/>
      <c r="BX1314" s="64"/>
      <c r="BY1314" s="64"/>
      <c r="BZ1314" s="64"/>
      <c r="CA1314" s="64"/>
      <c r="CB1314" s="64"/>
      <c r="CC1314" s="64"/>
      <c r="CD1314" s="64"/>
      <c r="CE1314" s="64"/>
      <c r="CF1314" s="64"/>
      <c r="CG1314" s="64"/>
      <c r="CH1314" s="64"/>
      <c r="CI1314" s="64"/>
      <c r="CJ1314" s="64"/>
      <c r="CK1314" s="64"/>
      <c r="CL1314" s="64"/>
      <c r="CM1314" s="64"/>
      <c r="CN1314" s="64"/>
      <c r="CO1314" s="64"/>
      <c r="CP1314" s="64"/>
      <c r="CQ1314" s="64"/>
      <c r="CR1314" s="64"/>
      <c r="CS1314" s="64"/>
      <c r="CT1314" s="64"/>
      <c r="CU1314" s="64"/>
      <c r="CV1314" s="64"/>
      <c r="CW1314" s="64"/>
      <c r="CX1314" s="64"/>
    </row>
    <row r="1315" spans="1:102" x14ac:dyDescent="0.2">
      <c r="A1315" s="64"/>
      <c r="B1315" s="64"/>
      <c r="C1315" s="102"/>
      <c r="D1315" s="102"/>
      <c r="E1315" s="102"/>
      <c r="F1315" s="102"/>
      <c r="G1315" s="102"/>
      <c r="H1315" s="102"/>
      <c r="I1315" s="64"/>
      <c r="J1315" s="64"/>
      <c r="K1315" s="64"/>
      <c r="L1315" s="64"/>
      <c r="M1315" s="64"/>
      <c r="N1315" s="64"/>
      <c r="O1315" s="64"/>
      <c r="P1315" s="64"/>
      <c r="Q1315" s="64"/>
      <c r="R1315" s="64"/>
      <c r="S1315" s="64"/>
      <c r="T1315" s="64"/>
      <c r="U1315" s="64"/>
      <c r="V1315" s="64"/>
      <c r="W1315" s="64"/>
      <c r="X1315" s="64"/>
      <c r="Y1315" s="64"/>
      <c r="Z1315" s="64"/>
      <c r="AA1315" s="64"/>
      <c r="AB1315" s="64"/>
      <c r="AC1315" s="64"/>
      <c r="AD1315" s="64"/>
      <c r="AE1315" s="64"/>
      <c r="AF1315" s="64"/>
      <c r="AG1315" s="64"/>
      <c r="AH1315" s="64"/>
      <c r="AI1315" s="64"/>
      <c r="AJ1315" s="64"/>
      <c r="AK1315" s="64"/>
      <c r="AL1315" s="64"/>
      <c r="AM1315" s="64"/>
      <c r="AN1315" s="64"/>
      <c r="AO1315" s="64"/>
      <c r="AP1315" s="64"/>
      <c r="AQ1315" s="64"/>
      <c r="AR1315" s="64"/>
      <c r="AS1315" s="64"/>
      <c r="AT1315" s="64"/>
      <c r="AU1315" s="64"/>
      <c r="AV1315" s="64"/>
      <c r="AW1315" s="64"/>
      <c r="AX1315" s="64"/>
      <c r="AY1315" s="64"/>
      <c r="AZ1315" s="64"/>
      <c r="BA1315" s="64"/>
      <c r="BB1315" s="64"/>
      <c r="BC1315" s="64"/>
      <c r="BD1315" s="64"/>
      <c r="BE1315" s="64"/>
      <c r="BF1315" s="64"/>
      <c r="BG1315" s="64"/>
      <c r="BH1315" s="64"/>
      <c r="BI1315" s="64"/>
      <c r="BJ1315" s="64"/>
      <c r="BK1315" s="64"/>
      <c r="BL1315" s="64"/>
      <c r="BM1315" s="64"/>
      <c r="BN1315" s="64"/>
      <c r="BO1315" s="64"/>
      <c r="BP1315" s="64"/>
      <c r="BQ1315" s="64"/>
      <c r="BR1315" s="64"/>
      <c r="BS1315" s="64"/>
      <c r="BT1315" s="64"/>
      <c r="BU1315" s="64"/>
      <c r="BV1315" s="64"/>
      <c r="BW1315" s="64"/>
      <c r="BX1315" s="64"/>
      <c r="BY1315" s="64"/>
      <c r="BZ1315" s="64"/>
      <c r="CA1315" s="64"/>
      <c r="CB1315" s="64"/>
      <c r="CC1315" s="64"/>
      <c r="CD1315" s="64"/>
      <c r="CE1315" s="64"/>
      <c r="CF1315" s="64"/>
      <c r="CG1315" s="64"/>
      <c r="CH1315" s="64"/>
      <c r="CI1315" s="64"/>
      <c r="CJ1315" s="64"/>
      <c r="CK1315" s="64"/>
      <c r="CL1315" s="64"/>
      <c r="CM1315" s="64"/>
      <c r="CN1315" s="64"/>
      <c r="CO1315" s="64"/>
      <c r="CP1315" s="64"/>
      <c r="CQ1315" s="64"/>
      <c r="CR1315" s="64"/>
      <c r="CS1315" s="64"/>
      <c r="CT1315" s="64"/>
      <c r="CU1315" s="64"/>
      <c r="CV1315" s="64"/>
      <c r="CW1315" s="64"/>
      <c r="CX1315" s="64"/>
    </row>
    <row r="1316" spans="1:102" x14ac:dyDescent="0.2">
      <c r="A1316" s="64"/>
      <c r="B1316" s="64"/>
      <c r="C1316" s="102"/>
      <c r="D1316" s="102"/>
      <c r="E1316" s="102"/>
      <c r="F1316" s="102"/>
      <c r="G1316" s="102"/>
      <c r="H1316" s="102"/>
      <c r="I1316" s="64"/>
      <c r="J1316" s="64"/>
      <c r="K1316" s="64"/>
      <c r="L1316" s="64"/>
      <c r="M1316" s="64"/>
      <c r="N1316" s="64"/>
      <c r="O1316" s="64"/>
      <c r="P1316" s="64"/>
      <c r="Q1316" s="64"/>
      <c r="R1316" s="64"/>
      <c r="S1316" s="64"/>
      <c r="T1316" s="64"/>
      <c r="U1316" s="64"/>
      <c r="V1316" s="64"/>
      <c r="W1316" s="64"/>
      <c r="X1316" s="64"/>
      <c r="Y1316" s="64"/>
      <c r="Z1316" s="64"/>
      <c r="AA1316" s="64"/>
      <c r="AB1316" s="64"/>
      <c r="AC1316" s="64"/>
      <c r="AD1316" s="64"/>
      <c r="AE1316" s="64"/>
      <c r="AF1316" s="64"/>
      <c r="AG1316" s="64"/>
      <c r="AH1316" s="64"/>
      <c r="AI1316" s="64"/>
      <c r="AJ1316" s="64"/>
      <c r="AK1316" s="64"/>
      <c r="AL1316" s="64"/>
      <c r="AM1316" s="64"/>
      <c r="AN1316" s="64"/>
      <c r="AO1316" s="64"/>
      <c r="AP1316" s="64"/>
      <c r="AQ1316" s="64"/>
      <c r="AR1316" s="64"/>
      <c r="AS1316" s="64"/>
      <c r="AT1316" s="64"/>
      <c r="AU1316" s="64"/>
      <c r="AV1316" s="64"/>
      <c r="AW1316" s="64"/>
      <c r="AX1316" s="64"/>
      <c r="AY1316" s="64"/>
      <c r="AZ1316" s="64"/>
      <c r="BA1316" s="64"/>
      <c r="BB1316" s="64"/>
      <c r="BC1316" s="64"/>
      <c r="BD1316" s="64"/>
      <c r="BE1316" s="64"/>
      <c r="BF1316" s="64"/>
      <c r="BG1316" s="64"/>
      <c r="BH1316" s="64"/>
      <c r="BI1316" s="64"/>
      <c r="BJ1316" s="64"/>
      <c r="BK1316" s="64"/>
      <c r="BL1316" s="64"/>
      <c r="BM1316" s="64"/>
      <c r="BN1316" s="64"/>
      <c r="BO1316" s="64"/>
      <c r="BP1316" s="64"/>
      <c r="BQ1316" s="64"/>
      <c r="BR1316" s="64"/>
      <c r="BS1316" s="64"/>
      <c r="BT1316" s="64"/>
      <c r="BU1316" s="64"/>
      <c r="BV1316" s="64"/>
      <c r="BW1316" s="64"/>
      <c r="BX1316" s="64"/>
      <c r="BY1316" s="64"/>
      <c r="BZ1316" s="64"/>
      <c r="CA1316" s="64"/>
      <c r="CB1316" s="64"/>
      <c r="CC1316" s="64"/>
      <c r="CD1316" s="64"/>
      <c r="CE1316" s="64"/>
      <c r="CF1316" s="64"/>
      <c r="CG1316" s="64"/>
      <c r="CH1316" s="64"/>
      <c r="CI1316" s="64"/>
      <c r="CJ1316" s="64"/>
      <c r="CK1316" s="64"/>
      <c r="CL1316" s="64"/>
      <c r="CM1316" s="64"/>
      <c r="CN1316" s="64"/>
      <c r="CO1316" s="64"/>
      <c r="CP1316" s="64"/>
      <c r="CQ1316" s="64"/>
      <c r="CR1316" s="64"/>
      <c r="CS1316" s="64"/>
      <c r="CT1316" s="64"/>
      <c r="CU1316" s="64"/>
      <c r="CV1316" s="64"/>
      <c r="CW1316" s="64"/>
      <c r="CX1316" s="64"/>
    </row>
    <row r="1317" spans="1:102" x14ac:dyDescent="0.2">
      <c r="A1317" s="64"/>
      <c r="B1317" s="64"/>
      <c r="C1317" s="102"/>
      <c r="D1317" s="102"/>
      <c r="E1317" s="102"/>
      <c r="F1317" s="102"/>
      <c r="G1317" s="102"/>
      <c r="H1317" s="102"/>
      <c r="I1317" s="64"/>
      <c r="J1317" s="64"/>
      <c r="K1317" s="64"/>
      <c r="L1317" s="64"/>
      <c r="M1317" s="64"/>
      <c r="N1317" s="64"/>
      <c r="O1317" s="64"/>
      <c r="P1317" s="64"/>
      <c r="Q1317" s="64"/>
      <c r="R1317" s="64"/>
      <c r="S1317" s="64"/>
      <c r="T1317" s="64"/>
      <c r="U1317" s="64"/>
      <c r="V1317" s="64"/>
      <c r="W1317" s="64"/>
      <c r="X1317" s="64"/>
      <c r="Y1317" s="64"/>
      <c r="Z1317" s="64"/>
      <c r="AA1317" s="64"/>
      <c r="AB1317" s="64"/>
      <c r="AC1317" s="64"/>
      <c r="AD1317" s="64"/>
      <c r="AE1317" s="64"/>
      <c r="AF1317" s="64"/>
      <c r="AG1317" s="64"/>
      <c r="AH1317" s="64"/>
      <c r="AI1317" s="64"/>
      <c r="AJ1317" s="64"/>
      <c r="AK1317" s="64"/>
      <c r="AL1317" s="64"/>
      <c r="AM1317" s="64"/>
      <c r="AN1317" s="64"/>
      <c r="AO1317" s="64"/>
      <c r="AP1317" s="64"/>
      <c r="AQ1317" s="64"/>
      <c r="AR1317" s="64"/>
      <c r="AS1317" s="64"/>
      <c r="AT1317" s="64"/>
      <c r="AU1317" s="64"/>
      <c r="AV1317" s="64"/>
      <c r="AW1317" s="64"/>
      <c r="AX1317" s="64"/>
      <c r="AY1317" s="64"/>
      <c r="AZ1317" s="64"/>
      <c r="BA1317" s="64"/>
      <c r="BB1317" s="64"/>
      <c r="BC1317" s="64"/>
      <c r="BD1317" s="64"/>
      <c r="BE1317" s="64"/>
      <c r="BF1317" s="64"/>
      <c r="BG1317" s="64"/>
      <c r="BH1317" s="64"/>
      <c r="BI1317" s="64"/>
      <c r="BJ1317" s="64"/>
      <c r="BK1317" s="64"/>
      <c r="BL1317" s="64"/>
      <c r="BM1317" s="64"/>
      <c r="BN1317" s="64"/>
      <c r="BO1317" s="64"/>
      <c r="BP1317" s="64"/>
      <c r="BQ1317" s="64"/>
      <c r="BR1317" s="64"/>
      <c r="BS1317" s="64"/>
      <c r="BT1317" s="64"/>
      <c r="BU1317" s="64"/>
      <c r="BV1317" s="64"/>
      <c r="BW1317" s="64"/>
      <c r="BX1317" s="64"/>
      <c r="BY1317" s="64"/>
      <c r="BZ1317" s="64"/>
      <c r="CA1317" s="64"/>
      <c r="CB1317" s="64"/>
      <c r="CC1317" s="64"/>
      <c r="CD1317" s="64"/>
      <c r="CE1317" s="64"/>
      <c r="CF1317" s="64"/>
      <c r="CG1317" s="64"/>
      <c r="CH1317" s="64"/>
      <c r="CI1317" s="64"/>
      <c r="CJ1317" s="64"/>
      <c r="CK1317" s="64"/>
      <c r="CL1317" s="64"/>
      <c r="CM1317" s="64"/>
      <c r="CN1317" s="64"/>
      <c r="CO1317" s="64"/>
      <c r="CP1317" s="64"/>
      <c r="CQ1317" s="64"/>
      <c r="CR1317" s="64"/>
      <c r="CS1317" s="64"/>
      <c r="CT1317" s="64"/>
      <c r="CU1317" s="64"/>
      <c r="CV1317" s="64"/>
      <c r="CW1317" s="64"/>
      <c r="CX1317" s="64"/>
    </row>
    <row r="1318" spans="1:102" x14ac:dyDescent="0.2">
      <c r="A1318" s="64"/>
      <c r="B1318" s="64"/>
      <c r="C1318" s="102"/>
      <c r="D1318" s="102"/>
      <c r="E1318" s="102"/>
      <c r="F1318" s="102"/>
      <c r="G1318" s="102"/>
      <c r="H1318" s="102"/>
      <c r="I1318" s="64"/>
      <c r="J1318" s="64"/>
      <c r="K1318" s="64"/>
      <c r="L1318" s="64"/>
      <c r="M1318" s="64"/>
      <c r="N1318" s="64"/>
      <c r="O1318" s="64"/>
      <c r="P1318" s="64"/>
      <c r="Q1318" s="64"/>
      <c r="R1318" s="64"/>
      <c r="S1318" s="64"/>
      <c r="T1318" s="64"/>
      <c r="U1318" s="64"/>
      <c r="V1318" s="64"/>
      <c r="W1318" s="64"/>
      <c r="X1318" s="64"/>
      <c r="Y1318" s="64"/>
      <c r="Z1318" s="64"/>
      <c r="AA1318" s="64"/>
      <c r="AB1318" s="64"/>
      <c r="AC1318" s="64"/>
      <c r="AD1318" s="64"/>
      <c r="AE1318" s="64"/>
      <c r="AF1318" s="64"/>
      <c r="AG1318" s="64"/>
      <c r="AH1318" s="64"/>
      <c r="AI1318" s="64"/>
      <c r="AJ1318" s="64"/>
      <c r="AK1318" s="64"/>
      <c r="AL1318" s="64"/>
      <c r="AM1318" s="64"/>
      <c r="AN1318" s="64"/>
      <c r="AO1318" s="64"/>
      <c r="AP1318" s="64"/>
      <c r="AQ1318" s="64"/>
      <c r="AR1318" s="64"/>
      <c r="AS1318" s="64"/>
      <c r="AT1318" s="64"/>
      <c r="AU1318" s="64"/>
      <c r="AV1318" s="64"/>
      <c r="AW1318" s="64"/>
      <c r="AX1318" s="64"/>
      <c r="AY1318" s="64"/>
      <c r="AZ1318" s="64"/>
      <c r="BA1318" s="64"/>
      <c r="BB1318" s="64"/>
      <c r="BC1318" s="64"/>
      <c r="BD1318" s="64"/>
      <c r="BE1318" s="64"/>
      <c r="BF1318" s="64"/>
      <c r="BG1318" s="64"/>
      <c r="BH1318" s="64"/>
      <c r="BI1318" s="64"/>
      <c r="BJ1318" s="64"/>
      <c r="BK1318" s="64"/>
      <c r="BL1318" s="64"/>
      <c r="BM1318" s="64"/>
      <c r="BN1318" s="64"/>
      <c r="BO1318" s="64"/>
      <c r="BP1318" s="64"/>
      <c r="BQ1318" s="64"/>
      <c r="BR1318" s="64"/>
      <c r="BS1318" s="64"/>
      <c r="BT1318" s="64"/>
      <c r="BU1318" s="64"/>
      <c r="BV1318" s="64"/>
      <c r="BW1318" s="64"/>
      <c r="BX1318" s="64"/>
      <c r="BY1318" s="64"/>
      <c r="BZ1318" s="64"/>
      <c r="CA1318" s="64"/>
      <c r="CB1318" s="64"/>
      <c r="CC1318" s="64"/>
      <c r="CD1318" s="64"/>
      <c r="CE1318" s="64"/>
      <c r="CF1318" s="64"/>
      <c r="CG1318" s="64"/>
      <c r="CH1318" s="64"/>
      <c r="CI1318" s="64"/>
      <c r="CJ1318" s="64"/>
      <c r="CK1318" s="64"/>
      <c r="CL1318" s="64"/>
      <c r="CM1318" s="64"/>
      <c r="CN1318" s="64"/>
      <c r="CO1318" s="64"/>
      <c r="CP1318" s="64"/>
      <c r="CQ1318" s="64"/>
      <c r="CR1318" s="64"/>
      <c r="CS1318" s="64"/>
      <c r="CT1318" s="64"/>
      <c r="CU1318" s="64"/>
      <c r="CV1318" s="64"/>
      <c r="CW1318" s="64"/>
      <c r="CX1318" s="64"/>
    </row>
    <row r="1319" spans="1:102" x14ac:dyDescent="0.2">
      <c r="A1319" s="64"/>
      <c r="B1319" s="64"/>
      <c r="C1319" s="102"/>
      <c r="D1319" s="102"/>
      <c r="E1319" s="102"/>
      <c r="F1319" s="102"/>
      <c r="G1319" s="102"/>
      <c r="H1319" s="102"/>
      <c r="I1319" s="64"/>
      <c r="J1319" s="64"/>
      <c r="K1319" s="64"/>
      <c r="L1319" s="64"/>
      <c r="M1319" s="64"/>
      <c r="N1319" s="64"/>
      <c r="O1319" s="64"/>
      <c r="P1319" s="64"/>
      <c r="Q1319" s="64"/>
      <c r="R1319" s="64"/>
      <c r="S1319" s="64"/>
      <c r="T1319" s="64"/>
      <c r="U1319" s="64"/>
      <c r="V1319" s="64"/>
      <c r="W1319" s="64"/>
      <c r="X1319" s="64"/>
      <c r="Y1319" s="64"/>
      <c r="Z1319" s="64"/>
      <c r="AA1319" s="64"/>
      <c r="AB1319" s="64"/>
      <c r="AC1319" s="64"/>
      <c r="AD1319" s="64"/>
      <c r="AE1319" s="64"/>
      <c r="AF1319" s="64"/>
      <c r="AG1319" s="64"/>
      <c r="AH1319" s="64"/>
      <c r="AI1319" s="64"/>
      <c r="AJ1319" s="64"/>
      <c r="AK1319" s="64"/>
      <c r="AL1319" s="64"/>
      <c r="AM1319" s="64"/>
      <c r="AN1319" s="64"/>
      <c r="AO1319" s="64"/>
      <c r="AP1319" s="64"/>
      <c r="AQ1319" s="64"/>
      <c r="AR1319" s="64"/>
      <c r="AS1319" s="64"/>
      <c r="AT1319" s="64"/>
      <c r="AU1319" s="64"/>
      <c r="AV1319" s="64"/>
      <c r="AW1319" s="64"/>
      <c r="AX1319" s="64"/>
      <c r="AY1319" s="64"/>
      <c r="AZ1319" s="64"/>
      <c r="BA1319" s="64"/>
      <c r="BB1319" s="64"/>
      <c r="BC1319" s="64"/>
      <c r="BD1319" s="64"/>
      <c r="BE1319" s="64"/>
      <c r="BF1319" s="64"/>
      <c r="BG1319" s="64"/>
      <c r="BH1319" s="64"/>
      <c r="BI1319" s="64"/>
      <c r="BJ1319" s="64"/>
      <c r="BK1319" s="64"/>
      <c r="BL1319" s="64"/>
      <c r="BM1319" s="64"/>
      <c r="BN1319" s="64"/>
      <c r="BO1319" s="64"/>
      <c r="BP1319" s="64"/>
      <c r="BQ1319" s="64"/>
      <c r="BR1319" s="64"/>
      <c r="BS1319" s="64"/>
      <c r="BT1319" s="64"/>
      <c r="BU1319" s="64"/>
      <c r="BV1319" s="64"/>
      <c r="BW1319" s="64"/>
      <c r="BX1319" s="64"/>
      <c r="BY1319" s="64"/>
      <c r="BZ1319" s="64"/>
      <c r="CA1319" s="64"/>
      <c r="CB1319" s="64"/>
      <c r="CC1319" s="64"/>
      <c r="CD1319" s="64"/>
      <c r="CE1319" s="64"/>
      <c r="CF1319" s="64"/>
      <c r="CG1319" s="64"/>
      <c r="CH1319" s="64"/>
      <c r="CI1319" s="64"/>
      <c r="CJ1319" s="64"/>
      <c r="CK1319" s="64"/>
      <c r="CL1319" s="64"/>
      <c r="CM1319" s="64"/>
      <c r="CN1319" s="64"/>
      <c r="CO1319" s="64"/>
      <c r="CP1319" s="64"/>
      <c r="CQ1319" s="64"/>
      <c r="CR1319" s="64"/>
      <c r="CS1319" s="64"/>
      <c r="CT1319" s="64"/>
      <c r="CU1319" s="64"/>
      <c r="CV1319" s="64"/>
      <c r="CW1319" s="64"/>
      <c r="CX1319" s="64"/>
    </row>
    <row r="1320" spans="1:102" x14ac:dyDescent="0.2">
      <c r="A1320" s="64"/>
      <c r="B1320" s="64"/>
      <c r="C1320" s="102"/>
      <c r="D1320" s="102"/>
      <c r="E1320" s="102"/>
      <c r="F1320" s="102"/>
      <c r="G1320" s="102"/>
      <c r="H1320" s="102"/>
      <c r="I1320" s="64"/>
      <c r="J1320" s="64"/>
      <c r="K1320" s="64"/>
      <c r="L1320" s="64"/>
      <c r="M1320" s="64"/>
      <c r="N1320" s="64"/>
      <c r="O1320" s="64"/>
      <c r="P1320" s="64"/>
      <c r="Q1320" s="64"/>
      <c r="R1320" s="64"/>
      <c r="S1320" s="64"/>
      <c r="T1320" s="64"/>
      <c r="U1320" s="64"/>
      <c r="V1320" s="64"/>
      <c r="W1320" s="64"/>
      <c r="X1320" s="64"/>
      <c r="Y1320" s="64"/>
      <c r="Z1320" s="64"/>
      <c r="AA1320" s="64"/>
      <c r="AB1320" s="64"/>
      <c r="AC1320" s="64"/>
      <c r="AD1320" s="64"/>
      <c r="AE1320" s="64"/>
      <c r="AF1320" s="64"/>
      <c r="AG1320" s="64"/>
      <c r="AH1320" s="64"/>
      <c r="AI1320" s="64"/>
      <c r="AJ1320" s="64"/>
      <c r="AK1320" s="64"/>
      <c r="AL1320" s="64"/>
      <c r="AM1320" s="64"/>
      <c r="AN1320" s="64"/>
      <c r="AO1320" s="64"/>
      <c r="AP1320" s="64"/>
      <c r="AQ1320" s="64"/>
      <c r="AR1320" s="64"/>
      <c r="AS1320" s="64"/>
      <c r="AT1320" s="64"/>
      <c r="AU1320" s="64"/>
      <c r="AV1320" s="64"/>
      <c r="AW1320" s="64"/>
      <c r="AX1320" s="64"/>
      <c r="AY1320" s="64"/>
      <c r="AZ1320" s="64"/>
      <c r="BA1320" s="64"/>
      <c r="BB1320" s="64"/>
      <c r="BC1320" s="64"/>
      <c r="BD1320" s="64"/>
      <c r="BE1320" s="64"/>
      <c r="BF1320" s="64"/>
      <c r="BG1320" s="64"/>
      <c r="BH1320" s="64"/>
      <c r="BI1320" s="64"/>
      <c r="BJ1320" s="64"/>
      <c r="BK1320" s="64"/>
      <c r="BL1320" s="64"/>
      <c r="BM1320" s="64"/>
      <c r="BN1320" s="64"/>
      <c r="BO1320" s="64"/>
      <c r="BP1320" s="64"/>
      <c r="BQ1320" s="64"/>
      <c r="BR1320" s="64"/>
      <c r="BS1320" s="64"/>
      <c r="BT1320" s="64"/>
      <c r="BU1320" s="64"/>
      <c r="BV1320" s="64"/>
      <c r="BW1320" s="64"/>
      <c r="BX1320" s="64"/>
      <c r="BY1320" s="64"/>
      <c r="BZ1320" s="64"/>
      <c r="CA1320" s="64"/>
      <c r="CB1320" s="64"/>
      <c r="CC1320" s="64"/>
      <c r="CD1320" s="64"/>
      <c r="CE1320" s="64"/>
      <c r="CF1320" s="64"/>
      <c r="CG1320" s="64"/>
      <c r="CH1320" s="64"/>
      <c r="CI1320" s="64"/>
      <c r="CJ1320" s="64"/>
      <c r="CK1320" s="64"/>
      <c r="CL1320" s="64"/>
      <c r="CM1320" s="64"/>
      <c r="CN1320" s="64"/>
      <c r="CO1320" s="64"/>
      <c r="CP1320" s="64"/>
      <c r="CQ1320" s="64"/>
      <c r="CR1320" s="64"/>
      <c r="CS1320" s="64"/>
      <c r="CT1320" s="64"/>
      <c r="CU1320" s="64"/>
      <c r="CV1320" s="64"/>
      <c r="CW1320" s="64"/>
      <c r="CX1320" s="64"/>
    </row>
    <row r="1321" spans="1:102" x14ac:dyDescent="0.2">
      <c r="A1321" s="64"/>
      <c r="B1321" s="64"/>
      <c r="C1321" s="102"/>
      <c r="D1321" s="102"/>
      <c r="E1321" s="102"/>
      <c r="F1321" s="102"/>
      <c r="G1321" s="102"/>
      <c r="H1321" s="102"/>
      <c r="I1321" s="64"/>
      <c r="J1321" s="64"/>
      <c r="K1321" s="64"/>
      <c r="L1321" s="64"/>
      <c r="M1321" s="64"/>
      <c r="N1321" s="64"/>
      <c r="O1321" s="64"/>
      <c r="P1321" s="64"/>
      <c r="Q1321" s="64"/>
      <c r="R1321" s="64"/>
      <c r="S1321" s="64"/>
      <c r="T1321" s="64"/>
      <c r="U1321" s="64"/>
      <c r="V1321" s="64"/>
      <c r="W1321" s="64"/>
      <c r="X1321" s="64"/>
      <c r="Y1321" s="64"/>
      <c r="Z1321" s="64"/>
      <c r="AA1321" s="64"/>
      <c r="AB1321" s="64"/>
      <c r="AC1321" s="64"/>
      <c r="AD1321" s="64"/>
      <c r="AE1321" s="64"/>
      <c r="AF1321" s="64"/>
      <c r="AG1321" s="64"/>
      <c r="AH1321" s="64"/>
      <c r="AI1321" s="64"/>
      <c r="AJ1321" s="64"/>
      <c r="AK1321" s="64"/>
      <c r="AL1321" s="64"/>
      <c r="AM1321" s="64"/>
      <c r="AN1321" s="64"/>
      <c r="AO1321" s="64"/>
      <c r="AP1321" s="64"/>
      <c r="AQ1321" s="64"/>
      <c r="AR1321" s="64"/>
      <c r="AS1321" s="64"/>
      <c r="AT1321" s="64"/>
      <c r="AU1321" s="64"/>
      <c r="AV1321" s="64"/>
      <c r="AW1321" s="64"/>
      <c r="AX1321" s="64"/>
      <c r="AY1321" s="64"/>
      <c r="AZ1321" s="64"/>
      <c r="BA1321" s="64"/>
      <c r="BB1321" s="64"/>
      <c r="BC1321" s="64"/>
      <c r="BD1321" s="64"/>
      <c r="BE1321" s="64"/>
      <c r="BF1321" s="64"/>
      <c r="BG1321" s="64"/>
      <c r="BH1321" s="64"/>
      <c r="BI1321" s="64"/>
      <c r="BJ1321" s="64"/>
      <c r="BK1321" s="64"/>
      <c r="BL1321" s="64"/>
      <c r="BM1321" s="64"/>
      <c r="BN1321" s="64"/>
      <c r="BO1321" s="64"/>
      <c r="BP1321" s="64"/>
      <c r="BQ1321" s="64"/>
      <c r="BR1321" s="64"/>
      <c r="BS1321" s="64"/>
      <c r="BT1321" s="64"/>
      <c r="BU1321" s="64"/>
      <c r="BV1321" s="64"/>
      <c r="BW1321" s="64"/>
      <c r="BX1321" s="64"/>
      <c r="BY1321" s="64"/>
      <c r="BZ1321" s="64"/>
      <c r="CA1321" s="64"/>
      <c r="CB1321" s="64"/>
      <c r="CC1321" s="64"/>
      <c r="CD1321" s="64"/>
      <c r="CE1321" s="64"/>
      <c r="CF1321" s="64"/>
      <c r="CG1321" s="64"/>
      <c r="CH1321" s="64"/>
      <c r="CI1321" s="64"/>
      <c r="CJ1321" s="64"/>
      <c r="CK1321" s="64"/>
      <c r="CL1321" s="64"/>
      <c r="CM1321" s="64"/>
      <c r="CN1321" s="64"/>
      <c r="CO1321" s="64"/>
      <c r="CP1321" s="64"/>
      <c r="CQ1321" s="64"/>
      <c r="CR1321" s="64"/>
      <c r="CS1321" s="64"/>
      <c r="CT1321" s="64"/>
      <c r="CU1321" s="64"/>
      <c r="CV1321" s="64"/>
      <c r="CW1321" s="64"/>
      <c r="CX1321" s="64"/>
    </row>
    <row r="1322" spans="1:102" x14ac:dyDescent="0.2">
      <c r="A1322" s="64"/>
      <c r="B1322" s="64"/>
      <c r="C1322" s="102"/>
      <c r="D1322" s="102"/>
      <c r="E1322" s="102"/>
      <c r="F1322" s="102"/>
      <c r="G1322" s="102"/>
      <c r="H1322" s="102"/>
      <c r="I1322" s="64"/>
      <c r="J1322" s="64"/>
      <c r="K1322" s="64"/>
      <c r="L1322" s="64"/>
      <c r="M1322" s="64"/>
      <c r="N1322" s="64"/>
      <c r="O1322" s="64"/>
      <c r="P1322" s="64"/>
      <c r="Q1322" s="64"/>
      <c r="R1322" s="64"/>
      <c r="S1322" s="64"/>
      <c r="T1322" s="64"/>
      <c r="U1322" s="64"/>
      <c r="V1322" s="64"/>
      <c r="W1322" s="64"/>
      <c r="X1322" s="64"/>
      <c r="Y1322" s="64"/>
      <c r="Z1322" s="64"/>
      <c r="AA1322" s="64"/>
      <c r="AB1322" s="64"/>
      <c r="AC1322" s="64"/>
      <c r="AD1322" s="64"/>
      <c r="AE1322" s="64"/>
      <c r="AF1322" s="64"/>
      <c r="AG1322" s="64"/>
      <c r="AH1322" s="64"/>
      <c r="AI1322" s="64"/>
      <c r="AJ1322" s="64"/>
      <c r="AK1322" s="64"/>
      <c r="AL1322" s="64"/>
      <c r="AM1322" s="64"/>
      <c r="AN1322" s="64"/>
      <c r="AO1322" s="64"/>
      <c r="AP1322" s="64"/>
      <c r="AQ1322" s="64"/>
      <c r="AR1322" s="64"/>
      <c r="AS1322" s="64"/>
      <c r="AT1322" s="64"/>
      <c r="AU1322" s="64"/>
      <c r="AV1322" s="64"/>
      <c r="AW1322" s="64"/>
      <c r="AX1322" s="64"/>
      <c r="AY1322" s="64"/>
      <c r="AZ1322" s="64"/>
      <c r="BA1322" s="64"/>
      <c r="BB1322" s="64"/>
      <c r="BC1322" s="64"/>
      <c r="BD1322" s="64"/>
      <c r="BE1322" s="64"/>
      <c r="BF1322" s="64"/>
      <c r="BG1322" s="64"/>
      <c r="BH1322" s="64"/>
      <c r="BI1322" s="64"/>
      <c r="BJ1322" s="64"/>
      <c r="BK1322" s="64"/>
      <c r="BL1322" s="64"/>
      <c r="BM1322" s="64"/>
      <c r="BN1322" s="64"/>
      <c r="BO1322" s="64"/>
      <c r="BP1322" s="64"/>
      <c r="BQ1322" s="64"/>
      <c r="BR1322" s="64"/>
      <c r="BS1322" s="64"/>
      <c r="BT1322" s="64"/>
      <c r="BU1322" s="64"/>
      <c r="BV1322" s="64"/>
      <c r="BW1322" s="64"/>
      <c r="BX1322" s="64"/>
      <c r="BY1322" s="64"/>
      <c r="BZ1322" s="64"/>
      <c r="CA1322" s="64"/>
      <c r="CB1322" s="64"/>
      <c r="CC1322" s="64"/>
      <c r="CD1322" s="64"/>
      <c r="CE1322" s="64"/>
      <c r="CF1322" s="64"/>
      <c r="CG1322" s="64"/>
      <c r="CH1322" s="64"/>
      <c r="CI1322" s="64"/>
      <c r="CJ1322" s="64"/>
      <c r="CK1322" s="64"/>
      <c r="CL1322" s="64"/>
      <c r="CM1322" s="64"/>
      <c r="CN1322" s="64"/>
      <c r="CO1322" s="64"/>
      <c r="CP1322" s="64"/>
      <c r="CQ1322" s="64"/>
      <c r="CR1322" s="64"/>
      <c r="CS1322" s="64"/>
      <c r="CT1322" s="64"/>
      <c r="CU1322" s="64"/>
      <c r="CV1322" s="64"/>
      <c r="CW1322" s="64"/>
      <c r="CX1322" s="64"/>
    </row>
    <row r="1323" spans="1:102" x14ac:dyDescent="0.2">
      <c r="A1323" s="64"/>
      <c r="B1323" s="64"/>
      <c r="C1323" s="102"/>
      <c r="D1323" s="102"/>
      <c r="E1323" s="102"/>
      <c r="F1323" s="102"/>
      <c r="G1323" s="102"/>
      <c r="H1323" s="102"/>
      <c r="I1323" s="64"/>
      <c r="J1323" s="64"/>
      <c r="K1323" s="64"/>
      <c r="L1323" s="64"/>
      <c r="M1323" s="64"/>
      <c r="N1323" s="64"/>
      <c r="O1323" s="64"/>
      <c r="P1323" s="64"/>
      <c r="Q1323" s="64"/>
      <c r="R1323" s="64"/>
      <c r="S1323" s="64"/>
      <c r="T1323" s="64"/>
      <c r="U1323" s="64"/>
      <c r="V1323" s="64"/>
      <c r="W1323" s="64"/>
      <c r="X1323" s="64"/>
      <c r="Y1323" s="64"/>
      <c r="Z1323" s="64"/>
      <c r="AA1323" s="64"/>
      <c r="AB1323" s="64"/>
      <c r="AC1323" s="64"/>
      <c r="AD1323" s="64"/>
      <c r="AE1323" s="64"/>
      <c r="AF1323" s="64"/>
      <c r="AG1323" s="64"/>
      <c r="AH1323" s="64"/>
      <c r="AI1323" s="64"/>
      <c r="AJ1323" s="64"/>
      <c r="AK1323" s="64"/>
      <c r="AL1323" s="64"/>
      <c r="AM1323" s="64"/>
      <c r="AN1323" s="64"/>
      <c r="AO1323" s="64"/>
      <c r="AP1323" s="64"/>
      <c r="AQ1323" s="64"/>
      <c r="AR1323" s="64"/>
      <c r="AS1323" s="64"/>
      <c r="AT1323" s="64"/>
      <c r="AU1323" s="64"/>
      <c r="AV1323" s="64"/>
      <c r="AW1323" s="64"/>
      <c r="AX1323" s="64"/>
      <c r="AY1323" s="64"/>
      <c r="AZ1323" s="64"/>
      <c r="BA1323" s="64"/>
      <c r="BB1323" s="64"/>
      <c r="BC1323" s="64"/>
      <c r="BD1323" s="64"/>
      <c r="BE1323" s="64"/>
      <c r="BF1323" s="64"/>
      <c r="BG1323" s="64"/>
      <c r="BH1323" s="64"/>
      <c r="BI1323" s="64"/>
      <c r="BJ1323" s="64"/>
      <c r="BK1323" s="64"/>
      <c r="BL1323" s="64"/>
      <c r="BM1323" s="64"/>
      <c r="BN1323" s="64"/>
      <c r="BO1323" s="64"/>
      <c r="BP1323" s="64"/>
      <c r="BQ1323" s="64"/>
      <c r="BR1323" s="64"/>
      <c r="BS1323" s="64"/>
      <c r="BT1323" s="64"/>
      <c r="BU1323" s="64"/>
      <c r="BV1323" s="64"/>
      <c r="BW1323" s="64"/>
      <c r="BX1323" s="64"/>
      <c r="BY1323" s="64"/>
      <c r="BZ1323" s="64"/>
      <c r="CA1323" s="64"/>
      <c r="CB1323" s="64"/>
      <c r="CC1323" s="64"/>
      <c r="CD1323" s="64"/>
      <c r="CE1323" s="64"/>
      <c r="CF1323" s="64"/>
      <c r="CG1323" s="64"/>
      <c r="CH1323" s="64"/>
      <c r="CI1323" s="64"/>
      <c r="CJ1323" s="64"/>
      <c r="CK1323" s="64"/>
      <c r="CL1323" s="64"/>
      <c r="CM1323" s="64"/>
      <c r="CN1323" s="64"/>
      <c r="CO1323" s="64"/>
      <c r="CP1323" s="64"/>
      <c r="CQ1323" s="64"/>
      <c r="CR1323" s="64"/>
      <c r="CS1323" s="64"/>
      <c r="CT1323" s="64"/>
      <c r="CU1323" s="64"/>
      <c r="CV1323" s="64"/>
      <c r="CW1323" s="64"/>
      <c r="CX1323" s="64"/>
    </row>
    <row r="1324" spans="1:102" x14ac:dyDescent="0.2">
      <c r="A1324" s="64"/>
      <c r="B1324" s="64"/>
      <c r="C1324" s="102"/>
      <c r="D1324" s="102"/>
      <c r="E1324" s="102"/>
      <c r="F1324" s="102"/>
      <c r="G1324" s="102"/>
      <c r="H1324" s="102"/>
      <c r="I1324" s="64"/>
      <c r="J1324" s="64"/>
      <c r="K1324" s="64"/>
      <c r="L1324" s="64"/>
      <c r="M1324" s="64"/>
      <c r="N1324" s="64"/>
      <c r="O1324" s="64"/>
      <c r="P1324" s="64"/>
      <c r="Q1324" s="64"/>
      <c r="R1324" s="64"/>
      <c r="S1324" s="64"/>
      <c r="T1324" s="64"/>
      <c r="U1324" s="64"/>
      <c r="V1324" s="64"/>
      <c r="W1324" s="64"/>
      <c r="X1324" s="64"/>
      <c r="Y1324" s="64"/>
      <c r="Z1324" s="64"/>
      <c r="AA1324" s="64"/>
      <c r="AB1324" s="64"/>
      <c r="AC1324" s="64"/>
      <c r="AD1324" s="64"/>
      <c r="AE1324" s="64"/>
      <c r="AF1324" s="64"/>
      <c r="AG1324" s="64"/>
      <c r="AH1324" s="64"/>
      <c r="AI1324" s="64"/>
      <c r="AJ1324" s="64"/>
      <c r="AK1324" s="64"/>
      <c r="AL1324" s="64"/>
      <c r="AM1324" s="64"/>
      <c r="AN1324" s="64"/>
      <c r="AO1324" s="64"/>
      <c r="AP1324" s="64"/>
      <c r="AQ1324" s="64"/>
      <c r="AR1324" s="64"/>
      <c r="AS1324" s="64"/>
      <c r="AT1324" s="64"/>
      <c r="AU1324" s="64"/>
      <c r="AV1324" s="64"/>
      <c r="AW1324" s="64"/>
      <c r="AX1324" s="64"/>
      <c r="AY1324" s="64"/>
      <c r="AZ1324" s="64"/>
      <c r="BA1324" s="64"/>
      <c r="BB1324" s="64"/>
      <c r="BC1324" s="64"/>
      <c r="BD1324" s="64"/>
      <c r="BE1324" s="64"/>
      <c r="BF1324" s="64"/>
      <c r="BG1324" s="64"/>
      <c r="BH1324" s="64"/>
      <c r="BI1324" s="64"/>
      <c r="BJ1324" s="64"/>
      <c r="BK1324" s="64"/>
      <c r="BL1324" s="64"/>
      <c r="BM1324" s="64"/>
      <c r="BN1324" s="64"/>
      <c r="BO1324" s="64"/>
      <c r="BP1324" s="64"/>
      <c r="BQ1324" s="64"/>
      <c r="BR1324" s="64"/>
      <c r="BS1324" s="64"/>
      <c r="BT1324" s="64"/>
      <c r="BU1324" s="64"/>
      <c r="BV1324" s="64"/>
      <c r="BW1324" s="64"/>
      <c r="BX1324" s="64"/>
      <c r="BY1324" s="64"/>
      <c r="BZ1324" s="64"/>
      <c r="CA1324" s="64"/>
      <c r="CB1324" s="64"/>
      <c r="CC1324" s="64"/>
      <c r="CD1324" s="64"/>
      <c r="CE1324" s="64"/>
      <c r="CF1324" s="64"/>
      <c r="CG1324" s="64"/>
      <c r="CH1324" s="64"/>
      <c r="CI1324" s="64"/>
      <c r="CJ1324" s="64"/>
      <c r="CK1324" s="64"/>
      <c r="CL1324" s="64"/>
      <c r="CM1324" s="64"/>
      <c r="CN1324" s="64"/>
      <c r="CO1324" s="64"/>
      <c r="CP1324" s="64"/>
      <c r="CQ1324" s="64"/>
      <c r="CR1324" s="64"/>
      <c r="CS1324" s="64"/>
      <c r="CT1324" s="64"/>
      <c r="CU1324" s="64"/>
      <c r="CV1324" s="64"/>
      <c r="CW1324" s="64"/>
      <c r="CX1324" s="64"/>
    </row>
    <row r="1325" spans="1:102" x14ac:dyDescent="0.2">
      <c r="A1325" s="64"/>
      <c r="B1325" s="64"/>
      <c r="C1325" s="102"/>
      <c r="D1325" s="102"/>
      <c r="E1325" s="102"/>
      <c r="F1325" s="102"/>
      <c r="G1325" s="102"/>
      <c r="H1325" s="102"/>
      <c r="I1325" s="64"/>
      <c r="J1325" s="64"/>
      <c r="K1325" s="64"/>
      <c r="L1325" s="64"/>
      <c r="M1325" s="64"/>
      <c r="N1325" s="64"/>
      <c r="O1325" s="64"/>
      <c r="P1325" s="64"/>
      <c r="Q1325" s="64"/>
      <c r="R1325" s="64"/>
      <c r="S1325" s="64"/>
      <c r="T1325" s="64"/>
      <c r="U1325" s="64"/>
      <c r="V1325" s="64"/>
      <c r="W1325" s="64"/>
      <c r="X1325" s="64"/>
      <c r="Y1325" s="64"/>
      <c r="Z1325" s="64"/>
      <c r="AA1325" s="64"/>
      <c r="AB1325" s="64"/>
      <c r="AC1325" s="64"/>
      <c r="AD1325" s="64"/>
      <c r="AE1325" s="64"/>
      <c r="AF1325" s="64"/>
      <c r="AG1325" s="64"/>
      <c r="AH1325" s="64"/>
      <c r="AI1325" s="64"/>
      <c r="AJ1325" s="64"/>
      <c r="AK1325" s="64"/>
      <c r="AL1325" s="64"/>
      <c r="AM1325" s="64"/>
      <c r="AN1325" s="64"/>
      <c r="AO1325" s="64"/>
      <c r="AP1325" s="64"/>
      <c r="AQ1325" s="64"/>
      <c r="AR1325" s="64"/>
      <c r="AS1325" s="64"/>
      <c r="AT1325" s="64"/>
      <c r="AU1325" s="64"/>
      <c r="AV1325" s="64"/>
      <c r="AW1325" s="64"/>
      <c r="AX1325" s="64"/>
      <c r="AY1325" s="64"/>
      <c r="AZ1325" s="64"/>
      <c r="BA1325" s="64"/>
      <c r="BB1325" s="64"/>
      <c r="BC1325" s="64"/>
      <c r="BD1325" s="64"/>
      <c r="BE1325" s="64"/>
      <c r="BF1325" s="64"/>
      <c r="BG1325" s="64"/>
      <c r="BH1325" s="64"/>
      <c r="BI1325" s="64"/>
      <c r="BJ1325" s="64"/>
      <c r="BK1325" s="64"/>
      <c r="BL1325" s="64"/>
      <c r="BM1325" s="64"/>
      <c r="BN1325" s="64"/>
      <c r="BO1325" s="64"/>
      <c r="BP1325" s="64"/>
      <c r="BQ1325" s="64"/>
      <c r="BR1325" s="64"/>
      <c r="BS1325" s="64"/>
      <c r="BT1325" s="64"/>
      <c r="BU1325" s="64"/>
      <c r="BV1325" s="64"/>
      <c r="BW1325" s="64"/>
      <c r="BX1325" s="64"/>
      <c r="BY1325" s="64"/>
      <c r="BZ1325" s="64"/>
      <c r="CA1325" s="64"/>
      <c r="CB1325" s="64"/>
      <c r="CC1325" s="64"/>
      <c r="CD1325" s="64"/>
      <c r="CE1325" s="64"/>
      <c r="CF1325" s="64"/>
      <c r="CG1325" s="64"/>
      <c r="CH1325" s="64"/>
      <c r="CI1325" s="64"/>
      <c r="CJ1325" s="64"/>
      <c r="CK1325" s="64"/>
      <c r="CL1325" s="64"/>
      <c r="CM1325" s="64"/>
      <c r="CN1325" s="64"/>
      <c r="CO1325" s="64"/>
      <c r="CP1325" s="64"/>
      <c r="CQ1325" s="64"/>
      <c r="CR1325" s="64"/>
      <c r="CS1325" s="64"/>
      <c r="CT1325" s="64"/>
      <c r="CU1325" s="64"/>
      <c r="CV1325" s="64"/>
      <c r="CW1325" s="64"/>
      <c r="CX1325" s="64"/>
    </row>
    <row r="1326" spans="1:102" x14ac:dyDescent="0.2">
      <c r="A1326" s="64"/>
      <c r="B1326" s="64"/>
      <c r="C1326" s="102"/>
      <c r="D1326" s="102"/>
      <c r="E1326" s="102"/>
      <c r="F1326" s="102"/>
      <c r="G1326" s="102"/>
      <c r="H1326" s="102"/>
      <c r="I1326" s="64"/>
      <c r="J1326" s="64"/>
      <c r="K1326" s="64"/>
      <c r="L1326" s="64"/>
      <c r="M1326" s="64"/>
      <c r="N1326" s="64"/>
      <c r="O1326" s="64"/>
      <c r="P1326" s="64"/>
      <c r="Q1326" s="64"/>
      <c r="R1326" s="64"/>
      <c r="S1326" s="64"/>
      <c r="T1326" s="64"/>
      <c r="U1326" s="64"/>
      <c r="V1326" s="64"/>
      <c r="W1326" s="64"/>
      <c r="X1326" s="64"/>
      <c r="Y1326" s="64"/>
      <c r="Z1326" s="64"/>
      <c r="AA1326" s="64"/>
      <c r="AB1326" s="64"/>
      <c r="AC1326" s="64"/>
      <c r="AD1326" s="64"/>
      <c r="AE1326" s="64"/>
      <c r="AF1326" s="64"/>
      <c r="AG1326" s="64"/>
      <c r="AH1326" s="64"/>
      <c r="AI1326" s="64"/>
      <c r="AJ1326" s="64"/>
      <c r="AK1326" s="64"/>
      <c r="AL1326" s="64"/>
      <c r="AM1326" s="64"/>
      <c r="AN1326" s="64"/>
      <c r="AO1326" s="64"/>
      <c r="AP1326" s="64"/>
      <c r="AQ1326" s="64"/>
      <c r="AR1326" s="64"/>
      <c r="AS1326" s="64"/>
      <c r="AT1326" s="64"/>
      <c r="AU1326" s="64"/>
      <c r="AV1326" s="64"/>
      <c r="AW1326" s="64"/>
      <c r="AX1326" s="64"/>
      <c r="AY1326" s="64"/>
      <c r="AZ1326" s="64"/>
      <c r="BA1326" s="64"/>
      <c r="BB1326" s="64"/>
      <c r="BC1326" s="64"/>
      <c r="BD1326" s="64"/>
      <c r="BE1326" s="64"/>
      <c r="BF1326" s="64"/>
      <c r="BG1326" s="64"/>
      <c r="BH1326" s="64"/>
      <c r="BI1326" s="64"/>
      <c r="BJ1326" s="64"/>
      <c r="BK1326" s="64"/>
      <c r="BL1326" s="64"/>
      <c r="BM1326" s="64"/>
      <c r="BN1326" s="64"/>
      <c r="BO1326" s="64"/>
      <c r="BP1326" s="64"/>
      <c r="BQ1326" s="64"/>
      <c r="BR1326" s="64"/>
      <c r="BS1326" s="64"/>
      <c r="BT1326" s="64"/>
      <c r="BU1326" s="64"/>
      <c r="BV1326" s="64"/>
      <c r="BW1326" s="64"/>
      <c r="BX1326" s="64"/>
      <c r="BY1326" s="64"/>
      <c r="BZ1326" s="64"/>
      <c r="CA1326" s="64"/>
      <c r="CB1326" s="64"/>
      <c r="CC1326" s="64"/>
      <c r="CD1326" s="64"/>
      <c r="CE1326" s="64"/>
      <c r="CF1326" s="64"/>
      <c r="CG1326" s="64"/>
      <c r="CH1326" s="64"/>
      <c r="CI1326" s="64"/>
      <c r="CJ1326" s="64"/>
      <c r="CK1326" s="64"/>
      <c r="CL1326" s="64"/>
      <c r="CM1326" s="64"/>
      <c r="CN1326" s="64"/>
      <c r="CO1326" s="64"/>
      <c r="CP1326" s="64"/>
      <c r="CQ1326" s="64"/>
      <c r="CR1326" s="64"/>
      <c r="CS1326" s="64"/>
      <c r="CT1326" s="64"/>
      <c r="CU1326" s="64"/>
      <c r="CV1326" s="64"/>
      <c r="CW1326" s="64"/>
      <c r="CX1326" s="64"/>
    </row>
    <row r="1327" spans="1:102" x14ac:dyDescent="0.2">
      <c r="A1327" s="64"/>
      <c r="B1327" s="64"/>
      <c r="C1327" s="102"/>
      <c r="D1327" s="102"/>
      <c r="E1327" s="102"/>
      <c r="F1327" s="102"/>
      <c r="G1327" s="102"/>
      <c r="H1327" s="102"/>
      <c r="I1327" s="64"/>
      <c r="J1327" s="64"/>
      <c r="K1327" s="64"/>
      <c r="L1327" s="64"/>
      <c r="M1327" s="64"/>
      <c r="N1327" s="64"/>
      <c r="O1327" s="64"/>
      <c r="P1327" s="64"/>
      <c r="Q1327" s="64"/>
      <c r="R1327" s="64"/>
      <c r="S1327" s="64"/>
      <c r="T1327" s="64"/>
      <c r="U1327" s="64"/>
      <c r="V1327" s="64"/>
      <c r="W1327" s="64"/>
      <c r="X1327" s="64"/>
      <c r="Y1327" s="64"/>
      <c r="Z1327" s="64"/>
      <c r="AA1327" s="64"/>
      <c r="AB1327" s="64"/>
      <c r="AC1327" s="64"/>
      <c r="AD1327" s="64"/>
      <c r="AE1327" s="64"/>
      <c r="AF1327" s="64"/>
      <c r="AG1327" s="64"/>
      <c r="AH1327" s="64"/>
      <c r="AI1327" s="64"/>
      <c r="AJ1327" s="64"/>
      <c r="AK1327" s="64"/>
      <c r="AL1327" s="64"/>
      <c r="AM1327" s="64"/>
      <c r="AN1327" s="64"/>
      <c r="AO1327" s="64"/>
      <c r="AP1327" s="64"/>
      <c r="AQ1327" s="64"/>
      <c r="AR1327" s="64"/>
      <c r="AS1327" s="64"/>
      <c r="AT1327" s="64"/>
      <c r="AU1327" s="64"/>
      <c r="AV1327" s="64"/>
      <c r="AW1327" s="64"/>
      <c r="AX1327" s="64"/>
      <c r="AY1327" s="64"/>
      <c r="AZ1327" s="64"/>
      <c r="BA1327" s="64"/>
      <c r="BB1327" s="64"/>
      <c r="BC1327" s="64"/>
      <c r="BD1327" s="64"/>
      <c r="BE1327" s="64"/>
      <c r="BF1327" s="64"/>
      <c r="BG1327" s="64"/>
      <c r="BH1327" s="64"/>
      <c r="BI1327" s="64"/>
      <c r="BJ1327" s="64"/>
      <c r="BK1327" s="64"/>
      <c r="BL1327" s="64"/>
      <c r="BM1327" s="64"/>
      <c r="BN1327" s="64"/>
      <c r="BO1327" s="64"/>
      <c r="BP1327" s="64"/>
      <c r="BQ1327" s="64"/>
      <c r="BR1327" s="64"/>
      <c r="BS1327" s="64"/>
      <c r="BT1327" s="64"/>
      <c r="BU1327" s="64"/>
      <c r="BV1327" s="64"/>
      <c r="BW1327" s="64"/>
      <c r="BX1327" s="64"/>
      <c r="BY1327" s="64"/>
      <c r="BZ1327" s="64"/>
      <c r="CA1327" s="64"/>
      <c r="CB1327" s="64"/>
      <c r="CC1327" s="64"/>
      <c r="CD1327" s="64"/>
      <c r="CE1327" s="64"/>
      <c r="CF1327" s="64"/>
      <c r="CG1327" s="64"/>
      <c r="CH1327" s="64"/>
      <c r="CI1327" s="64"/>
      <c r="CJ1327" s="64"/>
      <c r="CK1327" s="64"/>
      <c r="CL1327" s="64"/>
      <c r="CM1327" s="64"/>
      <c r="CN1327" s="64"/>
      <c r="CO1327" s="64"/>
      <c r="CP1327" s="64"/>
      <c r="CQ1327" s="64"/>
      <c r="CR1327" s="64"/>
      <c r="CS1327" s="64"/>
      <c r="CT1327" s="64"/>
      <c r="CU1327" s="64"/>
      <c r="CV1327" s="64"/>
      <c r="CW1327" s="64"/>
      <c r="CX1327" s="64"/>
    </row>
    <row r="1328" spans="1:102" x14ac:dyDescent="0.2">
      <c r="A1328" s="64"/>
      <c r="B1328" s="64"/>
      <c r="C1328" s="102"/>
      <c r="D1328" s="102"/>
      <c r="E1328" s="102"/>
      <c r="F1328" s="102"/>
      <c r="G1328" s="102"/>
      <c r="H1328" s="102"/>
      <c r="I1328" s="64"/>
      <c r="J1328" s="64"/>
      <c r="K1328" s="64"/>
      <c r="L1328" s="64"/>
      <c r="M1328" s="64"/>
      <c r="N1328" s="64"/>
      <c r="O1328" s="64"/>
      <c r="P1328" s="64"/>
      <c r="Q1328" s="64"/>
      <c r="R1328" s="64"/>
      <c r="S1328" s="64"/>
      <c r="T1328" s="64"/>
      <c r="U1328" s="64"/>
      <c r="V1328" s="64"/>
      <c r="W1328" s="64"/>
      <c r="X1328" s="64"/>
      <c r="Y1328" s="64"/>
      <c r="Z1328" s="64"/>
      <c r="AA1328" s="64"/>
      <c r="AB1328" s="64"/>
      <c r="AC1328" s="64"/>
      <c r="AD1328" s="64"/>
      <c r="AE1328" s="64"/>
      <c r="AF1328" s="64"/>
      <c r="AG1328" s="64"/>
      <c r="AH1328" s="64"/>
      <c r="AI1328" s="64"/>
      <c r="AJ1328" s="64"/>
      <c r="AK1328" s="64"/>
      <c r="AL1328" s="64"/>
      <c r="AM1328" s="64"/>
      <c r="AN1328" s="64"/>
      <c r="AO1328" s="64"/>
      <c r="AP1328" s="64"/>
      <c r="AQ1328" s="64"/>
      <c r="AR1328" s="64"/>
      <c r="AS1328" s="64"/>
      <c r="AT1328" s="64"/>
      <c r="AU1328" s="64"/>
      <c r="AV1328" s="64"/>
      <c r="AW1328" s="64"/>
      <c r="AX1328" s="64"/>
      <c r="AY1328" s="64"/>
      <c r="AZ1328" s="64"/>
      <c r="BA1328" s="64"/>
      <c r="BB1328" s="64"/>
      <c r="BC1328" s="64"/>
      <c r="BD1328" s="64"/>
      <c r="BE1328" s="64"/>
      <c r="BF1328" s="64"/>
      <c r="BG1328" s="64"/>
      <c r="BH1328" s="64"/>
      <c r="BI1328" s="64"/>
      <c r="BJ1328" s="64"/>
      <c r="BK1328" s="64"/>
      <c r="BL1328" s="64"/>
      <c r="BM1328" s="64"/>
      <c r="BN1328" s="64"/>
      <c r="BO1328" s="64"/>
      <c r="BP1328" s="64"/>
      <c r="BQ1328" s="64"/>
      <c r="BR1328" s="64"/>
      <c r="BS1328" s="64"/>
      <c r="BT1328" s="64"/>
      <c r="BU1328" s="64"/>
      <c r="BV1328" s="64"/>
      <c r="BW1328" s="64"/>
      <c r="BX1328" s="64"/>
      <c r="BY1328" s="64"/>
      <c r="BZ1328" s="64"/>
      <c r="CA1328" s="64"/>
      <c r="CB1328" s="64"/>
      <c r="CC1328" s="64"/>
      <c r="CD1328" s="64"/>
      <c r="CE1328" s="64"/>
      <c r="CF1328" s="64"/>
      <c r="CG1328" s="64"/>
      <c r="CH1328" s="64"/>
      <c r="CI1328" s="64"/>
      <c r="CJ1328" s="64"/>
      <c r="CK1328" s="64"/>
      <c r="CL1328" s="64"/>
      <c r="CM1328" s="64"/>
      <c r="CN1328" s="64"/>
      <c r="CO1328" s="64"/>
      <c r="CP1328" s="64"/>
      <c r="CQ1328" s="64"/>
      <c r="CR1328" s="64"/>
      <c r="CS1328" s="64"/>
      <c r="CT1328" s="64"/>
      <c r="CU1328" s="64"/>
      <c r="CV1328" s="64"/>
      <c r="CW1328" s="64"/>
      <c r="CX1328" s="64"/>
    </row>
    <row r="1329" spans="1:102" x14ac:dyDescent="0.2">
      <c r="A1329" s="64"/>
      <c r="B1329" s="64"/>
      <c r="C1329" s="102"/>
      <c r="D1329" s="102"/>
      <c r="E1329" s="102"/>
      <c r="F1329" s="102"/>
      <c r="G1329" s="102"/>
      <c r="H1329" s="102"/>
      <c r="I1329" s="64"/>
      <c r="J1329" s="64"/>
      <c r="K1329" s="64"/>
      <c r="L1329" s="64"/>
      <c r="M1329" s="64"/>
      <c r="N1329" s="64"/>
      <c r="O1329" s="64"/>
      <c r="P1329" s="64"/>
      <c r="Q1329" s="64"/>
      <c r="R1329" s="64"/>
      <c r="S1329" s="64"/>
      <c r="T1329" s="64"/>
      <c r="U1329" s="64"/>
      <c r="V1329" s="64"/>
      <c r="W1329" s="64"/>
      <c r="X1329" s="64"/>
      <c r="Y1329" s="64"/>
      <c r="Z1329" s="64"/>
      <c r="AA1329" s="64"/>
      <c r="AB1329" s="64"/>
      <c r="AC1329" s="64"/>
      <c r="AD1329" s="64"/>
      <c r="AE1329" s="64"/>
      <c r="AF1329" s="64"/>
      <c r="AG1329" s="64"/>
      <c r="AH1329" s="64"/>
      <c r="AI1329" s="64"/>
      <c r="AJ1329" s="64"/>
      <c r="AK1329" s="64"/>
      <c r="AL1329" s="64"/>
      <c r="AM1329" s="64"/>
      <c r="AN1329" s="64"/>
      <c r="AO1329" s="64"/>
      <c r="AP1329" s="64"/>
      <c r="AQ1329" s="64"/>
      <c r="AR1329" s="64"/>
      <c r="AS1329" s="64"/>
      <c r="AT1329" s="64"/>
      <c r="AU1329" s="64"/>
      <c r="AV1329" s="64"/>
      <c r="AW1329" s="64"/>
      <c r="AX1329" s="64"/>
      <c r="AY1329" s="64"/>
      <c r="AZ1329" s="64"/>
      <c r="BA1329" s="64"/>
      <c r="BB1329" s="64"/>
      <c r="BC1329" s="64"/>
      <c r="BD1329" s="64"/>
      <c r="BE1329" s="64"/>
      <c r="BF1329" s="64"/>
      <c r="BG1329" s="64"/>
      <c r="BH1329" s="64"/>
      <c r="BI1329" s="64"/>
      <c r="BJ1329" s="64"/>
      <c r="BK1329" s="64"/>
      <c r="BL1329" s="64"/>
      <c r="BM1329" s="64"/>
      <c r="BN1329" s="64"/>
      <c r="BO1329" s="64"/>
      <c r="BP1329" s="64"/>
      <c r="BQ1329" s="64"/>
      <c r="BR1329" s="64"/>
      <c r="BS1329" s="64"/>
      <c r="BT1329" s="64"/>
      <c r="BU1329" s="64"/>
      <c r="BV1329" s="64"/>
      <c r="BW1329" s="64"/>
      <c r="BX1329" s="64"/>
      <c r="BY1329" s="64"/>
      <c r="BZ1329" s="64"/>
      <c r="CA1329" s="64"/>
      <c r="CB1329" s="64"/>
      <c r="CC1329" s="64"/>
      <c r="CD1329" s="64"/>
      <c r="CE1329" s="64"/>
      <c r="CF1329" s="64"/>
      <c r="CG1329" s="64"/>
      <c r="CH1329" s="64"/>
      <c r="CI1329" s="64"/>
      <c r="CJ1329" s="64"/>
      <c r="CK1329" s="64"/>
      <c r="CL1329" s="64"/>
      <c r="CM1329" s="64"/>
      <c r="CN1329" s="64"/>
      <c r="CO1329" s="64"/>
      <c r="CP1329" s="64"/>
      <c r="CQ1329" s="64"/>
      <c r="CR1329" s="64"/>
      <c r="CS1329" s="64"/>
      <c r="CT1329" s="64"/>
      <c r="CU1329" s="64"/>
      <c r="CV1329" s="64"/>
      <c r="CW1329" s="64"/>
      <c r="CX1329" s="64"/>
    </row>
    <row r="1330" spans="1:102" x14ac:dyDescent="0.2">
      <c r="A1330" s="64"/>
      <c r="B1330" s="64"/>
      <c r="C1330" s="102"/>
      <c r="D1330" s="102"/>
      <c r="E1330" s="102"/>
      <c r="F1330" s="102"/>
      <c r="G1330" s="102"/>
      <c r="H1330" s="102"/>
      <c r="I1330" s="64"/>
      <c r="J1330" s="64"/>
      <c r="K1330" s="64"/>
      <c r="L1330" s="64"/>
      <c r="M1330" s="64"/>
      <c r="N1330" s="64"/>
      <c r="O1330" s="64"/>
      <c r="P1330" s="64"/>
      <c r="Q1330" s="64"/>
      <c r="R1330" s="64"/>
      <c r="S1330" s="64"/>
      <c r="T1330" s="64"/>
      <c r="U1330" s="64"/>
      <c r="V1330" s="64"/>
      <c r="W1330" s="64"/>
      <c r="X1330" s="64"/>
      <c r="Y1330" s="64"/>
      <c r="Z1330" s="64"/>
      <c r="AA1330" s="64"/>
      <c r="AB1330" s="64"/>
      <c r="AC1330" s="64"/>
      <c r="AD1330" s="64"/>
      <c r="AE1330" s="64"/>
      <c r="AF1330" s="64"/>
      <c r="AG1330" s="64"/>
      <c r="AH1330" s="64"/>
      <c r="AI1330" s="64"/>
      <c r="AJ1330" s="64"/>
      <c r="AK1330" s="64"/>
      <c r="AL1330" s="64"/>
      <c r="AM1330" s="64"/>
      <c r="AN1330" s="64"/>
      <c r="AO1330" s="64"/>
      <c r="AP1330" s="64"/>
      <c r="AQ1330" s="64"/>
      <c r="AR1330" s="64"/>
      <c r="AS1330" s="64"/>
      <c r="AT1330" s="64"/>
      <c r="AU1330" s="64"/>
      <c r="AV1330" s="64"/>
      <c r="AW1330" s="64"/>
      <c r="AX1330" s="64"/>
      <c r="AY1330" s="64"/>
      <c r="AZ1330" s="64"/>
      <c r="BA1330" s="64"/>
      <c r="BB1330" s="64"/>
      <c r="BC1330" s="64"/>
      <c r="BD1330" s="64"/>
      <c r="BE1330" s="64"/>
      <c r="BF1330" s="64"/>
      <c r="BG1330" s="64"/>
      <c r="BH1330" s="64"/>
      <c r="BI1330" s="64"/>
      <c r="BJ1330" s="64"/>
      <c r="BK1330" s="64"/>
      <c r="BL1330" s="64"/>
      <c r="BM1330" s="64"/>
      <c r="BN1330" s="64"/>
      <c r="BO1330" s="64"/>
      <c r="BP1330" s="64"/>
      <c r="BQ1330" s="64"/>
      <c r="BR1330" s="64"/>
      <c r="BS1330" s="64"/>
      <c r="BT1330" s="64"/>
      <c r="BU1330" s="64"/>
      <c r="BV1330" s="64"/>
      <c r="BW1330" s="64"/>
      <c r="BX1330" s="64"/>
      <c r="BY1330" s="64"/>
      <c r="BZ1330" s="64"/>
      <c r="CA1330" s="64"/>
      <c r="CB1330" s="64"/>
      <c r="CC1330" s="64"/>
      <c r="CD1330" s="64"/>
      <c r="CE1330" s="64"/>
      <c r="CF1330" s="64"/>
      <c r="CG1330" s="64"/>
      <c r="CH1330" s="64"/>
      <c r="CI1330" s="64"/>
      <c r="CJ1330" s="64"/>
      <c r="CK1330" s="64"/>
      <c r="CL1330" s="64"/>
      <c r="CM1330" s="64"/>
      <c r="CN1330" s="64"/>
      <c r="CO1330" s="64"/>
      <c r="CP1330" s="64"/>
      <c r="CQ1330" s="64"/>
      <c r="CR1330" s="64"/>
      <c r="CS1330" s="64"/>
      <c r="CT1330" s="64"/>
      <c r="CU1330" s="64"/>
      <c r="CV1330" s="64"/>
      <c r="CW1330" s="64"/>
      <c r="CX1330" s="64"/>
    </row>
    <row r="1331" spans="1:102" x14ac:dyDescent="0.2">
      <c r="A1331" s="64"/>
      <c r="B1331" s="64"/>
      <c r="C1331" s="102"/>
      <c r="D1331" s="102"/>
      <c r="E1331" s="102"/>
      <c r="F1331" s="102"/>
      <c r="G1331" s="102"/>
      <c r="H1331" s="102"/>
      <c r="I1331" s="64"/>
      <c r="J1331" s="64"/>
      <c r="K1331" s="64"/>
      <c r="L1331" s="64"/>
      <c r="M1331" s="64"/>
      <c r="N1331" s="64"/>
      <c r="O1331" s="64"/>
      <c r="P1331" s="64"/>
      <c r="Q1331" s="64"/>
      <c r="R1331" s="64"/>
      <c r="S1331" s="64"/>
      <c r="T1331" s="64"/>
      <c r="U1331" s="64"/>
      <c r="V1331" s="64"/>
      <c r="W1331" s="64"/>
      <c r="X1331" s="64"/>
      <c r="Y1331" s="64"/>
      <c r="Z1331" s="64"/>
      <c r="AA1331" s="64"/>
      <c r="AB1331" s="64"/>
      <c r="AC1331" s="64"/>
      <c r="AD1331" s="64"/>
      <c r="AE1331" s="64"/>
      <c r="AF1331" s="64"/>
      <c r="AG1331" s="64"/>
      <c r="AH1331" s="64"/>
      <c r="AI1331" s="64"/>
      <c r="AJ1331" s="64"/>
      <c r="AK1331" s="64"/>
      <c r="AL1331" s="64"/>
      <c r="AM1331" s="64"/>
      <c r="AN1331" s="64"/>
      <c r="AO1331" s="64"/>
      <c r="AP1331" s="64"/>
      <c r="AQ1331" s="64"/>
      <c r="AR1331" s="64"/>
      <c r="AS1331" s="64"/>
      <c r="AT1331" s="64"/>
      <c r="AU1331" s="64"/>
      <c r="AV1331" s="64"/>
      <c r="AW1331" s="64"/>
      <c r="AX1331" s="64"/>
      <c r="AY1331" s="64"/>
      <c r="AZ1331" s="64"/>
      <c r="BA1331" s="64"/>
      <c r="BB1331" s="64"/>
      <c r="BC1331" s="64"/>
      <c r="BD1331" s="64"/>
      <c r="BE1331" s="64"/>
      <c r="BF1331" s="64"/>
      <c r="BG1331" s="64"/>
      <c r="BH1331" s="64"/>
      <c r="BI1331" s="64"/>
      <c r="BJ1331" s="64"/>
      <c r="BK1331" s="64"/>
      <c r="BL1331" s="64"/>
      <c r="BM1331" s="64"/>
      <c r="BN1331" s="64"/>
      <c r="BO1331" s="64"/>
      <c r="BP1331" s="64"/>
      <c r="BQ1331" s="64"/>
      <c r="BR1331" s="64"/>
      <c r="BS1331" s="64"/>
      <c r="BT1331" s="64"/>
      <c r="BU1331" s="64"/>
      <c r="BV1331" s="64"/>
      <c r="BW1331" s="64"/>
      <c r="BX1331" s="64"/>
      <c r="BY1331" s="64"/>
      <c r="BZ1331" s="64"/>
      <c r="CA1331" s="64"/>
      <c r="CB1331" s="64"/>
      <c r="CC1331" s="64"/>
      <c r="CD1331" s="64"/>
      <c r="CE1331" s="64"/>
      <c r="CF1331" s="64"/>
      <c r="CG1331" s="64"/>
      <c r="CH1331" s="64"/>
      <c r="CI1331" s="64"/>
      <c r="CJ1331" s="64"/>
      <c r="CK1331" s="64"/>
      <c r="CL1331" s="64"/>
      <c r="CM1331" s="64"/>
      <c r="CN1331" s="64"/>
      <c r="CO1331" s="64"/>
      <c r="CP1331" s="64"/>
      <c r="CQ1331" s="64"/>
      <c r="CR1331" s="64"/>
      <c r="CS1331" s="64"/>
      <c r="CT1331" s="64"/>
      <c r="CU1331" s="64"/>
      <c r="CV1331" s="64"/>
      <c r="CW1331" s="64"/>
      <c r="CX1331" s="64"/>
    </row>
    <row r="1332" spans="1:102" x14ac:dyDescent="0.2">
      <c r="A1332" s="64"/>
      <c r="B1332" s="64"/>
      <c r="C1332" s="102"/>
      <c r="D1332" s="102"/>
      <c r="E1332" s="102"/>
      <c r="F1332" s="102"/>
      <c r="G1332" s="102"/>
      <c r="H1332" s="102"/>
      <c r="I1332" s="64"/>
      <c r="J1332" s="64"/>
      <c r="K1332" s="64"/>
      <c r="L1332" s="64"/>
      <c r="M1332" s="64"/>
      <c r="N1332" s="64"/>
      <c r="O1332" s="64"/>
      <c r="P1332" s="64"/>
      <c r="Q1332" s="64"/>
      <c r="R1332" s="64"/>
      <c r="S1332" s="64"/>
      <c r="T1332" s="64"/>
      <c r="U1332" s="64"/>
      <c r="V1332" s="64"/>
      <c r="W1332" s="64"/>
      <c r="X1332" s="64"/>
      <c r="Y1332" s="64"/>
      <c r="Z1332" s="64"/>
      <c r="AA1332" s="64"/>
      <c r="AB1332" s="64"/>
      <c r="AC1332" s="64"/>
      <c r="AD1332" s="64"/>
      <c r="AE1332" s="64"/>
      <c r="AF1332" s="64"/>
      <c r="AG1332" s="64"/>
      <c r="AH1332" s="64"/>
      <c r="AI1332" s="64"/>
      <c r="AJ1332" s="64"/>
      <c r="AK1332" s="64"/>
      <c r="AL1332" s="64"/>
      <c r="AM1332" s="64"/>
      <c r="AN1332" s="64"/>
      <c r="AO1332" s="64"/>
      <c r="AP1332" s="64"/>
      <c r="AQ1332" s="64"/>
      <c r="AR1332" s="64"/>
      <c r="AS1332" s="64"/>
      <c r="AT1332" s="64"/>
      <c r="AU1332" s="64"/>
      <c r="AV1332" s="64"/>
      <c r="AW1332" s="64"/>
      <c r="AX1332" s="64"/>
      <c r="AY1332" s="64"/>
      <c r="AZ1332" s="64"/>
      <c r="BA1332" s="64"/>
      <c r="BB1332" s="64"/>
      <c r="BC1332" s="64"/>
      <c r="BD1332" s="64"/>
      <c r="BE1332" s="64"/>
      <c r="BF1332" s="64"/>
      <c r="BG1332" s="64"/>
      <c r="BH1332" s="64"/>
      <c r="BI1332" s="64"/>
      <c r="BJ1332" s="64"/>
      <c r="BK1332" s="64"/>
      <c r="BL1332" s="64"/>
      <c r="BM1332" s="64"/>
      <c r="BN1332" s="64"/>
      <c r="BO1332" s="64"/>
      <c r="BP1332" s="64"/>
      <c r="BQ1332" s="64"/>
      <c r="BR1332" s="64"/>
      <c r="BS1332" s="64"/>
      <c r="BT1332" s="64"/>
      <c r="BU1332" s="64"/>
      <c r="BV1332" s="64"/>
      <c r="BW1332" s="64"/>
      <c r="BX1332" s="64"/>
      <c r="BY1332" s="64"/>
      <c r="BZ1332" s="64"/>
      <c r="CA1332" s="64"/>
      <c r="CB1332" s="64"/>
      <c r="CC1332" s="64"/>
      <c r="CD1332" s="64"/>
      <c r="CE1332" s="64"/>
      <c r="CF1332" s="64"/>
      <c r="CG1332" s="64"/>
      <c r="CH1332" s="64"/>
      <c r="CI1332" s="64"/>
      <c r="CJ1332" s="64"/>
      <c r="CK1332" s="64"/>
      <c r="CL1332" s="64"/>
      <c r="CM1332" s="64"/>
      <c r="CN1332" s="64"/>
      <c r="CO1332" s="64"/>
      <c r="CP1332" s="64"/>
      <c r="CQ1332" s="64"/>
      <c r="CR1332" s="64"/>
      <c r="CS1332" s="64"/>
      <c r="CT1332" s="64"/>
      <c r="CU1332" s="64"/>
      <c r="CV1332" s="64"/>
      <c r="CW1332" s="64"/>
      <c r="CX1332" s="64"/>
    </row>
    <row r="1333" spans="1:102" x14ac:dyDescent="0.2">
      <c r="A1333" s="64"/>
      <c r="B1333" s="64"/>
      <c r="C1333" s="102"/>
      <c r="D1333" s="102"/>
      <c r="E1333" s="102"/>
      <c r="F1333" s="102"/>
      <c r="G1333" s="102"/>
      <c r="H1333" s="102"/>
      <c r="I1333" s="64"/>
      <c r="J1333" s="64"/>
      <c r="K1333" s="64"/>
      <c r="L1333" s="64"/>
      <c r="M1333" s="64"/>
      <c r="N1333" s="64"/>
      <c r="O1333" s="64"/>
      <c r="P1333" s="64"/>
      <c r="Q1333" s="64"/>
      <c r="R1333" s="64"/>
      <c r="S1333" s="64"/>
      <c r="T1333" s="64"/>
      <c r="U1333" s="64"/>
      <c r="V1333" s="64"/>
      <c r="W1333" s="64"/>
      <c r="X1333" s="64"/>
      <c r="Y1333" s="64"/>
      <c r="Z1333" s="64"/>
      <c r="AA1333" s="64"/>
      <c r="AB1333" s="64"/>
      <c r="AC1333" s="64"/>
      <c r="AD1333" s="64"/>
      <c r="AE1333" s="64"/>
      <c r="AF1333" s="64"/>
      <c r="AG1333" s="64"/>
      <c r="AH1333" s="64"/>
      <c r="AI1333" s="64"/>
      <c r="AJ1333" s="64"/>
      <c r="AK1333" s="64"/>
      <c r="AL1333" s="64"/>
      <c r="AM1333" s="64"/>
      <c r="AN1333" s="64"/>
      <c r="AO1333" s="64"/>
      <c r="AP1333" s="64"/>
      <c r="AQ1333" s="64"/>
      <c r="AR1333" s="64"/>
      <c r="AS1333" s="64"/>
      <c r="AT1333" s="64"/>
      <c r="AU1333" s="64"/>
      <c r="AV1333" s="64"/>
      <c r="AW1333" s="64"/>
      <c r="AX1333" s="64"/>
      <c r="AY1333" s="64"/>
      <c r="AZ1333" s="64"/>
      <c r="BA1333" s="64"/>
      <c r="BB1333" s="64"/>
      <c r="BC1333" s="64"/>
      <c r="BD1333" s="64"/>
      <c r="BE1333" s="64"/>
      <c r="BF1333" s="64"/>
      <c r="BG1333" s="64"/>
      <c r="BH1333" s="64"/>
      <c r="BI1333" s="64"/>
      <c r="BJ1333" s="64"/>
      <c r="BK1333" s="64"/>
      <c r="BL1333" s="64"/>
      <c r="BM1333" s="64"/>
      <c r="BN1333" s="64"/>
      <c r="BO1333" s="64"/>
      <c r="BP1333" s="64"/>
      <c r="BQ1333" s="64"/>
      <c r="BR1333" s="64"/>
      <c r="BS1333" s="64"/>
      <c r="BT1333" s="64"/>
      <c r="BU1333" s="64"/>
      <c r="BV1333" s="64"/>
      <c r="BW1333" s="64"/>
      <c r="BX1333" s="64"/>
      <c r="BY1333" s="64"/>
      <c r="BZ1333" s="64"/>
      <c r="CA1333" s="64"/>
      <c r="CB1333" s="64"/>
      <c r="CC1333" s="64"/>
      <c r="CD1333" s="64"/>
      <c r="CE1333" s="64"/>
      <c r="CF1333" s="64"/>
      <c r="CG1333" s="64"/>
      <c r="CH1333" s="64"/>
      <c r="CI1333" s="64"/>
      <c r="CJ1333" s="64"/>
      <c r="CK1333" s="64"/>
      <c r="CL1333" s="64"/>
      <c r="CM1333" s="64"/>
      <c r="CN1333" s="64"/>
      <c r="CO1333" s="64"/>
      <c r="CP1333" s="64"/>
      <c r="CQ1333" s="64"/>
      <c r="CR1333" s="64"/>
      <c r="CS1333" s="64"/>
      <c r="CT1333" s="64"/>
      <c r="CU1333" s="64"/>
      <c r="CV1333" s="64"/>
      <c r="CW1333" s="64"/>
      <c r="CX1333" s="64"/>
    </row>
    <row r="1334" spans="1:102" x14ac:dyDescent="0.2">
      <c r="A1334" s="64"/>
      <c r="B1334" s="64"/>
      <c r="C1334" s="102"/>
      <c r="D1334" s="102"/>
      <c r="E1334" s="102"/>
      <c r="F1334" s="102"/>
      <c r="G1334" s="102"/>
      <c r="H1334" s="102"/>
      <c r="I1334" s="64"/>
      <c r="J1334" s="64"/>
      <c r="K1334" s="64"/>
      <c r="L1334" s="64"/>
      <c r="M1334" s="64"/>
      <c r="N1334" s="64"/>
      <c r="O1334" s="64"/>
      <c r="P1334" s="64"/>
      <c r="Q1334" s="64"/>
      <c r="R1334" s="64"/>
      <c r="S1334" s="64"/>
      <c r="T1334" s="64"/>
      <c r="U1334" s="64"/>
      <c r="V1334" s="64"/>
      <c r="W1334" s="64"/>
      <c r="X1334" s="64"/>
      <c r="Y1334" s="64"/>
      <c r="Z1334" s="64"/>
      <c r="AA1334" s="64"/>
      <c r="AB1334" s="64"/>
      <c r="AC1334" s="64"/>
      <c r="AD1334" s="64"/>
      <c r="AE1334" s="64"/>
      <c r="AF1334" s="64"/>
      <c r="AG1334" s="64"/>
      <c r="AH1334" s="64"/>
      <c r="AI1334" s="64"/>
      <c r="AJ1334" s="64"/>
      <c r="AK1334" s="64"/>
      <c r="AL1334" s="64"/>
      <c r="AM1334" s="64"/>
      <c r="AN1334" s="64"/>
      <c r="AO1334" s="64"/>
      <c r="AP1334" s="64"/>
      <c r="AQ1334" s="64"/>
      <c r="AR1334" s="64"/>
      <c r="AS1334" s="64"/>
      <c r="AT1334" s="64"/>
      <c r="AU1334" s="64"/>
      <c r="AV1334" s="64"/>
      <c r="AW1334" s="64"/>
      <c r="AX1334" s="64"/>
      <c r="AY1334" s="64"/>
      <c r="AZ1334" s="64"/>
      <c r="BA1334" s="64"/>
      <c r="BB1334" s="64"/>
      <c r="BC1334" s="64"/>
      <c r="BD1334" s="64"/>
      <c r="BE1334" s="64"/>
      <c r="BF1334" s="64"/>
      <c r="BG1334" s="64"/>
      <c r="BH1334" s="64"/>
      <c r="BI1334" s="64"/>
      <c r="BJ1334" s="64"/>
      <c r="BK1334" s="64"/>
      <c r="BL1334" s="64"/>
      <c r="BM1334" s="64"/>
      <c r="BN1334" s="64"/>
      <c r="BO1334" s="64"/>
      <c r="BP1334" s="64"/>
      <c r="BQ1334" s="64"/>
      <c r="BR1334" s="64"/>
      <c r="BS1334" s="64"/>
      <c r="BT1334" s="64"/>
      <c r="BU1334" s="64"/>
      <c r="BV1334" s="64"/>
      <c r="BW1334" s="64"/>
      <c r="BX1334" s="64"/>
      <c r="BY1334" s="64"/>
      <c r="BZ1334" s="64"/>
      <c r="CA1334" s="64"/>
      <c r="CB1334" s="64"/>
      <c r="CC1334" s="64"/>
      <c r="CD1334" s="64"/>
      <c r="CE1334" s="64"/>
      <c r="CF1334" s="64"/>
      <c r="CG1334" s="64"/>
      <c r="CH1334" s="64"/>
      <c r="CI1334" s="64"/>
      <c r="CJ1334" s="64"/>
      <c r="CK1334" s="64"/>
      <c r="CL1334" s="64"/>
      <c r="CM1334" s="64"/>
      <c r="CN1334" s="64"/>
      <c r="CO1334" s="64"/>
      <c r="CP1334" s="64"/>
      <c r="CQ1334" s="64"/>
      <c r="CR1334" s="64"/>
      <c r="CS1334" s="64"/>
      <c r="CT1334" s="64"/>
      <c r="CU1334" s="64"/>
      <c r="CV1334" s="64"/>
      <c r="CW1334" s="64"/>
      <c r="CX1334" s="64"/>
    </row>
    <row r="1335" spans="1:102" x14ac:dyDescent="0.2">
      <c r="A1335" s="103"/>
      <c r="B1335" s="103"/>
      <c r="C1335" s="94"/>
      <c r="D1335" s="94"/>
      <c r="E1335" s="94"/>
      <c r="F1335" s="94"/>
      <c r="G1335" s="94"/>
      <c r="H1335" s="94"/>
    </row>
  </sheetData>
  <dataValidations count="1">
    <dataValidation type="list" allowBlank="1" showInputMessage="1" showErrorMessage="1" sqref="B3:B63" xr:uid="{66F70A7E-8A9D-4D3D-81AF-4A0CB7336D7D}">
      <formula1>Roles</formula1>
    </dataValidation>
  </dataValidations>
  <pageMargins left="0.7" right="0.7" top="0.75" bottom="0.75" header="0.3" footer="0.3"/>
  <pageSetup orientation="portrait" r:id="rId1"/>
  <headerFooter>
    <oddFooter>&amp;R_x000D_&amp;1#&amp;"Calibri"&amp;10&amp;K000000 Official Use Only</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15FE2-8CFE-401C-9147-4C5A778D8CBD}">
  <sheetPr filterMode="1">
    <tabColor theme="7" tint="0.79998168889431442"/>
  </sheetPr>
  <dimension ref="A1:DM5629"/>
  <sheetViews>
    <sheetView tabSelected="1" zoomScaleNormal="100" workbookViewId="0">
      <pane ySplit="1" topLeftCell="A46" activePane="bottomLeft" state="frozen"/>
      <selection pane="bottomLeft" activeCell="C46" sqref="C46"/>
    </sheetView>
  </sheetViews>
  <sheetFormatPr baseColWidth="10" defaultColWidth="9.1640625" defaultRowHeight="15" x14ac:dyDescent="0.2"/>
  <cols>
    <col min="1" max="1" width="47.5" style="52" customWidth="1"/>
    <col min="2" max="2" width="41.33203125" style="52" customWidth="1"/>
    <col min="3" max="3" width="29.6640625" style="52" customWidth="1"/>
    <col min="4" max="4" width="36.6640625" style="47" customWidth="1"/>
    <col min="5" max="5" width="76.1640625" style="47" customWidth="1"/>
    <col min="6" max="7" width="23.33203125" style="47" customWidth="1"/>
    <col min="8" max="8" width="67.83203125" style="47" customWidth="1"/>
    <col min="9" max="9" width="23.33203125" style="47" customWidth="1"/>
    <col min="10" max="16384" width="9.1640625" style="46"/>
  </cols>
  <sheetData>
    <row r="1" spans="1:117" s="63" customFormat="1" ht="16" x14ac:dyDescent="0.2">
      <c r="A1" s="97" t="s">
        <v>310</v>
      </c>
      <c r="B1" s="97" t="s">
        <v>126</v>
      </c>
      <c r="C1" s="97" t="s">
        <v>127</v>
      </c>
      <c r="D1" s="98" t="s">
        <v>311</v>
      </c>
      <c r="E1" s="98" t="s">
        <v>554</v>
      </c>
      <c r="F1" s="98" t="s">
        <v>401</v>
      </c>
      <c r="G1" s="98" t="s">
        <v>555</v>
      </c>
      <c r="H1" s="98" t="s">
        <v>403</v>
      </c>
      <c r="I1" s="98" t="s">
        <v>264</v>
      </c>
    </row>
    <row r="2" spans="1:117" s="47" customFormat="1" ht="128" hidden="1" x14ac:dyDescent="0.2">
      <c r="A2" s="47" t="str">
        <f>'Bottlenecks - Outcome'!A2</f>
        <v>Achieving Basic Education for All</v>
      </c>
      <c r="B2" s="47" t="str">
        <f>'Bottlenecks - Outcome'!B2</f>
        <v>1. Insufficient Stakeholder Commitment to Policy Action</v>
      </c>
      <c r="C2" s="47" t="str">
        <f>'Bottlenecks - Outcome'!C2</f>
        <v>1.1 Inadequate commitment of political and technical leadership to policy action and associated resource mobilization and use within or across sectors</v>
      </c>
      <c r="D2" s="47" t="s">
        <v>312</v>
      </c>
      <c r="E2" s="48" t="s">
        <v>913</v>
      </c>
      <c r="F2" s="47" t="s">
        <v>514</v>
      </c>
      <c r="G2" s="47" t="s">
        <v>419</v>
      </c>
      <c r="H2" s="47" t="s">
        <v>872</v>
      </c>
      <c r="I2" s="47" t="s">
        <v>266</v>
      </c>
      <c r="J2" s="48"/>
      <c r="K2" s="48"/>
      <c r="L2" s="48"/>
      <c r="M2" s="48"/>
      <c r="N2" s="48"/>
      <c r="O2" s="48"/>
      <c r="P2" s="48"/>
      <c r="Q2" s="48"/>
      <c r="R2" s="48"/>
      <c r="S2" s="48"/>
      <c r="T2" s="48"/>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row>
    <row r="3" spans="1:117" s="47" customFormat="1" ht="115.5" hidden="1" customHeight="1" x14ac:dyDescent="0.2">
      <c r="A3" s="47" t="str">
        <f>'Bottlenecks - Outcome'!A3</f>
        <v>Achieving Basic Education for All</v>
      </c>
      <c r="B3" s="47" t="str">
        <f>'Bottlenecks - Outcome'!B3</f>
        <v>1. Insufficient Stakeholder Commitment to Policy Action</v>
      </c>
      <c r="C3" s="47" t="str">
        <f>'Bottlenecks - Outcome'!C3</f>
        <v>1.2 Inadequately broad-based stakeholder involvement, understanding and support for policy action and associated resource mobilization and use</v>
      </c>
      <c r="D3" s="47" t="str">
        <f>'Bottlenecks - Outcome'!D3</f>
        <v>Insufficient stakeholder involvement in policy development, within and across levels of government, educational institutions, teacher organizations and funders, toward implementing and adhering to education policies.</v>
      </c>
      <c r="E3" s="47" t="s">
        <v>935</v>
      </c>
      <c r="F3" s="47" t="s">
        <v>512</v>
      </c>
      <c r="G3" s="47" t="s">
        <v>876</v>
      </c>
      <c r="H3" s="47" t="s">
        <v>936</v>
      </c>
      <c r="I3" s="47" t="s">
        <v>266</v>
      </c>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8"/>
      <c r="AQ3" s="48"/>
      <c r="AR3" s="48"/>
      <c r="AS3" s="48"/>
      <c r="AT3" s="48"/>
      <c r="AU3" s="48"/>
      <c r="AV3" s="48"/>
      <c r="AW3" s="48"/>
      <c r="AX3" s="48"/>
      <c r="AY3" s="48"/>
      <c r="AZ3" s="48"/>
      <c r="BA3" s="48"/>
      <c r="BB3" s="48"/>
      <c r="BC3" s="48"/>
      <c r="BD3" s="48"/>
      <c r="BE3" s="48"/>
      <c r="BF3" s="48"/>
      <c r="BG3" s="48"/>
      <c r="BH3" s="48"/>
      <c r="BI3" s="48"/>
      <c r="BJ3" s="48"/>
      <c r="BK3" s="48"/>
      <c r="BL3" s="48"/>
      <c r="BM3" s="48"/>
      <c r="BN3" s="48"/>
      <c r="BO3" s="48"/>
      <c r="BP3" s="48"/>
      <c r="BQ3" s="48"/>
      <c r="BR3" s="48"/>
      <c r="BS3" s="48"/>
      <c r="BT3" s="48"/>
      <c r="BU3" s="48"/>
      <c r="BV3" s="48"/>
      <c r="BW3" s="48"/>
      <c r="BX3" s="48"/>
      <c r="BY3" s="48"/>
      <c r="BZ3" s="48"/>
      <c r="CA3" s="48"/>
      <c r="CB3" s="48"/>
      <c r="CC3" s="48"/>
      <c r="CD3" s="48"/>
      <c r="CE3" s="48"/>
      <c r="CF3" s="48"/>
      <c r="CG3" s="48"/>
      <c r="CH3" s="48"/>
      <c r="CI3" s="48"/>
      <c r="CJ3" s="48"/>
      <c r="CK3" s="48"/>
      <c r="CL3" s="48"/>
      <c r="CM3" s="48"/>
      <c r="CN3" s="48"/>
      <c r="CO3" s="48"/>
      <c r="CP3" s="48"/>
      <c r="CQ3" s="48"/>
      <c r="CR3" s="48"/>
      <c r="CS3" s="48"/>
      <c r="CT3" s="48"/>
      <c r="CU3" s="48"/>
      <c r="CV3" s="48"/>
      <c r="CW3" s="48"/>
      <c r="CX3" s="48"/>
      <c r="CY3" s="48"/>
      <c r="CZ3" s="48"/>
      <c r="DA3" s="48"/>
      <c r="DB3" s="48"/>
      <c r="DC3" s="48"/>
      <c r="DD3" s="48"/>
      <c r="DE3" s="48"/>
      <c r="DF3" s="48"/>
      <c r="DG3" s="48"/>
      <c r="DH3" s="48"/>
      <c r="DI3" s="48"/>
      <c r="DJ3" s="48"/>
      <c r="DK3" s="48"/>
      <c r="DL3" s="48"/>
      <c r="DM3" s="48"/>
    </row>
    <row r="4" spans="1:117" s="47" customFormat="1" ht="80" hidden="1" x14ac:dyDescent="0.2">
      <c r="A4" s="47" t="str">
        <f>'Bottlenecks - Outcome'!A4</f>
        <v>Achieving Basic Education for All</v>
      </c>
      <c r="B4" s="47" t="str">
        <f>'Bottlenecks - Outcome'!B4</f>
        <v>2. Incoherence and fragmentation of policy</v>
      </c>
      <c r="C4" s="47" t="str">
        <f>'Bottlenecks - Outcome'!C4</f>
        <v>2.1 Fragmented, inconsistent, uncoordinated and poorly prioritized policies across or within sectors</v>
      </c>
      <c r="D4" s="47" t="str">
        <f>'Bottlenecks - Outcome'!D4</f>
        <v xml:space="preserve">Education policies may be fragmented and lack coherence or clear prioritization within and across levels of education, government and departments, leading to inefficient and inconsistent implementation. </v>
      </c>
      <c r="E4" s="47" t="s">
        <v>937</v>
      </c>
      <c r="F4" s="47" t="s">
        <v>512</v>
      </c>
      <c r="G4" s="47">
        <v>2001</v>
      </c>
      <c r="H4" s="47" t="s">
        <v>938</v>
      </c>
      <c r="I4" s="47" t="s">
        <v>266</v>
      </c>
      <c r="J4" s="48"/>
      <c r="K4" s="48"/>
      <c r="L4" s="48"/>
      <c r="M4" s="48"/>
      <c r="N4" s="48"/>
      <c r="O4" s="48"/>
      <c r="P4" s="48"/>
      <c r="Q4" s="48"/>
      <c r="R4" s="48"/>
      <c r="S4" s="48"/>
      <c r="T4" s="48"/>
      <c r="U4" s="48"/>
      <c r="V4" s="48"/>
      <c r="W4" s="48"/>
      <c r="X4" s="48"/>
      <c r="Y4" s="48"/>
      <c r="Z4" s="48"/>
      <c r="AA4" s="48"/>
      <c r="AB4" s="48"/>
      <c r="AC4" s="48"/>
      <c r="AD4" s="48"/>
      <c r="AE4" s="48"/>
      <c r="AF4" s="48"/>
      <c r="AG4" s="48"/>
      <c r="AH4" s="48"/>
      <c r="AI4" s="48"/>
      <c r="AJ4" s="48"/>
      <c r="AK4" s="48"/>
      <c r="AL4" s="48"/>
      <c r="AM4" s="48"/>
      <c r="AN4" s="48"/>
      <c r="AO4" s="48"/>
      <c r="AP4" s="48"/>
      <c r="AQ4" s="48"/>
      <c r="AR4" s="48"/>
      <c r="AS4" s="48"/>
      <c r="AT4" s="48"/>
      <c r="AU4" s="48"/>
      <c r="AV4" s="48"/>
      <c r="AW4" s="48"/>
      <c r="AX4" s="48"/>
      <c r="AY4" s="48"/>
      <c r="AZ4" s="48"/>
      <c r="BA4" s="48"/>
      <c r="BB4" s="48"/>
      <c r="BC4" s="48"/>
      <c r="BD4" s="48"/>
      <c r="BE4" s="48"/>
      <c r="BF4" s="48"/>
      <c r="BG4" s="48"/>
      <c r="BH4" s="48"/>
      <c r="BI4" s="48"/>
      <c r="BJ4" s="48"/>
      <c r="BK4" s="48"/>
      <c r="BL4" s="48"/>
      <c r="BM4" s="48"/>
      <c r="BN4" s="48"/>
      <c r="BO4" s="48"/>
      <c r="BP4" s="48"/>
      <c r="BQ4" s="48"/>
      <c r="BR4" s="48"/>
      <c r="BS4" s="48"/>
      <c r="BT4" s="48"/>
      <c r="BU4" s="48"/>
      <c r="BV4" s="48"/>
      <c r="BW4" s="48"/>
      <c r="BX4" s="48"/>
      <c r="BY4" s="48"/>
      <c r="BZ4" s="48"/>
      <c r="CA4" s="48"/>
      <c r="CB4" s="48"/>
      <c r="CC4" s="48"/>
      <c r="CD4" s="48"/>
      <c r="CE4" s="48"/>
      <c r="CF4" s="48"/>
      <c r="CG4" s="48"/>
      <c r="CH4" s="48"/>
      <c r="CI4" s="48"/>
      <c r="CJ4" s="48"/>
      <c r="CK4" s="48"/>
      <c r="CL4" s="48"/>
      <c r="CM4" s="48"/>
      <c r="CN4" s="48"/>
      <c r="CO4" s="48"/>
      <c r="CP4" s="48"/>
      <c r="CQ4" s="48"/>
      <c r="CR4" s="48"/>
      <c r="CS4" s="48"/>
      <c r="CT4" s="48"/>
      <c r="CU4" s="48"/>
      <c r="CV4" s="48"/>
      <c r="CW4" s="48"/>
      <c r="CX4" s="48"/>
      <c r="CY4" s="48"/>
      <c r="CZ4" s="48"/>
      <c r="DA4" s="48"/>
      <c r="DB4" s="48"/>
      <c r="DC4" s="48"/>
      <c r="DD4" s="48"/>
      <c r="DE4" s="48"/>
      <c r="DF4" s="48"/>
      <c r="DG4" s="48"/>
      <c r="DH4" s="48"/>
      <c r="DI4" s="48"/>
      <c r="DJ4" s="48"/>
      <c r="DK4" s="48"/>
      <c r="DL4" s="48"/>
      <c r="DM4" s="48"/>
    </row>
    <row r="5" spans="1:117" s="47" customFormat="1" ht="96" hidden="1" x14ac:dyDescent="0.2">
      <c r="A5" s="47" t="str">
        <f>'Bottlenecks - Outcome'!A6</f>
        <v>Achieving Basic Education for All</v>
      </c>
      <c r="B5" s="47" t="str">
        <f>'Bottlenecks - Outcome'!B6</f>
        <v>3. Mismatch between policy goals, capability and resources</v>
      </c>
      <c r="C5" s="47" t="str">
        <f>'Bottlenecks - Outcome'!C6</f>
        <v>3.2 Public policy goals and delivery models are unaffordable given current and future costs and fiscal reality.</v>
      </c>
      <c r="D5" s="47" t="s">
        <v>314</v>
      </c>
      <c r="E5" s="47" t="s">
        <v>914</v>
      </c>
      <c r="F5" s="47" t="s">
        <v>514</v>
      </c>
      <c r="G5" s="47">
        <v>2021</v>
      </c>
      <c r="H5" s="47" t="s">
        <v>556</v>
      </c>
      <c r="I5" s="47" t="s">
        <v>266</v>
      </c>
      <c r="J5" s="48"/>
      <c r="K5" s="48"/>
      <c r="L5" s="48"/>
      <c r="M5" s="48"/>
      <c r="N5" s="48"/>
      <c r="O5" s="48"/>
      <c r="P5" s="48"/>
      <c r="Q5" s="48"/>
      <c r="R5" s="48"/>
      <c r="S5" s="48"/>
      <c r="T5" s="48"/>
      <c r="U5" s="48"/>
      <c r="V5" s="48"/>
      <c r="W5" s="48"/>
      <c r="X5" s="48"/>
      <c r="Y5" s="48"/>
      <c r="Z5" s="48"/>
      <c r="AA5" s="48"/>
      <c r="AB5" s="48"/>
      <c r="AC5" s="48"/>
      <c r="AD5" s="48"/>
      <c r="AE5" s="48"/>
      <c r="AF5" s="48"/>
      <c r="AG5" s="48"/>
      <c r="AH5" s="48"/>
      <c r="AI5" s="48"/>
      <c r="AJ5" s="48"/>
      <c r="AK5" s="48"/>
      <c r="AL5" s="48"/>
      <c r="AM5" s="48"/>
      <c r="AN5" s="48"/>
      <c r="AO5" s="48"/>
      <c r="AP5" s="48"/>
      <c r="AQ5" s="48"/>
      <c r="AR5" s="48"/>
      <c r="AS5" s="48"/>
      <c r="AT5" s="48"/>
      <c r="AU5" s="48"/>
      <c r="AV5" s="48"/>
      <c r="AW5" s="48"/>
      <c r="AX5" s="48"/>
      <c r="AY5" s="48"/>
      <c r="AZ5" s="48"/>
      <c r="BA5" s="48"/>
      <c r="BB5" s="48"/>
      <c r="BC5" s="48"/>
      <c r="BD5" s="48"/>
      <c r="BE5" s="48"/>
      <c r="BF5" s="48"/>
      <c r="BG5" s="48"/>
      <c r="BH5" s="48"/>
      <c r="BI5" s="48"/>
      <c r="BJ5" s="48"/>
      <c r="BK5" s="48"/>
      <c r="BL5" s="48"/>
      <c r="BM5" s="48"/>
      <c r="BN5" s="48"/>
      <c r="BO5" s="48"/>
      <c r="BP5" s="48"/>
      <c r="BQ5" s="48"/>
      <c r="BR5" s="48"/>
      <c r="BS5" s="48"/>
      <c r="BT5" s="48"/>
      <c r="BU5" s="48"/>
      <c r="BV5" s="48"/>
      <c r="BW5" s="48"/>
      <c r="BX5" s="48"/>
      <c r="BY5" s="48"/>
      <c r="BZ5" s="48"/>
      <c r="CA5" s="48"/>
      <c r="CB5" s="48"/>
      <c r="CC5" s="48"/>
      <c r="CD5" s="48"/>
      <c r="CE5" s="48"/>
      <c r="CF5" s="48"/>
      <c r="CG5" s="48"/>
      <c r="CH5" s="48"/>
      <c r="CI5" s="48"/>
      <c r="CJ5" s="48"/>
      <c r="CK5" s="48"/>
      <c r="CL5" s="48"/>
      <c r="CM5" s="48"/>
      <c r="CN5" s="48"/>
      <c r="CO5" s="48"/>
      <c r="CP5" s="48"/>
      <c r="CQ5" s="48"/>
      <c r="CR5" s="48"/>
      <c r="CS5" s="48"/>
      <c r="CT5" s="48"/>
      <c r="CU5" s="48"/>
      <c r="CV5" s="48"/>
      <c r="CW5" s="48"/>
      <c r="CX5" s="48"/>
      <c r="CY5" s="48"/>
      <c r="CZ5" s="48"/>
      <c r="DA5" s="48"/>
      <c r="DB5" s="48"/>
      <c r="DC5" s="48"/>
      <c r="DD5" s="48"/>
      <c r="DE5" s="48"/>
      <c r="DF5" s="48"/>
      <c r="DG5" s="48"/>
      <c r="DH5" s="48"/>
      <c r="DI5" s="48"/>
      <c r="DJ5" s="48"/>
      <c r="DK5" s="48"/>
      <c r="DL5" s="48"/>
      <c r="DM5" s="48"/>
    </row>
    <row r="6" spans="1:117" s="47" customFormat="1" ht="176" hidden="1" x14ac:dyDescent="0.2">
      <c r="A6" s="47" t="str">
        <f>'Bottlenecks - Outcome'!A7</f>
        <v>Achieving Basic Education for All</v>
      </c>
      <c r="B6" s="47" t="str">
        <f>'Bottlenecks - Outcome'!B7</f>
        <v>3. Mismatch between policy goals, capability and resources</v>
      </c>
      <c r="C6" s="47" t="str">
        <f>'Bottlenecks - Outcome'!C7</f>
        <v>3.2 Public policy goals and delivery models are unaffordable given current and future costs and fiscal reality.</v>
      </c>
      <c r="D6" s="47" t="s">
        <v>315</v>
      </c>
      <c r="E6" s="47" t="s">
        <v>915</v>
      </c>
      <c r="F6" s="47" t="s">
        <v>514</v>
      </c>
      <c r="G6" s="47">
        <v>2020</v>
      </c>
      <c r="H6" s="53" t="s">
        <v>557</v>
      </c>
      <c r="I6" s="47" t="s">
        <v>266</v>
      </c>
      <c r="J6" s="48"/>
      <c r="K6" s="48"/>
      <c r="L6" s="48"/>
      <c r="M6" s="48"/>
      <c r="N6" s="48"/>
      <c r="O6" s="48"/>
      <c r="P6" s="48"/>
      <c r="Q6" s="48"/>
      <c r="R6" s="48"/>
      <c r="S6" s="48"/>
      <c r="T6" s="48"/>
      <c r="U6" s="48"/>
      <c r="V6" s="48"/>
      <c r="W6" s="48"/>
      <c r="X6" s="48"/>
      <c r="Y6" s="48"/>
      <c r="Z6" s="48"/>
      <c r="AA6" s="48"/>
      <c r="AB6" s="48"/>
      <c r="AC6" s="48"/>
      <c r="AD6" s="48"/>
      <c r="AE6" s="48"/>
      <c r="AF6" s="48"/>
      <c r="AG6" s="48"/>
      <c r="AH6" s="48"/>
      <c r="AI6" s="48"/>
      <c r="AJ6" s="48"/>
      <c r="AK6" s="48"/>
      <c r="AL6" s="48"/>
      <c r="AM6" s="48"/>
      <c r="AN6" s="48"/>
      <c r="AO6" s="48"/>
      <c r="AP6" s="48"/>
      <c r="AQ6" s="48"/>
      <c r="AR6" s="48"/>
      <c r="AS6" s="48"/>
      <c r="AT6" s="48"/>
      <c r="AU6" s="48"/>
      <c r="AV6" s="48"/>
      <c r="AW6" s="48"/>
      <c r="AX6" s="48"/>
      <c r="AY6" s="48"/>
      <c r="AZ6" s="48"/>
      <c r="BA6" s="48"/>
      <c r="BB6" s="48"/>
      <c r="BC6" s="48"/>
      <c r="BD6" s="48"/>
      <c r="BE6" s="48"/>
      <c r="BF6" s="48"/>
      <c r="BG6" s="48"/>
      <c r="BH6" s="48"/>
      <c r="BI6" s="48"/>
      <c r="BJ6" s="48"/>
      <c r="BK6" s="48"/>
      <c r="BL6" s="48"/>
      <c r="BM6" s="48"/>
      <c r="BN6" s="48"/>
      <c r="BO6" s="48"/>
      <c r="BP6" s="48"/>
      <c r="BQ6" s="48"/>
      <c r="BR6" s="48"/>
      <c r="BS6" s="48"/>
      <c r="BT6" s="48"/>
      <c r="BU6" s="48"/>
      <c r="BV6" s="48"/>
      <c r="BW6" s="48"/>
      <c r="BX6" s="48"/>
      <c r="BY6" s="48"/>
      <c r="BZ6" s="48"/>
      <c r="CA6" s="48"/>
      <c r="CB6" s="48"/>
      <c r="CC6" s="48"/>
      <c r="CD6" s="48"/>
      <c r="CE6" s="48"/>
      <c r="CF6" s="48"/>
      <c r="CG6" s="48"/>
      <c r="CH6" s="48"/>
      <c r="CI6" s="48"/>
      <c r="CJ6" s="48"/>
      <c r="CK6" s="48"/>
      <c r="CL6" s="48"/>
      <c r="CM6" s="48"/>
      <c r="CN6" s="48"/>
      <c r="CO6" s="48"/>
      <c r="CP6" s="48"/>
      <c r="CQ6" s="48"/>
      <c r="CR6" s="48"/>
      <c r="CS6" s="48"/>
      <c r="CT6" s="48"/>
      <c r="CU6" s="48"/>
      <c r="CV6" s="48"/>
      <c r="CW6" s="48"/>
      <c r="CX6" s="48"/>
      <c r="CY6" s="48"/>
      <c r="CZ6" s="48"/>
      <c r="DA6" s="48"/>
      <c r="DB6" s="48"/>
      <c r="DC6" s="48"/>
      <c r="DD6" s="48"/>
      <c r="DE6" s="48"/>
      <c r="DF6" s="48"/>
      <c r="DG6" s="48"/>
      <c r="DH6" s="48"/>
      <c r="DI6" s="48"/>
      <c r="DJ6" s="48"/>
      <c r="DK6" s="48"/>
      <c r="DL6" s="48"/>
      <c r="DM6" s="48"/>
    </row>
    <row r="7" spans="1:117" s="47" customFormat="1" ht="47.25" hidden="1" customHeight="1" x14ac:dyDescent="0.2">
      <c r="A7" s="47" t="str">
        <f>'Bottlenecks - Outcome'!A4</f>
        <v>Achieving Basic Education for All</v>
      </c>
      <c r="B7" s="47" t="str">
        <f>'Bottlenecks - Outcome'!B4</f>
        <v>2. Incoherence and fragmentation of policy</v>
      </c>
      <c r="C7" s="47" t="str">
        <f>'Bottlenecks - Outcome'!C4</f>
        <v>2.1 Fragmented, inconsistent, uncoordinated and poorly prioritized policies across or within sectors</v>
      </c>
      <c r="D7" s="47" t="str">
        <f>'Bottlenecks - Outcome'!D4</f>
        <v xml:space="preserve">Education policies may be fragmented and lack coherence or clear prioritization within and across levels of education, government and departments, leading to inefficient and inconsistent implementation. </v>
      </c>
      <c r="E7" s="47" t="s">
        <v>940</v>
      </c>
      <c r="F7" s="47" t="s">
        <v>514</v>
      </c>
      <c r="G7" s="47">
        <v>2006</v>
      </c>
      <c r="H7" s="53" t="s">
        <v>939</v>
      </c>
      <c r="I7" s="47" t="s">
        <v>266</v>
      </c>
      <c r="J7" s="48"/>
      <c r="K7" s="48"/>
      <c r="L7" s="48"/>
      <c r="M7" s="48"/>
      <c r="N7" s="48"/>
      <c r="O7" s="48"/>
      <c r="P7" s="48"/>
      <c r="Q7" s="48"/>
      <c r="R7" s="48"/>
      <c r="S7" s="48"/>
      <c r="T7" s="48"/>
      <c r="U7" s="48"/>
      <c r="V7" s="48"/>
      <c r="W7" s="48"/>
      <c r="X7" s="48"/>
      <c r="Y7" s="48"/>
      <c r="Z7" s="48"/>
      <c r="AA7" s="48"/>
      <c r="AB7" s="48"/>
      <c r="AC7" s="48"/>
      <c r="AD7" s="48"/>
      <c r="AE7" s="48"/>
      <c r="AF7" s="48"/>
      <c r="AG7" s="48"/>
      <c r="AH7" s="48"/>
      <c r="AI7" s="48"/>
      <c r="AJ7" s="48"/>
      <c r="AK7" s="48"/>
      <c r="AL7" s="48"/>
      <c r="AM7" s="48"/>
      <c r="AN7" s="48"/>
      <c r="AO7" s="48"/>
      <c r="AP7" s="48"/>
      <c r="AQ7" s="48"/>
      <c r="AR7" s="48"/>
      <c r="AS7" s="48"/>
      <c r="AT7" s="48"/>
      <c r="AU7" s="48"/>
      <c r="AV7" s="48"/>
      <c r="AW7" s="48"/>
      <c r="AX7" s="48"/>
      <c r="AY7" s="48"/>
      <c r="AZ7" s="48"/>
      <c r="BA7" s="48"/>
      <c r="BB7" s="48"/>
      <c r="BC7" s="48"/>
      <c r="BD7" s="48"/>
      <c r="BE7" s="48"/>
      <c r="BF7" s="48"/>
      <c r="BG7" s="48"/>
      <c r="BH7" s="48"/>
      <c r="BI7" s="48"/>
      <c r="BJ7" s="48"/>
      <c r="BK7" s="48"/>
      <c r="BL7" s="48"/>
      <c r="BM7" s="48"/>
      <c r="BN7" s="48"/>
      <c r="BO7" s="48"/>
      <c r="BP7" s="48"/>
      <c r="BQ7" s="48"/>
      <c r="BR7" s="48"/>
      <c r="BS7" s="48"/>
      <c r="BT7" s="48"/>
      <c r="BU7" s="48"/>
      <c r="BV7" s="48"/>
      <c r="BW7" s="48"/>
      <c r="BX7" s="48"/>
      <c r="BY7" s="48"/>
      <c r="BZ7" s="48"/>
      <c r="CA7" s="48"/>
      <c r="CB7" s="48"/>
      <c r="CC7" s="48"/>
      <c r="CD7" s="48"/>
      <c r="CE7" s="48"/>
      <c r="CF7" s="48"/>
      <c r="CG7" s="48"/>
      <c r="CH7" s="48"/>
      <c r="CI7" s="48"/>
      <c r="CJ7" s="48"/>
      <c r="CK7" s="48"/>
      <c r="CL7" s="48"/>
      <c r="CM7" s="48"/>
      <c r="CN7" s="48"/>
      <c r="CO7" s="48"/>
      <c r="CP7" s="48"/>
      <c r="CQ7" s="48"/>
      <c r="CR7" s="48"/>
      <c r="CS7" s="48"/>
      <c r="CT7" s="48"/>
      <c r="CU7" s="48"/>
      <c r="CV7" s="48"/>
      <c r="CW7" s="48"/>
      <c r="CX7" s="48"/>
      <c r="CY7" s="48"/>
      <c r="CZ7" s="48"/>
      <c r="DA7" s="48"/>
      <c r="DB7" s="48"/>
      <c r="DC7" s="48"/>
      <c r="DD7" s="48"/>
      <c r="DE7" s="48"/>
      <c r="DF7" s="48"/>
      <c r="DG7" s="48"/>
      <c r="DH7" s="48"/>
      <c r="DI7" s="48"/>
      <c r="DJ7" s="48"/>
      <c r="DK7" s="48"/>
      <c r="DL7" s="48"/>
      <c r="DM7" s="48"/>
    </row>
    <row r="8" spans="1:117" s="47" customFormat="1" ht="96" hidden="1" customHeight="1" x14ac:dyDescent="0.2">
      <c r="A8" s="47" t="str">
        <f>'Bottlenecks - Outcome'!A8</f>
        <v>Achieving Basic Education for All</v>
      </c>
      <c r="B8" s="47" t="str">
        <f>'Bottlenecks - Outcome'!B8</f>
        <v>3. Mismatch between policy goals, capability and resources</v>
      </c>
      <c r="C8" s="47" t="str">
        <f>'Bottlenecks - Outcome'!C8</f>
        <v>3.3 Policies do not take into account context, including the available organizational capability to achieve goals</v>
      </c>
      <c r="D8" s="47" t="str">
        <f>'Bottlenecks - Outcome'!D8</f>
        <v>Policies relating to expanding access or modernizing pedagological practicies do not take into account the availability and skills of teachers and school inrastructure which adversely affects quality.</v>
      </c>
      <c r="E8" s="47" t="s">
        <v>941</v>
      </c>
      <c r="F8" s="47" t="s">
        <v>512</v>
      </c>
      <c r="G8" s="47">
        <v>2021</v>
      </c>
      <c r="H8" s="47" t="s">
        <v>942</v>
      </c>
      <c r="I8" s="47" t="s">
        <v>266</v>
      </c>
      <c r="J8" s="48"/>
      <c r="K8" s="48"/>
      <c r="L8" s="48"/>
      <c r="M8" s="48"/>
      <c r="N8" s="48"/>
      <c r="O8" s="48"/>
      <c r="P8" s="48"/>
      <c r="Q8" s="48"/>
      <c r="R8" s="48"/>
      <c r="S8" s="48"/>
      <c r="T8" s="48"/>
      <c r="U8" s="48"/>
      <c r="V8" s="48"/>
      <c r="W8" s="48"/>
      <c r="X8" s="48"/>
      <c r="Y8" s="48"/>
      <c r="Z8" s="48"/>
      <c r="AA8" s="48"/>
      <c r="AB8" s="48"/>
      <c r="AC8" s="48"/>
      <c r="AD8" s="48"/>
      <c r="AE8" s="48"/>
      <c r="AF8" s="48"/>
      <c r="AG8" s="48"/>
      <c r="AH8" s="48"/>
      <c r="AI8" s="48"/>
      <c r="AJ8" s="48"/>
      <c r="AK8" s="48"/>
      <c r="AL8" s="48"/>
      <c r="AM8" s="48"/>
      <c r="AN8" s="48"/>
      <c r="AO8" s="48"/>
      <c r="AP8" s="48"/>
      <c r="AQ8" s="48"/>
      <c r="AR8" s="48"/>
      <c r="AS8" s="48"/>
      <c r="AT8" s="48"/>
      <c r="AU8" s="48"/>
      <c r="AV8" s="48"/>
      <c r="AW8" s="48"/>
      <c r="AX8" s="48"/>
      <c r="AY8" s="48"/>
      <c r="AZ8" s="48"/>
      <c r="BA8" s="48"/>
      <c r="BB8" s="48"/>
      <c r="BC8" s="48"/>
      <c r="BD8" s="48"/>
      <c r="BE8" s="48"/>
      <c r="BF8" s="48"/>
      <c r="BG8" s="48"/>
      <c r="BH8" s="48"/>
      <c r="BI8" s="48"/>
      <c r="BJ8" s="48"/>
      <c r="BK8" s="48"/>
      <c r="BL8" s="48"/>
      <c r="BM8" s="48"/>
      <c r="BN8" s="48"/>
      <c r="BO8" s="48"/>
      <c r="BP8" s="48"/>
      <c r="BQ8" s="48"/>
      <c r="BR8" s="48"/>
      <c r="BS8" s="48"/>
      <c r="BT8" s="48"/>
      <c r="BU8" s="48"/>
      <c r="BV8" s="48"/>
      <c r="BW8" s="48"/>
      <c r="BX8" s="48"/>
      <c r="BY8" s="48"/>
      <c r="BZ8" s="48"/>
      <c r="CA8" s="48"/>
      <c r="CB8" s="48"/>
      <c r="CC8" s="48"/>
      <c r="CD8" s="48"/>
      <c r="CE8" s="48"/>
      <c r="CF8" s="48"/>
      <c r="CG8" s="48"/>
      <c r="CH8" s="48"/>
      <c r="CI8" s="48"/>
      <c r="CJ8" s="48"/>
      <c r="CK8" s="48"/>
      <c r="CL8" s="48"/>
      <c r="CM8" s="48"/>
      <c r="CN8" s="48"/>
      <c r="CO8" s="48"/>
      <c r="CP8" s="48"/>
      <c r="CQ8" s="48"/>
      <c r="CR8" s="48"/>
      <c r="CS8" s="48"/>
      <c r="CT8" s="48"/>
      <c r="CU8" s="48"/>
      <c r="CV8" s="48"/>
      <c r="CW8" s="48"/>
      <c r="CX8" s="48"/>
      <c r="CY8" s="48"/>
      <c r="CZ8" s="48"/>
      <c r="DA8" s="48"/>
      <c r="DB8" s="48"/>
      <c r="DC8" s="48"/>
      <c r="DD8" s="48"/>
      <c r="DE8" s="48"/>
      <c r="DF8" s="48"/>
      <c r="DG8" s="48"/>
      <c r="DH8" s="48"/>
      <c r="DI8" s="48"/>
      <c r="DJ8" s="48"/>
      <c r="DK8" s="48"/>
      <c r="DL8" s="48"/>
      <c r="DM8" s="48"/>
    </row>
    <row r="9" spans="1:117" s="47" customFormat="1" ht="111" hidden="1" customHeight="1" x14ac:dyDescent="0.2">
      <c r="A9" s="47" t="str">
        <f>'Bottlenecks - Outcome'!A8</f>
        <v>Achieving Basic Education for All</v>
      </c>
      <c r="B9" s="47" t="str">
        <f>'Bottlenecks - Outcome'!B8</f>
        <v>3. Mismatch between policy goals, capability and resources</v>
      </c>
      <c r="C9" s="47" t="str">
        <f>'Bottlenecks - Outcome'!C8</f>
        <v>3.3 Policies do not take into account context, including the available organizational capability to achieve goals</v>
      </c>
      <c r="D9" s="47" t="str">
        <f>'Bottlenecks - Outcome'!D8</f>
        <v>Policies relating to expanding access or modernizing pedagological practicies do not take into account the availability and skills of teachers and school inrastructure which adversely affects quality.</v>
      </c>
      <c r="E9" s="47" t="s">
        <v>945</v>
      </c>
      <c r="F9" s="47" t="s">
        <v>533</v>
      </c>
      <c r="G9" s="47">
        <v>2025</v>
      </c>
      <c r="H9" s="47" t="s">
        <v>943</v>
      </c>
      <c r="I9" s="47" t="s">
        <v>266</v>
      </c>
      <c r="J9" s="48"/>
      <c r="K9" s="48"/>
      <c r="L9" s="48"/>
      <c r="M9" s="48"/>
      <c r="N9" s="48"/>
      <c r="O9" s="48"/>
      <c r="P9" s="48"/>
      <c r="Q9" s="48"/>
      <c r="R9" s="48"/>
      <c r="S9" s="48"/>
      <c r="T9" s="48"/>
      <c r="U9" s="48"/>
      <c r="V9" s="48"/>
      <c r="W9" s="48"/>
      <c r="X9" s="48"/>
      <c r="Y9" s="48"/>
      <c r="Z9" s="48"/>
      <c r="AA9" s="48"/>
      <c r="AB9" s="48"/>
      <c r="AC9" s="48"/>
      <c r="AD9" s="48"/>
      <c r="AE9" s="48"/>
      <c r="AF9" s="48"/>
      <c r="AG9" s="48"/>
      <c r="AH9" s="48"/>
      <c r="AI9" s="48"/>
      <c r="AJ9" s="48"/>
      <c r="AK9" s="48"/>
      <c r="AL9" s="48"/>
      <c r="AM9" s="48"/>
      <c r="AN9" s="48"/>
      <c r="AO9" s="48"/>
      <c r="AP9" s="48"/>
      <c r="AQ9" s="48"/>
      <c r="AR9" s="48"/>
      <c r="AS9" s="48"/>
      <c r="AT9" s="48"/>
      <c r="AU9" s="48"/>
      <c r="AV9" s="48"/>
      <c r="AW9" s="48"/>
      <c r="AX9" s="48"/>
      <c r="AY9" s="48"/>
      <c r="AZ9" s="48"/>
      <c r="BA9" s="48"/>
      <c r="BB9" s="48"/>
      <c r="BC9" s="48"/>
      <c r="BD9" s="48"/>
      <c r="BE9" s="48"/>
      <c r="BF9" s="48"/>
      <c r="BG9" s="48"/>
      <c r="BH9" s="48"/>
      <c r="BI9" s="48"/>
      <c r="BJ9" s="48"/>
      <c r="BK9" s="48"/>
      <c r="BL9" s="48"/>
      <c r="BM9" s="48"/>
      <c r="BN9" s="48"/>
      <c r="BO9" s="48"/>
      <c r="BP9" s="48"/>
      <c r="BQ9" s="48"/>
      <c r="BR9" s="48"/>
      <c r="BS9" s="48"/>
      <c r="BT9" s="48"/>
      <c r="BU9" s="48"/>
      <c r="BV9" s="48"/>
      <c r="BW9" s="48"/>
      <c r="BX9" s="48"/>
      <c r="BY9" s="48"/>
      <c r="BZ9" s="48"/>
      <c r="CA9" s="48"/>
      <c r="CB9" s="48"/>
      <c r="CC9" s="48"/>
      <c r="CD9" s="48"/>
      <c r="CE9" s="48"/>
      <c r="CF9" s="48"/>
      <c r="CG9" s="48"/>
      <c r="CH9" s="48"/>
      <c r="CI9" s="48"/>
      <c r="CJ9" s="48"/>
      <c r="CK9" s="48"/>
      <c r="CL9" s="48"/>
      <c r="CM9" s="48"/>
      <c r="CN9" s="48"/>
      <c r="CO9" s="48"/>
      <c r="CP9" s="48"/>
      <c r="CQ9" s="48"/>
      <c r="CR9" s="48"/>
      <c r="CS9" s="48"/>
      <c r="CT9" s="48"/>
      <c r="CU9" s="48"/>
      <c r="CV9" s="48"/>
      <c r="CW9" s="48"/>
      <c r="CX9" s="48"/>
      <c r="CY9" s="48"/>
      <c r="CZ9" s="48"/>
      <c r="DA9" s="48"/>
      <c r="DB9" s="48"/>
      <c r="DC9" s="48"/>
      <c r="DD9" s="48"/>
      <c r="DE9" s="48"/>
      <c r="DF9" s="48"/>
      <c r="DG9" s="48"/>
      <c r="DH9" s="48"/>
      <c r="DI9" s="48"/>
      <c r="DJ9" s="48"/>
      <c r="DK9" s="48"/>
      <c r="DL9" s="48"/>
      <c r="DM9" s="48"/>
    </row>
    <row r="10" spans="1:117" s="47" customFormat="1" ht="96" hidden="1" x14ac:dyDescent="0.2">
      <c r="A10" s="47" t="str">
        <f>'Bottlenecks - Outcome'!A10</f>
        <v>Achieving Basic Education for All</v>
      </c>
      <c r="B10" s="47" t="str">
        <f>'Bottlenecks - Outcome'!B10</f>
        <v>4. Unsustainable fiscal situation of governments and organizations</v>
      </c>
      <c r="C10" s="47" t="str">
        <f>'Bottlenecks - Outcome'!C10</f>
        <v>4.2 Biased or inaccurate fiscal forecasting and unpredictable, volatile resource flows result in budgets being under-funded</v>
      </c>
      <c r="D10" s="47" t="str">
        <f>'Bottlenecks - Outcome'!D10</f>
        <v>Biased or inaccurate fiscal forecasting and unpredictable, volatile resource flows result in education budgets being under-funded.</v>
      </c>
      <c r="E10" s="47" t="s">
        <v>946</v>
      </c>
      <c r="F10" s="47" t="s">
        <v>533</v>
      </c>
      <c r="G10" s="47" t="s">
        <v>949</v>
      </c>
      <c r="H10" s="47" t="s">
        <v>944</v>
      </c>
      <c r="I10" s="47" t="s">
        <v>266</v>
      </c>
      <c r="J10" s="48"/>
      <c r="K10" s="48"/>
      <c r="L10" s="48"/>
      <c r="M10" s="48"/>
      <c r="N10" s="48"/>
      <c r="O10" s="48"/>
      <c r="P10" s="48"/>
      <c r="Q10" s="48"/>
      <c r="R10" s="48"/>
      <c r="S10" s="48"/>
      <c r="T10" s="48"/>
      <c r="U10" s="48"/>
      <c r="V10" s="48"/>
      <c r="W10" s="48"/>
      <c r="X10" s="48"/>
      <c r="Y10" s="48"/>
      <c r="Z10" s="48"/>
      <c r="AA10" s="48"/>
      <c r="AB10" s="48"/>
      <c r="AC10" s="48"/>
      <c r="AD10" s="48"/>
      <c r="AE10" s="48"/>
      <c r="AF10" s="48"/>
      <c r="AG10" s="48"/>
      <c r="AH10" s="48"/>
      <c r="AI10" s="48"/>
      <c r="AJ10" s="48"/>
      <c r="AK10" s="48"/>
      <c r="AL10" s="48"/>
      <c r="AM10" s="48"/>
      <c r="AN10" s="48"/>
      <c r="AO10" s="48"/>
      <c r="AP10" s="48"/>
      <c r="AQ10" s="48"/>
      <c r="AR10" s="48"/>
      <c r="AS10" s="48"/>
      <c r="AT10" s="48"/>
      <c r="AU10" s="48"/>
      <c r="AV10" s="48"/>
      <c r="AW10" s="48"/>
      <c r="AX10" s="48"/>
      <c r="AY10" s="48"/>
      <c r="AZ10" s="48"/>
      <c r="BA10" s="48"/>
      <c r="BB10" s="48"/>
      <c r="BC10" s="48"/>
      <c r="BD10" s="48"/>
      <c r="BE10" s="48"/>
      <c r="BF10" s="48"/>
      <c r="BG10" s="48"/>
      <c r="BH10" s="48"/>
      <c r="BI10" s="48"/>
      <c r="BJ10" s="48"/>
      <c r="BK10" s="48"/>
      <c r="BL10" s="48"/>
      <c r="BM10" s="48"/>
      <c r="BN10" s="48"/>
      <c r="BO10" s="48"/>
      <c r="BP10" s="48"/>
      <c r="BQ10" s="48"/>
      <c r="BR10" s="48"/>
      <c r="BS10" s="48"/>
      <c r="BT10" s="48"/>
      <c r="BU10" s="48"/>
      <c r="BV10" s="48"/>
      <c r="BW10" s="48"/>
      <c r="BX10" s="48"/>
      <c r="BY10" s="48"/>
      <c r="BZ10" s="48"/>
      <c r="CA10" s="48"/>
      <c r="CB10" s="48"/>
      <c r="CC10" s="48"/>
      <c r="CD10" s="48"/>
      <c r="CE10" s="48"/>
      <c r="CF10" s="48"/>
      <c r="CG10" s="48"/>
      <c r="CH10" s="48"/>
      <c r="CI10" s="48"/>
      <c r="CJ10" s="48"/>
      <c r="CK10" s="48"/>
      <c r="CL10" s="48"/>
      <c r="CM10" s="48"/>
      <c r="CN10" s="48"/>
      <c r="CO10" s="48"/>
      <c r="CP10" s="48"/>
      <c r="CQ10" s="48"/>
      <c r="CR10" s="48"/>
      <c r="CS10" s="48"/>
      <c r="CT10" s="48"/>
      <c r="CU10" s="48"/>
      <c r="CV10" s="48"/>
      <c r="CW10" s="48"/>
      <c r="CX10" s="48"/>
      <c r="CY10" s="48"/>
      <c r="CZ10" s="48"/>
      <c r="DA10" s="48"/>
      <c r="DB10" s="48"/>
      <c r="DC10" s="48"/>
      <c r="DD10" s="48"/>
      <c r="DE10" s="48"/>
      <c r="DF10" s="48"/>
      <c r="DG10" s="48"/>
      <c r="DH10" s="48"/>
      <c r="DI10" s="48"/>
      <c r="DJ10" s="48"/>
      <c r="DK10" s="48"/>
      <c r="DL10" s="48"/>
      <c r="DM10" s="48"/>
    </row>
    <row r="11" spans="1:117" s="47" customFormat="1" ht="112" hidden="1" x14ac:dyDescent="0.2">
      <c r="A11" s="47" t="str">
        <f>'Bottlenecks - Outcome'!A11</f>
        <v>Achieving Basic Education for All</v>
      </c>
      <c r="B11" s="47" t="str">
        <f>'Bottlenecks - Outcome'!B11</f>
        <v>4. Unsustainable fiscal situation of governments and organizations</v>
      </c>
      <c r="C11" s="47" t="str">
        <f>'Bottlenecks - Outcome'!C11</f>
        <v>4.5 Financial unviability of providers and utilities</v>
      </c>
      <c r="D11" s="47" t="s">
        <v>319</v>
      </c>
      <c r="E11" s="47" t="s">
        <v>916</v>
      </c>
      <c r="F11" s="47" t="s">
        <v>874</v>
      </c>
      <c r="G11" s="47">
        <v>2023</v>
      </c>
      <c r="H11" s="47" t="s">
        <v>917</v>
      </c>
      <c r="I11" s="47" t="s">
        <v>266</v>
      </c>
      <c r="J11" s="48"/>
      <c r="K11" s="48"/>
      <c r="L11" s="48"/>
      <c r="M11" s="48"/>
      <c r="N11" s="48"/>
      <c r="O11" s="48"/>
      <c r="P11" s="48"/>
      <c r="Q11" s="48"/>
      <c r="R11" s="48"/>
      <c r="S11" s="48"/>
      <c r="T11" s="48"/>
      <c r="U11" s="48"/>
      <c r="V11" s="48"/>
      <c r="W11" s="48"/>
      <c r="X11" s="48"/>
      <c r="Y11" s="48"/>
      <c r="Z11" s="48"/>
      <c r="AA11" s="48"/>
      <c r="AB11" s="48"/>
      <c r="AC11" s="48"/>
      <c r="AD11" s="48"/>
      <c r="AE11" s="48"/>
      <c r="AF11" s="48"/>
      <c r="AG11" s="48"/>
      <c r="AH11" s="48"/>
      <c r="AI11" s="48"/>
      <c r="AJ11" s="48"/>
      <c r="AK11" s="48"/>
      <c r="AL11" s="48"/>
      <c r="AM11" s="48"/>
      <c r="AN11" s="48"/>
      <c r="AO11" s="48"/>
      <c r="AP11" s="48"/>
      <c r="AQ11" s="48"/>
      <c r="AR11" s="48"/>
      <c r="AS11" s="48"/>
      <c r="AT11" s="48"/>
      <c r="AU11" s="48"/>
      <c r="AV11" s="48"/>
      <c r="AW11" s="48"/>
      <c r="AX11" s="48"/>
      <c r="AY11" s="48"/>
      <c r="AZ11" s="48"/>
      <c r="BA11" s="48"/>
      <c r="BB11" s="48"/>
      <c r="BC11" s="48"/>
      <c r="BD11" s="48"/>
      <c r="BE11" s="48"/>
      <c r="BF11" s="48"/>
      <c r="BG11" s="48"/>
      <c r="BH11" s="48"/>
      <c r="BI11" s="48"/>
      <c r="BJ11" s="48"/>
      <c r="BK11" s="48"/>
      <c r="BL11" s="48"/>
      <c r="BM11" s="48"/>
      <c r="BN11" s="48"/>
      <c r="BO11" s="48"/>
      <c r="BP11" s="48"/>
      <c r="BQ11" s="48"/>
      <c r="BR11" s="48"/>
      <c r="BS11" s="48"/>
      <c r="BT11" s="48"/>
      <c r="BU11" s="48"/>
      <c r="BV11" s="48"/>
      <c r="BW11" s="48"/>
      <c r="BX11" s="48"/>
      <c r="BY11" s="48"/>
      <c r="BZ11" s="48"/>
      <c r="CA11" s="48"/>
      <c r="CB11" s="48"/>
      <c r="CC11" s="48"/>
      <c r="CD11" s="48"/>
      <c r="CE11" s="48"/>
      <c r="CF11" s="48"/>
      <c r="CG11" s="48"/>
      <c r="CH11" s="48"/>
      <c r="CI11" s="48"/>
      <c r="CJ11" s="48"/>
      <c r="CK11" s="48"/>
      <c r="CL11" s="48"/>
      <c r="CM11" s="48"/>
      <c r="CN11" s="48"/>
      <c r="CO11" s="48"/>
      <c r="CP11" s="48"/>
      <c r="CQ11" s="48"/>
      <c r="CR11" s="48"/>
      <c r="CS11" s="48"/>
      <c r="CT11" s="48"/>
      <c r="CU11" s="48"/>
      <c r="CV11" s="48"/>
      <c r="CW11" s="48"/>
      <c r="CX11" s="48"/>
      <c r="CY11" s="48"/>
      <c r="CZ11" s="48"/>
      <c r="DA11" s="48"/>
      <c r="DB11" s="48"/>
      <c r="DC11" s="48"/>
      <c r="DD11" s="48"/>
      <c r="DE11" s="48"/>
      <c r="DF11" s="48"/>
      <c r="DG11" s="48"/>
      <c r="DH11" s="48"/>
      <c r="DI11" s="48"/>
      <c r="DJ11" s="48"/>
      <c r="DK11" s="48"/>
      <c r="DL11" s="48"/>
      <c r="DM11" s="48"/>
    </row>
    <row r="12" spans="1:117" s="47" customFormat="1" ht="64" hidden="1" x14ac:dyDescent="0.2">
      <c r="A12" s="47" t="str">
        <f>'Bottlenecks - Outcome'!A13</f>
        <v>Achieving Basic Education for All</v>
      </c>
      <c r="B12" s="47" t="str">
        <f>'Bottlenecks - Outcome'!B13</f>
        <v>5. Inadequate and inequitable resources mobilized and deployed for policy implementation</v>
      </c>
      <c r="C12" s="47" t="str">
        <f>'Bottlenecks - Outcome'!C13</f>
        <v xml:space="preserve">5.2 Resource deployment is often incremental and disconnected from public policy priorities </v>
      </c>
      <c r="D12" s="47" t="s">
        <v>321</v>
      </c>
      <c r="E12" s="47" t="s">
        <v>918</v>
      </c>
      <c r="F12" s="47" t="s">
        <v>511</v>
      </c>
      <c r="G12" s="47">
        <v>2022</v>
      </c>
      <c r="H12" s="47" t="s">
        <v>558</v>
      </c>
      <c r="I12" s="47" t="s">
        <v>266</v>
      </c>
      <c r="J12" s="48"/>
      <c r="K12" s="48"/>
      <c r="L12" s="48"/>
      <c r="M12" s="48"/>
      <c r="N12" s="48"/>
      <c r="O12" s="48"/>
      <c r="P12" s="48"/>
      <c r="Q12" s="48"/>
      <c r="R12" s="48"/>
      <c r="S12" s="48"/>
      <c r="T12" s="48"/>
      <c r="U12" s="48"/>
      <c r="V12" s="48"/>
      <c r="W12" s="48"/>
      <c r="X12" s="48"/>
      <c r="Y12" s="48"/>
      <c r="Z12" s="48"/>
      <c r="AA12" s="48"/>
      <c r="AB12" s="48"/>
      <c r="AC12" s="48"/>
      <c r="AD12" s="48"/>
      <c r="AE12" s="48"/>
      <c r="AF12" s="48"/>
      <c r="AG12" s="48"/>
      <c r="AH12" s="48"/>
      <c r="AI12" s="48"/>
      <c r="AJ12" s="48"/>
      <c r="AK12" s="48"/>
      <c r="AL12" s="48"/>
      <c r="AM12" s="48"/>
      <c r="AN12" s="48"/>
      <c r="AO12" s="48"/>
      <c r="AP12" s="48"/>
      <c r="AQ12" s="48"/>
      <c r="AR12" s="48"/>
      <c r="AS12" s="48"/>
      <c r="AT12" s="48"/>
      <c r="AU12" s="48"/>
      <c r="AV12" s="48"/>
      <c r="AW12" s="48"/>
      <c r="AX12" s="48"/>
      <c r="AY12" s="48"/>
      <c r="AZ12" s="48"/>
      <c r="BA12" s="48"/>
      <c r="BB12" s="48"/>
      <c r="BC12" s="48"/>
      <c r="BD12" s="48"/>
      <c r="BE12" s="48"/>
      <c r="BF12" s="48"/>
      <c r="BG12" s="48"/>
      <c r="BH12" s="48"/>
      <c r="BI12" s="48"/>
      <c r="BJ12" s="48"/>
      <c r="BK12" s="48"/>
      <c r="BL12" s="48"/>
      <c r="BM12" s="48"/>
      <c r="BN12" s="48"/>
      <c r="BO12" s="48"/>
      <c r="BP12" s="48"/>
      <c r="BQ12" s="48"/>
      <c r="BR12" s="48"/>
      <c r="BS12" s="48"/>
      <c r="BT12" s="48"/>
      <c r="BU12" s="48"/>
      <c r="BV12" s="48"/>
      <c r="BW12" s="48"/>
      <c r="BX12" s="48"/>
      <c r="BY12" s="48"/>
      <c r="BZ12" s="48"/>
      <c r="CA12" s="48"/>
      <c r="CB12" s="48"/>
      <c r="CC12" s="48"/>
      <c r="CD12" s="48"/>
      <c r="CE12" s="48"/>
      <c r="CF12" s="48"/>
      <c r="CG12" s="48"/>
      <c r="CH12" s="48"/>
      <c r="CI12" s="48"/>
      <c r="CJ12" s="48"/>
      <c r="CK12" s="48"/>
      <c r="CL12" s="48"/>
      <c r="CM12" s="48"/>
      <c r="CN12" s="48"/>
      <c r="CO12" s="48"/>
      <c r="CP12" s="48"/>
      <c r="CQ12" s="48"/>
      <c r="CR12" s="48"/>
      <c r="CS12" s="48"/>
      <c r="CT12" s="48"/>
      <c r="CU12" s="48"/>
      <c r="CV12" s="48"/>
      <c r="CW12" s="48"/>
      <c r="CX12" s="48"/>
      <c r="CY12" s="48"/>
      <c r="CZ12" s="48"/>
      <c r="DA12" s="48"/>
      <c r="DB12" s="48"/>
      <c r="DC12" s="48"/>
      <c r="DD12" s="48"/>
      <c r="DE12" s="48"/>
      <c r="DF12" s="48"/>
      <c r="DG12" s="48"/>
      <c r="DH12" s="48"/>
      <c r="DI12" s="48"/>
      <c r="DJ12" s="48"/>
      <c r="DK12" s="48"/>
      <c r="DL12" s="48"/>
      <c r="DM12" s="48"/>
    </row>
    <row r="13" spans="1:117" s="47" customFormat="1" ht="112" hidden="1" x14ac:dyDescent="0.2">
      <c r="A13" s="47" t="str">
        <f>'Bottlenecks - Outcome'!A14</f>
        <v>Achieving Basic Education for All</v>
      </c>
      <c r="B13" s="47" t="str">
        <f>'Bottlenecks - Outcome'!B14</f>
        <v>5. Inadequate and inequitable resources mobilized and deployed for policy implementation</v>
      </c>
      <c r="C13" s="47" t="str">
        <f>'Bottlenecks - Outcome'!C14</f>
        <v>5.3 Resource deployment is not informed by demand for, the costs of or effectiveness in achieving public policy objectives</v>
      </c>
      <c r="D13" s="47" t="s">
        <v>559</v>
      </c>
      <c r="E13" s="47" t="s">
        <v>919</v>
      </c>
      <c r="F13" s="47" t="s">
        <v>875</v>
      </c>
      <c r="G13" s="47">
        <v>2019</v>
      </c>
      <c r="H13" s="47" t="s">
        <v>560</v>
      </c>
      <c r="I13" s="47" t="s">
        <v>266</v>
      </c>
      <c r="J13" s="48"/>
      <c r="K13" s="48"/>
      <c r="L13" s="48"/>
      <c r="M13" s="48"/>
      <c r="N13" s="48"/>
      <c r="O13" s="48"/>
      <c r="P13" s="48"/>
      <c r="Q13" s="48"/>
      <c r="R13" s="48"/>
      <c r="S13" s="48"/>
      <c r="T13" s="48"/>
      <c r="U13" s="48"/>
      <c r="V13" s="48"/>
      <c r="W13" s="48"/>
      <c r="X13" s="48"/>
      <c r="Y13" s="48"/>
      <c r="Z13" s="48"/>
      <c r="AA13" s="48"/>
      <c r="AB13" s="48"/>
      <c r="AC13" s="48"/>
      <c r="AD13" s="48"/>
      <c r="AE13" s="48"/>
      <c r="AF13" s="48"/>
      <c r="AG13" s="48"/>
      <c r="AH13" s="48"/>
      <c r="AI13" s="48"/>
      <c r="AJ13" s="48"/>
      <c r="AK13" s="48"/>
      <c r="AL13" s="48"/>
      <c r="AM13" s="48"/>
      <c r="AN13" s="48"/>
      <c r="AO13" s="48"/>
      <c r="AP13" s="48"/>
      <c r="AQ13" s="48"/>
      <c r="AR13" s="48"/>
      <c r="AS13" s="48"/>
      <c r="AT13" s="48"/>
      <c r="AU13" s="48"/>
      <c r="AV13" s="48"/>
      <c r="AW13" s="48"/>
      <c r="AX13" s="48"/>
      <c r="AY13" s="48"/>
      <c r="AZ13" s="48"/>
      <c r="BA13" s="48"/>
      <c r="BB13" s="48"/>
      <c r="BC13" s="48"/>
      <c r="BD13" s="48"/>
      <c r="BE13" s="48"/>
      <c r="BF13" s="48"/>
      <c r="BG13" s="48"/>
      <c r="BH13" s="48"/>
      <c r="BI13" s="48"/>
      <c r="BJ13" s="48"/>
      <c r="BK13" s="48"/>
      <c r="BL13" s="48"/>
      <c r="BM13" s="48"/>
      <c r="BN13" s="48"/>
      <c r="BO13" s="48"/>
      <c r="BP13" s="48"/>
      <c r="BQ13" s="48"/>
      <c r="BR13" s="48"/>
      <c r="BS13" s="48"/>
      <c r="BT13" s="48"/>
      <c r="BU13" s="48"/>
      <c r="BV13" s="48"/>
      <c r="BW13" s="48"/>
      <c r="BX13" s="48"/>
      <c r="BY13" s="48"/>
      <c r="BZ13" s="48"/>
      <c r="CA13" s="48"/>
      <c r="CB13" s="48"/>
      <c r="CC13" s="48"/>
      <c r="CD13" s="48"/>
      <c r="CE13" s="48"/>
      <c r="CF13" s="48"/>
      <c r="CG13" s="48"/>
      <c r="CH13" s="48"/>
      <c r="CI13" s="48"/>
      <c r="CJ13" s="48"/>
      <c r="CK13" s="48"/>
      <c r="CL13" s="48"/>
      <c r="CM13" s="48"/>
      <c r="CN13" s="48"/>
      <c r="CO13" s="48"/>
      <c r="CP13" s="48"/>
      <c r="CQ13" s="48"/>
      <c r="CR13" s="48"/>
      <c r="CS13" s="48"/>
      <c r="CT13" s="48"/>
      <c r="CU13" s="48"/>
      <c r="CV13" s="48"/>
      <c r="CW13" s="48"/>
      <c r="CX13" s="48"/>
      <c r="CY13" s="48"/>
      <c r="CZ13" s="48"/>
      <c r="DA13" s="48"/>
      <c r="DB13" s="48"/>
      <c r="DC13" s="48"/>
      <c r="DD13" s="48"/>
      <c r="DE13" s="48"/>
      <c r="DF13" s="48"/>
      <c r="DG13" s="48"/>
      <c r="DH13" s="48"/>
      <c r="DI13" s="48"/>
      <c r="DJ13" s="48"/>
      <c r="DK13" s="48"/>
      <c r="DL13" s="48"/>
      <c r="DM13" s="48"/>
    </row>
    <row r="14" spans="1:117" s="47" customFormat="1" ht="64" hidden="1" x14ac:dyDescent="0.2">
      <c r="A14" s="47" t="str">
        <f>'Bottlenecks - Outcome'!A10</f>
        <v>Achieving Basic Education for All</v>
      </c>
      <c r="B14" s="47" t="str">
        <f>'Bottlenecks - Outcome'!B10</f>
        <v>4. Unsustainable fiscal situation of governments and organizations</v>
      </c>
      <c r="C14" s="47" t="str">
        <f>'Bottlenecks - Outcome'!C10</f>
        <v>4.2 Biased or inaccurate fiscal forecasting and unpredictable, volatile resource flows result in budgets being under-funded</v>
      </c>
      <c r="D14" s="47" t="str">
        <f>'Bottlenecks - Outcome'!D10</f>
        <v>Biased or inaccurate fiscal forecasting and unpredictable, volatile resource flows result in education budgets being under-funded.</v>
      </c>
      <c r="E14" s="47" t="s">
        <v>960</v>
      </c>
      <c r="F14" s="47" t="s">
        <v>948</v>
      </c>
      <c r="G14" s="47">
        <v>2023</v>
      </c>
      <c r="H14" s="47" t="s">
        <v>947</v>
      </c>
      <c r="I14" s="47" t="s">
        <v>266</v>
      </c>
      <c r="J14" s="48"/>
      <c r="K14" s="48"/>
      <c r="L14" s="48"/>
      <c r="M14" s="48"/>
      <c r="N14" s="48"/>
      <c r="O14" s="48"/>
      <c r="P14" s="48"/>
      <c r="Q14" s="48"/>
      <c r="R14" s="48"/>
      <c r="S14" s="48"/>
      <c r="T14" s="48"/>
      <c r="U14" s="48"/>
      <c r="V14" s="48"/>
      <c r="W14" s="48"/>
      <c r="X14" s="48"/>
      <c r="Y14" s="48"/>
      <c r="Z14" s="48"/>
      <c r="AA14" s="48"/>
      <c r="AB14" s="48"/>
      <c r="AC14" s="48"/>
      <c r="AD14" s="48"/>
      <c r="AE14" s="48"/>
      <c r="AF14" s="48"/>
      <c r="AG14" s="48"/>
      <c r="AH14" s="48"/>
      <c r="AI14" s="48"/>
      <c r="AJ14" s="48"/>
      <c r="AK14" s="48"/>
      <c r="AL14" s="48"/>
      <c r="AM14" s="48"/>
      <c r="AN14" s="48"/>
      <c r="AO14" s="48"/>
      <c r="AP14" s="48"/>
      <c r="AQ14" s="48"/>
      <c r="AR14" s="48"/>
      <c r="AS14" s="48"/>
      <c r="AT14" s="48"/>
      <c r="AU14" s="48"/>
      <c r="AV14" s="48"/>
      <c r="AW14" s="48"/>
      <c r="AX14" s="48"/>
      <c r="AY14" s="48"/>
      <c r="AZ14" s="48"/>
      <c r="BA14" s="48"/>
      <c r="BB14" s="48"/>
      <c r="BC14" s="48"/>
      <c r="BD14" s="48"/>
      <c r="BE14" s="48"/>
      <c r="BF14" s="48"/>
      <c r="BG14" s="48"/>
      <c r="BH14" s="48"/>
      <c r="BI14" s="48"/>
      <c r="BJ14" s="48"/>
      <c r="BK14" s="48"/>
      <c r="BL14" s="48"/>
      <c r="BM14" s="48"/>
      <c r="BN14" s="48"/>
      <c r="BO14" s="48"/>
      <c r="BP14" s="48"/>
      <c r="BQ14" s="48"/>
      <c r="BR14" s="48"/>
      <c r="BS14" s="48"/>
      <c r="BT14" s="48"/>
      <c r="BU14" s="48"/>
      <c r="BV14" s="48"/>
      <c r="BW14" s="48"/>
      <c r="BX14" s="48"/>
      <c r="BY14" s="48"/>
      <c r="BZ14" s="48"/>
      <c r="CA14" s="48"/>
      <c r="CB14" s="48"/>
      <c r="CC14" s="48"/>
      <c r="CD14" s="48"/>
      <c r="CE14" s="48"/>
      <c r="CF14" s="48"/>
      <c r="CG14" s="48"/>
      <c r="CH14" s="48"/>
      <c r="CI14" s="48"/>
      <c r="CJ14" s="48"/>
      <c r="CK14" s="48"/>
      <c r="CL14" s="48"/>
      <c r="CM14" s="48"/>
      <c r="CN14" s="48"/>
      <c r="CO14" s="48"/>
      <c r="CP14" s="48"/>
      <c r="CQ14" s="48"/>
      <c r="CR14" s="48"/>
      <c r="CS14" s="48"/>
      <c r="CT14" s="48"/>
      <c r="CU14" s="48"/>
      <c r="CV14" s="48"/>
      <c r="CW14" s="48"/>
      <c r="CX14" s="48"/>
      <c r="CY14" s="48"/>
      <c r="CZ14" s="48"/>
      <c r="DA14" s="48"/>
      <c r="DB14" s="48"/>
      <c r="DC14" s="48"/>
      <c r="DD14" s="48"/>
      <c r="DE14" s="48"/>
      <c r="DF14" s="48"/>
      <c r="DG14" s="48"/>
      <c r="DH14" s="48"/>
      <c r="DI14" s="48"/>
      <c r="DJ14" s="48"/>
      <c r="DK14" s="48"/>
      <c r="DL14" s="48"/>
      <c r="DM14" s="48"/>
    </row>
    <row r="15" spans="1:117" s="47" customFormat="1" ht="80" hidden="1" x14ac:dyDescent="0.2">
      <c r="A15" s="47" t="str">
        <f>'Bottlenecks - Outcome'!A15</f>
        <v>Achieving Basic Education for All</v>
      </c>
      <c r="B15" s="47" t="str">
        <f>'Bottlenecks - Outcome'!B15</f>
        <v>5. Inadequate and inequitable resources mobilized and deployed for policy implementation</v>
      </c>
      <c r="C15" s="47" t="str">
        <f>'Bottlenecks - Outcome'!C15</f>
        <v>5.4 Unequal and inequitable resource mobilization and distribution, misaligned with policy and effective delivery</v>
      </c>
      <c r="D15" s="47" t="str">
        <f>'Bottlenecks - Outcome'!D15</f>
        <v>Educational resources are not equitably distributed, failing to address disparities in the quality of and access to education across socioeconomic groups, other demographic categories, and geographic regions.</v>
      </c>
      <c r="E15" s="47" t="s">
        <v>950</v>
      </c>
      <c r="F15" s="47" t="s">
        <v>878</v>
      </c>
      <c r="G15" s="47">
        <v>2019</v>
      </c>
      <c r="H15" s="47" t="s">
        <v>952</v>
      </c>
      <c r="I15" s="47" t="s">
        <v>266</v>
      </c>
      <c r="J15" s="48"/>
      <c r="K15" s="48"/>
      <c r="L15" s="48"/>
      <c r="M15" s="48"/>
      <c r="N15" s="48"/>
      <c r="O15" s="48"/>
      <c r="P15" s="48"/>
      <c r="Q15" s="48"/>
      <c r="R15" s="48"/>
      <c r="S15" s="48"/>
      <c r="T15" s="48"/>
      <c r="U15" s="48"/>
      <c r="V15" s="48"/>
      <c r="W15" s="48"/>
      <c r="X15" s="48"/>
      <c r="Y15" s="48"/>
      <c r="Z15" s="48"/>
      <c r="AA15" s="48"/>
      <c r="AB15" s="48"/>
      <c r="AC15" s="48"/>
      <c r="AD15" s="48"/>
      <c r="AE15" s="48"/>
      <c r="AF15" s="48"/>
      <c r="AG15" s="48"/>
      <c r="AH15" s="48"/>
      <c r="AI15" s="48"/>
      <c r="AJ15" s="48"/>
      <c r="AK15" s="48"/>
      <c r="AL15" s="48"/>
      <c r="AM15" s="48"/>
      <c r="AN15" s="48"/>
      <c r="AO15" s="48"/>
      <c r="AP15" s="48"/>
      <c r="AQ15" s="48"/>
      <c r="AR15" s="48"/>
      <c r="AS15" s="48"/>
      <c r="AT15" s="48"/>
      <c r="AU15" s="48"/>
      <c r="AV15" s="48"/>
      <c r="AW15" s="48"/>
      <c r="AX15" s="48"/>
      <c r="AY15" s="48"/>
      <c r="AZ15" s="48"/>
      <c r="BA15" s="48"/>
      <c r="BB15" s="48"/>
      <c r="BC15" s="48"/>
      <c r="BD15" s="48"/>
      <c r="BE15" s="48"/>
      <c r="BF15" s="48"/>
      <c r="BG15" s="48"/>
      <c r="BH15" s="48"/>
      <c r="BI15" s="48"/>
      <c r="BJ15" s="48"/>
      <c r="BK15" s="48"/>
      <c r="BL15" s="48"/>
      <c r="BM15" s="48"/>
      <c r="BN15" s="48"/>
      <c r="BO15" s="48"/>
      <c r="BP15" s="48"/>
      <c r="BQ15" s="48"/>
      <c r="BR15" s="48"/>
      <c r="BS15" s="48"/>
      <c r="BT15" s="48"/>
      <c r="BU15" s="48"/>
      <c r="BV15" s="48"/>
      <c r="BW15" s="48"/>
      <c r="BX15" s="48"/>
      <c r="BY15" s="48"/>
      <c r="BZ15" s="48"/>
      <c r="CA15" s="48"/>
      <c r="CB15" s="48"/>
      <c r="CC15" s="48"/>
      <c r="CD15" s="48"/>
      <c r="CE15" s="48"/>
      <c r="CF15" s="48"/>
      <c r="CG15" s="48"/>
      <c r="CH15" s="48"/>
      <c r="CI15" s="48"/>
      <c r="CJ15" s="48"/>
      <c r="CK15" s="48"/>
      <c r="CL15" s="48"/>
      <c r="CM15" s="48"/>
      <c r="CN15" s="48"/>
      <c r="CO15" s="48"/>
      <c r="CP15" s="48"/>
      <c r="CQ15" s="48"/>
      <c r="CR15" s="48"/>
      <c r="CS15" s="48"/>
      <c r="CT15" s="48"/>
      <c r="CU15" s="48"/>
      <c r="CV15" s="48"/>
      <c r="CW15" s="48"/>
      <c r="CX15" s="48"/>
      <c r="CY15" s="48"/>
      <c r="CZ15" s="48"/>
      <c r="DA15" s="48"/>
      <c r="DB15" s="48"/>
      <c r="DC15" s="48"/>
      <c r="DD15" s="48"/>
      <c r="DE15" s="48"/>
      <c r="DF15" s="48"/>
      <c r="DG15" s="48"/>
      <c r="DH15" s="48"/>
      <c r="DI15" s="48"/>
      <c r="DJ15" s="48"/>
      <c r="DK15" s="48"/>
      <c r="DL15" s="48"/>
      <c r="DM15" s="48"/>
    </row>
    <row r="16" spans="1:117" s="47" customFormat="1" ht="72" hidden="1" customHeight="1" x14ac:dyDescent="0.2">
      <c r="A16" s="47" t="str">
        <f>'Bottlenecks - Outcome'!A16</f>
        <v>Achieving Basic Education for All</v>
      </c>
      <c r="B16" s="47" t="str">
        <f>'Bottlenecks - Outcome'!B16</f>
        <v>6. Unreliable, delayed and fragmented funding for delivery</v>
      </c>
      <c r="C16" s="47" t="str">
        <f>'Bottlenecks - Outcome'!C16</f>
        <v>6.1 Ad hoc, political and fragmented funding channels contributes to ineffective and inefficient delivery</v>
      </c>
      <c r="D16" s="47" t="str">
        <f>'Bottlenecks - Outcome'!D16</f>
        <v>Funding channels for schools are often ad hoc and fragmented, sometimes politically driven or externally financed, contributing to administrative burdens and inefficient service delivery.</v>
      </c>
      <c r="E16" s="47" t="s">
        <v>951</v>
      </c>
      <c r="F16" s="47" t="s">
        <v>511</v>
      </c>
      <c r="G16" s="47">
        <v>2023</v>
      </c>
      <c r="H16" s="47" t="s">
        <v>953</v>
      </c>
      <c r="I16" s="47" t="s">
        <v>266</v>
      </c>
      <c r="J16" s="48"/>
      <c r="K16" s="48"/>
      <c r="L16" s="48"/>
      <c r="M16" s="48"/>
      <c r="N16" s="48"/>
      <c r="O16" s="48"/>
      <c r="P16" s="48"/>
      <c r="Q16" s="48"/>
      <c r="R16" s="48"/>
      <c r="S16" s="48"/>
      <c r="T16" s="48"/>
      <c r="U16" s="48"/>
      <c r="V16" s="48"/>
      <c r="W16" s="48"/>
      <c r="X16" s="48"/>
      <c r="Y16" s="48"/>
      <c r="Z16" s="48"/>
      <c r="AA16" s="48"/>
      <c r="AB16" s="48"/>
      <c r="AC16" s="48"/>
      <c r="AD16" s="48"/>
      <c r="AE16" s="48"/>
      <c r="AF16" s="48"/>
      <c r="AG16" s="48"/>
      <c r="AH16" s="48"/>
      <c r="AI16" s="48"/>
      <c r="AJ16" s="48"/>
      <c r="AK16" s="48"/>
      <c r="AL16" s="48"/>
      <c r="AM16" s="48"/>
      <c r="AN16" s="48"/>
      <c r="AO16" s="48"/>
      <c r="AP16" s="48"/>
      <c r="AQ16" s="48"/>
      <c r="AR16" s="48"/>
      <c r="AS16" s="48"/>
      <c r="AT16" s="48"/>
      <c r="AU16" s="48"/>
      <c r="AV16" s="48"/>
      <c r="AW16" s="48"/>
      <c r="AX16" s="48"/>
      <c r="AY16" s="48"/>
      <c r="AZ16" s="48"/>
      <c r="BA16" s="48"/>
      <c r="BB16" s="48"/>
      <c r="BC16" s="48"/>
      <c r="BD16" s="48"/>
      <c r="BE16" s="48"/>
      <c r="BF16" s="48"/>
      <c r="BG16" s="48"/>
      <c r="BH16" s="48"/>
      <c r="BI16" s="48"/>
      <c r="BJ16" s="48"/>
      <c r="BK16" s="48"/>
      <c r="BL16" s="48"/>
      <c r="BM16" s="48"/>
      <c r="BN16" s="48"/>
      <c r="BO16" s="48"/>
      <c r="BP16" s="48"/>
      <c r="BQ16" s="48"/>
      <c r="BR16" s="48"/>
      <c r="BS16" s="48"/>
      <c r="BT16" s="48"/>
      <c r="BU16" s="48"/>
      <c r="BV16" s="48"/>
      <c r="BW16" s="48"/>
      <c r="BX16" s="48"/>
      <c r="BY16" s="48"/>
      <c r="BZ16" s="48"/>
      <c r="CA16" s="48"/>
      <c r="CB16" s="48"/>
      <c r="CC16" s="48"/>
      <c r="CD16" s="48"/>
      <c r="CE16" s="48"/>
      <c r="CF16" s="48"/>
      <c r="CG16" s="48"/>
      <c r="CH16" s="48"/>
      <c r="CI16" s="48"/>
      <c r="CJ16" s="48"/>
      <c r="CK16" s="48"/>
      <c r="CL16" s="48"/>
      <c r="CM16" s="48"/>
      <c r="CN16" s="48"/>
      <c r="CO16" s="48"/>
      <c r="CP16" s="48"/>
      <c r="CQ16" s="48"/>
      <c r="CR16" s="48"/>
      <c r="CS16" s="48"/>
      <c r="CT16" s="48"/>
      <c r="CU16" s="48"/>
      <c r="CV16" s="48"/>
      <c r="CW16" s="48"/>
      <c r="CX16" s="48"/>
      <c r="CY16" s="48"/>
      <c r="CZ16" s="48"/>
      <c r="DA16" s="48"/>
      <c r="DB16" s="48"/>
      <c r="DC16" s="48"/>
      <c r="DD16" s="48"/>
      <c r="DE16" s="48"/>
      <c r="DF16" s="48"/>
      <c r="DG16" s="48"/>
      <c r="DH16" s="48"/>
      <c r="DI16" s="48"/>
      <c r="DJ16" s="48"/>
      <c r="DK16" s="48"/>
      <c r="DL16" s="48"/>
      <c r="DM16" s="48"/>
    </row>
    <row r="17" spans="1:117" s="47" customFormat="1" ht="80" hidden="1" x14ac:dyDescent="0.2">
      <c r="A17" s="47" t="str">
        <f>'Bottlenecks - Outcome'!A16</f>
        <v>Achieving Basic Education for All</v>
      </c>
      <c r="B17" s="47" t="str">
        <f>'Bottlenecks - Outcome'!B16</f>
        <v>6. Unreliable, delayed and fragmented funding for delivery</v>
      </c>
      <c r="C17" s="47" t="str">
        <f>'Bottlenecks - Outcome'!C16</f>
        <v>6.1 Ad hoc, political and fragmented funding channels contributes to ineffective and inefficient delivery</v>
      </c>
      <c r="D17" s="47" t="str">
        <f>'Bottlenecks - Outcome'!D16</f>
        <v>Funding channels for schools are often ad hoc and fragmented, sometimes politically driven or externally financed, contributing to administrative burdens and inefficient service delivery.</v>
      </c>
      <c r="E17" s="47" t="s">
        <v>954</v>
      </c>
      <c r="F17" s="47" t="s">
        <v>533</v>
      </c>
      <c r="G17" s="47">
        <v>2025</v>
      </c>
      <c r="H17" s="47" t="s">
        <v>968</v>
      </c>
      <c r="I17" s="47" t="s">
        <v>266</v>
      </c>
      <c r="J17" s="48"/>
      <c r="K17" s="48"/>
      <c r="L17" s="48"/>
      <c r="M17" s="48"/>
      <c r="N17" s="48"/>
      <c r="O17" s="48"/>
      <c r="P17" s="48"/>
      <c r="Q17" s="48"/>
      <c r="R17" s="48"/>
      <c r="S17" s="48"/>
      <c r="T17" s="48"/>
      <c r="U17" s="48"/>
      <c r="V17" s="48"/>
      <c r="W17" s="48"/>
      <c r="X17" s="48"/>
      <c r="Y17" s="48"/>
      <c r="Z17" s="48"/>
      <c r="AA17" s="48"/>
      <c r="AB17" s="48"/>
      <c r="AC17" s="48"/>
      <c r="AD17" s="48"/>
      <c r="AE17" s="48"/>
      <c r="AF17" s="48"/>
      <c r="AG17" s="48"/>
      <c r="AH17" s="48"/>
      <c r="AI17" s="48"/>
      <c r="AJ17" s="48"/>
      <c r="AK17" s="48"/>
      <c r="AL17" s="48"/>
      <c r="AM17" s="48"/>
      <c r="AN17" s="48"/>
      <c r="AO17" s="48"/>
      <c r="AP17" s="48"/>
      <c r="AQ17" s="48"/>
      <c r="AR17" s="48"/>
      <c r="AS17" s="48"/>
      <c r="AT17" s="48"/>
      <c r="AU17" s="48"/>
      <c r="AV17" s="48"/>
      <c r="AW17" s="48"/>
      <c r="AX17" s="48"/>
      <c r="AY17" s="48"/>
      <c r="AZ17" s="48"/>
      <c r="BA17" s="48"/>
      <c r="BB17" s="48"/>
      <c r="BC17" s="48"/>
      <c r="BD17" s="48"/>
      <c r="BE17" s="48"/>
      <c r="BF17" s="48"/>
      <c r="BG17" s="48"/>
      <c r="BH17" s="48"/>
      <c r="BI17" s="48"/>
      <c r="BJ17" s="48"/>
      <c r="BK17" s="48"/>
      <c r="BL17" s="48"/>
      <c r="BM17" s="48"/>
      <c r="BN17" s="48"/>
      <c r="BO17" s="48"/>
      <c r="BP17" s="48"/>
      <c r="BQ17" s="48"/>
      <c r="BR17" s="48"/>
      <c r="BS17" s="48"/>
      <c r="BT17" s="48"/>
      <c r="BU17" s="48"/>
      <c r="BV17" s="48"/>
      <c r="BW17" s="48"/>
      <c r="BX17" s="48"/>
      <c r="BY17" s="48"/>
      <c r="BZ17" s="48"/>
      <c r="CA17" s="48"/>
      <c r="CB17" s="48"/>
      <c r="CC17" s="48"/>
      <c r="CD17" s="48"/>
      <c r="CE17" s="48"/>
      <c r="CF17" s="48"/>
      <c r="CG17" s="48"/>
      <c r="CH17" s="48"/>
      <c r="CI17" s="48"/>
      <c r="CJ17" s="48"/>
      <c r="CK17" s="48"/>
      <c r="CL17" s="48"/>
      <c r="CM17" s="48"/>
      <c r="CN17" s="48"/>
      <c r="CO17" s="48"/>
      <c r="CP17" s="48"/>
      <c r="CQ17" s="48"/>
      <c r="CR17" s="48"/>
      <c r="CS17" s="48"/>
      <c r="CT17" s="48"/>
      <c r="CU17" s="48"/>
      <c r="CV17" s="48"/>
      <c r="CW17" s="48"/>
      <c r="CX17" s="48"/>
      <c r="CY17" s="48"/>
      <c r="CZ17" s="48"/>
      <c r="DA17" s="48"/>
      <c r="DB17" s="48"/>
      <c r="DC17" s="48"/>
      <c r="DD17" s="48"/>
      <c r="DE17" s="48"/>
      <c r="DF17" s="48"/>
      <c r="DG17" s="48"/>
      <c r="DH17" s="48"/>
      <c r="DI17" s="48"/>
      <c r="DJ17" s="48"/>
      <c r="DK17" s="48"/>
      <c r="DL17" s="48"/>
      <c r="DM17" s="48"/>
    </row>
    <row r="18" spans="1:117" s="47" customFormat="1" ht="112" hidden="1" x14ac:dyDescent="0.2">
      <c r="A18" s="47" t="str">
        <f>'Bottlenecks - Outcome'!A18</f>
        <v>Achieving Basic Education for All</v>
      </c>
      <c r="B18" s="47" t="str">
        <f>'Bottlenecks - Outcome'!B18</f>
        <v>6. Unreliable, delayed and fragmented funding for delivery</v>
      </c>
      <c r="C18" s="47" t="str">
        <f>'Bottlenecks - Outcome'!C18</f>
        <v>6.3 Shortfalls, delays and diversion of funding for delivery</v>
      </c>
      <c r="D18" s="47" t="s">
        <v>324</v>
      </c>
      <c r="E18" s="47" t="s">
        <v>920</v>
      </c>
      <c r="F18" s="47" t="s">
        <v>512</v>
      </c>
      <c r="G18" s="47">
        <v>2001</v>
      </c>
      <c r="H18" s="47" t="s">
        <v>561</v>
      </c>
      <c r="I18" s="47" t="s">
        <v>266</v>
      </c>
      <c r="J18" s="48"/>
      <c r="K18" s="48"/>
      <c r="L18" s="48"/>
      <c r="M18" s="48"/>
      <c r="N18" s="48"/>
      <c r="O18" s="48"/>
      <c r="P18" s="48"/>
      <c r="Q18" s="48"/>
      <c r="R18" s="48"/>
      <c r="S18" s="48"/>
      <c r="T18" s="48"/>
      <c r="U18" s="48"/>
      <c r="V18" s="48"/>
      <c r="W18" s="48"/>
      <c r="X18" s="48"/>
      <c r="Y18" s="48"/>
      <c r="Z18" s="48"/>
      <c r="AA18" s="48"/>
      <c r="AB18" s="48"/>
      <c r="AC18" s="48"/>
      <c r="AD18" s="48"/>
      <c r="AE18" s="48"/>
      <c r="AF18" s="48"/>
      <c r="AG18" s="48"/>
      <c r="AH18" s="48"/>
      <c r="AI18" s="48"/>
      <c r="AJ18" s="48"/>
      <c r="AK18" s="48"/>
      <c r="AL18" s="48"/>
      <c r="AM18" s="48"/>
      <c r="AN18" s="48"/>
      <c r="AO18" s="48"/>
      <c r="AP18" s="48"/>
      <c r="AQ18" s="48"/>
      <c r="AR18" s="48"/>
      <c r="AS18" s="48"/>
      <c r="AT18" s="48"/>
      <c r="AU18" s="48"/>
      <c r="AV18" s="48"/>
      <c r="AW18" s="48"/>
      <c r="AX18" s="48"/>
      <c r="AY18" s="48"/>
      <c r="AZ18" s="48"/>
      <c r="BA18" s="48"/>
      <c r="BB18" s="48"/>
      <c r="BC18" s="48"/>
      <c r="BD18" s="48"/>
      <c r="BE18" s="48"/>
      <c r="BF18" s="48"/>
      <c r="BG18" s="48"/>
      <c r="BH18" s="48"/>
      <c r="BI18" s="48"/>
      <c r="BJ18" s="48"/>
      <c r="BK18" s="48"/>
      <c r="BL18" s="48"/>
      <c r="BM18" s="48"/>
      <c r="BN18" s="48"/>
      <c r="BO18" s="48"/>
      <c r="BP18" s="48"/>
      <c r="BQ18" s="48"/>
      <c r="BR18" s="48"/>
      <c r="BS18" s="48"/>
      <c r="BT18" s="48"/>
      <c r="BU18" s="48"/>
      <c r="BV18" s="48"/>
      <c r="BW18" s="48"/>
      <c r="BX18" s="48"/>
      <c r="BY18" s="48"/>
      <c r="BZ18" s="48"/>
      <c r="CA18" s="48"/>
      <c r="CB18" s="48"/>
      <c r="CC18" s="48"/>
      <c r="CD18" s="48"/>
      <c r="CE18" s="48"/>
      <c r="CF18" s="48"/>
      <c r="CG18" s="48"/>
      <c r="CH18" s="48"/>
      <c r="CI18" s="48"/>
      <c r="CJ18" s="48"/>
      <c r="CK18" s="48"/>
      <c r="CL18" s="48"/>
      <c r="CM18" s="48"/>
      <c r="CN18" s="48"/>
      <c r="CO18" s="48"/>
      <c r="CP18" s="48"/>
      <c r="CQ18" s="48"/>
      <c r="CR18" s="48"/>
      <c r="CS18" s="48"/>
      <c r="CT18" s="48"/>
      <c r="CU18" s="48"/>
      <c r="CV18" s="48"/>
      <c r="CW18" s="48"/>
      <c r="CX18" s="48"/>
      <c r="CY18" s="48"/>
      <c r="CZ18" s="48"/>
      <c r="DA18" s="48"/>
      <c r="DB18" s="48"/>
      <c r="DC18" s="48"/>
      <c r="DD18" s="48"/>
      <c r="DE18" s="48"/>
      <c r="DF18" s="48"/>
      <c r="DG18" s="48"/>
      <c r="DH18" s="48"/>
      <c r="DI18" s="48"/>
      <c r="DJ18" s="48"/>
      <c r="DK18" s="48"/>
      <c r="DL18" s="48"/>
      <c r="DM18" s="48"/>
    </row>
    <row r="19" spans="1:117" s="47" customFormat="1" ht="80" hidden="1" x14ac:dyDescent="0.2">
      <c r="A19" s="47" t="str">
        <f>'Bottlenecks - Outcome'!A16</f>
        <v>Achieving Basic Education for All</v>
      </c>
      <c r="B19" s="47" t="str">
        <f>'Bottlenecks - Outcome'!B16</f>
        <v>6. Unreliable, delayed and fragmented funding for delivery</v>
      </c>
      <c r="C19" s="47" t="str">
        <f>'Bottlenecks - Outcome'!C16</f>
        <v>6.1 Ad hoc, political and fragmented funding channels contributes to ineffective and inefficient delivery</v>
      </c>
      <c r="D19" s="47" t="str">
        <f>'Bottlenecks - Outcome'!D16</f>
        <v>Funding channels for schools are often ad hoc and fragmented, sometimes politically driven or externally financed, contributing to administrative burdens and inefficient service delivery.</v>
      </c>
      <c r="E19" s="47" t="s">
        <v>956</v>
      </c>
      <c r="F19" s="47" t="s">
        <v>512</v>
      </c>
      <c r="G19" s="47">
        <v>2021</v>
      </c>
      <c r="H19" s="47" t="s">
        <v>955</v>
      </c>
      <c r="I19" s="47" t="s">
        <v>266</v>
      </c>
      <c r="J19" s="48"/>
      <c r="K19" s="48"/>
      <c r="L19" s="48"/>
      <c r="M19" s="48"/>
      <c r="N19" s="48"/>
      <c r="O19" s="48"/>
      <c r="P19" s="48"/>
      <c r="Q19" s="48"/>
      <c r="R19" s="48"/>
      <c r="S19" s="48"/>
      <c r="T19" s="48"/>
      <c r="U19" s="48"/>
      <c r="V19" s="48"/>
      <c r="W19" s="48"/>
      <c r="X19" s="48"/>
      <c r="Y19" s="48"/>
      <c r="Z19" s="48"/>
      <c r="AA19" s="48"/>
      <c r="AB19" s="48"/>
      <c r="AC19" s="48"/>
      <c r="AD19" s="48"/>
      <c r="AE19" s="48"/>
      <c r="AF19" s="48"/>
      <c r="AG19" s="48"/>
      <c r="AH19" s="48"/>
      <c r="AI19" s="48"/>
      <c r="AJ19" s="48"/>
      <c r="AK19" s="48"/>
      <c r="AL19" s="48"/>
      <c r="AM19" s="48"/>
      <c r="AN19" s="48"/>
      <c r="AO19" s="48"/>
      <c r="AP19" s="48"/>
      <c r="AQ19" s="48"/>
      <c r="AR19" s="48"/>
      <c r="AS19" s="48"/>
      <c r="AT19" s="48"/>
      <c r="AU19" s="48"/>
      <c r="AV19" s="48"/>
      <c r="AW19" s="48"/>
      <c r="AX19" s="48"/>
      <c r="AY19" s="48"/>
      <c r="AZ19" s="48"/>
      <c r="BA19" s="48"/>
      <c r="BB19" s="48"/>
      <c r="BC19" s="48"/>
      <c r="BD19" s="48"/>
      <c r="BE19" s="48"/>
      <c r="BF19" s="48"/>
      <c r="BG19" s="48"/>
      <c r="BH19" s="48"/>
      <c r="BI19" s="48"/>
      <c r="BJ19" s="48"/>
      <c r="BK19" s="48"/>
      <c r="BL19" s="48"/>
      <c r="BM19" s="48"/>
      <c r="BN19" s="48"/>
      <c r="BO19" s="48"/>
      <c r="BP19" s="48"/>
      <c r="BQ19" s="48"/>
      <c r="BR19" s="48"/>
      <c r="BS19" s="48"/>
      <c r="BT19" s="48"/>
      <c r="BU19" s="48"/>
      <c r="BV19" s="48"/>
      <c r="BW19" s="48"/>
      <c r="BX19" s="48"/>
      <c r="BY19" s="48"/>
      <c r="BZ19" s="48"/>
      <c r="CA19" s="48"/>
      <c r="CB19" s="48"/>
      <c r="CC19" s="48"/>
      <c r="CD19" s="48"/>
      <c r="CE19" s="48"/>
      <c r="CF19" s="48"/>
      <c r="CG19" s="48"/>
      <c r="CH19" s="48"/>
      <c r="CI19" s="48"/>
      <c r="CJ19" s="48"/>
      <c r="CK19" s="48"/>
      <c r="CL19" s="48"/>
      <c r="CM19" s="48"/>
      <c r="CN19" s="48"/>
      <c r="CO19" s="48"/>
      <c r="CP19" s="48"/>
      <c r="CQ19" s="48"/>
      <c r="CR19" s="48"/>
      <c r="CS19" s="48"/>
      <c r="CT19" s="48"/>
      <c r="CU19" s="48"/>
      <c r="CV19" s="48"/>
      <c r="CW19" s="48"/>
      <c r="CX19" s="48"/>
      <c r="CY19" s="48"/>
      <c r="CZ19" s="48"/>
      <c r="DA19" s="48"/>
      <c r="DB19" s="48"/>
      <c r="DC19" s="48"/>
      <c r="DD19" s="48"/>
      <c r="DE19" s="48"/>
      <c r="DF19" s="48"/>
      <c r="DG19" s="48"/>
      <c r="DH19" s="48"/>
      <c r="DI19" s="48"/>
      <c r="DJ19" s="48"/>
      <c r="DK19" s="48"/>
      <c r="DL19" s="48"/>
      <c r="DM19" s="48"/>
    </row>
    <row r="20" spans="1:117" s="47" customFormat="1" ht="80" hidden="1" x14ac:dyDescent="0.2">
      <c r="A20" s="47" t="str">
        <f>'Bottlenecks - Outcome'!A16</f>
        <v>Achieving Basic Education for All</v>
      </c>
      <c r="B20" s="47" t="str">
        <f>'Bottlenecks - Outcome'!B16</f>
        <v>6. Unreliable, delayed and fragmented funding for delivery</v>
      </c>
      <c r="C20" s="47" t="str">
        <f>'Bottlenecks - Outcome'!C16</f>
        <v>6.1 Ad hoc, political and fragmented funding channels contributes to ineffective and inefficient delivery</v>
      </c>
      <c r="D20" s="47" t="str">
        <f>'Bottlenecks - Outcome'!D16</f>
        <v>Funding channels for schools are often ad hoc and fragmented, sometimes politically driven or externally financed, contributing to administrative burdens and inefficient service delivery.</v>
      </c>
      <c r="E20" s="47" t="s">
        <v>957</v>
      </c>
      <c r="F20" s="47" t="s">
        <v>552</v>
      </c>
      <c r="G20" s="47">
        <v>2021</v>
      </c>
      <c r="H20" s="47" t="s">
        <v>958</v>
      </c>
      <c r="I20" s="47" t="s">
        <v>266</v>
      </c>
      <c r="J20" s="48"/>
      <c r="K20" s="48"/>
      <c r="L20" s="48"/>
      <c r="M20" s="48"/>
      <c r="N20" s="48"/>
      <c r="O20" s="48"/>
      <c r="P20" s="48"/>
      <c r="Q20" s="48"/>
      <c r="R20" s="48"/>
      <c r="S20" s="48"/>
      <c r="T20" s="48"/>
      <c r="U20" s="48"/>
      <c r="V20" s="48"/>
      <c r="W20" s="48"/>
      <c r="X20" s="48"/>
      <c r="Y20" s="48"/>
      <c r="Z20" s="48"/>
      <c r="AA20" s="48"/>
      <c r="AB20" s="48"/>
      <c r="AC20" s="48"/>
      <c r="AD20" s="48"/>
      <c r="AE20" s="48"/>
      <c r="AF20" s="48"/>
      <c r="AG20" s="48"/>
      <c r="AH20" s="48"/>
      <c r="AI20" s="48"/>
      <c r="AJ20" s="48"/>
      <c r="AK20" s="48"/>
      <c r="AL20" s="48"/>
      <c r="AM20" s="48"/>
      <c r="AN20" s="48"/>
      <c r="AO20" s="48"/>
      <c r="AP20" s="48"/>
      <c r="AQ20" s="48"/>
      <c r="AR20" s="48"/>
      <c r="AS20" s="48"/>
      <c r="AT20" s="48"/>
      <c r="AU20" s="48"/>
      <c r="AV20" s="48"/>
      <c r="AW20" s="48"/>
      <c r="AX20" s="48"/>
      <c r="AY20" s="48"/>
      <c r="AZ20" s="48"/>
      <c r="BA20" s="48"/>
      <c r="BB20" s="48"/>
      <c r="BC20" s="48"/>
      <c r="BD20" s="48"/>
      <c r="BE20" s="48"/>
      <c r="BF20" s="48"/>
      <c r="BG20" s="48"/>
      <c r="BH20" s="48"/>
      <c r="BI20" s="48"/>
      <c r="BJ20" s="48"/>
      <c r="BK20" s="48"/>
      <c r="BL20" s="48"/>
      <c r="BM20" s="48"/>
      <c r="BN20" s="48"/>
      <c r="BO20" s="48"/>
      <c r="BP20" s="48"/>
      <c r="BQ20" s="48"/>
      <c r="BR20" s="48"/>
      <c r="BS20" s="48"/>
      <c r="BT20" s="48"/>
      <c r="BU20" s="48"/>
      <c r="BV20" s="48"/>
      <c r="BW20" s="48"/>
      <c r="BX20" s="48"/>
      <c r="BY20" s="48"/>
      <c r="BZ20" s="48"/>
      <c r="CA20" s="48"/>
      <c r="CB20" s="48"/>
      <c r="CC20" s="48"/>
      <c r="CD20" s="48"/>
      <c r="CE20" s="48"/>
      <c r="CF20" s="48"/>
      <c r="CG20" s="48"/>
      <c r="CH20" s="48"/>
      <c r="CI20" s="48"/>
      <c r="CJ20" s="48"/>
      <c r="CK20" s="48"/>
      <c r="CL20" s="48"/>
      <c r="CM20" s="48"/>
      <c r="CN20" s="48"/>
      <c r="CO20" s="48"/>
      <c r="CP20" s="48"/>
      <c r="CQ20" s="48"/>
      <c r="CR20" s="48"/>
      <c r="CS20" s="48"/>
      <c r="CT20" s="48"/>
      <c r="CU20" s="48"/>
      <c r="CV20" s="48"/>
      <c r="CW20" s="48"/>
      <c r="CX20" s="48"/>
      <c r="CY20" s="48"/>
      <c r="CZ20" s="48"/>
      <c r="DA20" s="48"/>
      <c r="DB20" s="48"/>
      <c r="DC20" s="48"/>
      <c r="DD20" s="48"/>
      <c r="DE20" s="48"/>
      <c r="DF20" s="48"/>
      <c r="DG20" s="48"/>
      <c r="DH20" s="48"/>
      <c r="DI20" s="48"/>
      <c r="DJ20" s="48"/>
      <c r="DK20" s="48"/>
      <c r="DL20" s="48"/>
      <c r="DM20" s="48"/>
    </row>
    <row r="21" spans="1:117" ht="112" hidden="1" x14ac:dyDescent="0.2">
      <c r="A21" s="47" t="str">
        <f>'Bottlenecks - Outcome'!A20</f>
        <v>Achieving Basic Education for All</v>
      </c>
      <c r="B21" s="47" t="str">
        <f>'Bottlenecks - Outcome'!B20</f>
        <v>7. Inefficient deployment and management of resources and inputs for delivery</v>
      </c>
      <c r="C21" s="47" t="str">
        <f>'Bottlenecks - Outcome'!C20</f>
        <v>7.2 Inefficient public investment decisions and management of assets</v>
      </c>
      <c r="D21" s="47" t="s">
        <v>325</v>
      </c>
      <c r="E21" s="47" t="s">
        <v>921</v>
      </c>
      <c r="F21" s="47" t="s">
        <v>877</v>
      </c>
      <c r="G21" s="47" t="s">
        <v>509</v>
      </c>
      <c r="H21" s="47" t="s">
        <v>562</v>
      </c>
      <c r="I21" s="47" t="s">
        <v>266</v>
      </c>
    </row>
    <row r="22" spans="1:117" ht="144" hidden="1" x14ac:dyDescent="0.2">
      <c r="A22" s="47" t="str">
        <f>'Bottlenecks - Outcome'!A21</f>
        <v>Achieving Basic Education for All</v>
      </c>
      <c r="B22" s="47" t="str">
        <f>'Bottlenecks - Outcome'!B21</f>
        <v>7. Inefficient deployment and management of resources and inputs for delivery</v>
      </c>
      <c r="C22" s="47" t="str">
        <f>'Bottlenecks - Outcome'!C21</f>
        <v>7.3 High cost, inefficient deployment, poor motivation and inadequate skills of frontline and other staff</v>
      </c>
      <c r="D22" s="47" t="str">
        <f>'Bottlenecks - Outcome'!D21</f>
        <v>Teachers may be relatively high cost (there is often a public sector wage premium) and there may be imbalances in teacher deployment, with shortages in under-served areas and surpluses elsewhere, which often persist over time despite efforts to redress them. There may also be overly rigid HR policies that hinder flexibility and performance-based promotions.</v>
      </c>
      <c r="E22" s="47" t="s">
        <v>992</v>
      </c>
      <c r="F22" s="47" t="s">
        <v>994</v>
      </c>
      <c r="G22" s="47">
        <v>2023</v>
      </c>
      <c r="H22" s="47" t="s">
        <v>995</v>
      </c>
      <c r="I22" s="47" t="s">
        <v>266</v>
      </c>
    </row>
    <row r="23" spans="1:117" ht="64" hidden="1" x14ac:dyDescent="0.2">
      <c r="A23" s="47" t="str">
        <f>'Bottlenecks - Outcome'!A23</f>
        <v>Achieving Basic Education for All</v>
      </c>
      <c r="B23" s="47" t="str">
        <f>'Bottlenecks - Outcome'!B23</f>
        <v>7. Inefficient deployment and management of resources and inputs for delivery</v>
      </c>
      <c r="C23" s="47" t="str">
        <f>'Bottlenecks - Outcome'!C23</f>
        <v>7.5 Delays in and inflated cost of procurement for infrastructure and operational inputs</v>
      </c>
      <c r="D23" s="47" t="s">
        <v>326</v>
      </c>
      <c r="E23" s="47" t="s">
        <v>922</v>
      </c>
      <c r="F23" s="47" t="s">
        <v>878</v>
      </c>
      <c r="G23" s="47">
        <v>2019</v>
      </c>
      <c r="H23" s="47" t="s">
        <v>563</v>
      </c>
      <c r="I23" s="47" t="s">
        <v>266</v>
      </c>
    </row>
    <row r="24" spans="1:117" ht="108" hidden="1" customHeight="1" x14ac:dyDescent="0.2">
      <c r="A24" s="47" t="str">
        <f>'Bottlenecks - Outcome'!A24</f>
        <v>Achieving Basic Education for All</v>
      </c>
      <c r="B24" s="47" t="str">
        <f>'Bottlenecks - Outcome'!B24</f>
        <v>7. Inefficient deployment and management of resources and inputs for delivery</v>
      </c>
      <c r="C24" s="47" t="str">
        <f>'Bottlenecks - Outcome'!C24</f>
        <v>7.6 The arrangements for managing funds at different levels up to the point of delivery are poorly designed and incoherent, especially in in multi-level government contexts.</v>
      </c>
      <c r="D24" s="47" t="str">
        <f>'Bottlenecks - Outcome'!D24</f>
        <v>Resources up to and at the point of delivery are often poorly managed. The systems and processes for managing and monitoring resources at the school and subnational levels are frequently inadequate, unused, not followed, or misaligned with existing capacity.</v>
      </c>
      <c r="E24" s="47" t="s">
        <v>959</v>
      </c>
      <c r="F24" s="47" t="s">
        <v>450</v>
      </c>
      <c r="G24" s="47">
        <v>2023</v>
      </c>
      <c r="H24" s="47" t="s">
        <v>962</v>
      </c>
      <c r="I24" s="47" t="s">
        <v>266</v>
      </c>
    </row>
    <row r="25" spans="1:117" ht="109.5" hidden="1" customHeight="1" x14ac:dyDescent="0.2">
      <c r="A25" s="47" t="str">
        <f>'Bottlenecks - Outcome'!A24</f>
        <v>Achieving Basic Education for All</v>
      </c>
      <c r="B25" s="47" t="str">
        <f>'Bottlenecks - Outcome'!B24</f>
        <v>7. Inefficient deployment and management of resources and inputs for delivery</v>
      </c>
      <c r="C25" s="47" t="str">
        <f>'Bottlenecks - Outcome'!C24</f>
        <v>7.6 The arrangements for managing funds at different levels up to the point of delivery are poorly designed and incoherent, especially in in multi-level government contexts.</v>
      </c>
      <c r="D25" s="47" t="str">
        <f>'Bottlenecks - Outcome'!D24</f>
        <v>Resources up to and at the point of delivery are often poorly managed. The systems and processes for managing and monitoring resources at the school and subnational levels are frequently inadequate, unused, not followed, or misaligned with existing capacity.</v>
      </c>
      <c r="E25" s="47" t="s">
        <v>961</v>
      </c>
      <c r="F25" s="47" t="s">
        <v>948</v>
      </c>
      <c r="G25" s="47">
        <v>2023</v>
      </c>
      <c r="H25" s="47" t="s">
        <v>963</v>
      </c>
      <c r="I25" s="47" t="s">
        <v>266</v>
      </c>
    </row>
    <row r="26" spans="1:117" ht="144" hidden="1" x14ac:dyDescent="0.2">
      <c r="A26" s="47" t="str">
        <f>'Bottlenecks - Outcome'!A25</f>
        <v>Achieving Basic Education for All</v>
      </c>
      <c r="B26" s="47" t="str">
        <f>'Bottlenecks - Outcome'!B25</f>
        <v>8. Management, oversight and accountability systems and institutions fail to encourage and enable performance as intended</v>
      </c>
      <c r="C26" s="47" t="str">
        <f>'Bottlenecks - Outcome'!C25</f>
        <v>8.1 The design of regulatory, incentive, control and management systems limits autonomy and discourages performance</v>
      </c>
      <c r="D26" s="47" t="str">
        <f>'Bottlenecks - Outcome'!D25</f>
        <v>Systems for sub-national and school-level management and use of resources may prevent access to resources, and limit autonomy of providers to adjust to local needs and context. In particular, rigid controls and conditions for use of funds may present obstacles to accessing resources and limit autonomy of schools and subnational entities to adjust to local needs and context.</v>
      </c>
      <c r="E26" s="47" t="s">
        <v>969</v>
      </c>
      <c r="F26" s="47" t="s">
        <v>533</v>
      </c>
      <c r="G26" s="47">
        <v>2025</v>
      </c>
      <c r="H26" s="47" t="s">
        <v>965</v>
      </c>
      <c r="I26" s="47" t="s">
        <v>266</v>
      </c>
    </row>
    <row r="27" spans="1:117" ht="96" hidden="1" x14ac:dyDescent="0.2">
      <c r="A27" s="47" t="str">
        <f>'Bottlenecks - Outcome'!A27</f>
        <v>Achieving Basic Education for All</v>
      </c>
      <c r="B27" s="47" t="str">
        <f>'Bottlenecks - Outcome'!B27</f>
        <v>8. Management, oversight and accountability systems and institutions fail to encourage and enable performance as intended</v>
      </c>
      <c r="C27" s="47" t="str">
        <f>'Bottlenecks - Outcome'!C27</f>
        <v>8.5 Inadequate transparency, oversight, monitoring, evaluation and accountability for resources and performance</v>
      </c>
      <c r="D27" s="47" t="s">
        <v>327</v>
      </c>
      <c r="E27" s="47" t="s">
        <v>923</v>
      </c>
      <c r="F27" s="47" t="s">
        <v>874</v>
      </c>
      <c r="G27" s="47" t="s">
        <v>814</v>
      </c>
      <c r="H27" s="47" t="s">
        <v>564</v>
      </c>
      <c r="I27" s="47" t="s">
        <v>266</v>
      </c>
    </row>
    <row r="28" spans="1:117" ht="144" hidden="1" x14ac:dyDescent="0.2">
      <c r="A28" s="47" t="str">
        <f>'Bottlenecks - Outcome'!A25</f>
        <v>Achieving Basic Education for All</v>
      </c>
      <c r="B28" s="47" t="str">
        <f>'Bottlenecks - Outcome'!B25</f>
        <v>8. Management, oversight and accountability systems and institutions fail to encourage and enable performance as intended</v>
      </c>
      <c r="C28" s="47" t="str">
        <f>'Bottlenecks - Outcome'!C25</f>
        <v>8.1 The design of regulatory, incentive, control and management systems limits autonomy and discourages performance</v>
      </c>
      <c r="D28" s="47" t="str">
        <f>'Bottlenecks - Outcome'!D25</f>
        <v>Systems for sub-national and school-level management and use of resources may prevent access to resources, and limit autonomy of providers to adjust to local needs and context. In particular, rigid controls and conditions for use of funds may present obstacles to accessing resources and limit autonomy of schools and subnational entities to adjust to local needs and context.</v>
      </c>
      <c r="E28" s="47" t="s">
        <v>967</v>
      </c>
      <c r="F28" s="47" t="s">
        <v>964</v>
      </c>
      <c r="G28" s="47">
        <v>2013</v>
      </c>
      <c r="H28" s="47" t="s">
        <v>966</v>
      </c>
    </row>
    <row r="29" spans="1:117" ht="96" hidden="1" x14ac:dyDescent="0.2">
      <c r="A29" s="47" t="str">
        <f>'Bottlenecks - Outcome'!A28</f>
        <v>Achieving Basic Education for All</v>
      </c>
      <c r="B29" s="47" t="str">
        <f>'Bottlenecks - Outcome'!B28</f>
        <v>8. Management, oversight and accountability systems and institutions fail to encourage and enable performance as intended</v>
      </c>
      <c r="C29" s="47" t="str">
        <f>'Bottlenecks - Outcome'!C28</f>
        <v>8.5 Inadequate transparency, oversight, monitoring, evaluation and accountability for resources and performance</v>
      </c>
      <c r="D29" s="47" t="str">
        <f>'Bottlenecks - Outcome'!D28</f>
        <v>Regular monitoring and audit of schools and system-critical capability assessments, such as those evaluating teacher subject knowledge and attitudes, are often absent, overlooked, or ineffective in driving corrective action and improved performance.</v>
      </c>
      <c r="E29" s="47" t="s">
        <v>970</v>
      </c>
      <c r="F29" s="47" t="s">
        <v>456</v>
      </c>
      <c r="G29" s="47" t="s">
        <v>879</v>
      </c>
      <c r="H29" s="47" t="s">
        <v>565</v>
      </c>
      <c r="I29" s="47" t="s">
        <v>266</v>
      </c>
    </row>
    <row r="30" spans="1:117" ht="128" hidden="1" x14ac:dyDescent="0.2">
      <c r="A30" s="47" t="str">
        <f>'Bottlenecks - Outcome'!A30</f>
        <v>Achieving Basic Education for All</v>
      </c>
      <c r="B30" s="47" t="str">
        <f>'Bottlenecks - Outcome'!B30</f>
        <v>9. Inadequate use of fragmented sector and financial data in decision making</v>
      </c>
      <c r="C30" s="47" t="str">
        <f>'Bottlenecks - Outcome'!C30</f>
        <v>9.2 Data systems have gaps and poor quality information, are fragmented and do not interoperate</v>
      </c>
      <c r="D30" s="47" t="s">
        <v>328</v>
      </c>
      <c r="E30" s="47" t="s">
        <v>924</v>
      </c>
      <c r="F30" s="47" t="s">
        <v>512</v>
      </c>
      <c r="G30" s="47">
        <v>2024</v>
      </c>
      <c r="H30" s="47" t="s">
        <v>566</v>
      </c>
      <c r="I30" s="47" t="s">
        <v>266</v>
      </c>
    </row>
    <row r="31" spans="1:117" ht="96" hidden="1" x14ac:dyDescent="0.2">
      <c r="A31" s="47" t="str">
        <f>'Bottlenecks - Outcome'!A31</f>
        <v>Improving Economic Resilience</v>
      </c>
      <c r="B31" s="47" t="str">
        <f>'Bottlenecks - Outcome'!B31</f>
        <v>1. Insufficient Stakeholder Commitment to Policy Action</v>
      </c>
      <c r="C31" s="47" t="str">
        <f>'Bottlenecks - Outcome'!C31</f>
        <v>1.1 Inadequate commitment of political and technical leadership to policy action and associated resource mobilization and use within or across sectors</v>
      </c>
      <c r="D31" s="47" t="s">
        <v>329</v>
      </c>
      <c r="E31" s="47" t="s">
        <v>567</v>
      </c>
      <c r="F31" s="47" t="s">
        <v>522</v>
      </c>
      <c r="G31" s="47">
        <v>2012</v>
      </c>
      <c r="H31" s="47" t="s">
        <v>568</v>
      </c>
      <c r="I31" s="47" t="s">
        <v>266</v>
      </c>
    </row>
    <row r="32" spans="1:117" ht="112" hidden="1" x14ac:dyDescent="0.2">
      <c r="A32" s="47" t="str">
        <f>'Bottlenecks - Outcome'!A32</f>
        <v>Improving Economic Resilience</v>
      </c>
      <c r="B32" s="47" t="str">
        <f>'Bottlenecks - Outcome'!B32</f>
        <v>1. Insufficient Stakeholder Commitment to Policy Action</v>
      </c>
      <c r="C32" s="47" t="str">
        <f>'Bottlenecks - Outcome'!C32</f>
        <v>1.2 Inadequately broad-based stakeholder involvement, understanding and support for policy action and associated resource mobilization and use</v>
      </c>
      <c r="D32" s="47" t="s">
        <v>330</v>
      </c>
      <c r="E32" s="47" t="s">
        <v>569</v>
      </c>
      <c r="F32" s="47" t="s">
        <v>889</v>
      </c>
      <c r="G32" s="47" t="s">
        <v>890</v>
      </c>
      <c r="H32" s="47" t="s">
        <v>570</v>
      </c>
      <c r="I32" s="47" t="s">
        <v>266</v>
      </c>
    </row>
    <row r="33" spans="1:9" ht="112" hidden="1" x14ac:dyDescent="0.2">
      <c r="A33" s="47" t="str">
        <f>'Bottlenecks - Outcome'!A34</f>
        <v>Improving Economic Resilience</v>
      </c>
      <c r="B33" s="47" t="str">
        <f>'Bottlenecks - Outcome'!B34</f>
        <v>3. Mismatch between policy goals, priorities, capability and resources</v>
      </c>
      <c r="C33" s="47" t="str">
        <f>'Bottlenecks - Outcome'!C34</f>
        <v>3.1 Domestic revenue policies generate insufficient resources to achieve policy goals given fiscal reality</v>
      </c>
      <c r="D33" s="47" t="s">
        <v>331</v>
      </c>
      <c r="E33" s="50" t="s">
        <v>571</v>
      </c>
      <c r="F33" s="47" t="s">
        <v>841</v>
      </c>
      <c r="G33" s="47" t="s">
        <v>891</v>
      </c>
      <c r="H33" s="47" t="s">
        <v>572</v>
      </c>
      <c r="I33" s="47" t="s">
        <v>266</v>
      </c>
    </row>
    <row r="34" spans="1:9" ht="112" hidden="1" x14ac:dyDescent="0.2">
      <c r="A34" s="47" t="str">
        <f>'Bottlenecks - Outcome'!A35</f>
        <v>Improving Economic Resilience</v>
      </c>
      <c r="B34" s="47" t="str">
        <f>'Bottlenecks - Outcome'!B35</f>
        <v>3. Mismatch between policy goals, priorities, capability and resources</v>
      </c>
      <c r="C34" s="47" t="str">
        <f>'Bottlenecks - Outcome'!C35</f>
        <v>3.2 Public policy goals and delivery models are unaffordable given current and future costs and fiscal reality.</v>
      </c>
      <c r="D34" s="47" t="s">
        <v>332</v>
      </c>
      <c r="E34" s="50" t="s">
        <v>892</v>
      </c>
      <c r="F34" s="47" t="s">
        <v>522</v>
      </c>
      <c r="G34" s="47" t="s">
        <v>888</v>
      </c>
      <c r="H34" s="50" t="s">
        <v>573</v>
      </c>
      <c r="I34" s="47" t="s">
        <v>266</v>
      </c>
    </row>
    <row r="35" spans="1:9" ht="112" hidden="1" x14ac:dyDescent="0.2">
      <c r="A35" s="47" t="str">
        <f>'Bottlenecks - Outcome'!A37</f>
        <v>Improving Economic Resilience</v>
      </c>
      <c r="B35" s="47" t="str">
        <f>'Bottlenecks - Outcome'!B37</f>
        <v>4. Unsustainable fiscal situation of governments and organizations</v>
      </c>
      <c r="C35" s="47" t="str">
        <f>'Bottlenecks - Outcome'!C37</f>
        <v>4.1 Short term incentives and perspectives leads to a failure to manage trade offs and pro-cyclical spending which forces deep cuts during downturns</v>
      </c>
      <c r="D35" s="47" t="s">
        <v>333</v>
      </c>
      <c r="E35" s="50" t="s">
        <v>574</v>
      </c>
      <c r="F35" s="47" t="s">
        <v>841</v>
      </c>
      <c r="G35" s="47">
        <v>2018</v>
      </c>
      <c r="H35" s="50" t="s">
        <v>575</v>
      </c>
      <c r="I35" s="47" t="s">
        <v>266</v>
      </c>
    </row>
    <row r="36" spans="1:9" ht="144" hidden="1" x14ac:dyDescent="0.2">
      <c r="A36" s="47" t="str">
        <f>'Bottlenecks - Outcome'!A38</f>
        <v>Improving Economic Resilience</v>
      </c>
      <c r="B36" s="47" t="str">
        <f>'Bottlenecks - Outcome'!B38</f>
        <v>4. Unsustainable fiscal situation of governments and organizations</v>
      </c>
      <c r="C36" s="47" t="str">
        <f>'Bottlenecks - Outcome'!C38</f>
        <v>4.2 Biased or inaccurate fiscal forecasting and unpredictable, volatile resource flows result in budgets being under-funded</v>
      </c>
      <c r="D36" s="47" t="s">
        <v>334</v>
      </c>
      <c r="E36" s="50" t="s">
        <v>576</v>
      </c>
      <c r="F36" s="47" t="s">
        <v>889</v>
      </c>
      <c r="G36" s="47" t="s">
        <v>893</v>
      </c>
      <c r="H36" s="50" t="s">
        <v>577</v>
      </c>
      <c r="I36" s="47" t="s">
        <v>266</v>
      </c>
    </row>
    <row r="37" spans="1:9" ht="128" hidden="1" x14ac:dyDescent="0.2">
      <c r="A37" s="47" t="str">
        <f>'Bottlenecks - Outcome'!A39</f>
        <v>Improving Economic Resilience</v>
      </c>
      <c r="B37" s="47" t="str">
        <f>'Bottlenecks - Outcome'!B39</f>
        <v>4. Unsustainable fiscal situation of governments and organizations</v>
      </c>
      <c r="C37" s="47" t="str">
        <f>'Bottlenecks - Outcome'!C39</f>
        <v>4.3 Un-strategic, ad hoc and supply driven debt management undermines fiscal consolidation and reduces fiscal space</v>
      </c>
      <c r="D37" s="47" t="s">
        <v>335</v>
      </c>
      <c r="E37" s="50" t="s">
        <v>578</v>
      </c>
      <c r="F37" s="47" t="s">
        <v>522</v>
      </c>
      <c r="G37" s="47" t="s">
        <v>894</v>
      </c>
      <c r="H37" s="50" t="s">
        <v>579</v>
      </c>
      <c r="I37" s="47" t="s">
        <v>266</v>
      </c>
    </row>
    <row r="38" spans="1:9" ht="112" hidden="1" x14ac:dyDescent="0.2">
      <c r="A38" s="47" t="str">
        <f>'Bottlenecks - Outcome'!A40</f>
        <v>Improving Economic Resilience</v>
      </c>
      <c r="B38" s="47" t="str">
        <f>'Bottlenecks - Outcome'!B40</f>
        <v>4. Unsustainable fiscal situation of governments and organizations</v>
      </c>
      <c r="C38" s="47" t="str">
        <f>'Bottlenecks - Outcome'!C40</f>
        <v>4.4 Pre-existing spending commitments and debt burdens create budget rigidity and limit options for fiscal consolidation and/or increasing fiscal space</v>
      </c>
      <c r="D38" s="47" t="s">
        <v>336</v>
      </c>
      <c r="E38" s="50" t="s">
        <v>580</v>
      </c>
      <c r="F38" s="47" t="s">
        <v>841</v>
      </c>
      <c r="G38" s="47" t="s">
        <v>895</v>
      </c>
      <c r="H38" s="47" t="s">
        <v>581</v>
      </c>
      <c r="I38" s="47" t="s">
        <v>266</v>
      </c>
    </row>
    <row r="39" spans="1:9" ht="144" hidden="1" x14ac:dyDescent="0.2">
      <c r="A39" s="47" t="str">
        <f>'Bottlenecks - Outcome'!A41</f>
        <v>Improving Economic Resilience</v>
      </c>
      <c r="B39" s="47" t="str">
        <f>'Bottlenecks - Outcome'!B41</f>
        <v xml:space="preserve">5. Inadequate and inequitable resources mobilized and deployed for policy implementation  </v>
      </c>
      <c r="C39" s="47" t="str">
        <f>'Bottlenecks - Outcome'!C41</f>
        <v>5.1 Limited or costly financing mobilized for investment and service delivery</v>
      </c>
      <c r="D39" s="47" t="s">
        <v>337</v>
      </c>
      <c r="E39" s="47" t="s">
        <v>582</v>
      </c>
      <c r="F39" s="47" t="s">
        <v>889</v>
      </c>
      <c r="G39" s="47">
        <v>2024</v>
      </c>
      <c r="H39" s="47" t="s">
        <v>583</v>
      </c>
      <c r="I39" s="47" t="s">
        <v>266</v>
      </c>
    </row>
    <row r="40" spans="1:9" ht="144" hidden="1" x14ac:dyDescent="0.2">
      <c r="A40" s="47" t="str">
        <f>'Bottlenecks - Outcome'!A43</f>
        <v>Improving Economic Resilience</v>
      </c>
      <c r="B40" s="47" t="str">
        <f>'Bottlenecks - Outcome'!B43</f>
        <v xml:space="preserve">5. Inadequate and inequitable resources mobilized and deployed for policy implementation  </v>
      </c>
      <c r="C40" s="47" t="str">
        <f>'Bottlenecks - Outcome'!C43</f>
        <v xml:space="preserve">5.2 Resource deployment is often incremental and disconnected from public policy priorities </v>
      </c>
      <c r="D40" s="47" t="s">
        <v>338</v>
      </c>
      <c r="E40" s="47" t="s">
        <v>584</v>
      </c>
      <c r="F40" s="47" t="s">
        <v>522</v>
      </c>
      <c r="G40" s="47" t="s">
        <v>894</v>
      </c>
      <c r="H40" s="47" t="s">
        <v>585</v>
      </c>
      <c r="I40" s="47" t="s">
        <v>266</v>
      </c>
    </row>
    <row r="41" spans="1:9" ht="144" hidden="1" x14ac:dyDescent="0.2">
      <c r="A41" s="47" t="str">
        <f>'Bottlenecks - Outcome'!A44</f>
        <v>Improving Economic Resilience</v>
      </c>
      <c r="B41" s="47" t="str">
        <f>'Bottlenecks - Outcome'!B44</f>
        <v xml:space="preserve">7. Inefficient deployment and management of resources and inputs for delivery </v>
      </c>
      <c r="C41" s="47" t="str">
        <f>'Bottlenecks - Outcome'!C44</f>
        <v>7.1 Resource deployment is inefficient overall due to high overheads and unbalanced allocations to delivery inputs and sectoral programs.</v>
      </c>
      <c r="D41" s="47" t="s">
        <v>339</v>
      </c>
      <c r="E41" s="50" t="s">
        <v>586</v>
      </c>
      <c r="F41" s="47" t="s">
        <v>522</v>
      </c>
      <c r="G41" s="47" t="s">
        <v>894</v>
      </c>
      <c r="H41" s="50" t="s">
        <v>587</v>
      </c>
      <c r="I41" s="47" t="s">
        <v>266</v>
      </c>
    </row>
    <row r="42" spans="1:9" ht="176" hidden="1" x14ac:dyDescent="0.2">
      <c r="A42" s="47" t="str">
        <f>'Bottlenecks - Outcome'!A45</f>
        <v>Improving Economic Resilience</v>
      </c>
      <c r="B42" s="47" t="str">
        <f>'Bottlenecks - Outcome'!B45</f>
        <v xml:space="preserve">7. Inefficient deployment and management of resources and inputs for delivery </v>
      </c>
      <c r="C42" s="47" t="str">
        <f>'Bottlenecks - Outcome'!C45</f>
        <v>7.1 Resource deployment is inefficient overall due to high overheads and unbalanced allocations to delivery inputs and sectoral programs.</v>
      </c>
      <c r="D42" s="47" t="s">
        <v>340</v>
      </c>
      <c r="E42" s="50" t="s">
        <v>588</v>
      </c>
      <c r="F42" s="47" t="s">
        <v>841</v>
      </c>
      <c r="G42" s="47">
        <v>2018</v>
      </c>
      <c r="H42" s="50" t="s">
        <v>575</v>
      </c>
      <c r="I42" s="47" t="s">
        <v>266</v>
      </c>
    </row>
    <row r="43" spans="1:9" ht="174.75" hidden="1" customHeight="1" x14ac:dyDescent="0.2">
      <c r="A43" s="47" t="str">
        <f>'Bottlenecks - Outcome'!A48</f>
        <v>Improving Economic Resilience</v>
      </c>
      <c r="B43" s="47" t="str">
        <f>'Bottlenecks - Outcome'!B48</f>
        <v>8. Management, oversight, transparency and accountability systems and institutions fail to encourage and enable performance as intended</v>
      </c>
      <c r="C43" s="47" t="str">
        <f>'Bottlenecks - Outcome'!C48</f>
        <v>8.2 Non-compliance and weak enforcement of regulatory, PFM and public sector management systems undermines performance and accountability</v>
      </c>
      <c r="D43" s="47" t="s">
        <v>341</v>
      </c>
      <c r="E43" s="50" t="s">
        <v>589</v>
      </c>
      <c r="F43" s="47" t="s">
        <v>522</v>
      </c>
      <c r="G43" s="47" t="s">
        <v>894</v>
      </c>
      <c r="H43" s="50" t="s">
        <v>579</v>
      </c>
      <c r="I43" s="47" t="s">
        <v>266</v>
      </c>
    </row>
    <row r="44" spans="1:9" ht="176" hidden="1" x14ac:dyDescent="0.2">
      <c r="A44" s="47" t="str">
        <f>'Bottlenecks - Outcome'!A49</f>
        <v>Improving Economic Resilience</v>
      </c>
      <c r="B44" s="47" t="str">
        <f>'Bottlenecks - Outcome'!B49</f>
        <v>8. Management, oversight, transparency and accountability systems and institutions fail to encourage and enable performance as intended</v>
      </c>
      <c r="C44" s="47" t="str">
        <f>'Bottlenecks - Outcome'!C49</f>
        <v>8.5 Inadequate transparency, oversight, monitoring, evaluation and accountability for resources and performance</v>
      </c>
      <c r="D44" s="47" t="s">
        <v>342</v>
      </c>
      <c r="E44" s="50" t="s">
        <v>590</v>
      </c>
      <c r="F44" s="47" t="s">
        <v>841</v>
      </c>
      <c r="G44" s="47" t="s">
        <v>895</v>
      </c>
      <c r="H44" s="50" t="s">
        <v>591</v>
      </c>
      <c r="I44" s="47" t="s">
        <v>266</v>
      </c>
    </row>
    <row r="45" spans="1:9" ht="128" hidden="1" x14ac:dyDescent="0.2">
      <c r="A45" s="47" t="str">
        <f>'Bottlenecks - Outcome'!A51</f>
        <v>Improving Economic Resilience</v>
      </c>
      <c r="B45" s="47" t="str">
        <f>'Bottlenecks - Outcome'!B51</f>
        <v>9. Inadequate availability and use of fragmented sector and financial data in decision making for policy, delivery and accountability.</v>
      </c>
      <c r="C45" s="47" t="str">
        <f>'Bottlenecks - Outcome'!C51</f>
        <v>9.2 Data systems have gaps and poor quality information, are fragmented and do not interoperate</v>
      </c>
      <c r="D45" s="47" t="s">
        <v>343</v>
      </c>
      <c r="E45" s="50" t="s">
        <v>592</v>
      </c>
      <c r="F45" s="47" t="s">
        <v>522</v>
      </c>
      <c r="G45" s="47" t="s">
        <v>894</v>
      </c>
      <c r="H45" s="50" t="s">
        <v>585</v>
      </c>
      <c r="I45" s="47" t="s">
        <v>266</v>
      </c>
    </row>
    <row r="46" spans="1:9" ht="96" x14ac:dyDescent="0.2">
      <c r="A46" s="47" t="str">
        <f>'Bottlenecks - Outcome'!A52</f>
        <v>Eliminating Gender-Based Violence</v>
      </c>
      <c r="B46" s="47" t="str">
        <f>'Bottlenecks - Outcome'!B52</f>
        <v>1. Insufficient Stakeholder Commitment to Policy Action</v>
      </c>
      <c r="C46" s="47" t="str">
        <f>'Bottlenecks - Outcome'!C52</f>
        <v>1.1 Inadequate commitment of political and technical leadership to policy action and associated resource mobilization and use within or across sectors</v>
      </c>
      <c r="D46" s="47" t="str">
        <f>'Bottlenecks - Outcome'!D52</f>
        <v>Political and technical commitment, particularly from central fiscal institutions, is often insufficient to drive action on gender policy commitments, such as those related to GBV, including the mobilization and allocation of necessary resources.</v>
      </c>
      <c r="E46" s="47" t="s">
        <v>971</v>
      </c>
      <c r="F46" s="47" t="s">
        <v>973</v>
      </c>
      <c r="G46" s="47" t="s">
        <v>899</v>
      </c>
      <c r="H46" s="47" t="s">
        <v>972</v>
      </c>
      <c r="I46" s="47" t="s">
        <v>266</v>
      </c>
    </row>
    <row r="47" spans="1:9" ht="144" x14ac:dyDescent="0.2">
      <c r="A47" s="47" t="str">
        <f>'Bottlenecks - Outcome'!A53</f>
        <v>Eliminating Gender-Based Violence</v>
      </c>
      <c r="B47" s="47" t="str">
        <f>'Bottlenecks - Outcome'!B53</f>
        <v>1. Insufficient Stakeholder Commitment to Policy Action</v>
      </c>
      <c r="C47" s="47" t="str">
        <f>'Bottlenecks - Outcome'!C53</f>
        <v>1.2 Inadequately broad-based stakeholder involvement, understanding and support for policy action and associated resource mobilization and use</v>
      </c>
      <c r="D47" s="47" t="str">
        <f>'Bottlenecks - Outcome'!D53</f>
        <v>There is insufficient broad-based stakeholder involvement, understanding, and support for GBV policy action across government. The ministry typically responsible for GBV policy (usually the gender ministry) lacks the authority and support, particularly from the center of government, to coordinate actions or influence resource allocation across agencies.</v>
      </c>
      <c r="E47" s="47" t="s">
        <v>974</v>
      </c>
      <c r="F47" s="47" t="s">
        <v>436</v>
      </c>
      <c r="G47" s="47">
        <v>2018</v>
      </c>
      <c r="H47" s="47" t="s">
        <v>610</v>
      </c>
      <c r="I47" s="47" t="s">
        <v>266</v>
      </c>
    </row>
    <row r="48" spans="1:9" ht="80" x14ac:dyDescent="0.2">
      <c r="A48" s="47" t="str">
        <f>'Bottlenecks - Outcome'!A54</f>
        <v>Eliminating Gender-Based Violence</v>
      </c>
      <c r="B48" s="47" t="str">
        <f>'Bottlenecks - Outcome'!B54</f>
        <v>1. Insufficient Stakeholder Commitment to Policy Action</v>
      </c>
      <c r="C48" s="47" t="str">
        <f>'Bottlenecks - Outcome'!C54</f>
        <v>1.2 Inadequately broad-based stakeholder involvement, understanding and support for policy action and associated resource mobilization and use</v>
      </c>
      <c r="D48" s="47" t="s">
        <v>344</v>
      </c>
      <c r="E48" s="47" t="s">
        <v>593</v>
      </c>
      <c r="F48" s="47" t="s">
        <v>900</v>
      </c>
      <c r="G48" s="47">
        <v>2013</v>
      </c>
      <c r="H48" s="47" t="s">
        <v>594</v>
      </c>
      <c r="I48" s="47" t="s">
        <v>266</v>
      </c>
    </row>
    <row r="49" spans="1:9" ht="128" x14ac:dyDescent="0.2">
      <c r="A49" s="47" t="str">
        <f>'Bottlenecks - Outcome'!A55</f>
        <v>Eliminating Gender-Based Violence</v>
      </c>
      <c r="B49" s="47" t="str">
        <f>'Bottlenecks - Outcome'!B55</f>
        <v>2. Incoherent, fragmented and poorly prioritized policy</v>
      </c>
      <c r="C49" s="47" t="str">
        <f>'Bottlenecks - Outcome'!C55</f>
        <v>2.1 Fragmented, inconsistent, uncoordinated and poorly prioritized policies across or within sectors</v>
      </c>
      <c r="D49" s="47" t="s">
        <v>345</v>
      </c>
      <c r="E49" s="47" t="s">
        <v>595</v>
      </c>
      <c r="F49" s="47" t="s">
        <v>408</v>
      </c>
      <c r="G49" s="47">
        <v>2025</v>
      </c>
      <c r="H49" s="47" t="s">
        <v>596</v>
      </c>
      <c r="I49" s="47" t="s">
        <v>266</v>
      </c>
    </row>
    <row r="50" spans="1:9" ht="96" x14ac:dyDescent="0.2">
      <c r="A50" s="47" t="str">
        <f>'Bottlenecks - Outcome'!A56</f>
        <v>Eliminating Gender-Based Violence</v>
      </c>
      <c r="B50" s="47" t="str">
        <f>'Bottlenecks - Outcome'!B56</f>
        <v>3. Mismatch between policy goals, priorities, capability and resources</v>
      </c>
      <c r="C50" s="47" t="str">
        <f>'Bottlenecks - Outcome'!C56</f>
        <v>3.2 Public policy goals and delivery models are unaffordable given current and future costs and fiscal reality.</v>
      </c>
      <c r="D50" s="47" t="s">
        <v>346</v>
      </c>
      <c r="E50" s="47" t="s">
        <v>597</v>
      </c>
      <c r="F50" s="47" t="s">
        <v>901</v>
      </c>
      <c r="G50" s="47">
        <v>2021</v>
      </c>
      <c r="H50" s="47" t="s">
        <v>431</v>
      </c>
      <c r="I50" s="47" t="s">
        <v>266</v>
      </c>
    </row>
    <row r="51" spans="1:9" ht="128" x14ac:dyDescent="0.2">
      <c r="A51" s="47" t="str">
        <f>'Bottlenecks - Outcome'!A57</f>
        <v>Eliminating Gender-Based Violence</v>
      </c>
      <c r="B51" s="47" t="str">
        <f>'Bottlenecks - Outcome'!B57</f>
        <v>3. Mismatch between policy goals, priorities, capability and resources</v>
      </c>
      <c r="C51" s="47" t="str">
        <f>'Bottlenecks - Outcome'!C57</f>
        <v>3.3 Policies do not take into account context, including the available organizational capability to achieve goals</v>
      </c>
      <c r="D51" s="47" t="s">
        <v>347</v>
      </c>
      <c r="E51" s="47" t="s">
        <v>598</v>
      </c>
      <c r="F51" s="47" t="s">
        <v>902</v>
      </c>
      <c r="G51" s="47">
        <v>2022</v>
      </c>
      <c r="H51" s="47" t="s">
        <v>599</v>
      </c>
      <c r="I51" s="47" t="s">
        <v>266</v>
      </c>
    </row>
    <row r="52" spans="1:9" ht="64" x14ac:dyDescent="0.2">
      <c r="A52" s="47" t="str">
        <f>'Bottlenecks - Outcome'!A58</f>
        <v>Eliminating Gender-Based Violence</v>
      </c>
      <c r="B52" s="47" t="str">
        <f>'Bottlenecks - Outcome'!B58</f>
        <v>4. Unsustainable fiscal situation of governments and organizations</v>
      </c>
      <c r="C52" s="47" t="str">
        <f>'Bottlenecks - Outcome'!C58</f>
        <v>4.2 Biased or inaccurate fiscal forecasting and unpredictable, volatile resource flows result in budgets being under-funded</v>
      </c>
      <c r="D52" s="47" t="s">
        <v>600</v>
      </c>
      <c r="E52" s="50" t="s">
        <v>601</v>
      </c>
      <c r="F52" s="47" t="s">
        <v>508</v>
      </c>
      <c r="G52" s="47">
        <v>2021</v>
      </c>
      <c r="H52" s="47" t="s">
        <v>602</v>
      </c>
      <c r="I52" s="47" t="s">
        <v>266</v>
      </c>
    </row>
    <row r="53" spans="1:9" ht="112" x14ac:dyDescent="0.2">
      <c r="A53" s="47" t="str">
        <f>'Bottlenecks - Outcome'!A59</f>
        <v>Eliminating Gender-Based Violence</v>
      </c>
      <c r="B53" s="47" t="str">
        <f>'Bottlenecks - Outcome'!B59</f>
        <v>4. Unsustainable fiscal situation of governments and organizations</v>
      </c>
      <c r="C53" s="47" t="str">
        <f>'Bottlenecks - Outcome'!C59</f>
        <v>4.4 Pre-existing spending commitments and debt burdens create budget rigidity and limit options for fiscal consolidation and/or increasing fiscal space</v>
      </c>
      <c r="D53" s="47" t="s">
        <v>348</v>
      </c>
      <c r="E53" s="50" t="s">
        <v>603</v>
      </c>
      <c r="F53" s="47" t="s">
        <v>900</v>
      </c>
      <c r="G53" s="47">
        <v>2019</v>
      </c>
      <c r="H53" s="47" t="s">
        <v>604</v>
      </c>
      <c r="I53" s="47" t="s">
        <v>266</v>
      </c>
    </row>
    <row r="54" spans="1:9" ht="80" x14ac:dyDescent="0.2">
      <c r="A54" s="47" t="str">
        <f>'Bottlenecks - Outcome'!A60</f>
        <v>Eliminating Gender-Based Violence</v>
      </c>
      <c r="B54" s="47" t="str">
        <f>'Bottlenecks - Outcome'!B60</f>
        <v xml:space="preserve">5. Inadequate and inequitable resources mobilized and deployed for policy implementation  </v>
      </c>
      <c r="C54" s="47" t="str">
        <f>'Bottlenecks - Outcome'!C60</f>
        <v xml:space="preserve">5.2 Resource deployment is often incremental and disconnected from public policy priorities </v>
      </c>
      <c r="D54" s="47" t="s">
        <v>349</v>
      </c>
      <c r="E54" s="47" t="s">
        <v>605</v>
      </c>
      <c r="F54" s="47" t="s">
        <v>421</v>
      </c>
      <c r="G54" s="47">
        <v>2021</v>
      </c>
      <c r="H54" s="47" t="s">
        <v>606</v>
      </c>
      <c r="I54" s="47" t="s">
        <v>266</v>
      </c>
    </row>
    <row r="55" spans="1:9" ht="176" x14ac:dyDescent="0.2">
      <c r="A55" s="47" t="str">
        <f>'Bottlenecks - Outcome'!A61</f>
        <v>Eliminating Gender-Based Violence</v>
      </c>
      <c r="B55" s="47" t="str">
        <f>'Bottlenecks - Outcome'!B61</f>
        <v xml:space="preserve">5. Inadequate and inequitable resources mobilized and deployed for policy implementation  </v>
      </c>
      <c r="C55" s="47" t="str">
        <f>'Bottlenecks - Outcome'!C61</f>
        <v>5.3 Resource deployment is not informed by demand for, the costs of or effectiveness in achieving public policy objectives</v>
      </c>
      <c r="D55" s="47" t="s">
        <v>350</v>
      </c>
      <c r="E55" s="47" t="s">
        <v>907</v>
      </c>
      <c r="F55" s="47" t="s">
        <v>405</v>
      </c>
      <c r="G55" s="47">
        <v>2019</v>
      </c>
      <c r="H55" s="47" t="s">
        <v>908</v>
      </c>
      <c r="I55" s="47" t="s">
        <v>266</v>
      </c>
    </row>
    <row r="56" spans="1:9" ht="192" x14ac:dyDescent="0.2">
      <c r="A56" s="47" t="str">
        <f>'Bottlenecks - Outcome'!A62</f>
        <v>Eliminating Gender-Based Violence</v>
      </c>
      <c r="B56" s="47" t="str">
        <f>'Bottlenecks - Outcome'!B62</f>
        <v>6. Unreliable, delayed and fragmented funding for delivery</v>
      </c>
      <c r="C56" s="47" t="str">
        <f>'Bottlenecks - Outcome'!C62</f>
        <v>6.1 Ad hoc, political and fragmented funding channels contributes to ineffective and inefficient delivery</v>
      </c>
      <c r="D56" s="47" t="s">
        <v>351</v>
      </c>
      <c r="E56" s="47" t="s">
        <v>607</v>
      </c>
      <c r="F56" s="47" t="s">
        <v>436</v>
      </c>
      <c r="G56" s="47">
        <v>2021</v>
      </c>
      <c r="H56" s="47" t="s">
        <v>608</v>
      </c>
      <c r="I56" s="47" t="s">
        <v>266</v>
      </c>
    </row>
    <row r="57" spans="1:9" ht="64" x14ac:dyDescent="0.2">
      <c r="A57" s="47" t="str">
        <f>'Bottlenecks - Outcome'!A64</f>
        <v>Eliminating Gender-Based Violence</v>
      </c>
      <c r="B57" s="47" t="str">
        <f>'Bottlenecks - Outcome'!B64</f>
        <v>6. Unreliable, delayed and fragmented funding for delivery</v>
      </c>
      <c r="C57" s="47" t="str">
        <f>'Bottlenecks - Outcome'!C64</f>
        <v>6.3 Shortfalls, delays and diversion of funding for delivery</v>
      </c>
      <c r="D57" s="47" t="s">
        <v>352</v>
      </c>
      <c r="E57" s="47" t="s">
        <v>609</v>
      </c>
      <c r="F57" s="47" t="s">
        <v>436</v>
      </c>
      <c r="G57" s="47">
        <v>2018</v>
      </c>
      <c r="H57" s="47" t="s">
        <v>610</v>
      </c>
      <c r="I57" s="47" t="s">
        <v>266</v>
      </c>
    </row>
    <row r="58" spans="1:9" ht="112" x14ac:dyDescent="0.2">
      <c r="A58" s="47" t="str">
        <f>'Bottlenecks - Outcome'!A65</f>
        <v>Eliminating Gender-Based Violence</v>
      </c>
      <c r="B58" s="47" t="str">
        <f>'Bottlenecks - Outcome'!B65</f>
        <v xml:space="preserve">7. Inefficient deployment and management of resources and inputs for delivery </v>
      </c>
      <c r="C58" s="47" t="str">
        <f>'Bottlenecks - Outcome'!C65</f>
        <v>7.1 Resource deployment is inefficient overall due to high overheads and unbalanced allocations to delivery inputs and sectoral programs.</v>
      </c>
      <c r="D58" s="47" t="s">
        <v>353</v>
      </c>
      <c r="E58" s="47" t="s">
        <v>611</v>
      </c>
      <c r="F58" s="47" t="s">
        <v>405</v>
      </c>
      <c r="G58" s="47">
        <v>2023</v>
      </c>
      <c r="H58" s="47" t="s">
        <v>612</v>
      </c>
      <c r="I58" s="47" t="s">
        <v>266</v>
      </c>
    </row>
    <row r="59" spans="1:9" ht="144" x14ac:dyDescent="0.2">
      <c r="A59" s="47" t="str">
        <f>'Bottlenecks - Outcome'!A53</f>
        <v>Eliminating Gender-Based Violence</v>
      </c>
      <c r="B59" s="47" t="str">
        <f>'Bottlenecks - Outcome'!B53</f>
        <v>1. Insufficient Stakeholder Commitment to Policy Action</v>
      </c>
      <c r="C59" s="47" t="str">
        <f>'Bottlenecks - Outcome'!C53</f>
        <v>1.2 Inadequately broad-based stakeholder involvement, understanding and support for policy action and associated resource mobilization and use</v>
      </c>
      <c r="D59" s="47" t="str">
        <f>'Bottlenecks - Outcome'!D53</f>
        <v>There is insufficient broad-based stakeholder involvement, understanding, and support for GBV policy action across government. The ministry typically responsible for GBV policy (usually the gender ministry) lacks the authority and support, particularly from the center of government, to coordinate actions or influence resource allocation across agencies.</v>
      </c>
      <c r="E59" s="47" t="s">
        <v>975</v>
      </c>
      <c r="F59" s="47" t="s">
        <v>405</v>
      </c>
      <c r="G59" s="47">
        <v>2019</v>
      </c>
      <c r="H59" s="47" t="s">
        <v>976</v>
      </c>
      <c r="I59" s="47" t="s">
        <v>266</v>
      </c>
    </row>
    <row r="60" spans="1:9" ht="144" x14ac:dyDescent="0.2">
      <c r="A60" s="47" t="str">
        <f>'Bottlenecks - Outcome'!A66</f>
        <v>Eliminating Gender-Based Violence</v>
      </c>
      <c r="B60" s="47" t="str">
        <f>'Bottlenecks - Outcome'!B66</f>
        <v xml:space="preserve">7. Inefficient deployment and management of resources and inputs for delivery </v>
      </c>
      <c r="C60" s="47" t="str">
        <f>'Bottlenecks - Outcome'!C66</f>
        <v>7.3 High cost, inefficient deployment, poor motivation and inadequate skills of frontline and other staff</v>
      </c>
      <c r="D60" s="47" t="str">
        <f>'Bottlenecks - Outcome'!D66</f>
        <v>There is often a lack of adequately skilled and appropriately placed personnel to coordinate and implement GBV interventions at the front line (e.g., female police officers, mental health professionals, specialized GBV prosecutors, and community-level social workers), as well as insufficient technical capacity for gender mainstreaming, policy development, and analysis at higher levels of government.</v>
      </c>
      <c r="E60" s="47" t="s">
        <v>979</v>
      </c>
      <c r="F60" s="47" t="s">
        <v>421</v>
      </c>
      <c r="G60" s="47">
        <v>2024</v>
      </c>
      <c r="H60" s="47" t="s">
        <v>978</v>
      </c>
      <c r="I60" s="47" t="s">
        <v>266</v>
      </c>
    </row>
    <row r="61" spans="1:9" ht="128" x14ac:dyDescent="0.2">
      <c r="A61" s="47" t="str">
        <f>'Bottlenecks - Outcome'!A67</f>
        <v>Eliminating Gender-Based Violence</v>
      </c>
      <c r="B61" s="47" t="str">
        <f>'Bottlenecks - Outcome'!B67</f>
        <v xml:space="preserve">7. Inefficient deployment and management of resources and inputs for delivery </v>
      </c>
      <c r="C61" s="47" t="str">
        <f>'Bottlenecks - Outcome'!C67</f>
        <v>7.5 Delays in and inflated cost of procurement for infrastructure and operational inputs</v>
      </c>
      <c r="D61" s="47" t="s">
        <v>354</v>
      </c>
      <c r="E61" s="47" t="s">
        <v>905</v>
      </c>
      <c r="F61" s="47" t="s">
        <v>421</v>
      </c>
      <c r="G61" s="47">
        <v>2023</v>
      </c>
      <c r="H61" s="47" t="s">
        <v>906</v>
      </c>
      <c r="I61" s="47" t="s">
        <v>266</v>
      </c>
    </row>
    <row r="62" spans="1:9" ht="96" x14ac:dyDescent="0.2">
      <c r="A62" s="47" t="str">
        <f>'Bottlenecks - Outcome'!A68</f>
        <v>Eliminating Gender-Based Violence</v>
      </c>
      <c r="B62" s="47" t="str">
        <f>'Bottlenecks - Outcome'!B68</f>
        <v xml:space="preserve">7. Inefficient deployment and management of resources and inputs for delivery </v>
      </c>
      <c r="C62" s="47" t="str">
        <f>'Bottlenecks - Outcome'!C68</f>
        <v>7.6 The arrangements for managing funds at different levels up to the point of delivery are poorly designed and incoherent, especially in in multi-level government contexts.</v>
      </c>
      <c r="D62" s="47" t="s">
        <v>355</v>
      </c>
      <c r="E62" s="47" t="s">
        <v>613</v>
      </c>
      <c r="F62" s="47" t="s">
        <v>902</v>
      </c>
      <c r="G62" s="47">
        <v>2025</v>
      </c>
      <c r="H62" s="47" t="s">
        <v>614</v>
      </c>
      <c r="I62" s="47" t="s">
        <v>266</v>
      </c>
    </row>
    <row r="63" spans="1:9" ht="128" x14ac:dyDescent="0.2">
      <c r="A63" s="47" t="str">
        <f>'Bottlenecks - Outcome'!A69</f>
        <v>Eliminating Gender-Based Violence</v>
      </c>
      <c r="B63" s="47" t="str">
        <f>'Bottlenecks - Outcome'!B69</f>
        <v>8. Management, oversight, transparency and accountability systems and institutions fail to encourage and enable performance as intended</v>
      </c>
      <c r="C63" s="47" t="str">
        <f>'Bottlenecks - Outcome'!C69</f>
        <v>8.1 The design of regulatory, incentive, control and management systems limits autonomy and discourages performance</v>
      </c>
      <c r="D63" s="47" t="s">
        <v>356</v>
      </c>
      <c r="E63" s="47" t="s">
        <v>615</v>
      </c>
      <c r="F63" s="47" t="s">
        <v>436</v>
      </c>
      <c r="G63" s="47">
        <v>2024</v>
      </c>
      <c r="H63" s="47" t="s">
        <v>616</v>
      </c>
      <c r="I63" s="47" t="s">
        <v>266</v>
      </c>
    </row>
    <row r="64" spans="1:9" ht="112" x14ac:dyDescent="0.2">
      <c r="A64" s="47" t="str">
        <f>'Bottlenecks - Outcome'!A70</f>
        <v>Eliminating Gender-Based Violence</v>
      </c>
      <c r="B64" s="47" t="str">
        <f>'Bottlenecks - Outcome'!B70</f>
        <v>8. Management, oversight, transparency and accountability systems and institutions fail to encourage and enable performance as intended</v>
      </c>
      <c r="C64" s="47" t="str">
        <f>'Bottlenecks - Outcome'!C70</f>
        <v>8.1 The design of regulatory, incentive, control and management systems limits autonomy and discourages performance</v>
      </c>
      <c r="D64" s="47" t="s">
        <v>357</v>
      </c>
      <c r="E64" s="47" t="s">
        <v>617</v>
      </c>
      <c r="F64" s="47" t="s">
        <v>902</v>
      </c>
      <c r="G64" s="47">
        <v>2025</v>
      </c>
      <c r="H64" s="51" t="s">
        <v>614</v>
      </c>
      <c r="I64" s="47" t="s">
        <v>266</v>
      </c>
    </row>
    <row r="65" spans="1:9" ht="160" x14ac:dyDescent="0.2">
      <c r="A65" s="47" t="str">
        <f>'Bottlenecks - Outcome'!A71</f>
        <v>Eliminating Gender-Based Violence</v>
      </c>
      <c r="B65" s="47" t="str">
        <f>'Bottlenecks - Outcome'!B71</f>
        <v>8. Management, oversight, transparency and accountability systems and institutions fail to encourage and enable performance as intended</v>
      </c>
      <c r="C65" s="47" t="str">
        <f>'Bottlenecks - Outcome'!C71</f>
        <v>8.5 Inadequate transparency, oversight, monitoring, evaluation and accountability for resources and performance</v>
      </c>
      <c r="D65" s="47" t="s">
        <v>358</v>
      </c>
      <c r="E65" s="47" t="s">
        <v>903</v>
      </c>
      <c r="F65" s="47" t="s">
        <v>902</v>
      </c>
      <c r="G65" s="47">
        <v>2025</v>
      </c>
      <c r="H65" s="51" t="s">
        <v>614</v>
      </c>
      <c r="I65" s="47" t="s">
        <v>266</v>
      </c>
    </row>
    <row r="66" spans="1:9" ht="240" x14ac:dyDescent="0.2">
      <c r="A66" s="47" t="str">
        <f>'Bottlenecks - Outcome'!A72</f>
        <v>Eliminating Gender-Based Violence</v>
      </c>
      <c r="B66" s="47" t="str">
        <f>'Bottlenecks - Outcome'!B72</f>
        <v>9. Inadequate availability and use of fragmented sector and financial data in decision making for policy, delivery and accountability.</v>
      </c>
      <c r="C66" s="47" t="str">
        <f>'Bottlenecks - Outcome'!C72</f>
        <v>9.1 Available financial and non-financial information not used for decision making, management and accountability</v>
      </c>
      <c r="D66" s="47" t="s">
        <v>359</v>
      </c>
      <c r="E66" s="47" t="s">
        <v>904</v>
      </c>
      <c r="F66" s="47" t="s">
        <v>405</v>
      </c>
      <c r="H66" s="51" t="s">
        <v>618</v>
      </c>
      <c r="I66" s="47" t="s">
        <v>266</v>
      </c>
    </row>
    <row r="67" spans="1:9" ht="160" x14ac:dyDescent="0.2">
      <c r="A67" s="47" t="str">
        <f>'Bottlenecks - Outcome'!A74</f>
        <v>Eliminating Gender-Based Violence</v>
      </c>
      <c r="B67" s="47" t="str">
        <f>'Bottlenecks - Outcome'!B74</f>
        <v>9. Inadequate availability and use of fragmented sector and financial data in decision making for policy, delivery and accountability.</v>
      </c>
      <c r="C67" s="47" t="str">
        <f>'Bottlenecks - Outcome'!C74</f>
        <v>9.2 Data systems have gaps and poor quality information, are fragmented and do not interoperate</v>
      </c>
      <c r="D67" s="47" t="s">
        <v>360</v>
      </c>
      <c r="E67" s="47" t="s">
        <v>619</v>
      </c>
      <c r="F67" s="47" t="s">
        <v>405</v>
      </c>
      <c r="G67" s="47">
        <v>2024</v>
      </c>
      <c r="H67" s="51" t="s">
        <v>620</v>
      </c>
      <c r="I67" s="47" t="s">
        <v>266</v>
      </c>
    </row>
    <row r="68" spans="1:9" ht="144" hidden="1" x14ac:dyDescent="0.2">
      <c r="A68" s="47" t="str">
        <f>'Bottlenecks - Outcome'!A76</f>
        <v>Achieving Universal Health Coverage</v>
      </c>
      <c r="B68" s="47" t="str">
        <f>'Bottlenecks - Outcome'!B76</f>
        <v>1. Insufficient Stakeholder Commitment to Policy Action</v>
      </c>
      <c r="C68" s="47" t="str">
        <f>'Bottlenecks - Outcome'!C76</f>
        <v>1.2 Inadequately broad-based stakeholder involvement, understanding and support for policy action and associated resource mobilization and use</v>
      </c>
      <c r="D68" s="70" t="s">
        <v>362</v>
      </c>
      <c r="E68" s="49" t="s">
        <v>925</v>
      </c>
      <c r="F68" s="47" t="s">
        <v>512</v>
      </c>
      <c r="G68" s="47" t="s">
        <v>816</v>
      </c>
      <c r="H68" s="47" t="s">
        <v>817</v>
      </c>
      <c r="I68" s="47" t="s">
        <v>266</v>
      </c>
    </row>
    <row r="69" spans="1:9" ht="64" hidden="1" x14ac:dyDescent="0.2">
      <c r="A69" s="47" t="str">
        <f>'Bottlenecks - Outcome'!A77</f>
        <v>Achieving Universal Health Coverage</v>
      </c>
      <c r="B69" s="47" t="str">
        <f>'Bottlenecks - Outcome'!B77</f>
        <v>2. Incoherent, fragmented and poorly prioritized policy</v>
      </c>
      <c r="C69" s="47" t="str">
        <f>'Bottlenecks - Outcome'!C77</f>
        <v>2.1 Fragmented, inconsistent, uncoordinated and poorly prioritized policies across or within sectors</v>
      </c>
      <c r="D69" s="70" t="s">
        <v>800</v>
      </c>
      <c r="E69" s="49" t="s">
        <v>815</v>
      </c>
      <c r="F69" s="47" t="s">
        <v>511</v>
      </c>
      <c r="G69" s="47">
        <v>2024</v>
      </c>
      <c r="H69" s="47" t="s">
        <v>621</v>
      </c>
      <c r="I69" s="47" t="s">
        <v>266</v>
      </c>
    </row>
    <row r="70" spans="1:9" ht="80" hidden="1" x14ac:dyDescent="0.2">
      <c r="A70" s="47" t="str">
        <f>'Bottlenecks - Outcome'!A78</f>
        <v>Achieving Universal Health Coverage</v>
      </c>
      <c r="B70" s="47" t="str">
        <f>'Bottlenecks - Outcome'!B78</f>
        <v>3. Mismatch between policy goals, priorities, capability and resources</v>
      </c>
      <c r="C70" s="70" t="s">
        <v>150</v>
      </c>
      <c r="D70" s="70" t="s">
        <v>800</v>
      </c>
      <c r="E70" s="49" t="s">
        <v>926</v>
      </c>
      <c r="F70" s="47" t="s">
        <v>834</v>
      </c>
      <c r="G70" s="47" t="s">
        <v>835</v>
      </c>
      <c r="H70" s="47" t="s">
        <v>836</v>
      </c>
      <c r="I70" s="47" t="s">
        <v>266</v>
      </c>
    </row>
    <row r="71" spans="1:9" ht="112" hidden="1" x14ac:dyDescent="0.2">
      <c r="A71" s="47" t="str">
        <f>'Bottlenecks - Outcome'!A79</f>
        <v>Achieving Universal Health Coverage</v>
      </c>
      <c r="B71" s="47" t="str">
        <f>'Bottlenecks - Outcome'!B79</f>
        <v>3. Mismatch between policy goals, priorities, capability and resources</v>
      </c>
      <c r="C71" s="47" t="str">
        <f>'Bottlenecks - Outcome'!C79</f>
        <v>3.2 Public policy goals and delivery models are unaffordable given current and future costs and fiscal reality.</v>
      </c>
      <c r="D71" s="70" t="s">
        <v>363</v>
      </c>
      <c r="E71" s="49" t="s">
        <v>837</v>
      </c>
      <c r="F71" s="47" t="s">
        <v>830</v>
      </c>
      <c r="G71" s="47">
        <v>2022</v>
      </c>
      <c r="H71" s="47" t="s">
        <v>832</v>
      </c>
      <c r="I71" s="47" t="s">
        <v>266</v>
      </c>
    </row>
    <row r="72" spans="1:9" ht="96" hidden="1" x14ac:dyDescent="0.2">
      <c r="A72" s="47" t="str">
        <f>'Bottlenecks - Outcome'!A80</f>
        <v>Achieving Universal Health Coverage</v>
      </c>
      <c r="B72" s="47" t="str">
        <f>'Bottlenecks - Outcome'!B80</f>
        <v>3. Mismatch between policy goals, priorities, capability and resources</v>
      </c>
      <c r="C72" s="47" t="str">
        <f>'Bottlenecks - Outcome'!C80</f>
        <v>3.2 Public policy goals and delivery models are unaffordable given current and future costs and fiscal reality.</v>
      </c>
      <c r="D72" s="47" t="s">
        <v>364</v>
      </c>
      <c r="E72" s="47" t="s">
        <v>838</v>
      </c>
      <c r="F72" s="47" t="s">
        <v>497</v>
      </c>
      <c r="G72" s="47">
        <v>2023</v>
      </c>
      <c r="H72" s="47" t="s">
        <v>833</v>
      </c>
      <c r="I72" s="47" t="s">
        <v>266</v>
      </c>
    </row>
    <row r="73" spans="1:9" ht="96" hidden="1" x14ac:dyDescent="0.2">
      <c r="A73" s="47" t="str">
        <f>'Bottlenecks - Outcome'!A81</f>
        <v>Achieving Universal Health Coverage</v>
      </c>
      <c r="B73" s="47" t="str">
        <f>'Bottlenecks - Outcome'!B81</f>
        <v>4. Unsustainable fiscal situation of governments and organizations</v>
      </c>
      <c r="C73" s="47" t="str">
        <f>'Bottlenecks - Outcome'!C81</f>
        <v>4.2 Biased or inaccurate fiscal forecasting and unpredictable, volatile resource flows result in budgets being under-funded</v>
      </c>
      <c r="D73" s="47" t="s">
        <v>365</v>
      </c>
      <c r="E73" s="49" t="s">
        <v>839</v>
      </c>
      <c r="F73" s="47" t="s">
        <v>830</v>
      </c>
      <c r="G73" s="47">
        <v>2022</v>
      </c>
      <c r="H73" s="47" t="s">
        <v>832</v>
      </c>
      <c r="I73" s="47" t="s">
        <v>266</v>
      </c>
    </row>
    <row r="74" spans="1:9" ht="128" hidden="1" x14ac:dyDescent="0.2">
      <c r="A74" s="47" t="str">
        <f>'Bottlenecks - Outcome'!A82</f>
        <v>Achieving Universal Health Coverage</v>
      </c>
      <c r="B74" s="47" t="str">
        <f>'Bottlenecks - Outcome'!B82</f>
        <v>4. Unsustainable fiscal situation of governments and organizations</v>
      </c>
      <c r="C74" s="47" t="s">
        <v>317</v>
      </c>
      <c r="D74" s="47" t="s">
        <v>365</v>
      </c>
      <c r="E74" s="47" t="s">
        <v>840</v>
      </c>
      <c r="F74" s="47" t="s">
        <v>841</v>
      </c>
      <c r="G74" s="47" t="s">
        <v>842</v>
      </c>
      <c r="H74" s="47" t="s">
        <v>843</v>
      </c>
      <c r="I74" s="47" t="s">
        <v>266</v>
      </c>
    </row>
    <row r="75" spans="1:9" ht="48" hidden="1" x14ac:dyDescent="0.2">
      <c r="A75" s="47" t="str">
        <f>'Bottlenecks - Outcome'!A84</f>
        <v>Achieving Universal Health Coverage</v>
      </c>
      <c r="B75" s="47" t="str">
        <f>'Bottlenecks - Outcome'!B84</f>
        <v xml:space="preserve">5. Inadequate and inequitable resources mobilized and deployed for policy implementation  </v>
      </c>
      <c r="C75" s="47" t="str">
        <f>'Bottlenecks - Outcome'!C84</f>
        <v xml:space="preserve">5.2 Resource deployment is often incremental and disconnected from public policy priorities </v>
      </c>
      <c r="D75" s="47" t="s">
        <v>368</v>
      </c>
      <c r="E75" s="49" t="s">
        <v>844</v>
      </c>
      <c r="F75" s="47" t="s">
        <v>511</v>
      </c>
      <c r="G75" s="47">
        <v>2024</v>
      </c>
      <c r="H75" s="47" t="s">
        <v>621</v>
      </c>
      <c r="I75" s="47" t="s">
        <v>266</v>
      </c>
    </row>
    <row r="76" spans="1:9" ht="96" hidden="1" x14ac:dyDescent="0.2">
      <c r="A76" s="47" t="str">
        <f>'Bottlenecks - Outcome'!A85</f>
        <v>Achieving Universal Health Coverage</v>
      </c>
      <c r="B76" s="47" t="str">
        <f>'Bottlenecks - Outcome'!B85</f>
        <v xml:space="preserve">5. Inadequate and inequitable resources mobilized and deployed for policy implementation  </v>
      </c>
      <c r="C76" s="47" t="str">
        <f>'Bottlenecks - Outcome'!C85</f>
        <v>5.3 Resource deployment is not informed by demand for, the costs of or effectiveness in achieving public policy objectives</v>
      </c>
      <c r="D76" s="47" t="s">
        <v>369</v>
      </c>
      <c r="E76" s="49" t="s">
        <v>845</v>
      </c>
      <c r="F76" s="47" t="s">
        <v>830</v>
      </c>
      <c r="G76" s="47">
        <v>2018</v>
      </c>
      <c r="H76" s="47" t="s">
        <v>623</v>
      </c>
      <c r="I76" s="47" t="s">
        <v>266</v>
      </c>
    </row>
    <row r="77" spans="1:9" ht="112" hidden="1" x14ac:dyDescent="0.2">
      <c r="A77" s="47" t="str">
        <f>'Bottlenecks - Outcome'!A87</f>
        <v>Achieving Universal Health Coverage</v>
      </c>
      <c r="B77" s="47" t="str">
        <f>'Bottlenecks - Outcome'!B87</f>
        <v>6. Unreliable, delayed and fragmented funding for delivery</v>
      </c>
      <c r="C77" s="47" t="str">
        <f>'Bottlenecks - Outcome'!C87</f>
        <v>6.1 Ad hoc, political and fragmented funding channels contributes to ineffective and inefficient delivery</v>
      </c>
      <c r="D77" s="47" t="s">
        <v>371</v>
      </c>
      <c r="E77" s="47" t="s">
        <v>846</v>
      </c>
      <c r="F77" s="47" t="s">
        <v>830</v>
      </c>
      <c r="G77" s="47">
        <v>2022</v>
      </c>
      <c r="H77" s="47" t="s">
        <v>622</v>
      </c>
      <c r="I77" s="47" t="s">
        <v>266</v>
      </c>
    </row>
    <row r="78" spans="1:9" ht="80" hidden="1" x14ac:dyDescent="0.2">
      <c r="A78" s="47" t="str">
        <f>'Bottlenecks - Outcome'!A88</f>
        <v>Achieving Universal Health Coverage</v>
      </c>
      <c r="B78" s="47" t="str">
        <f>'Bottlenecks - Outcome'!B88</f>
        <v>6. Unreliable, delayed and fragmented funding for delivery</v>
      </c>
      <c r="C78" s="47" t="s">
        <v>323</v>
      </c>
      <c r="D78" s="47" t="s">
        <v>371</v>
      </c>
      <c r="E78" s="47" t="s">
        <v>847</v>
      </c>
      <c r="F78" s="47" t="s">
        <v>497</v>
      </c>
      <c r="G78" s="47">
        <v>2020</v>
      </c>
      <c r="H78" s="47" t="s">
        <v>848</v>
      </c>
    </row>
    <row r="79" spans="1:9" ht="144" hidden="1" x14ac:dyDescent="0.2">
      <c r="A79" s="47" t="str">
        <f>'Bottlenecks - Outcome'!A88</f>
        <v>Achieving Universal Health Coverage</v>
      </c>
      <c r="B79" s="47" t="str">
        <f>'Bottlenecks - Outcome'!B88</f>
        <v>6. Unreliable, delayed and fragmented funding for delivery</v>
      </c>
      <c r="C79" s="47" t="str">
        <f>'Bottlenecks - Outcome'!C88</f>
        <v xml:space="preserve">6.2 Intergovernmental financing systems for delivery are often incoherent, bypassed and uncoordinated between levels of government. </v>
      </c>
      <c r="D79" s="47" t="s">
        <v>372</v>
      </c>
      <c r="E79" s="49" t="s">
        <v>849</v>
      </c>
      <c r="F79" s="47" t="s">
        <v>456</v>
      </c>
      <c r="G79" s="47" t="s">
        <v>853</v>
      </c>
      <c r="H79" s="47" t="s">
        <v>851</v>
      </c>
      <c r="I79" s="47" t="s">
        <v>266</v>
      </c>
    </row>
    <row r="80" spans="1:9" ht="144" hidden="1" x14ac:dyDescent="0.2">
      <c r="A80" s="47" t="str">
        <f>'Bottlenecks - Outcome'!A89</f>
        <v>Achieving Universal Health Coverage</v>
      </c>
      <c r="B80" s="47" t="str">
        <f>'Bottlenecks - Outcome'!B89</f>
        <v>6. Unreliable, delayed and fragmented funding for delivery</v>
      </c>
      <c r="C80" s="47" t="str">
        <f>'Bottlenecks - Outcome'!C88</f>
        <v xml:space="preserve">6.2 Intergovernmental financing systems for delivery are often incoherent, bypassed and uncoordinated between levels of government. </v>
      </c>
      <c r="D80" s="47" t="s">
        <v>372</v>
      </c>
      <c r="E80" s="49" t="s">
        <v>850</v>
      </c>
      <c r="F80" s="47" t="s">
        <v>505</v>
      </c>
      <c r="G80" s="47">
        <v>2024</v>
      </c>
      <c r="H80" s="47" t="s">
        <v>852</v>
      </c>
    </row>
    <row r="81" spans="1:9" ht="157.5" hidden="1" customHeight="1" x14ac:dyDescent="0.2">
      <c r="A81" s="47" t="str">
        <f>'Bottlenecks - Outcome'!A89</f>
        <v>Achieving Universal Health Coverage</v>
      </c>
      <c r="B81" s="47" t="str">
        <f>'Bottlenecks - Outcome'!B89</f>
        <v>6. Unreliable, delayed and fragmented funding for delivery</v>
      </c>
      <c r="C81" s="47" t="str">
        <f>'Bottlenecks - Outcome'!C89</f>
        <v>6.3 Shortfalls, delays and diversion of funding for delivery</v>
      </c>
      <c r="D81" s="47" t="s">
        <v>373</v>
      </c>
      <c r="E81" s="49" t="s">
        <v>854</v>
      </c>
      <c r="F81" s="47" t="s">
        <v>830</v>
      </c>
      <c r="G81" s="47">
        <v>2022</v>
      </c>
      <c r="H81" s="47" t="s">
        <v>831</v>
      </c>
      <c r="I81" s="47" t="s">
        <v>266</v>
      </c>
    </row>
    <row r="82" spans="1:9" ht="76.5" hidden="1" customHeight="1" x14ac:dyDescent="0.2">
      <c r="A82" s="47" t="str">
        <f>'Bottlenecks - Outcome'!A90</f>
        <v>Achieving Universal Health Coverage</v>
      </c>
      <c r="B82" s="47" t="str">
        <f>'Bottlenecks - Outcome'!B90</f>
        <v xml:space="preserve">7. Inefficient deployment and management of resources and inputs for delivery </v>
      </c>
      <c r="C82" s="47" t="str">
        <f>'Bottlenecks - Outcome'!C89</f>
        <v>6.3 Shortfalls, delays and diversion of funding for delivery</v>
      </c>
      <c r="D82" s="47" t="s">
        <v>373</v>
      </c>
      <c r="E82" s="49" t="s">
        <v>856</v>
      </c>
      <c r="F82" s="47" t="s">
        <v>497</v>
      </c>
      <c r="G82" s="47">
        <v>2022</v>
      </c>
      <c r="H82" s="47" t="s">
        <v>855</v>
      </c>
    </row>
    <row r="83" spans="1:9" ht="80" hidden="1" x14ac:dyDescent="0.2">
      <c r="A83" s="47" t="str">
        <f>'Bottlenecks - Outcome'!A92</f>
        <v>Achieving Universal Health Coverage</v>
      </c>
      <c r="B83" s="47" t="str">
        <f>'Bottlenecks - Outcome'!B92</f>
        <v xml:space="preserve">7. Inefficient deployment and management of resources and inputs for delivery </v>
      </c>
      <c r="C83" s="47" t="str">
        <f>'Bottlenecks - Outcome'!C92</f>
        <v>7.3 High cost, inefficient deployment, poor motivation and inadequate skills of frontline and other staff</v>
      </c>
      <c r="D83" s="47" t="s">
        <v>376</v>
      </c>
      <c r="E83" s="49" t="s">
        <v>857</v>
      </c>
      <c r="F83" s="47" t="s">
        <v>830</v>
      </c>
      <c r="G83" s="47">
        <v>2022</v>
      </c>
      <c r="H83" s="47" t="s">
        <v>622</v>
      </c>
      <c r="I83" s="47" t="s">
        <v>266</v>
      </c>
    </row>
    <row r="84" spans="1:9" ht="64" hidden="1" x14ac:dyDescent="0.2">
      <c r="A84" s="47" t="str">
        <f>'Bottlenecks - Outcome'!A93</f>
        <v>Achieving Universal Health Coverage</v>
      </c>
      <c r="B84" s="47" t="str">
        <f>'Bottlenecks - Outcome'!B93</f>
        <v xml:space="preserve">7. Inefficient deployment and management of resources and inputs for delivery </v>
      </c>
      <c r="C84" s="47" t="str">
        <f>'Bottlenecks - Outcome'!C93</f>
        <v>7.4 Limited availability of operational funding to regulate and run services and maintain infrastructure and other assets.</v>
      </c>
      <c r="D84" s="47" t="s">
        <v>377</v>
      </c>
      <c r="E84" s="49" t="s">
        <v>858</v>
      </c>
      <c r="F84" s="47" t="s">
        <v>512</v>
      </c>
      <c r="G84" s="47" t="s">
        <v>860</v>
      </c>
      <c r="H84" s="47" t="s">
        <v>859</v>
      </c>
      <c r="I84" s="47" t="s">
        <v>266</v>
      </c>
    </row>
    <row r="85" spans="1:9" ht="183" hidden="1" customHeight="1" x14ac:dyDescent="0.2">
      <c r="A85" s="47" t="str">
        <f>'Bottlenecks - Outcome'!A96</f>
        <v>Achieving Universal Health Coverage</v>
      </c>
      <c r="B85" s="47" t="str">
        <f>'Bottlenecks - Outcome'!B95</f>
        <v xml:space="preserve">7. Inefficient deployment and management of resources and inputs for delivery </v>
      </c>
      <c r="C85" s="47" t="str">
        <f>'Bottlenecks - Outcome'!C95</f>
        <v>7.6 The arrangements for managing funds at different levels up to the point of delivery are poorly designed and incoherent, especially in in multi-level government contexts.</v>
      </c>
      <c r="D85" s="47" t="s">
        <v>379</v>
      </c>
      <c r="E85" s="49" t="s">
        <v>861</v>
      </c>
      <c r="F85" s="47" t="s">
        <v>830</v>
      </c>
      <c r="G85" s="47">
        <v>2022</v>
      </c>
      <c r="H85" s="47" t="s">
        <v>622</v>
      </c>
    </row>
    <row r="86" spans="1:9" ht="183" hidden="1" customHeight="1" x14ac:dyDescent="0.2">
      <c r="A86" s="47" t="str">
        <f>'Bottlenecks - Outcome'!A97</f>
        <v>Achieving Universal Health Coverage</v>
      </c>
      <c r="B86" s="47" t="str">
        <f>'Bottlenecks - Outcome'!B95</f>
        <v xml:space="preserve">7. Inefficient deployment and management of resources and inputs for delivery </v>
      </c>
      <c r="C86" s="47" t="str">
        <f>'Bottlenecks - Outcome'!C95</f>
        <v>7.6 The arrangements for managing funds at different levels up to the point of delivery are poorly designed and incoherent, especially in in multi-level government contexts.</v>
      </c>
      <c r="D86" s="47" t="s">
        <v>379</v>
      </c>
      <c r="E86" s="49" t="s">
        <v>862</v>
      </c>
      <c r="F86" s="47" t="s">
        <v>456</v>
      </c>
      <c r="G86" s="47">
        <v>2023</v>
      </c>
      <c r="H86" s="47" t="s">
        <v>863</v>
      </c>
    </row>
    <row r="87" spans="1:9" ht="87.75" hidden="1" customHeight="1" x14ac:dyDescent="0.2">
      <c r="A87" s="47" t="str">
        <f>'Bottlenecks - Outcome'!A96</f>
        <v>Achieving Universal Health Coverage</v>
      </c>
      <c r="B87" s="47" t="str">
        <f>'Bottlenecks - Outcome'!B96</f>
        <v>8. Management, oversight, transparency and accountability systems and institutions fail to encourage and enable performance as intended</v>
      </c>
      <c r="C87" s="47" t="str">
        <f>'Bottlenecks - Outcome'!C96</f>
        <v>8.1 The design of regulatory, incentive, control and management systems limits autonomy and discourages performance</v>
      </c>
      <c r="D87" s="47" t="s">
        <v>380</v>
      </c>
      <c r="E87" s="47" t="s">
        <v>864</v>
      </c>
      <c r="F87" s="47" t="s">
        <v>497</v>
      </c>
      <c r="G87" s="47">
        <v>2022</v>
      </c>
      <c r="H87" s="47" t="s">
        <v>865</v>
      </c>
      <c r="I87" s="47" t="s">
        <v>266</v>
      </c>
    </row>
    <row r="88" spans="1:9" ht="87.75" hidden="1" customHeight="1" x14ac:dyDescent="0.2">
      <c r="A88" s="47" t="str">
        <f>'Bottlenecks - Outcome'!A97</f>
        <v>Achieving Universal Health Coverage</v>
      </c>
      <c r="B88" s="47" t="str">
        <f>'Bottlenecks - Outcome'!B96</f>
        <v>8. Management, oversight, transparency and accountability systems and institutions fail to encourage and enable performance as intended</v>
      </c>
      <c r="C88" s="47" t="str">
        <f>'Bottlenecks - Outcome'!C96</f>
        <v>8.1 The design of regulatory, incentive, control and management systems limits autonomy and discourages performance</v>
      </c>
      <c r="D88" s="47" t="s">
        <v>380</v>
      </c>
      <c r="E88" s="47" t="s">
        <v>867</v>
      </c>
      <c r="F88" s="47" t="s">
        <v>868</v>
      </c>
      <c r="G88" s="47">
        <v>2021</v>
      </c>
      <c r="H88" s="47" t="s">
        <v>866</v>
      </c>
    </row>
    <row r="89" spans="1:9" ht="112" hidden="1" x14ac:dyDescent="0.2">
      <c r="A89" s="47" t="str">
        <f>'Bottlenecks - Outcome'!A98</f>
        <v>Achieving Universal Health Coverage</v>
      </c>
      <c r="B89" s="47" t="str">
        <f>'Bottlenecks - Outcome'!B98</f>
        <v>9. Inadequate availability and use of fragmented sector and financial data in decision making for policy, delivery and accountability.</v>
      </c>
      <c r="C89" s="47" t="str">
        <f>'Bottlenecks - Outcome'!C98</f>
        <v>9.1 Available financial and non-financial information not used for decision making, management and accountability</v>
      </c>
      <c r="D89" s="47" t="s">
        <v>382</v>
      </c>
      <c r="E89" s="49" t="s">
        <v>869</v>
      </c>
      <c r="F89" s="47" t="s">
        <v>497</v>
      </c>
      <c r="G89" s="47">
        <v>2024</v>
      </c>
      <c r="H89" s="47" t="s">
        <v>870</v>
      </c>
      <c r="I89" s="47" t="s">
        <v>266</v>
      </c>
    </row>
    <row r="90" spans="1:9" ht="80" hidden="1" x14ac:dyDescent="0.2">
      <c r="A90" s="47" t="str">
        <f>'Bottlenecks - Outcome'!A99</f>
        <v>Achieving Universal Health Coverage</v>
      </c>
      <c r="B90" s="47" t="str">
        <f>'Bottlenecks - Outcome'!B99</f>
        <v>9. Inadequate availability and use of fragmented sector and financial data in decision making for policy, delivery and accountability.</v>
      </c>
      <c r="C90" s="47" t="str">
        <f>'Bottlenecks - Outcome'!C99</f>
        <v>9.2 Data systems have gaps and poor quality information, are fragmented and do not interoperate</v>
      </c>
      <c r="D90" s="47" t="s">
        <v>383</v>
      </c>
      <c r="E90" s="47" t="s">
        <v>871</v>
      </c>
      <c r="F90" s="47" t="s">
        <v>830</v>
      </c>
      <c r="G90" s="47">
        <v>2022</v>
      </c>
      <c r="H90" s="47" t="s">
        <v>622</v>
      </c>
      <c r="I90" s="47" t="s">
        <v>266</v>
      </c>
    </row>
    <row r="91" spans="1:9" ht="144" x14ac:dyDescent="0.2">
      <c r="A91" s="47" t="str">
        <f>'Bottlenecks - Outcome'!A66</f>
        <v>Eliminating Gender-Based Violence</v>
      </c>
      <c r="B91" s="47" t="str">
        <f>'Bottlenecks - Outcome'!B66</f>
        <v xml:space="preserve">7. Inefficient deployment and management of resources and inputs for delivery </v>
      </c>
      <c r="C91" s="47" t="str">
        <f>'Bottlenecks - Outcome'!C66</f>
        <v>7.3 High cost, inefficient deployment, poor motivation and inadequate skills of frontline and other staff</v>
      </c>
      <c r="D91" s="47" t="str">
        <f>'Bottlenecks - Outcome'!D66</f>
        <v>There is often a lack of adequately skilled and appropriately placed personnel to coordinate and implement GBV interventions at the front line (e.g., female police officers, mental health professionals, specialized GBV prosecutors, and community-level social workers), as well as insufficient technical capacity for gender mainstreaming, policy development, and analysis at higher levels of government.</v>
      </c>
      <c r="E91" s="47" t="s">
        <v>980</v>
      </c>
      <c r="F91" s="47" t="s">
        <v>436</v>
      </c>
      <c r="G91" s="47">
        <v>2024</v>
      </c>
      <c r="H91" s="47" t="s">
        <v>977</v>
      </c>
      <c r="I91" s="47" t="s">
        <v>266</v>
      </c>
    </row>
    <row r="92" spans="1:9" ht="128" hidden="1" x14ac:dyDescent="0.2">
      <c r="A92" s="47" t="str">
        <f>'Bottlenecks - Outcome'!A100</f>
        <v>Accelerating the Transition to Renewable Energy</v>
      </c>
      <c r="B92" s="47" t="str">
        <f>'Bottlenecks - Outcome'!B100</f>
        <v>1. Insufficient Stakeholder Commitment to drive Policy Action</v>
      </c>
      <c r="C92" s="47" t="str">
        <f>'Bottlenecks - Outcome'!C100</f>
        <v>1.2 Inadequately broad-based stakeholder involvement, understanding and support for policy action and associated resource mobilization and use</v>
      </c>
      <c r="D92" s="47" t="str">
        <f>'Bottlenecks - Outcome'!D100</f>
        <v>Lack of broad-based involvement, understanding, and support for policies and actions to accelerate the renewable energy transition from power generators, distributers and stakeholders engaged in supply and use of fossil fuels in energy generation.</v>
      </c>
      <c r="E92" s="47" t="s">
        <v>981</v>
      </c>
      <c r="F92" s="47" t="s">
        <v>450</v>
      </c>
      <c r="G92" s="47">
        <v>2019</v>
      </c>
      <c r="H92" s="47" t="s">
        <v>638</v>
      </c>
      <c r="I92" s="47" t="s">
        <v>266</v>
      </c>
    </row>
    <row r="93" spans="1:9" ht="144" hidden="1" x14ac:dyDescent="0.2">
      <c r="A93" s="47" t="str">
        <f>'Bottlenecks - Outcome'!A100</f>
        <v>Accelerating the Transition to Renewable Energy</v>
      </c>
      <c r="B93" s="47" t="str">
        <f>'Bottlenecks - Outcome'!B100</f>
        <v>1. Insufficient Stakeholder Commitment to drive Policy Action</v>
      </c>
      <c r="C93" s="47" t="str">
        <f>'Bottlenecks - Outcome'!C100</f>
        <v>1.2 Inadequately broad-based stakeholder involvement, understanding and support for policy action and associated resource mobilization and use</v>
      </c>
      <c r="D93" s="47" t="str">
        <f>'Bottlenecks - Outcome'!D100</f>
        <v>Lack of broad-based involvement, understanding, and support for policies and actions to accelerate the renewable energy transition from power generators, distributers and stakeholders engaged in supply and use of fossil fuels in energy generation.</v>
      </c>
      <c r="E93" s="47" t="s">
        <v>982</v>
      </c>
      <c r="F93" s="47" t="s">
        <v>533</v>
      </c>
      <c r="G93" s="47" t="s">
        <v>983</v>
      </c>
      <c r="H93" s="47" t="s">
        <v>984</v>
      </c>
      <c r="I93" s="47" t="s">
        <v>266</v>
      </c>
    </row>
    <row r="94" spans="1:9" ht="112" hidden="1" x14ac:dyDescent="0.2">
      <c r="A94" s="47"/>
      <c r="B94" s="47" t="str">
        <f>'Bottlenecks - Outcome'!B100</f>
        <v>1. Insufficient Stakeholder Commitment to drive Policy Action</v>
      </c>
      <c r="C94" s="47" t="str">
        <f>'Bottlenecks - Outcome'!C100</f>
        <v>1.2 Inadequately broad-based stakeholder involvement, understanding and support for policy action and associated resource mobilization and use</v>
      </c>
      <c r="D94" s="47" t="str">
        <f>'Bottlenecks - Outcome'!D100</f>
        <v>Lack of broad-based involvement, understanding, and support for policies and actions to accelerate the renewable energy transition from power generators, distributers and stakeholders engaged in supply and use of fossil fuels in energy generation.</v>
      </c>
      <c r="E94" s="47" t="s">
        <v>985</v>
      </c>
      <c r="F94" s="47" t="s">
        <v>450</v>
      </c>
      <c r="G94" s="47">
        <v>2019</v>
      </c>
      <c r="H94" s="47" t="s">
        <v>986</v>
      </c>
      <c r="I94" s="47" t="s">
        <v>266</v>
      </c>
    </row>
    <row r="95" spans="1:9" ht="192" hidden="1" x14ac:dyDescent="0.2">
      <c r="A95" s="47" t="str">
        <f>'Bottlenecks - Outcome'!A101</f>
        <v>Accelerating the Transition to Renewable Energy</v>
      </c>
      <c r="B95" s="47" t="str">
        <f>'Bottlenecks - Outcome'!B101</f>
        <v>2. Incoherence and fragmentation of policy</v>
      </c>
      <c r="C95" s="47" t="str">
        <f>'Bottlenecks - Outcome'!C101</f>
        <v>2.1 Fragmented, inconsistent, uncoordinated and poorly prioritized policies across or within sectors</v>
      </c>
      <c r="D95" s="47" t="s">
        <v>385</v>
      </c>
      <c r="E95" s="47" t="s">
        <v>624</v>
      </c>
      <c r="F95" s="47" t="s">
        <v>533</v>
      </c>
      <c r="G95" s="47" t="s">
        <v>910</v>
      </c>
      <c r="H95" s="47" t="s">
        <v>625</v>
      </c>
      <c r="I95" s="47" t="s">
        <v>266</v>
      </c>
    </row>
    <row r="96" spans="1:9" ht="96" hidden="1" x14ac:dyDescent="0.2">
      <c r="A96" s="47" t="str">
        <f>'Bottlenecks - Outcome'!A102</f>
        <v>Accelerating the Transition to Renewable Energy</v>
      </c>
      <c r="B96" s="47" t="str">
        <f>'Bottlenecks - Outcome'!B102</f>
        <v>2. Incoherence and fragmentation of policy</v>
      </c>
      <c r="C96" s="47" t="str">
        <f>'Bottlenecks - Outcome'!C102</f>
        <v>2.1 Fragmented, inconsistent, uncoordinated and poorly prioritized policies across or within sectors</v>
      </c>
      <c r="D96" s="47" t="str">
        <f>'Bottlenecks - Outcome'!D102</f>
        <v>Uncoordinated power generation and transmission strategies result in mismatches and inefficiencies.</v>
      </c>
      <c r="E96" s="47" t="s">
        <v>987</v>
      </c>
      <c r="F96" s="47" t="s">
        <v>932</v>
      </c>
      <c r="G96" s="47">
        <v>2020</v>
      </c>
      <c r="H96" s="47" t="s">
        <v>989</v>
      </c>
      <c r="I96" s="47" t="s">
        <v>266</v>
      </c>
    </row>
    <row r="97" spans="1:9" ht="64" hidden="1" x14ac:dyDescent="0.2">
      <c r="A97" s="47" t="str">
        <f>'Bottlenecks - Outcome'!A103</f>
        <v>Accelerating the Transition to Renewable Energy</v>
      </c>
      <c r="B97" s="47" t="str">
        <f>'Bottlenecks - Outcome'!B103</f>
        <v>3. Mismatch between policy goals, capability and resources</v>
      </c>
      <c r="C97" s="47" t="str">
        <f>'Bottlenecks - Outcome'!C103</f>
        <v>3.1 Public policy goals and delivery models are unaffordable given current and future costs and fiscal reality.</v>
      </c>
      <c r="D97" s="47" t="s">
        <v>387</v>
      </c>
      <c r="E97" s="47" t="s">
        <v>626</v>
      </c>
      <c r="F97" s="47" t="s">
        <v>447</v>
      </c>
      <c r="G97" s="47">
        <v>2024</v>
      </c>
      <c r="H97" s="121" t="s">
        <v>627</v>
      </c>
      <c r="I97" s="47" t="s">
        <v>266</v>
      </c>
    </row>
    <row r="98" spans="1:9" ht="96" hidden="1" x14ac:dyDescent="0.2">
      <c r="A98" s="47" t="str">
        <f>'Bottlenecks - Outcome'!A104</f>
        <v>Accelerating the Transition to Renewable Energy</v>
      </c>
      <c r="B98" s="47" t="str">
        <f>'Bottlenecks - Outcome'!B104</f>
        <v>3. Mismatch between policy goals, capability and resources</v>
      </c>
      <c r="C98" s="47" t="str">
        <f>'Bottlenecks - Outcome'!C104</f>
        <v>3.3 Policies do not take into account context, including the available organizational capability to achieve goals</v>
      </c>
      <c r="D98" s="47" t="s">
        <v>388</v>
      </c>
      <c r="E98" s="47" t="s">
        <v>628</v>
      </c>
      <c r="F98" s="47" t="s">
        <v>456</v>
      </c>
      <c r="G98" s="47">
        <v>2019</v>
      </c>
      <c r="H98" s="47" t="s">
        <v>629</v>
      </c>
      <c r="I98" s="47" t="s">
        <v>266</v>
      </c>
    </row>
    <row r="99" spans="1:9" ht="272" hidden="1" x14ac:dyDescent="0.2">
      <c r="A99" s="47"/>
      <c r="B99" s="47"/>
      <c r="C99" s="47" t="str">
        <f>'Bottlenecks - Outcome'!C102</f>
        <v>2.1 Fragmented, inconsistent, uncoordinated and poorly prioritized policies across or within sectors</v>
      </c>
      <c r="D99" s="47" t="str">
        <f>'Bottlenecks - Outcome'!D102</f>
        <v>Uncoordinated power generation and transmission strategies result in mismatches and inefficiencies.</v>
      </c>
      <c r="E99" s="47" t="s">
        <v>988</v>
      </c>
      <c r="F99" s="47" t="s">
        <v>456</v>
      </c>
      <c r="G99" s="47" t="s">
        <v>991</v>
      </c>
      <c r="H99" s="47" t="s">
        <v>990</v>
      </c>
    </row>
    <row r="100" spans="1:9" ht="144" hidden="1" x14ac:dyDescent="0.2">
      <c r="A100" s="47" t="str">
        <f>'Bottlenecks - Outcome'!A105</f>
        <v>Accelerating the Transition to Renewable Energy</v>
      </c>
      <c r="B100" s="47" t="str">
        <f>'Bottlenecks - Outcome'!B105</f>
        <v>4. Unsustainable fiscal situation of governments and organizations</v>
      </c>
      <c r="C100" s="47" t="str">
        <f>'Bottlenecks - Outcome'!C105</f>
        <v>4.1 Short term incentives and perspectives leads to a failure to manage trade offs and pro-cyclical spending which forces deep cuts during downturns</v>
      </c>
      <c r="D100" s="47" t="s">
        <v>389</v>
      </c>
      <c r="E100" s="47" t="s">
        <v>630</v>
      </c>
      <c r="F100" s="47" t="s">
        <v>533</v>
      </c>
      <c r="G100" s="47">
        <v>2019</v>
      </c>
      <c r="H100" s="47" t="s">
        <v>631</v>
      </c>
      <c r="I100" s="47" t="s">
        <v>266</v>
      </c>
    </row>
    <row r="101" spans="1:9" ht="144" hidden="1" x14ac:dyDescent="0.2">
      <c r="A101" s="47" t="str">
        <f>'Bottlenecks - Outcome'!A21</f>
        <v>Achieving Basic Education for All</v>
      </c>
      <c r="B101" s="47" t="str">
        <f>'Bottlenecks - Outcome'!B21</f>
        <v>7. Inefficient deployment and management of resources and inputs for delivery</v>
      </c>
      <c r="C101" s="47" t="str">
        <f>'Bottlenecks - Outcome'!C21</f>
        <v>7.3 High cost, inefficient deployment, poor motivation and inadequate skills of frontline and other staff</v>
      </c>
      <c r="D101" s="47" t="str">
        <f>'Bottlenecks - Outcome'!D21</f>
        <v>Teachers may be relatively high cost (there is often a public sector wage premium) and there may be imbalances in teacher deployment, with shortages in under-served areas and surpluses elsewhere, which often persist over time despite efforts to redress them. There may also be overly rigid HR policies that hinder flexibility and performance-based promotions.</v>
      </c>
      <c r="E101" s="47" t="s">
        <v>993</v>
      </c>
      <c r="F101" s="47" t="s">
        <v>874</v>
      </c>
      <c r="G101" s="47">
        <v>2023</v>
      </c>
      <c r="H101" s="47" t="s">
        <v>996</v>
      </c>
      <c r="I101" s="47" t="s">
        <v>266</v>
      </c>
    </row>
    <row r="102" spans="1:9" ht="64" hidden="1" x14ac:dyDescent="0.2">
      <c r="A102" s="47" t="str">
        <f>'Bottlenecks - Outcome'!A106</f>
        <v>Accelerating the Transition to Renewable Energy</v>
      </c>
      <c r="B102" s="47" t="str">
        <f>'Bottlenecks - Outcome'!B106</f>
        <v>4. Unsustainable fiscal situation of governments and organizations</v>
      </c>
      <c r="C102" s="47" t="str">
        <f>'Bottlenecks - Outcome'!C106</f>
        <v>4.5 Financial unviability of providers and utilities</v>
      </c>
      <c r="D102" s="47" t="str">
        <f>'Bottlenecks - Outcome'!D106</f>
        <v xml:space="preserve">Energy utilities often lack financial viability due to the failure to enforce hard budget constraints and the design and implementation of cost recovery policies. </v>
      </c>
      <c r="E102" s="47" t="s">
        <v>998</v>
      </c>
      <c r="F102" s="47" t="s">
        <v>533</v>
      </c>
      <c r="G102" s="47">
        <v>2019</v>
      </c>
      <c r="H102" s="47" t="s">
        <v>631</v>
      </c>
      <c r="I102" s="47" t="s">
        <v>266</v>
      </c>
    </row>
    <row r="103" spans="1:9" ht="240" hidden="1" x14ac:dyDescent="0.2">
      <c r="A103" s="47" t="str">
        <f>'Bottlenecks - Outcome'!A106</f>
        <v>Accelerating the Transition to Renewable Energy</v>
      </c>
      <c r="B103" s="47" t="str">
        <f>'Bottlenecks - Outcome'!B106</f>
        <v>4. Unsustainable fiscal situation of governments and organizations</v>
      </c>
      <c r="C103" s="47" t="str">
        <f>'Bottlenecks - Outcome'!C106</f>
        <v>4.5 Financial unviability of providers and utilities</v>
      </c>
      <c r="D103" s="47" t="str">
        <f>'Bottlenecks - Outcome'!D106</f>
        <v xml:space="preserve">Energy utilities often lack financial viability due to the failure to enforce hard budget constraints and the design and implementation of cost recovery policies. </v>
      </c>
      <c r="E103" s="47" t="s">
        <v>997</v>
      </c>
      <c r="F103" s="47" t="s">
        <v>450</v>
      </c>
      <c r="G103" s="47">
        <v>2019</v>
      </c>
      <c r="H103" s="47" t="s">
        <v>638</v>
      </c>
      <c r="I103" s="47" t="s">
        <v>266</v>
      </c>
    </row>
    <row r="104" spans="1:9" ht="160" hidden="1" x14ac:dyDescent="0.2">
      <c r="A104" s="47" t="str">
        <f>'Bottlenecks - Outcome'!A106</f>
        <v>Accelerating the Transition to Renewable Energy</v>
      </c>
      <c r="B104" s="47" t="str">
        <f>'Bottlenecks - Outcome'!B106</f>
        <v>4. Unsustainable fiscal situation of governments and organizations</v>
      </c>
      <c r="C104" s="47" t="str">
        <f>'Bottlenecks - Outcome'!C106</f>
        <v>4.5 Financial unviability of providers and utilities</v>
      </c>
      <c r="D104" s="47" t="str">
        <f>'Bottlenecks - Outcome'!D106</f>
        <v xml:space="preserve">Energy utilities often lack financial viability due to the failure to enforce hard budget constraints and the design and implementation of cost recovery policies. </v>
      </c>
      <c r="E104" s="47" t="s">
        <v>999</v>
      </c>
      <c r="F104" s="47" t="s">
        <v>456</v>
      </c>
      <c r="G104" s="47" t="s">
        <v>1000</v>
      </c>
      <c r="H104" s="47" t="s">
        <v>629</v>
      </c>
      <c r="I104" s="47" t="s">
        <v>266</v>
      </c>
    </row>
    <row r="105" spans="1:9" ht="208" hidden="1" x14ac:dyDescent="0.2">
      <c r="A105" s="47" t="str">
        <f>'Bottlenecks - Outcome'!A107</f>
        <v>Accelerating the Transition to Renewable Energy</v>
      </c>
      <c r="B105" s="47" t="str">
        <f>'Bottlenecks - Outcome'!B107</f>
        <v>5. Inadequate and inequitable resources mobilized and deployed for policy &amp; delivery</v>
      </c>
      <c r="C105" s="47" t="str">
        <f>'Bottlenecks - Outcome'!C107</f>
        <v>5.1 Limited or costly financing mobilized for investment and service delivery</v>
      </c>
      <c r="D105" s="47" t="str">
        <f>'Bottlenecks - Outcome'!D107</f>
        <v>The options for financing the transition to renewable energy are limited, with high domestic costs of capital further hindering private sector participation, especially in low-income countries.</v>
      </c>
      <c r="E105" s="47" t="s">
        <v>1001</v>
      </c>
      <c r="F105" s="47" t="s">
        <v>456</v>
      </c>
      <c r="G105" s="47" t="s">
        <v>1005</v>
      </c>
      <c r="H105" s="47" t="s">
        <v>1003</v>
      </c>
      <c r="I105" s="47" t="s">
        <v>266</v>
      </c>
    </row>
    <row r="106" spans="1:9" ht="160" hidden="1" x14ac:dyDescent="0.2">
      <c r="A106" s="47" t="str">
        <f>'Bottlenecks - Outcome'!A107</f>
        <v>Accelerating the Transition to Renewable Energy</v>
      </c>
      <c r="B106" s="47" t="str">
        <f>'Bottlenecks - Outcome'!B107</f>
        <v>5. Inadequate and inequitable resources mobilized and deployed for policy &amp; delivery</v>
      </c>
      <c r="C106" s="47" t="str">
        <f>'Bottlenecks - Outcome'!C107</f>
        <v>5.1 Limited or costly financing mobilized for investment and service delivery</v>
      </c>
      <c r="D106" s="47" t="str">
        <f>'Bottlenecks - Outcome'!D107</f>
        <v>The options for financing the transition to renewable energy are limited, with high domestic costs of capital further hindering private sector participation, especially in low-income countries.</v>
      </c>
      <c r="E106" s="47" t="s">
        <v>1002</v>
      </c>
      <c r="F106" s="47" t="s">
        <v>533</v>
      </c>
      <c r="G106" s="47">
        <v>2019</v>
      </c>
      <c r="H106" s="47" t="s">
        <v>631</v>
      </c>
      <c r="I106" s="47" t="s">
        <v>266</v>
      </c>
    </row>
    <row r="107" spans="1:9" ht="112" hidden="1" x14ac:dyDescent="0.2">
      <c r="A107" s="47" t="str">
        <f>'Bottlenecks - Outcome'!A108</f>
        <v>Accelerating the Transition to Renewable Energy</v>
      </c>
      <c r="B107" s="47" t="str">
        <f>'Bottlenecks - Outcome'!B108</f>
        <v>5. Inadequate and inequitable resources mobilized and deployed for policy &amp; delivery</v>
      </c>
      <c r="C107" s="47" t="str">
        <f>'Bottlenecks - Outcome'!C108</f>
        <v>5.2 Limited or costly financing mobilized for investment and service delivery</v>
      </c>
      <c r="D107" s="47" t="str">
        <f>'Bottlenecks - Outcome'!D108</f>
        <v>Fiscal constraints limit the scope for direct public investment, leaving dependence on tax incentives and concessional finance.</v>
      </c>
      <c r="E107" s="47" t="s">
        <v>1006</v>
      </c>
      <c r="F107" s="47" t="s">
        <v>932</v>
      </c>
      <c r="G107" s="47">
        <v>2023</v>
      </c>
      <c r="H107" s="47" t="s">
        <v>1004</v>
      </c>
      <c r="I107" s="47" t="s">
        <v>266</v>
      </c>
    </row>
    <row r="108" spans="1:9" ht="80" hidden="1" x14ac:dyDescent="0.2">
      <c r="A108" s="47" t="str">
        <f>'Bottlenecks - Outcome'!A111</f>
        <v>Accelerating the Transition to Renewable Energy</v>
      </c>
      <c r="B108" s="47" t="str">
        <f>'Bottlenecks - Outcome'!B111</f>
        <v>6. Unreliable, delayed and fragmented funding for delivery</v>
      </c>
      <c r="C108" s="47" t="str">
        <f>'Bottlenecks - Outcome'!C111</f>
        <v>6.1 Ad hoc, political and fragmented funding channels contribute to ineffective and inefficient delivery</v>
      </c>
      <c r="D108" s="47" t="s">
        <v>392</v>
      </c>
      <c r="E108" s="47" t="s">
        <v>632</v>
      </c>
      <c r="F108" s="47" t="s">
        <v>533</v>
      </c>
      <c r="G108" s="47">
        <v>2021</v>
      </c>
      <c r="H108" s="47" t="s">
        <v>633</v>
      </c>
      <c r="I108" s="47" t="s">
        <v>266</v>
      </c>
    </row>
    <row r="109" spans="1:9" ht="128" hidden="1" x14ac:dyDescent="0.2">
      <c r="A109" s="47" t="str">
        <f>'Bottlenecks - Outcome'!A108</f>
        <v>Accelerating the Transition to Renewable Energy</v>
      </c>
      <c r="B109" s="47" t="str">
        <f>'Bottlenecks - Outcome'!B108</f>
        <v>5. Inadequate and inequitable resources mobilized and deployed for policy &amp; delivery</v>
      </c>
      <c r="C109" s="47" t="str">
        <f>'Bottlenecks - Outcome'!C108</f>
        <v>5.2 Limited or costly financing mobilized for investment and service delivery</v>
      </c>
      <c r="D109" s="47" t="str">
        <f>'Bottlenecks - Outcome'!D108</f>
        <v>Fiscal constraints limit the scope for direct public investment, leaving dependence on tax incentives and concessional finance.</v>
      </c>
      <c r="E109" s="47" t="s">
        <v>1007</v>
      </c>
      <c r="F109" s="47" t="s">
        <v>912</v>
      </c>
      <c r="G109" s="47">
        <v>2022</v>
      </c>
      <c r="H109" s="47" t="s">
        <v>1008</v>
      </c>
      <c r="I109" s="47" t="s">
        <v>266</v>
      </c>
    </row>
    <row r="110" spans="1:9" ht="176" hidden="1" x14ac:dyDescent="0.2">
      <c r="A110" s="47" t="str">
        <f>'Bottlenecks - Outcome'!A112</f>
        <v>Accelerating the Transition to Renewable Energy</v>
      </c>
      <c r="B110" s="47" t="str">
        <f>'Bottlenecks - Outcome'!B112</f>
        <v xml:space="preserve">7. Inefficient deployment and management of resources and inputs </v>
      </c>
      <c r="C110" s="47" t="str">
        <f>'Bottlenecks - Outcome'!C112</f>
        <v>7.1 Resource deployment is inefficient overall due to high overheads and unbalanced allocations to delivery inputs and sectoral programs.</v>
      </c>
      <c r="D110" s="47" t="str">
        <f>'Bottlenecks - Outcome'!D112</f>
        <v>Resource mobilization and deploment is not informed by systems which model supply, demand, and costs, undermining effective decision-making.</v>
      </c>
      <c r="E110" s="47" t="s">
        <v>1009</v>
      </c>
      <c r="F110" s="47" t="s">
        <v>533</v>
      </c>
      <c r="G110" s="47" t="s">
        <v>1010</v>
      </c>
      <c r="H110" s="47" t="s">
        <v>634</v>
      </c>
      <c r="I110" s="47" t="s">
        <v>266</v>
      </c>
    </row>
    <row r="111" spans="1:9" ht="192" hidden="1" x14ac:dyDescent="0.2">
      <c r="A111" s="47" t="str">
        <f>'Bottlenecks - Outcome'!A113</f>
        <v>Accelerating the Transition to Renewable Energy</v>
      </c>
      <c r="B111" s="47" t="str">
        <f>'Bottlenecks - Outcome'!B113</f>
        <v>8. Management, oversight and accountability systems and institutions fail to encourage and enable performance as intended</v>
      </c>
      <c r="C111" s="47" t="str">
        <f>'Bottlenecks - Outcome'!C113</f>
        <v>8.1 Non-compliance and weak enforcement of regulatory, PFM and public sector management systems undermines performance and accountability</v>
      </c>
      <c r="D111" s="47" t="s">
        <v>396</v>
      </c>
      <c r="E111" s="47" t="s">
        <v>911</v>
      </c>
      <c r="F111" s="47" t="s">
        <v>912</v>
      </c>
      <c r="G111" s="47">
        <v>2022</v>
      </c>
      <c r="H111" s="47" t="s">
        <v>635</v>
      </c>
      <c r="I111" s="47" t="s">
        <v>266</v>
      </c>
    </row>
    <row r="112" spans="1:9" ht="174" hidden="1" customHeight="1" x14ac:dyDescent="0.2">
      <c r="A112" s="47" t="str">
        <f>'Bottlenecks - Outcome'!A114</f>
        <v>Accelerating the Transition to Renewable Energy</v>
      </c>
      <c r="B112" s="47" t="str">
        <f>'Bottlenecks - Outcome'!B114</f>
        <v>8. Management, oversight and accountability systems and institutions fail to encourage and enable performance as intended</v>
      </c>
      <c r="C112" s="47" t="str">
        <f>'Bottlenecks - Outcome'!C114</f>
        <v>8.2 Non-compliance and weak enforcement of regulatory, PFM and public sector management systems undermines performance and accountability</v>
      </c>
      <c r="D112" s="47" t="s">
        <v>397</v>
      </c>
      <c r="E112" s="47" t="s">
        <v>636</v>
      </c>
      <c r="F112" s="47" t="s">
        <v>912</v>
      </c>
      <c r="G112" s="47">
        <v>2022</v>
      </c>
      <c r="H112" s="47" t="s">
        <v>635</v>
      </c>
      <c r="I112" s="47" t="s">
        <v>266</v>
      </c>
    </row>
    <row r="113" spans="1:9" ht="174" hidden="1" customHeight="1" x14ac:dyDescent="0.2">
      <c r="A113" s="47" t="str">
        <f>'Bottlenecks - Outcome'!A115</f>
        <v>Accelerating the Transition to Renewable Energy</v>
      </c>
      <c r="B113" s="47" t="str">
        <f>'Bottlenecks - Outcome'!B115</f>
        <v>8. Management, oversight and accountability systems and institutions fail to encourage and enable performance as intended</v>
      </c>
      <c r="C113" s="47" t="str">
        <f>'Bottlenecks - Outcome'!C115</f>
        <v>8.4 Weaknesses in fiscal governance undermine public and private investment and action</v>
      </c>
      <c r="D113" s="47" t="str">
        <f>'Bottlenecks - Outcome'!D115</f>
        <v>Weaknesses in fiscal governance overall and by utilities undermines performance and deters the mobilization of external finance.</v>
      </c>
      <c r="E113" s="47" t="s">
        <v>1012</v>
      </c>
      <c r="F113" s="47" t="s">
        <v>533</v>
      </c>
      <c r="G113" s="47">
        <v>2021</v>
      </c>
      <c r="H113" s="47" t="s">
        <v>633</v>
      </c>
      <c r="I113" s="47" t="s">
        <v>266</v>
      </c>
    </row>
    <row r="114" spans="1:9" ht="64" hidden="1" x14ac:dyDescent="0.2">
      <c r="A114" s="47" t="str">
        <f>'Bottlenecks - Outcome'!A115</f>
        <v>Accelerating the Transition to Renewable Energy</v>
      </c>
      <c r="B114" s="47" t="str">
        <f>'Bottlenecks - Outcome'!B115</f>
        <v>8. Management, oversight and accountability systems and institutions fail to encourage and enable performance as intended</v>
      </c>
      <c r="C114" s="47" t="str">
        <f>'Bottlenecks - Outcome'!C115</f>
        <v>8.4 Weaknesses in fiscal governance undermine public and private investment and action</v>
      </c>
      <c r="D114" s="47" t="str">
        <f>'Bottlenecks - Outcome'!D115</f>
        <v>Weaknesses in fiscal governance overall and by utilities undermines performance and deters the mobilization of external finance.</v>
      </c>
      <c r="E114" s="47" t="s">
        <v>1011</v>
      </c>
      <c r="F114" s="47" t="s">
        <v>456</v>
      </c>
      <c r="G114" s="47">
        <v>2019</v>
      </c>
      <c r="H114" s="47" t="s">
        <v>629</v>
      </c>
      <c r="I114" s="47" t="s">
        <v>266</v>
      </c>
    </row>
    <row r="115" spans="1:9" ht="104.25" hidden="1" customHeight="1" x14ac:dyDescent="0.2">
      <c r="A115" s="47" t="str">
        <f>'Bottlenecks - Outcome'!A116</f>
        <v>Accelerating the Transition to Renewable Energy</v>
      </c>
      <c r="B115" s="47" t="str">
        <f>'Bottlenecks - Outcome'!B116</f>
        <v>9. Inadequate use of fragmented sector and financial data in decision making</v>
      </c>
      <c r="C115" s="47" t="str">
        <f>'Bottlenecks - Outcome'!C116</f>
        <v>9.2 Data systems have gaps and poor quality information, are fragmented and do not interoperate</v>
      </c>
      <c r="D115" s="47" t="s">
        <v>399</v>
      </c>
      <c r="E115" s="47" t="s">
        <v>637</v>
      </c>
      <c r="F115" s="47" t="s">
        <v>450</v>
      </c>
      <c r="G115" s="47">
        <v>2019</v>
      </c>
      <c r="H115" s="47" t="s">
        <v>638</v>
      </c>
      <c r="I115" s="47" t="s">
        <v>266</v>
      </c>
    </row>
    <row r="116" spans="1:9" ht="128" hidden="1" x14ac:dyDescent="0.2">
      <c r="A116" s="52" t="s">
        <v>1070</v>
      </c>
      <c r="B116" s="47" t="str">
        <f>'Bottlenecks - Outcome'!B10</f>
        <v>4. Unsustainable fiscal situation of governments and organizations</v>
      </c>
      <c r="C116" s="47" t="str">
        <f>'Bottlenecks - Outcome'!C10</f>
        <v>4.2 Biased or inaccurate fiscal forecasting and unpredictable, volatile resource flows result in budgets being under-funded</v>
      </c>
      <c r="D116" s="47" t="s">
        <v>1031</v>
      </c>
      <c r="E116" s="47" t="s">
        <v>1071</v>
      </c>
      <c r="F116" s="47" t="s">
        <v>1072</v>
      </c>
      <c r="G116" s="47" t="s">
        <v>1074</v>
      </c>
      <c r="H116" s="47" t="s">
        <v>1073</v>
      </c>
    </row>
    <row r="117" spans="1:9" hidden="1" x14ac:dyDescent="0.2">
      <c r="A117" s="46"/>
      <c r="B117" s="46"/>
      <c r="C117" s="46"/>
      <c r="D117" s="48"/>
      <c r="E117" s="48"/>
      <c r="F117" s="48"/>
      <c r="G117" s="48"/>
      <c r="H117" s="48"/>
      <c r="I117" s="48"/>
    </row>
    <row r="118" spans="1:9" hidden="1" x14ac:dyDescent="0.2">
      <c r="A118" s="46"/>
      <c r="B118" s="46"/>
      <c r="C118" s="46"/>
      <c r="D118" s="48"/>
      <c r="E118" s="48"/>
      <c r="F118" s="48"/>
      <c r="G118" s="48"/>
      <c r="H118" s="48"/>
      <c r="I118" s="48"/>
    </row>
    <row r="119" spans="1:9" hidden="1" x14ac:dyDescent="0.2">
      <c r="A119" s="46"/>
      <c r="B119" s="46"/>
      <c r="C119" s="46"/>
      <c r="D119" s="48"/>
      <c r="E119" s="48"/>
      <c r="F119" s="48"/>
      <c r="G119" s="48"/>
      <c r="H119" s="48"/>
      <c r="I119" s="48"/>
    </row>
    <row r="120" spans="1:9" hidden="1" x14ac:dyDescent="0.2">
      <c r="A120" s="46"/>
      <c r="B120" s="46"/>
      <c r="C120" s="46"/>
      <c r="D120" s="48"/>
      <c r="E120" s="48"/>
      <c r="F120" s="48"/>
      <c r="G120" s="48"/>
      <c r="H120" s="48"/>
      <c r="I120" s="48"/>
    </row>
    <row r="121" spans="1:9" hidden="1" x14ac:dyDescent="0.2">
      <c r="A121" s="46"/>
      <c r="B121" s="46"/>
      <c r="C121" s="46"/>
      <c r="D121" s="48"/>
      <c r="E121" s="48"/>
      <c r="F121" s="48"/>
      <c r="G121" s="48"/>
      <c r="H121" s="48"/>
      <c r="I121" s="48"/>
    </row>
    <row r="122" spans="1:9" hidden="1" x14ac:dyDescent="0.2">
      <c r="A122" s="46"/>
      <c r="B122" s="46"/>
      <c r="C122" s="46"/>
      <c r="D122" s="48"/>
      <c r="E122" s="48"/>
      <c r="F122" s="48"/>
      <c r="G122" s="48"/>
      <c r="H122" s="48"/>
      <c r="I122" s="48"/>
    </row>
    <row r="123" spans="1:9" hidden="1" x14ac:dyDescent="0.2">
      <c r="A123" s="46"/>
      <c r="B123" s="46"/>
      <c r="C123" s="46"/>
      <c r="D123" s="48"/>
      <c r="E123" s="48"/>
      <c r="F123" s="48"/>
      <c r="G123" s="48"/>
      <c r="H123" s="48"/>
      <c r="I123" s="48"/>
    </row>
    <row r="124" spans="1:9" hidden="1" x14ac:dyDescent="0.2">
      <c r="A124" s="46"/>
      <c r="B124" s="46"/>
      <c r="C124" s="46"/>
      <c r="D124" s="48"/>
      <c r="E124" s="48"/>
      <c r="F124" s="48"/>
      <c r="G124" s="48"/>
      <c r="H124" s="48"/>
      <c r="I124" s="48"/>
    </row>
    <row r="125" spans="1:9" hidden="1" x14ac:dyDescent="0.2">
      <c r="A125" s="46"/>
      <c r="B125" s="46"/>
      <c r="C125" s="46"/>
      <c r="D125" s="48"/>
      <c r="E125" s="48"/>
      <c r="F125" s="48"/>
      <c r="G125" s="48"/>
      <c r="H125" s="48"/>
      <c r="I125" s="48"/>
    </row>
    <row r="126" spans="1:9" hidden="1" x14ac:dyDescent="0.2">
      <c r="A126" s="46"/>
      <c r="B126" s="46"/>
      <c r="C126" s="46"/>
      <c r="D126" s="48"/>
      <c r="E126" s="48"/>
      <c r="F126" s="48"/>
      <c r="G126" s="48"/>
      <c r="H126" s="48"/>
      <c r="I126" s="48"/>
    </row>
    <row r="127" spans="1:9" hidden="1" x14ac:dyDescent="0.2">
      <c r="A127" s="46"/>
      <c r="B127" s="46"/>
      <c r="C127" s="46"/>
      <c r="D127" s="48"/>
      <c r="E127" s="48"/>
      <c r="F127" s="48"/>
      <c r="G127" s="48"/>
      <c r="H127" s="48"/>
      <c r="I127" s="48"/>
    </row>
    <row r="128" spans="1:9" hidden="1" x14ac:dyDescent="0.2">
      <c r="A128" s="46"/>
      <c r="B128" s="46"/>
      <c r="C128" s="46"/>
      <c r="D128" s="48"/>
      <c r="E128" s="48"/>
      <c r="F128" s="48"/>
      <c r="G128" s="48"/>
      <c r="H128" s="48"/>
      <c r="I128" s="48"/>
    </row>
    <row r="129" spans="1:9" hidden="1" x14ac:dyDescent="0.2">
      <c r="A129" s="46"/>
      <c r="B129" s="46"/>
      <c r="C129" s="46"/>
      <c r="D129" s="48"/>
      <c r="E129" s="48"/>
      <c r="F129" s="48"/>
      <c r="G129" s="48"/>
      <c r="H129" s="48"/>
      <c r="I129" s="48"/>
    </row>
    <row r="130" spans="1:9" hidden="1" x14ac:dyDescent="0.2">
      <c r="A130" s="46"/>
      <c r="B130" s="46"/>
      <c r="C130" s="46"/>
      <c r="D130" s="48"/>
      <c r="E130" s="48"/>
      <c r="F130" s="48"/>
      <c r="G130" s="48"/>
      <c r="H130" s="48"/>
      <c r="I130" s="48"/>
    </row>
    <row r="131" spans="1:9" hidden="1" x14ac:dyDescent="0.2">
      <c r="A131" s="46"/>
      <c r="B131" s="46"/>
      <c r="C131" s="46"/>
      <c r="D131" s="48"/>
      <c r="E131" s="48"/>
      <c r="F131" s="48"/>
      <c r="G131" s="48"/>
      <c r="H131" s="48"/>
      <c r="I131" s="48"/>
    </row>
    <row r="132" spans="1:9" hidden="1" x14ac:dyDescent="0.2">
      <c r="A132" s="46"/>
      <c r="B132" s="46"/>
      <c r="C132" s="46"/>
      <c r="D132" s="48"/>
      <c r="E132" s="48"/>
      <c r="F132" s="48"/>
      <c r="G132" s="48"/>
      <c r="H132" s="48"/>
      <c r="I132" s="48"/>
    </row>
    <row r="133" spans="1:9" hidden="1" x14ac:dyDescent="0.2">
      <c r="A133" s="46"/>
      <c r="B133" s="46"/>
      <c r="C133" s="46"/>
      <c r="D133" s="48"/>
      <c r="E133" s="48"/>
      <c r="F133" s="48"/>
      <c r="G133" s="48"/>
      <c r="H133" s="48"/>
      <c r="I133" s="48"/>
    </row>
    <row r="134" spans="1:9" hidden="1" x14ac:dyDescent="0.2">
      <c r="A134" s="46"/>
      <c r="B134" s="46"/>
      <c r="C134" s="46"/>
      <c r="D134" s="48"/>
      <c r="E134" s="48"/>
      <c r="F134" s="48"/>
      <c r="G134" s="48"/>
      <c r="H134" s="48"/>
      <c r="I134" s="48"/>
    </row>
    <row r="135" spans="1:9" hidden="1" x14ac:dyDescent="0.2">
      <c r="A135" s="46"/>
      <c r="B135" s="46"/>
      <c r="C135" s="46"/>
      <c r="D135" s="48"/>
      <c r="E135" s="48"/>
      <c r="F135" s="48"/>
      <c r="G135" s="48"/>
      <c r="H135" s="48"/>
      <c r="I135" s="48"/>
    </row>
    <row r="136" spans="1:9" hidden="1" x14ac:dyDescent="0.2">
      <c r="A136" s="46"/>
      <c r="B136" s="46"/>
      <c r="C136" s="46"/>
      <c r="D136" s="48"/>
      <c r="E136" s="48"/>
      <c r="F136" s="48"/>
      <c r="G136" s="48"/>
      <c r="H136" s="48"/>
      <c r="I136" s="48"/>
    </row>
    <row r="137" spans="1:9" hidden="1" x14ac:dyDescent="0.2">
      <c r="A137" s="46"/>
      <c r="B137" s="46"/>
      <c r="C137" s="46"/>
      <c r="D137" s="48"/>
      <c r="E137" s="48"/>
      <c r="F137" s="48"/>
      <c r="G137" s="48"/>
      <c r="H137" s="48"/>
      <c r="I137" s="48"/>
    </row>
    <row r="138" spans="1:9" hidden="1" x14ac:dyDescent="0.2">
      <c r="A138" s="46"/>
      <c r="B138" s="46"/>
      <c r="C138" s="46"/>
      <c r="D138" s="48"/>
      <c r="E138" s="48"/>
      <c r="F138" s="48"/>
      <c r="G138" s="48"/>
      <c r="H138" s="48"/>
      <c r="I138" s="48"/>
    </row>
    <row r="139" spans="1:9" hidden="1" x14ac:dyDescent="0.2">
      <c r="A139" s="46"/>
      <c r="B139" s="46"/>
      <c r="C139" s="46"/>
      <c r="D139" s="48"/>
      <c r="E139" s="48"/>
      <c r="F139" s="48"/>
      <c r="G139" s="48"/>
      <c r="H139" s="48"/>
      <c r="I139" s="48"/>
    </row>
    <row r="140" spans="1:9" hidden="1" x14ac:dyDescent="0.2">
      <c r="A140" s="46"/>
      <c r="B140" s="46"/>
      <c r="C140" s="46"/>
      <c r="D140" s="48"/>
      <c r="E140" s="48"/>
      <c r="F140" s="48"/>
      <c r="G140" s="48"/>
      <c r="H140" s="48"/>
      <c r="I140" s="48"/>
    </row>
    <row r="141" spans="1:9" hidden="1" x14ac:dyDescent="0.2">
      <c r="A141" s="46"/>
      <c r="B141" s="46"/>
      <c r="C141" s="46"/>
      <c r="D141" s="48"/>
      <c r="E141" s="48"/>
      <c r="F141" s="48"/>
      <c r="G141" s="48"/>
      <c r="H141" s="48"/>
      <c r="I141" s="48"/>
    </row>
    <row r="142" spans="1:9" hidden="1" x14ac:dyDescent="0.2">
      <c r="A142" s="46"/>
      <c r="B142" s="46"/>
      <c r="C142" s="46"/>
      <c r="D142" s="48"/>
      <c r="E142" s="48"/>
      <c r="F142" s="48"/>
      <c r="G142" s="48"/>
      <c r="H142" s="48"/>
      <c r="I142" s="48"/>
    </row>
    <row r="143" spans="1:9" hidden="1" x14ac:dyDescent="0.2">
      <c r="A143" s="46"/>
      <c r="B143" s="46"/>
      <c r="C143" s="46"/>
      <c r="D143" s="48"/>
      <c r="E143" s="48"/>
      <c r="F143" s="48"/>
      <c r="G143" s="48"/>
      <c r="H143" s="48"/>
      <c r="I143" s="48"/>
    </row>
    <row r="144" spans="1:9" hidden="1" x14ac:dyDescent="0.2">
      <c r="A144" s="46"/>
      <c r="B144" s="46"/>
      <c r="C144" s="46"/>
      <c r="D144" s="48"/>
      <c r="E144" s="48"/>
      <c r="F144" s="48"/>
      <c r="G144" s="48"/>
      <c r="H144" s="48"/>
      <c r="I144" s="48"/>
    </row>
    <row r="145" spans="1:9" hidden="1" x14ac:dyDescent="0.2">
      <c r="A145" s="46"/>
      <c r="B145" s="46"/>
      <c r="C145" s="46"/>
      <c r="D145" s="48"/>
      <c r="E145" s="48"/>
      <c r="F145" s="48"/>
      <c r="G145" s="48"/>
      <c r="H145" s="48"/>
      <c r="I145" s="48"/>
    </row>
    <row r="146" spans="1:9" hidden="1" x14ac:dyDescent="0.2">
      <c r="A146" s="46"/>
      <c r="B146" s="46"/>
      <c r="C146" s="46"/>
      <c r="D146" s="48"/>
      <c r="E146" s="48"/>
      <c r="F146" s="48"/>
      <c r="G146" s="48"/>
      <c r="H146" s="48"/>
      <c r="I146" s="48"/>
    </row>
    <row r="147" spans="1:9" hidden="1" x14ac:dyDescent="0.2">
      <c r="A147" s="46"/>
      <c r="B147" s="46"/>
      <c r="C147" s="46"/>
      <c r="D147" s="48"/>
      <c r="E147" s="48"/>
      <c r="F147" s="48"/>
      <c r="G147" s="48"/>
      <c r="H147" s="48"/>
      <c r="I147" s="48"/>
    </row>
    <row r="148" spans="1:9" hidden="1" x14ac:dyDescent="0.2">
      <c r="A148" s="46"/>
      <c r="B148" s="46"/>
      <c r="C148" s="46"/>
      <c r="D148" s="48"/>
      <c r="E148" s="48"/>
      <c r="F148" s="48"/>
      <c r="G148" s="48"/>
      <c r="H148" s="48"/>
      <c r="I148" s="48"/>
    </row>
    <row r="149" spans="1:9" hidden="1" x14ac:dyDescent="0.2">
      <c r="A149" s="46"/>
      <c r="B149" s="46"/>
      <c r="C149" s="46"/>
      <c r="D149" s="48"/>
      <c r="E149" s="48"/>
      <c r="F149" s="48"/>
      <c r="G149" s="48"/>
      <c r="H149" s="48"/>
      <c r="I149" s="48"/>
    </row>
    <row r="150" spans="1:9" hidden="1" x14ac:dyDescent="0.2">
      <c r="A150" s="46"/>
      <c r="B150" s="46"/>
      <c r="C150" s="46"/>
      <c r="D150" s="48"/>
      <c r="E150" s="48"/>
      <c r="F150" s="48"/>
      <c r="G150" s="48"/>
      <c r="H150" s="48"/>
      <c r="I150" s="48"/>
    </row>
    <row r="151" spans="1:9" hidden="1" x14ac:dyDescent="0.2">
      <c r="A151" s="46"/>
      <c r="B151" s="46"/>
      <c r="C151" s="46"/>
      <c r="D151" s="48"/>
      <c r="E151" s="48"/>
      <c r="F151" s="48"/>
      <c r="G151" s="48"/>
      <c r="H151" s="48"/>
      <c r="I151" s="48"/>
    </row>
    <row r="152" spans="1:9" hidden="1" x14ac:dyDescent="0.2">
      <c r="A152" s="46"/>
      <c r="B152" s="46"/>
      <c r="C152" s="46"/>
      <c r="D152" s="48"/>
      <c r="E152" s="48"/>
      <c r="F152" s="48"/>
      <c r="G152" s="48"/>
      <c r="H152" s="48"/>
      <c r="I152" s="48"/>
    </row>
    <row r="153" spans="1:9" hidden="1" x14ac:dyDescent="0.2">
      <c r="A153" s="46"/>
      <c r="B153" s="46"/>
      <c r="C153" s="46"/>
      <c r="D153" s="48"/>
      <c r="E153" s="48"/>
      <c r="F153" s="48"/>
      <c r="G153" s="48"/>
      <c r="H153" s="48"/>
      <c r="I153" s="48"/>
    </row>
    <row r="154" spans="1:9" hidden="1" x14ac:dyDescent="0.2">
      <c r="A154" s="46"/>
      <c r="B154" s="46"/>
      <c r="C154" s="46"/>
      <c r="D154" s="48"/>
      <c r="E154" s="48"/>
      <c r="F154" s="48"/>
      <c r="G154" s="48"/>
      <c r="H154" s="48"/>
      <c r="I154" s="48"/>
    </row>
    <row r="155" spans="1:9" hidden="1" x14ac:dyDescent="0.2">
      <c r="A155" s="46"/>
      <c r="B155" s="46"/>
      <c r="C155" s="46"/>
      <c r="D155" s="48"/>
      <c r="E155" s="48"/>
      <c r="F155" s="48"/>
      <c r="G155" s="48"/>
      <c r="H155" s="48"/>
      <c r="I155" s="48"/>
    </row>
    <row r="156" spans="1:9" hidden="1" x14ac:dyDescent="0.2">
      <c r="A156" s="46"/>
      <c r="B156" s="46"/>
      <c r="C156" s="46"/>
      <c r="D156" s="48"/>
      <c r="E156" s="48"/>
      <c r="F156" s="48"/>
      <c r="G156" s="48"/>
      <c r="H156" s="48"/>
      <c r="I156" s="48"/>
    </row>
    <row r="157" spans="1:9" hidden="1" x14ac:dyDescent="0.2">
      <c r="A157" s="46"/>
      <c r="B157" s="46"/>
      <c r="C157" s="46"/>
      <c r="D157" s="48"/>
      <c r="E157" s="48"/>
      <c r="F157" s="48"/>
      <c r="G157" s="48"/>
      <c r="H157" s="48"/>
      <c r="I157" s="48"/>
    </row>
    <row r="158" spans="1:9" hidden="1" x14ac:dyDescent="0.2">
      <c r="A158" s="46"/>
      <c r="B158" s="46"/>
      <c r="C158" s="46"/>
      <c r="D158" s="48"/>
      <c r="E158" s="48"/>
      <c r="F158" s="48"/>
      <c r="G158" s="48"/>
      <c r="H158" s="48"/>
      <c r="I158" s="48"/>
    </row>
    <row r="159" spans="1:9" hidden="1" x14ac:dyDescent="0.2">
      <c r="A159" s="46"/>
      <c r="B159" s="46"/>
      <c r="C159" s="46"/>
      <c r="D159" s="48"/>
      <c r="E159" s="48"/>
      <c r="F159" s="48"/>
      <c r="G159" s="48"/>
      <c r="H159" s="48"/>
      <c r="I159" s="48"/>
    </row>
    <row r="160" spans="1:9" hidden="1" x14ac:dyDescent="0.2">
      <c r="A160" s="46"/>
      <c r="B160" s="46"/>
      <c r="C160" s="46"/>
      <c r="D160" s="48"/>
      <c r="E160" s="48"/>
      <c r="F160" s="48"/>
      <c r="G160" s="48"/>
      <c r="H160" s="48"/>
      <c r="I160" s="48"/>
    </row>
    <row r="161" spans="1:9" hidden="1" x14ac:dyDescent="0.2">
      <c r="A161" s="46"/>
      <c r="B161" s="46"/>
      <c r="C161" s="46"/>
      <c r="D161" s="48"/>
      <c r="E161" s="48"/>
      <c r="F161" s="48"/>
      <c r="G161" s="48"/>
      <c r="H161" s="48"/>
      <c r="I161" s="48"/>
    </row>
    <row r="162" spans="1:9" hidden="1" x14ac:dyDescent="0.2">
      <c r="A162" s="46"/>
      <c r="B162" s="46"/>
      <c r="C162" s="46"/>
      <c r="D162" s="48"/>
      <c r="E162" s="48"/>
      <c r="F162" s="48"/>
      <c r="G162" s="48"/>
      <c r="H162" s="48"/>
      <c r="I162" s="48"/>
    </row>
    <row r="163" spans="1:9" hidden="1" x14ac:dyDescent="0.2">
      <c r="A163" s="46"/>
      <c r="B163" s="46"/>
      <c r="C163" s="46"/>
      <c r="D163" s="48"/>
      <c r="E163" s="48"/>
      <c r="F163" s="48"/>
      <c r="G163" s="48"/>
      <c r="H163" s="48"/>
      <c r="I163" s="48"/>
    </row>
    <row r="164" spans="1:9" hidden="1" x14ac:dyDescent="0.2">
      <c r="A164" s="46"/>
      <c r="B164" s="46"/>
      <c r="C164" s="46"/>
      <c r="D164" s="48"/>
      <c r="E164" s="48"/>
      <c r="F164" s="48"/>
      <c r="G164" s="48"/>
      <c r="H164" s="48"/>
      <c r="I164" s="48"/>
    </row>
    <row r="165" spans="1:9" hidden="1" x14ac:dyDescent="0.2">
      <c r="A165" s="46"/>
      <c r="B165" s="46"/>
      <c r="C165" s="46"/>
      <c r="D165" s="48"/>
      <c r="E165" s="48"/>
      <c r="F165" s="48"/>
      <c r="G165" s="48"/>
      <c r="H165" s="48"/>
      <c r="I165" s="48"/>
    </row>
    <row r="166" spans="1:9" hidden="1" x14ac:dyDescent="0.2">
      <c r="A166" s="46"/>
      <c r="B166" s="46"/>
      <c r="C166" s="46"/>
      <c r="D166" s="48"/>
      <c r="E166" s="48"/>
      <c r="F166" s="48"/>
      <c r="G166" s="48"/>
      <c r="H166" s="48"/>
      <c r="I166" s="48"/>
    </row>
    <row r="167" spans="1:9" hidden="1" x14ac:dyDescent="0.2">
      <c r="A167" s="46"/>
      <c r="B167" s="46"/>
      <c r="C167" s="46"/>
      <c r="D167" s="48"/>
      <c r="E167" s="48"/>
      <c r="F167" s="48"/>
      <c r="G167" s="48"/>
      <c r="H167" s="48"/>
      <c r="I167" s="48"/>
    </row>
    <row r="168" spans="1:9" hidden="1" x14ac:dyDescent="0.2">
      <c r="A168" s="46"/>
      <c r="B168" s="46"/>
      <c r="C168" s="46"/>
      <c r="D168" s="48"/>
      <c r="E168" s="48"/>
      <c r="F168" s="48"/>
      <c r="G168" s="48"/>
      <c r="H168" s="48"/>
      <c r="I168" s="48"/>
    </row>
    <row r="169" spans="1:9" hidden="1" x14ac:dyDescent="0.2">
      <c r="A169" s="46"/>
      <c r="B169" s="46"/>
      <c r="C169" s="46"/>
      <c r="D169" s="48"/>
      <c r="E169" s="48"/>
      <c r="F169" s="48"/>
      <c r="G169" s="48"/>
      <c r="H169" s="48"/>
      <c r="I169" s="48"/>
    </row>
    <row r="170" spans="1:9" hidden="1" x14ac:dyDescent="0.2">
      <c r="A170" s="46"/>
      <c r="B170" s="46"/>
      <c r="C170" s="46"/>
      <c r="D170" s="48"/>
      <c r="E170" s="48"/>
      <c r="F170" s="48"/>
      <c r="G170" s="48"/>
      <c r="H170" s="48"/>
      <c r="I170" s="48"/>
    </row>
    <row r="171" spans="1:9" hidden="1" x14ac:dyDescent="0.2">
      <c r="A171" s="46"/>
      <c r="B171" s="46"/>
      <c r="C171" s="46"/>
      <c r="D171" s="48"/>
      <c r="E171" s="48"/>
      <c r="F171" s="48"/>
      <c r="G171" s="48"/>
      <c r="H171" s="48"/>
      <c r="I171" s="48"/>
    </row>
    <row r="172" spans="1:9" hidden="1" x14ac:dyDescent="0.2">
      <c r="A172" s="46"/>
      <c r="B172" s="46"/>
      <c r="C172" s="46"/>
      <c r="D172" s="48"/>
      <c r="E172" s="48"/>
      <c r="F172" s="48"/>
      <c r="G172" s="48"/>
      <c r="H172" s="48"/>
      <c r="I172" s="48"/>
    </row>
    <row r="173" spans="1:9" hidden="1" x14ac:dyDescent="0.2">
      <c r="A173" s="46"/>
      <c r="B173" s="46"/>
      <c r="C173" s="46"/>
      <c r="D173" s="48"/>
      <c r="E173" s="48"/>
      <c r="F173" s="48"/>
      <c r="G173" s="48"/>
      <c r="H173" s="48"/>
      <c r="I173" s="48"/>
    </row>
    <row r="174" spans="1:9" hidden="1" x14ac:dyDescent="0.2">
      <c r="A174" s="46"/>
      <c r="B174" s="46"/>
      <c r="C174" s="46"/>
      <c r="D174" s="48"/>
      <c r="E174" s="48"/>
      <c r="F174" s="48"/>
      <c r="G174" s="48"/>
      <c r="H174" s="48"/>
      <c r="I174" s="48"/>
    </row>
    <row r="175" spans="1:9" hidden="1" x14ac:dyDescent="0.2">
      <c r="A175" s="46"/>
      <c r="B175" s="46"/>
      <c r="C175" s="46"/>
      <c r="D175" s="48"/>
      <c r="E175" s="48"/>
      <c r="F175" s="48"/>
      <c r="G175" s="48"/>
      <c r="H175" s="48"/>
      <c r="I175" s="48"/>
    </row>
    <row r="176" spans="1:9" hidden="1" x14ac:dyDescent="0.2">
      <c r="A176" s="46"/>
      <c r="B176" s="46"/>
      <c r="C176" s="46"/>
      <c r="D176" s="48"/>
      <c r="E176" s="48"/>
      <c r="F176" s="48"/>
      <c r="G176" s="48"/>
      <c r="H176" s="48"/>
      <c r="I176" s="48"/>
    </row>
    <row r="177" spans="1:9" hidden="1" x14ac:dyDescent="0.2">
      <c r="A177" s="46"/>
      <c r="B177" s="46"/>
      <c r="C177" s="46"/>
      <c r="D177" s="48"/>
      <c r="E177" s="48"/>
      <c r="F177" s="48"/>
      <c r="G177" s="48"/>
      <c r="H177" s="48"/>
      <c r="I177" s="48"/>
    </row>
    <row r="178" spans="1:9" hidden="1" x14ac:dyDescent="0.2">
      <c r="A178" s="46"/>
      <c r="B178" s="46"/>
      <c r="C178" s="46"/>
      <c r="D178" s="48"/>
      <c r="E178" s="48"/>
      <c r="F178" s="48"/>
      <c r="G178" s="48"/>
      <c r="H178" s="48"/>
      <c r="I178" s="48"/>
    </row>
    <row r="179" spans="1:9" hidden="1" x14ac:dyDescent="0.2">
      <c r="A179" s="46"/>
      <c r="B179" s="46"/>
      <c r="C179" s="46"/>
      <c r="D179" s="48"/>
      <c r="E179" s="48"/>
      <c r="F179" s="48"/>
      <c r="G179" s="48"/>
      <c r="H179" s="48"/>
      <c r="I179" s="48"/>
    </row>
    <row r="180" spans="1:9" hidden="1" x14ac:dyDescent="0.2">
      <c r="A180" s="46"/>
      <c r="B180" s="46"/>
      <c r="C180" s="46"/>
      <c r="D180" s="48"/>
      <c r="E180" s="48"/>
      <c r="F180" s="48"/>
      <c r="G180" s="48"/>
      <c r="H180" s="48"/>
      <c r="I180" s="48"/>
    </row>
    <row r="181" spans="1:9" hidden="1" x14ac:dyDescent="0.2">
      <c r="A181" s="46"/>
      <c r="B181" s="46"/>
      <c r="C181" s="46"/>
      <c r="D181" s="48"/>
      <c r="E181" s="48"/>
      <c r="F181" s="48"/>
      <c r="G181" s="48"/>
      <c r="H181" s="48"/>
      <c r="I181" s="48"/>
    </row>
    <row r="182" spans="1:9" hidden="1" x14ac:dyDescent="0.2">
      <c r="A182" s="46"/>
      <c r="B182" s="46"/>
      <c r="C182" s="46"/>
      <c r="D182" s="48"/>
      <c r="E182" s="48"/>
      <c r="F182" s="48"/>
      <c r="G182" s="48"/>
      <c r="H182" s="48"/>
      <c r="I182" s="48"/>
    </row>
    <row r="183" spans="1:9" hidden="1" x14ac:dyDescent="0.2">
      <c r="A183" s="46"/>
      <c r="B183" s="46"/>
      <c r="C183" s="46"/>
      <c r="D183" s="48"/>
      <c r="E183" s="48"/>
      <c r="F183" s="48"/>
      <c r="G183" s="48"/>
      <c r="H183" s="48"/>
      <c r="I183" s="48"/>
    </row>
    <row r="184" spans="1:9" hidden="1" x14ac:dyDescent="0.2">
      <c r="A184" s="46"/>
      <c r="B184" s="46"/>
      <c r="C184" s="46"/>
      <c r="D184" s="48"/>
      <c r="E184" s="48"/>
      <c r="F184" s="48"/>
      <c r="G184" s="48"/>
      <c r="H184" s="48"/>
      <c r="I184" s="48"/>
    </row>
    <row r="185" spans="1:9" hidden="1" x14ac:dyDescent="0.2">
      <c r="A185" s="46"/>
      <c r="B185" s="46"/>
      <c r="C185" s="46"/>
      <c r="D185" s="48"/>
      <c r="E185" s="48"/>
      <c r="F185" s="48"/>
      <c r="G185" s="48"/>
      <c r="H185" s="48"/>
      <c r="I185" s="48"/>
    </row>
    <row r="186" spans="1:9" hidden="1" x14ac:dyDescent="0.2">
      <c r="A186" s="46"/>
      <c r="B186" s="46"/>
      <c r="C186" s="46"/>
      <c r="D186" s="48"/>
      <c r="E186" s="48"/>
      <c r="F186" s="48"/>
      <c r="G186" s="48"/>
      <c r="H186" s="48"/>
      <c r="I186" s="48"/>
    </row>
    <row r="187" spans="1:9" hidden="1" x14ac:dyDescent="0.2">
      <c r="A187" s="46"/>
      <c r="B187" s="46"/>
      <c r="C187" s="46"/>
      <c r="D187" s="48"/>
      <c r="E187" s="48"/>
      <c r="F187" s="48"/>
      <c r="G187" s="48"/>
      <c r="H187" s="48"/>
      <c r="I187" s="48"/>
    </row>
    <row r="188" spans="1:9" hidden="1" x14ac:dyDescent="0.2">
      <c r="A188" s="46"/>
      <c r="B188" s="46"/>
      <c r="C188" s="46"/>
      <c r="D188" s="48"/>
      <c r="E188" s="48"/>
      <c r="F188" s="48"/>
      <c r="G188" s="48"/>
      <c r="H188" s="48"/>
      <c r="I188" s="48"/>
    </row>
    <row r="189" spans="1:9" hidden="1" x14ac:dyDescent="0.2">
      <c r="A189" s="46"/>
      <c r="B189" s="46"/>
      <c r="C189" s="46"/>
      <c r="D189" s="48"/>
      <c r="E189" s="48"/>
      <c r="F189" s="48"/>
      <c r="G189" s="48"/>
      <c r="H189" s="48"/>
      <c r="I189" s="48"/>
    </row>
    <row r="190" spans="1:9" hidden="1" x14ac:dyDescent="0.2">
      <c r="A190" s="46"/>
      <c r="B190" s="46"/>
      <c r="C190" s="46"/>
      <c r="D190" s="48"/>
      <c r="E190" s="48"/>
      <c r="F190" s="48"/>
      <c r="G190" s="48"/>
      <c r="H190" s="48"/>
      <c r="I190" s="48"/>
    </row>
    <row r="191" spans="1:9" hidden="1" x14ac:dyDescent="0.2">
      <c r="A191" s="46"/>
      <c r="B191" s="46"/>
      <c r="C191" s="46"/>
      <c r="D191" s="48"/>
      <c r="E191" s="48"/>
      <c r="F191" s="48"/>
      <c r="G191" s="48"/>
      <c r="H191" s="48"/>
      <c r="I191" s="48"/>
    </row>
    <row r="192" spans="1:9" hidden="1" x14ac:dyDescent="0.2">
      <c r="A192" s="46"/>
      <c r="B192" s="46"/>
      <c r="C192" s="46"/>
      <c r="D192" s="48"/>
      <c r="E192" s="48"/>
      <c r="F192" s="48"/>
      <c r="G192" s="48"/>
      <c r="H192" s="48"/>
      <c r="I192" s="48"/>
    </row>
    <row r="193" spans="1:9" hidden="1" x14ac:dyDescent="0.2">
      <c r="A193" s="46"/>
      <c r="B193" s="46"/>
      <c r="C193" s="46"/>
      <c r="D193" s="48"/>
      <c r="E193" s="48"/>
      <c r="F193" s="48"/>
      <c r="G193" s="48"/>
      <c r="H193" s="48"/>
      <c r="I193" s="48"/>
    </row>
    <row r="194" spans="1:9" hidden="1" x14ac:dyDescent="0.2">
      <c r="A194" s="46"/>
      <c r="B194" s="46"/>
      <c r="C194" s="46"/>
      <c r="D194" s="48"/>
      <c r="E194" s="48"/>
      <c r="F194" s="48"/>
      <c r="G194" s="48"/>
      <c r="H194" s="48"/>
      <c r="I194" s="48"/>
    </row>
    <row r="195" spans="1:9" hidden="1" x14ac:dyDescent="0.2">
      <c r="A195" s="46"/>
      <c r="B195" s="46"/>
      <c r="C195" s="46"/>
      <c r="D195" s="48"/>
      <c r="E195" s="48"/>
      <c r="F195" s="48"/>
      <c r="G195" s="48"/>
      <c r="H195" s="48"/>
      <c r="I195" s="48"/>
    </row>
    <row r="196" spans="1:9" hidden="1" x14ac:dyDescent="0.2">
      <c r="A196" s="46"/>
      <c r="B196" s="46"/>
      <c r="C196" s="46"/>
      <c r="D196" s="48"/>
      <c r="E196" s="48"/>
      <c r="F196" s="48"/>
      <c r="G196" s="48"/>
      <c r="H196" s="48"/>
      <c r="I196" s="48"/>
    </row>
    <row r="197" spans="1:9" hidden="1" x14ac:dyDescent="0.2">
      <c r="A197" s="46"/>
      <c r="B197" s="46"/>
      <c r="C197" s="46"/>
      <c r="D197" s="48"/>
      <c r="E197" s="48"/>
      <c r="F197" s="48"/>
      <c r="G197" s="48"/>
      <c r="H197" s="48"/>
      <c r="I197" s="48"/>
    </row>
    <row r="198" spans="1:9" hidden="1" x14ac:dyDescent="0.2">
      <c r="A198" s="46"/>
      <c r="B198" s="46"/>
      <c r="C198" s="46"/>
      <c r="D198" s="48"/>
      <c r="E198" s="48"/>
      <c r="F198" s="48"/>
      <c r="G198" s="48"/>
      <c r="H198" s="48"/>
      <c r="I198" s="48"/>
    </row>
    <row r="199" spans="1:9" hidden="1" x14ac:dyDescent="0.2">
      <c r="A199" s="46"/>
      <c r="B199" s="46"/>
      <c r="C199" s="46"/>
      <c r="D199" s="48"/>
      <c r="E199" s="48"/>
      <c r="F199" s="48"/>
      <c r="G199" s="48"/>
      <c r="H199" s="48"/>
      <c r="I199" s="48"/>
    </row>
    <row r="200" spans="1:9" hidden="1" x14ac:dyDescent="0.2">
      <c r="A200" s="46"/>
      <c r="B200" s="46"/>
      <c r="C200" s="46"/>
      <c r="D200" s="48"/>
      <c r="E200" s="48"/>
      <c r="F200" s="48"/>
      <c r="G200" s="48"/>
      <c r="H200" s="48"/>
      <c r="I200" s="48"/>
    </row>
    <row r="201" spans="1:9" hidden="1" x14ac:dyDescent="0.2">
      <c r="A201" s="46"/>
      <c r="B201" s="46"/>
      <c r="C201" s="46"/>
      <c r="D201" s="48"/>
      <c r="E201" s="48"/>
      <c r="F201" s="48"/>
      <c r="G201" s="48"/>
      <c r="H201" s="48"/>
      <c r="I201" s="48"/>
    </row>
    <row r="202" spans="1:9" hidden="1" x14ac:dyDescent="0.2">
      <c r="A202" s="46"/>
      <c r="B202" s="46"/>
      <c r="C202" s="46"/>
      <c r="D202" s="48"/>
      <c r="E202" s="48"/>
      <c r="F202" s="48"/>
      <c r="G202" s="48"/>
      <c r="H202" s="48"/>
      <c r="I202" s="48"/>
    </row>
    <row r="203" spans="1:9" hidden="1" x14ac:dyDescent="0.2">
      <c r="A203" s="46"/>
      <c r="B203" s="46"/>
      <c r="C203" s="46"/>
      <c r="D203" s="48"/>
      <c r="E203" s="48"/>
      <c r="F203" s="48"/>
      <c r="G203" s="48"/>
      <c r="H203" s="48"/>
      <c r="I203" s="48"/>
    </row>
    <row r="204" spans="1:9" hidden="1" x14ac:dyDescent="0.2">
      <c r="A204" s="46"/>
      <c r="B204" s="46"/>
      <c r="C204" s="46"/>
      <c r="D204" s="48"/>
      <c r="E204" s="48"/>
      <c r="F204" s="48"/>
      <c r="G204" s="48"/>
      <c r="H204" s="48"/>
      <c r="I204" s="48"/>
    </row>
    <row r="205" spans="1:9" hidden="1" x14ac:dyDescent="0.2">
      <c r="A205" s="46"/>
      <c r="B205" s="46"/>
      <c r="C205" s="46"/>
      <c r="D205" s="48"/>
      <c r="E205" s="48"/>
      <c r="F205" s="48"/>
      <c r="G205" s="48"/>
      <c r="H205" s="48"/>
      <c r="I205" s="48"/>
    </row>
    <row r="206" spans="1:9" hidden="1" x14ac:dyDescent="0.2">
      <c r="A206" s="46"/>
      <c r="B206" s="46"/>
      <c r="C206" s="46"/>
      <c r="D206" s="48"/>
      <c r="E206" s="48"/>
      <c r="F206" s="48"/>
      <c r="G206" s="48"/>
      <c r="H206" s="48"/>
      <c r="I206" s="48"/>
    </row>
    <row r="207" spans="1:9" hidden="1" x14ac:dyDescent="0.2">
      <c r="A207" s="46"/>
      <c r="B207" s="46"/>
      <c r="C207" s="46"/>
      <c r="D207" s="48"/>
      <c r="E207" s="48"/>
      <c r="F207" s="48"/>
      <c r="G207" s="48"/>
      <c r="H207" s="48"/>
      <c r="I207" s="48"/>
    </row>
    <row r="208" spans="1:9" hidden="1" x14ac:dyDescent="0.2">
      <c r="A208" s="46"/>
      <c r="B208" s="46"/>
      <c r="C208" s="46"/>
      <c r="D208" s="48"/>
      <c r="E208" s="48"/>
      <c r="F208" s="48"/>
      <c r="G208" s="48"/>
      <c r="H208" s="48"/>
      <c r="I208" s="48"/>
    </row>
    <row r="209" spans="1:9" hidden="1" x14ac:dyDescent="0.2">
      <c r="A209" s="46"/>
      <c r="B209" s="46"/>
      <c r="C209" s="46"/>
      <c r="D209" s="48"/>
      <c r="E209" s="48"/>
      <c r="F209" s="48"/>
      <c r="G209" s="48"/>
      <c r="H209" s="48"/>
      <c r="I209" s="48"/>
    </row>
    <row r="210" spans="1:9" hidden="1" x14ac:dyDescent="0.2">
      <c r="A210" s="46"/>
      <c r="B210" s="46"/>
      <c r="C210" s="46"/>
      <c r="D210" s="48"/>
      <c r="E210" s="48"/>
      <c r="F210" s="48"/>
      <c r="G210" s="48"/>
      <c r="H210" s="48"/>
      <c r="I210" s="48"/>
    </row>
    <row r="211" spans="1:9" hidden="1" x14ac:dyDescent="0.2">
      <c r="A211" s="46"/>
      <c r="B211" s="46"/>
      <c r="C211" s="46"/>
      <c r="D211" s="48"/>
      <c r="E211" s="48"/>
      <c r="F211" s="48"/>
      <c r="G211" s="48"/>
      <c r="H211" s="48"/>
      <c r="I211" s="48"/>
    </row>
    <row r="212" spans="1:9" hidden="1" x14ac:dyDescent="0.2">
      <c r="A212" s="46"/>
      <c r="B212" s="46"/>
      <c r="C212" s="46"/>
      <c r="D212" s="48"/>
      <c r="E212" s="48"/>
      <c r="F212" s="48"/>
      <c r="G212" s="48"/>
      <c r="H212" s="48"/>
      <c r="I212" s="48"/>
    </row>
    <row r="213" spans="1:9" hidden="1" x14ac:dyDescent="0.2">
      <c r="A213" s="46"/>
      <c r="B213" s="46"/>
      <c r="C213" s="46"/>
      <c r="D213" s="48"/>
      <c r="E213" s="48"/>
      <c r="F213" s="48"/>
      <c r="G213" s="48"/>
      <c r="H213" s="48"/>
      <c r="I213" s="48"/>
    </row>
    <row r="214" spans="1:9" hidden="1" x14ac:dyDescent="0.2">
      <c r="A214" s="46"/>
      <c r="B214" s="46"/>
      <c r="C214" s="46"/>
      <c r="D214" s="48"/>
      <c r="E214" s="48"/>
      <c r="F214" s="48"/>
      <c r="G214" s="48"/>
      <c r="H214" s="48"/>
      <c r="I214" s="48"/>
    </row>
    <row r="215" spans="1:9" hidden="1" x14ac:dyDescent="0.2">
      <c r="A215" s="46"/>
      <c r="B215" s="46"/>
      <c r="C215" s="46"/>
      <c r="D215" s="48"/>
      <c r="E215" s="48"/>
      <c r="F215" s="48"/>
      <c r="G215" s="48"/>
      <c r="H215" s="48"/>
      <c r="I215" s="48"/>
    </row>
    <row r="216" spans="1:9" hidden="1" x14ac:dyDescent="0.2">
      <c r="A216" s="46"/>
      <c r="B216" s="46"/>
      <c r="C216" s="46"/>
      <c r="D216" s="48"/>
      <c r="E216" s="48"/>
      <c r="F216" s="48"/>
      <c r="G216" s="48"/>
      <c r="H216" s="48"/>
      <c r="I216" s="48"/>
    </row>
    <row r="217" spans="1:9" hidden="1" x14ac:dyDescent="0.2">
      <c r="A217" s="46"/>
      <c r="B217" s="46"/>
      <c r="C217" s="46"/>
      <c r="D217" s="48"/>
      <c r="E217" s="48"/>
      <c r="F217" s="48"/>
      <c r="G217" s="48"/>
      <c r="H217" s="48"/>
      <c r="I217" s="48"/>
    </row>
    <row r="218" spans="1:9" hidden="1" x14ac:dyDescent="0.2">
      <c r="A218" s="46"/>
      <c r="B218" s="46"/>
      <c r="C218" s="46"/>
      <c r="D218" s="48"/>
      <c r="E218" s="48"/>
      <c r="F218" s="48"/>
      <c r="G218" s="48"/>
      <c r="H218" s="48"/>
      <c r="I218" s="48"/>
    </row>
    <row r="219" spans="1:9" hidden="1" x14ac:dyDescent="0.2">
      <c r="A219" s="46"/>
      <c r="B219" s="46"/>
      <c r="C219" s="46"/>
      <c r="D219" s="48"/>
      <c r="E219" s="48"/>
      <c r="F219" s="48"/>
      <c r="G219" s="48"/>
      <c r="H219" s="48"/>
      <c r="I219" s="48"/>
    </row>
    <row r="220" spans="1:9" hidden="1" x14ac:dyDescent="0.2">
      <c r="A220" s="46"/>
      <c r="B220" s="46"/>
      <c r="C220" s="46"/>
      <c r="D220" s="48"/>
      <c r="E220" s="48"/>
      <c r="F220" s="48"/>
      <c r="G220" s="48"/>
      <c r="H220" s="48"/>
      <c r="I220" s="48"/>
    </row>
    <row r="221" spans="1:9" hidden="1" x14ac:dyDescent="0.2">
      <c r="A221" s="46"/>
      <c r="B221" s="46"/>
      <c r="C221" s="46"/>
      <c r="D221" s="48"/>
      <c r="E221" s="48"/>
      <c r="F221" s="48"/>
      <c r="G221" s="48"/>
      <c r="H221" s="48"/>
      <c r="I221" s="48"/>
    </row>
    <row r="222" spans="1:9" hidden="1" x14ac:dyDescent="0.2">
      <c r="A222" s="46"/>
      <c r="B222" s="46"/>
      <c r="C222" s="46"/>
      <c r="D222" s="48"/>
      <c r="E222" s="48"/>
      <c r="F222" s="48"/>
      <c r="G222" s="48"/>
      <c r="H222" s="48"/>
      <c r="I222" s="48"/>
    </row>
    <row r="223" spans="1:9" hidden="1" x14ac:dyDescent="0.2">
      <c r="A223" s="46"/>
      <c r="B223" s="46"/>
      <c r="C223" s="46"/>
      <c r="D223" s="48"/>
      <c r="E223" s="48"/>
      <c r="F223" s="48"/>
      <c r="G223" s="48"/>
      <c r="H223" s="48"/>
      <c r="I223" s="48"/>
    </row>
    <row r="224" spans="1:9" hidden="1" x14ac:dyDescent="0.2">
      <c r="A224" s="46"/>
      <c r="B224" s="46"/>
      <c r="C224" s="46"/>
      <c r="D224" s="48"/>
      <c r="E224" s="48"/>
      <c r="F224" s="48"/>
      <c r="G224" s="48"/>
      <c r="H224" s="48"/>
      <c r="I224" s="48"/>
    </row>
    <row r="225" spans="1:9" hidden="1" x14ac:dyDescent="0.2">
      <c r="A225" s="46"/>
      <c r="B225" s="46"/>
      <c r="C225" s="46"/>
      <c r="D225" s="48"/>
      <c r="E225" s="48"/>
      <c r="F225" s="48"/>
      <c r="G225" s="48"/>
      <c r="H225" s="48"/>
      <c r="I225" s="48"/>
    </row>
    <row r="226" spans="1:9" hidden="1" x14ac:dyDescent="0.2">
      <c r="A226" s="46"/>
      <c r="B226" s="46"/>
      <c r="C226" s="46"/>
      <c r="D226" s="48"/>
      <c r="E226" s="48"/>
      <c r="F226" s="48"/>
      <c r="G226" s="48"/>
      <c r="H226" s="48"/>
      <c r="I226" s="48"/>
    </row>
    <row r="227" spans="1:9" hidden="1" x14ac:dyDescent="0.2">
      <c r="A227" s="46"/>
      <c r="B227" s="46"/>
      <c r="C227" s="46"/>
      <c r="D227" s="48"/>
      <c r="E227" s="48"/>
      <c r="F227" s="48"/>
      <c r="G227" s="48"/>
      <c r="H227" s="48"/>
      <c r="I227" s="48"/>
    </row>
    <row r="228" spans="1:9" hidden="1" x14ac:dyDescent="0.2">
      <c r="A228" s="46"/>
      <c r="B228" s="46"/>
      <c r="C228" s="46"/>
      <c r="D228" s="48"/>
      <c r="E228" s="48"/>
      <c r="F228" s="48"/>
      <c r="G228" s="48"/>
      <c r="H228" s="48"/>
      <c r="I228" s="48"/>
    </row>
    <row r="229" spans="1:9" hidden="1" x14ac:dyDescent="0.2">
      <c r="A229" s="46"/>
      <c r="B229" s="46"/>
      <c r="C229" s="46"/>
      <c r="D229" s="48"/>
      <c r="E229" s="48"/>
      <c r="F229" s="48"/>
      <c r="G229" s="48"/>
      <c r="H229" s="48"/>
      <c r="I229" s="48"/>
    </row>
    <row r="230" spans="1:9" hidden="1" x14ac:dyDescent="0.2">
      <c r="A230" s="46"/>
      <c r="B230" s="46"/>
      <c r="C230" s="46"/>
      <c r="D230" s="48"/>
      <c r="E230" s="48"/>
      <c r="F230" s="48"/>
      <c r="G230" s="48"/>
      <c r="H230" s="48"/>
      <c r="I230" s="48"/>
    </row>
    <row r="231" spans="1:9" hidden="1" x14ac:dyDescent="0.2">
      <c r="A231" s="46"/>
      <c r="B231" s="46"/>
      <c r="C231" s="46"/>
      <c r="D231" s="48"/>
      <c r="E231" s="48"/>
      <c r="F231" s="48"/>
      <c r="G231" s="48"/>
      <c r="H231" s="48"/>
      <c r="I231" s="48"/>
    </row>
    <row r="232" spans="1:9" hidden="1" x14ac:dyDescent="0.2">
      <c r="A232" s="46"/>
      <c r="B232" s="46"/>
      <c r="C232" s="46"/>
      <c r="D232" s="48"/>
      <c r="E232" s="48"/>
      <c r="F232" s="48"/>
      <c r="G232" s="48"/>
      <c r="H232" s="48"/>
      <c r="I232" s="48"/>
    </row>
    <row r="233" spans="1:9" hidden="1" x14ac:dyDescent="0.2">
      <c r="A233" s="46"/>
      <c r="B233" s="46"/>
      <c r="C233" s="46"/>
      <c r="D233" s="48"/>
      <c r="E233" s="48"/>
      <c r="F233" s="48"/>
      <c r="G233" s="48"/>
      <c r="H233" s="48"/>
      <c r="I233" s="48"/>
    </row>
    <row r="234" spans="1:9" hidden="1" x14ac:dyDescent="0.2">
      <c r="A234" s="46"/>
      <c r="B234" s="46"/>
      <c r="C234" s="46"/>
      <c r="D234" s="48"/>
      <c r="E234" s="48"/>
      <c r="F234" s="48"/>
      <c r="G234" s="48"/>
      <c r="H234" s="48"/>
      <c r="I234" s="48"/>
    </row>
    <row r="235" spans="1:9" hidden="1" x14ac:dyDescent="0.2">
      <c r="A235" s="46"/>
      <c r="B235" s="46"/>
      <c r="C235" s="46"/>
      <c r="D235" s="48"/>
      <c r="E235" s="48"/>
      <c r="F235" s="48"/>
      <c r="G235" s="48"/>
      <c r="H235" s="48"/>
      <c r="I235" s="48"/>
    </row>
    <row r="236" spans="1:9" hidden="1" x14ac:dyDescent="0.2">
      <c r="A236" s="46"/>
      <c r="B236" s="46"/>
      <c r="C236" s="46"/>
      <c r="D236" s="48"/>
      <c r="E236" s="48"/>
      <c r="F236" s="48"/>
      <c r="G236" s="48"/>
      <c r="H236" s="48"/>
      <c r="I236" s="48"/>
    </row>
    <row r="237" spans="1:9" hidden="1" x14ac:dyDescent="0.2">
      <c r="A237" s="46"/>
      <c r="B237" s="46"/>
      <c r="C237" s="46"/>
      <c r="D237" s="48"/>
      <c r="E237" s="48"/>
      <c r="F237" s="48"/>
      <c r="G237" s="48"/>
      <c r="H237" s="48"/>
      <c r="I237" s="48"/>
    </row>
    <row r="238" spans="1:9" hidden="1" x14ac:dyDescent="0.2">
      <c r="A238" s="46"/>
      <c r="B238" s="46"/>
      <c r="C238" s="46"/>
      <c r="D238" s="48"/>
      <c r="E238" s="48"/>
      <c r="F238" s="48"/>
      <c r="G238" s="48"/>
      <c r="H238" s="48"/>
      <c r="I238" s="48"/>
    </row>
    <row r="239" spans="1:9" hidden="1" x14ac:dyDescent="0.2">
      <c r="A239" s="46"/>
      <c r="B239" s="46"/>
      <c r="C239" s="46"/>
      <c r="D239" s="48"/>
      <c r="E239" s="48"/>
      <c r="F239" s="48"/>
      <c r="G239" s="48"/>
      <c r="H239" s="48"/>
      <c r="I239" s="48"/>
    </row>
    <row r="240" spans="1:9" hidden="1" x14ac:dyDescent="0.2">
      <c r="A240" s="46"/>
      <c r="B240" s="46"/>
      <c r="C240" s="46"/>
      <c r="D240" s="48"/>
      <c r="E240" s="48"/>
      <c r="F240" s="48"/>
      <c r="G240" s="48"/>
      <c r="H240" s="48"/>
      <c r="I240" s="48"/>
    </row>
    <row r="241" spans="1:9" hidden="1" x14ac:dyDescent="0.2">
      <c r="A241" s="46"/>
      <c r="B241" s="46"/>
      <c r="C241" s="46"/>
      <c r="D241" s="48"/>
      <c r="E241" s="48"/>
      <c r="F241" s="48"/>
      <c r="G241" s="48"/>
      <c r="H241" s="48"/>
      <c r="I241" s="48"/>
    </row>
    <row r="242" spans="1:9" hidden="1" x14ac:dyDescent="0.2">
      <c r="A242" s="46"/>
      <c r="B242" s="46"/>
      <c r="C242" s="46"/>
      <c r="D242" s="48"/>
      <c r="E242" s="48"/>
      <c r="F242" s="48"/>
      <c r="G242" s="48"/>
      <c r="H242" s="48"/>
      <c r="I242" s="48"/>
    </row>
    <row r="243" spans="1:9" hidden="1" x14ac:dyDescent="0.2">
      <c r="A243" s="46"/>
      <c r="B243" s="46"/>
      <c r="C243" s="46"/>
      <c r="D243" s="48"/>
      <c r="E243" s="48"/>
      <c r="F243" s="48"/>
      <c r="G243" s="48"/>
      <c r="H243" s="48"/>
      <c r="I243" s="48"/>
    </row>
    <row r="244" spans="1:9" hidden="1" x14ac:dyDescent="0.2">
      <c r="A244" s="46"/>
      <c r="B244" s="46"/>
      <c r="C244" s="46"/>
      <c r="D244" s="48"/>
      <c r="E244" s="48"/>
      <c r="F244" s="48"/>
      <c r="G244" s="48"/>
      <c r="H244" s="48"/>
      <c r="I244" s="48"/>
    </row>
    <row r="245" spans="1:9" hidden="1" x14ac:dyDescent="0.2">
      <c r="A245" s="46"/>
      <c r="B245" s="46"/>
      <c r="C245" s="46"/>
      <c r="D245" s="48"/>
      <c r="E245" s="48"/>
      <c r="F245" s="48"/>
      <c r="G245" s="48"/>
      <c r="H245" s="48"/>
      <c r="I245" s="48"/>
    </row>
    <row r="246" spans="1:9" hidden="1" x14ac:dyDescent="0.2">
      <c r="A246" s="46"/>
      <c r="B246" s="46"/>
      <c r="C246" s="46"/>
      <c r="D246" s="48"/>
      <c r="E246" s="48"/>
      <c r="F246" s="48"/>
      <c r="G246" s="48"/>
      <c r="H246" s="48"/>
      <c r="I246" s="48"/>
    </row>
    <row r="247" spans="1:9" hidden="1" x14ac:dyDescent="0.2">
      <c r="A247" s="46"/>
      <c r="B247" s="46"/>
      <c r="C247" s="46"/>
      <c r="D247" s="48"/>
      <c r="E247" s="48"/>
      <c r="F247" s="48"/>
      <c r="G247" s="48"/>
      <c r="H247" s="48"/>
      <c r="I247" s="48"/>
    </row>
    <row r="248" spans="1:9" hidden="1" x14ac:dyDescent="0.2">
      <c r="A248" s="46"/>
      <c r="B248" s="46"/>
      <c r="C248" s="46"/>
      <c r="D248" s="48"/>
      <c r="E248" s="48"/>
      <c r="F248" s="48"/>
      <c r="G248" s="48"/>
      <c r="H248" s="48"/>
      <c r="I248" s="48"/>
    </row>
    <row r="249" spans="1:9" hidden="1" x14ac:dyDescent="0.2">
      <c r="A249" s="46"/>
      <c r="B249" s="46"/>
      <c r="C249" s="46"/>
      <c r="D249" s="48"/>
      <c r="E249" s="48"/>
      <c r="F249" s="48"/>
      <c r="G249" s="48"/>
      <c r="H249" s="48"/>
      <c r="I249" s="48"/>
    </row>
    <row r="250" spans="1:9" hidden="1" x14ac:dyDescent="0.2">
      <c r="A250" s="46"/>
      <c r="B250" s="46"/>
      <c r="C250" s="46"/>
      <c r="D250" s="48"/>
      <c r="E250" s="48"/>
      <c r="F250" s="48"/>
      <c r="G250" s="48"/>
      <c r="H250" s="48"/>
      <c r="I250" s="48"/>
    </row>
    <row r="251" spans="1:9" hidden="1" x14ac:dyDescent="0.2">
      <c r="A251" s="46"/>
      <c r="B251" s="46"/>
      <c r="C251" s="46"/>
      <c r="D251" s="48"/>
      <c r="E251" s="48"/>
      <c r="F251" s="48"/>
      <c r="G251" s="48"/>
      <c r="H251" s="48"/>
      <c r="I251" s="48"/>
    </row>
    <row r="252" spans="1:9" hidden="1" x14ac:dyDescent="0.2">
      <c r="A252" s="46"/>
      <c r="B252" s="46"/>
      <c r="C252" s="46"/>
      <c r="D252" s="48"/>
      <c r="E252" s="48"/>
      <c r="F252" s="48"/>
      <c r="G252" s="48"/>
      <c r="H252" s="48"/>
      <c r="I252" s="48"/>
    </row>
    <row r="253" spans="1:9" hidden="1" x14ac:dyDescent="0.2">
      <c r="A253" s="46"/>
      <c r="B253" s="46"/>
      <c r="C253" s="46"/>
      <c r="D253" s="48"/>
      <c r="E253" s="48"/>
      <c r="F253" s="48"/>
      <c r="G253" s="48"/>
      <c r="H253" s="48"/>
      <c r="I253" s="48"/>
    </row>
    <row r="254" spans="1:9" hidden="1" x14ac:dyDescent="0.2">
      <c r="A254" s="46"/>
      <c r="B254" s="46"/>
      <c r="C254" s="46"/>
      <c r="D254" s="48"/>
      <c r="E254" s="48"/>
      <c r="F254" s="48"/>
      <c r="G254" s="48"/>
      <c r="H254" s="48"/>
      <c r="I254" s="48"/>
    </row>
    <row r="255" spans="1:9" hidden="1" x14ac:dyDescent="0.2">
      <c r="A255" s="46"/>
      <c r="B255" s="46"/>
      <c r="C255" s="46"/>
      <c r="D255" s="48"/>
      <c r="E255" s="48"/>
      <c r="F255" s="48"/>
      <c r="G255" s="48"/>
      <c r="H255" s="48"/>
      <c r="I255" s="48"/>
    </row>
    <row r="256" spans="1:9" hidden="1" x14ac:dyDescent="0.2">
      <c r="A256" s="46"/>
      <c r="B256" s="46"/>
      <c r="C256" s="46"/>
      <c r="D256" s="48"/>
      <c r="E256" s="48"/>
      <c r="F256" s="48"/>
      <c r="G256" s="48"/>
      <c r="H256" s="48"/>
      <c r="I256" s="48"/>
    </row>
    <row r="257" spans="1:9" hidden="1" x14ac:dyDescent="0.2">
      <c r="A257" s="46"/>
      <c r="B257" s="46"/>
      <c r="C257" s="46"/>
      <c r="D257" s="48"/>
      <c r="E257" s="48"/>
      <c r="F257" s="48"/>
      <c r="G257" s="48"/>
      <c r="H257" s="48"/>
      <c r="I257" s="48"/>
    </row>
    <row r="258" spans="1:9" hidden="1" x14ac:dyDescent="0.2">
      <c r="A258" s="46"/>
      <c r="B258" s="46"/>
      <c r="C258" s="46"/>
      <c r="D258" s="48"/>
      <c r="E258" s="48"/>
      <c r="F258" s="48"/>
      <c r="G258" s="48"/>
      <c r="H258" s="48"/>
      <c r="I258" s="48"/>
    </row>
    <row r="259" spans="1:9" hidden="1" x14ac:dyDescent="0.2">
      <c r="A259" s="46"/>
      <c r="B259" s="46"/>
      <c r="C259" s="46"/>
      <c r="D259" s="48"/>
      <c r="E259" s="48"/>
      <c r="F259" s="48"/>
      <c r="G259" s="48"/>
      <c r="H259" s="48"/>
      <c r="I259" s="48"/>
    </row>
    <row r="260" spans="1:9" hidden="1" x14ac:dyDescent="0.2">
      <c r="A260" s="46"/>
      <c r="B260" s="46"/>
      <c r="C260" s="46"/>
      <c r="D260" s="48"/>
      <c r="E260" s="48"/>
      <c r="F260" s="48"/>
      <c r="G260" s="48"/>
      <c r="H260" s="48"/>
      <c r="I260" s="48"/>
    </row>
    <row r="261" spans="1:9" hidden="1" x14ac:dyDescent="0.2">
      <c r="A261" s="46"/>
      <c r="B261" s="46"/>
      <c r="C261" s="46"/>
      <c r="D261" s="48"/>
      <c r="E261" s="48"/>
      <c r="F261" s="48"/>
      <c r="G261" s="48"/>
      <c r="H261" s="48"/>
      <c r="I261" s="48"/>
    </row>
    <row r="262" spans="1:9" hidden="1" x14ac:dyDescent="0.2">
      <c r="A262" s="46"/>
      <c r="B262" s="46"/>
      <c r="C262" s="46"/>
      <c r="D262" s="48"/>
      <c r="E262" s="48"/>
      <c r="F262" s="48"/>
      <c r="G262" s="48"/>
      <c r="H262" s="48"/>
      <c r="I262" s="48"/>
    </row>
    <row r="263" spans="1:9" hidden="1" x14ac:dyDescent="0.2">
      <c r="A263" s="46"/>
      <c r="B263" s="46"/>
      <c r="C263" s="46"/>
      <c r="D263" s="48"/>
      <c r="E263" s="48"/>
      <c r="F263" s="48"/>
      <c r="G263" s="48"/>
      <c r="H263" s="48"/>
      <c r="I263" s="48"/>
    </row>
    <row r="264" spans="1:9" hidden="1" x14ac:dyDescent="0.2">
      <c r="A264" s="46"/>
      <c r="B264" s="46"/>
      <c r="C264" s="46"/>
      <c r="D264" s="48"/>
      <c r="E264" s="48"/>
      <c r="F264" s="48"/>
      <c r="G264" s="48"/>
      <c r="H264" s="48"/>
      <c r="I264" s="48"/>
    </row>
    <row r="265" spans="1:9" hidden="1" x14ac:dyDescent="0.2">
      <c r="A265" s="46"/>
      <c r="B265" s="46"/>
      <c r="C265" s="46"/>
      <c r="D265" s="48"/>
      <c r="E265" s="48"/>
      <c r="F265" s="48"/>
      <c r="G265" s="48"/>
      <c r="H265" s="48"/>
      <c r="I265" s="48"/>
    </row>
    <row r="266" spans="1:9" hidden="1" x14ac:dyDescent="0.2">
      <c r="A266" s="46"/>
      <c r="B266" s="46"/>
      <c r="C266" s="46"/>
      <c r="D266" s="48"/>
      <c r="E266" s="48"/>
      <c r="F266" s="48"/>
      <c r="G266" s="48"/>
      <c r="H266" s="48"/>
      <c r="I266" s="48"/>
    </row>
    <row r="267" spans="1:9" hidden="1" x14ac:dyDescent="0.2">
      <c r="A267" s="46"/>
      <c r="B267" s="46"/>
      <c r="C267" s="46"/>
      <c r="D267" s="48"/>
      <c r="E267" s="48"/>
      <c r="F267" s="48"/>
      <c r="G267" s="48"/>
      <c r="H267" s="48"/>
      <c r="I267" s="48"/>
    </row>
    <row r="268" spans="1:9" hidden="1" x14ac:dyDescent="0.2">
      <c r="A268" s="46"/>
      <c r="B268" s="46"/>
      <c r="C268" s="46"/>
      <c r="D268" s="48"/>
      <c r="E268" s="48"/>
      <c r="F268" s="48"/>
      <c r="G268" s="48"/>
      <c r="H268" s="48"/>
      <c r="I268" s="48"/>
    </row>
    <row r="269" spans="1:9" hidden="1" x14ac:dyDescent="0.2">
      <c r="A269" s="46"/>
      <c r="B269" s="46"/>
      <c r="C269" s="46"/>
      <c r="D269" s="48"/>
      <c r="E269" s="48"/>
      <c r="F269" s="48"/>
      <c r="G269" s="48"/>
      <c r="H269" s="48"/>
      <c r="I269" s="48"/>
    </row>
    <row r="270" spans="1:9" hidden="1" x14ac:dyDescent="0.2">
      <c r="A270" s="46"/>
      <c r="B270" s="46"/>
      <c r="C270" s="46"/>
      <c r="D270" s="48"/>
      <c r="E270" s="48"/>
      <c r="F270" s="48"/>
      <c r="G270" s="48"/>
      <c r="H270" s="48"/>
      <c r="I270" s="48"/>
    </row>
    <row r="271" spans="1:9" hidden="1" x14ac:dyDescent="0.2">
      <c r="A271" s="46"/>
      <c r="B271" s="46"/>
      <c r="C271" s="46"/>
      <c r="D271" s="48"/>
      <c r="E271" s="48"/>
      <c r="F271" s="48"/>
      <c r="G271" s="48"/>
      <c r="H271" s="48"/>
      <c r="I271" s="48"/>
    </row>
    <row r="272" spans="1:9" hidden="1" x14ac:dyDescent="0.2">
      <c r="A272" s="46"/>
      <c r="B272" s="46"/>
      <c r="C272" s="46"/>
      <c r="D272" s="48"/>
      <c r="E272" s="48"/>
      <c r="F272" s="48"/>
      <c r="G272" s="48"/>
      <c r="H272" s="48"/>
      <c r="I272" s="48"/>
    </row>
    <row r="273" spans="1:9" hidden="1" x14ac:dyDescent="0.2">
      <c r="A273" s="46"/>
      <c r="B273" s="46"/>
      <c r="C273" s="46"/>
      <c r="D273" s="48"/>
      <c r="E273" s="48"/>
      <c r="F273" s="48"/>
      <c r="G273" s="48"/>
      <c r="H273" s="48"/>
      <c r="I273" s="48"/>
    </row>
    <row r="274" spans="1:9" hidden="1" x14ac:dyDescent="0.2">
      <c r="A274" s="46"/>
      <c r="B274" s="46"/>
      <c r="C274" s="46"/>
      <c r="D274" s="48"/>
      <c r="E274" s="48"/>
      <c r="F274" s="48"/>
      <c r="G274" s="48"/>
      <c r="H274" s="48"/>
      <c r="I274" s="48"/>
    </row>
    <row r="275" spans="1:9" hidden="1" x14ac:dyDescent="0.2">
      <c r="A275" s="46"/>
      <c r="B275" s="46"/>
      <c r="C275" s="46"/>
      <c r="D275" s="48"/>
      <c r="E275" s="48"/>
      <c r="F275" s="48"/>
      <c r="G275" s="48"/>
      <c r="H275" s="48"/>
      <c r="I275" s="48"/>
    </row>
    <row r="276" spans="1:9" hidden="1" x14ac:dyDescent="0.2">
      <c r="A276" s="46"/>
      <c r="B276" s="46"/>
      <c r="C276" s="46"/>
      <c r="D276" s="48"/>
      <c r="E276" s="48"/>
      <c r="F276" s="48"/>
      <c r="G276" s="48"/>
      <c r="H276" s="48"/>
      <c r="I276" s="48"/>
    </row>
    <row r="277" spans="1:9" hidden="1" x14ac:dyDescent="0.2">
      <c r="A277" s="46"/>
      <c r="B277" s="46"/>
      <c r="C277" s="46"/>
      <c r="D277" s="48"/>
      <c r="E277" s="48"/>
      <c r="F277" s="48"/>
      <c r="G277" s="48"/>
      <c r="H277" s="48"/>
      <c r="I277" s="48"/>
    </row>
    <row r="278" spans="1:9" hidden="1" x14ac:dyDescent="0.2">
      <c r="A278" s="46"/>
      <c r="B278" s="46"/>
      <c r="C278" s="46"/>
      <c r="D278" s="48"/>
      <c r="E278" s="48"/>
      <c r="F278" s="48"/>
      <c r="G278" s="48"/>
      <c r="H278" s="48"/>
      <c r="I278" s="48"/>
    </row>
    <row r="279" spans="1:9" hidden="1" x14ac:dyDescent="0.2">
      <c r="A279" s="46"/>
      <c r="B279" s="46"/>
      <c r="C279" s="46"/>
      <c r="D279" s="48"/>
      <c r="E279" s="48"/>
      <c r="F279" s="48"/>
      <c r="G279" s="48"/>
      <c r="H279" s="48"/>
      <c r="I279" s="48"/>
    </row>
    <row r="280" spans="1:9" hidden="1" x14ac:dyDescent="0.2">
      <c r="A280" s="46"/>
      <c r="B280" s="46"/>
      <c r="C280" s="46"/>
      <c r="D280" s="48"/>
      <c r="E280" s="48"/>
      <c r="F280" s="48"/>
      <c r="G280" s="48"/>
      <c r="H280" s="48"/>
      <c r="I280" s="48"/>
    </row>
    <row r="281" spans="1:9" hidden="1" x14ac:dyDescent="0.2">
      <c r="A281" s="46"/>
      <c r="B281" s="46"/>
      <c r="C281" s="46"/>
      <c r="D281" s="48"/>
      <c r="E281" s="48"/>
      <c r="F281" s="48"/>
      <c r="G281" s="48"/>
      <c r="H281" s="48"/>
      <c r="I281" s="48"/>
    </row>
    <row r="282" spans="1:9" hidden="1" x14ac:dyDescent="0.2">
      <c r="A282" s="46"/>
      <c r="B282" s="46"/>
      <c r="C282" s="46"/>
      <c r="D282" s="48"/>
      <c r="E282" s="48"/>
      <c r="F282" s="48"/>
      <c r="G282" s="48"/>
      <c r="H282" s="48"/>
      <c r="I282" s="48"/>
    </row>
    <row r="283" spans="1:9" hidden="1" x14ac:dyDescent="0.2">
      <c r="A283" s="46"/>
      <c r="B283" s="46"/>
      <c r="C283" s="46"/>
      <c r="D283" s="48"/>
      <c r="E283" s="48"/>
      <c r="F283" s="48"/>
      <c r="G283" s="48"/>
      <c r="H283" s="48"/>
      <c r="I283" s="48"/>
    </row>
    <row r="284" spans="1:9" hidden="1" x14ac:dyDescent="0.2">
      <c r="A284" s="46"/>
      <c r="B284" s="46"/>
      <c r="C284" s="46"/>
      <c r="D284" s="48"/>
      <c r="E284" s="48"/>
      <c r="F284" s="48"/>
      <c r="G284" s="48"/>
      <c r="H284" s="48"/>
      <c r="I284" s="48"/>
    </row>
    <row r="285" spans="1:9" hidden="1" x14ac:dyDescent="0.2">
      <c r="A285" s="46"/>
      <c r="B285" s="46"/>
      <c r="C285" s="46"/>
      <c r="D285" s="48"/>
      <c r="E285" s="48"/>
      <c r="F285" s="48"/>
      <c r="G285" s="48"/>
      <c r="H285" s="48"/>
      <c r="I285" s="48"/>
    </row>
    <row r="286" spans="1:9" hidden="1" x14ac:dyDescent="0.2">
      <c r="A286" s="46"/>
      <c r="B286" s="46"/>
      <c r="C286" s="46"/>
      <c r="D286" s="48"/>
      <c r="E286" s="48"/>
      <c r="F286" s="48"/>
      <c r="G286" s="48"/>
      <c r="H286" s="48"/>
      <c r="I286" s="48"/>
    </row>
    <row r="287" spans="1:9" hidden="1" x14ac:dyDescent="0.2">
      <c r="A287" s="46"/>
      <c r="B287" s="46"/>
      <c r="C287" s="46"/>
      <c r="D287" s="48"/>
      <c r="E287" s="48"/>
      <c r="F287" s="48"/>
      <c r="G287" s="48"/>
      <c r="H287" s="48"/>
      <c r="I287" s="48"/>
    </row>
    <row r="288" spans="1:9" hidden="1" x14ac:dyDescent="0.2">
      <c r="A288" s="46"/>
      <c r="B288" s="46"/>
      <c r="C288" s="46"/>
      <c r="D288" s="48"/>
      <c r="E288" s="48"/>
      <c r="F288" s="48"/>
      <c r="G288" s="48"/>
      <c r="H288" s="48"/>
      <c r="I288" s="48"/>
    </row>
    <row r="289" spans="1:9" hidden="1" x14ac:dyDescent="0.2">
      <c r="A289" s="46"/>
      <c r="B289" s="46"/>
      <c r="C289" s="46"/>
      <c r="D289" s="48"/>
      <c r="E289" s="48"/>
      <c r="F289" s="48"/>
      <c r="G289" s="48"/>
      <c r="H289" s="48"/>
      <c r="I289" s="48"/>
    </row>
    <row r="290" spans="1:9" hidden="1" x14ac:dyDescent="0.2">
      <c r="A290" s="46"/>
      <c r="B290" s="46"/>
      <c r="C290" s="46"/>
      <c r="D290" s="48"/>
      <c r="E290" s="48"/>
      <c r="F290" s="48"/>
      <c r="G290" s="48"/>
      <c r="H290" s="48"/>
      <c r="I290" s="48"/>
    </row>
    <row r="291" spans="1:9" hidden="1" x14ac:dyDescent="0.2">
      <c r="A291" s="46"/>
      <c r="B291" s="46"/>
      <c r="C291" s="46"/>
      <c r="D291" s="48"/>
      <c r="E291" s="48"/>
      <c r="F291" s="48"/>
      <c r="G291" s="48"/>
      <c r="H291" s="48"/>
      <c r="I291" s="48"/>
    </row>
    <row r="292" spans="1:9" hidden="1" x14ac:dyDescent="0.2">
      <c r="A292" s="46"/>
      <c r="B292" s="46"/>
      <c r="C292" s="46"/>
      <c r="D292" s="48"/>
      <c r="E292" s="48"/>
      <c r="F292" s="48"/>
      <c r="G292" s="48"/>
      <c r="H292" s="48"/>
      <c r="I292" s="48"/>
    </row>
    <row r="293" spans="1:9" hidden="1" x14ac:dyDescent="0.2">
      <c r="A293" s="46"/>
      <c r="B293" s="46"/>
      <c r="C293" s="46"/>
      <c r="D293" s="48"/>
      <c r="E293" s="48"/>
      <c r="F293" s="48"/>
      <c r="G293" s="48"/>
      <c r="H293" s="48"/>
      <c r="I293" s="48"/>
    </row>
    <row r="294" spans="1:9" hidden="1" x14ac:dyDescent="0.2">
      <c r="A294" s="46"/>
      <c r="B294" s="46"/>
      <c r="C294" s="46"/>
      <c r="D294" s="48"/>
      <c r="E294" s="48"/>
      <c r="F294" s="48"/>
      <c r="G294" s="48"/>
      <c r="H294" s="48"/>
      <c r="I294" s="48"/>
    </row>
    <row r="295" spans="1:9" hidden="1" x14ac:dyDescent="0.2">
      <c r="A295" s="46"/>
      <c r="B295" s="46"/>
      <c r="C295" s="46"/>
      <c r="D295" s="48"/>
      <c r="E295" s="48"/>
      <c r="F295" s="48"/>
      <c r="G295" s="48"/>
      <c r="H295" s="48"/>
      <c r="I295" s="48"/>
    </row>
    <row r="296" spans="1:9" hidden="1" x14ac:dyDescent="0.2">
      <c r="A296" s="46"/>
      <c r="B296" s="46"/>
      <c r="C296" s="46"/>
      <c r="D296" s="48"/>
      <c r="E296" s="48"/>
      <c r="F296" s="48"/>
      <c r="G296" s="48"/>
      <c r="H296" s="48"/>
      <c r="I296" s="48"/>
    </row>
    <row r="297" spans="1:9" hidden="1" x14ac:dyDescent="0.2">
      <c r="A297" s="46"/>
      <c r="B297" s="46"/>
      <c r="C297" s="46"/>
      <c r="D297" s="48"/>
      <c r="E297" s="48"/>
      <c r="F297" s="48"/>
      <c r="G297" s="48"/>
      <c r="H297" s="48"/>
      <c r="I297" s="48"/>
    </row>
    <row r="298" spans="1:9" hidden="1" x14ac:dyDescent="0.2">
      <c r="A298" s="46"/>
      <c r="B298" s="46"/>
      <c r="C298" s="46"/>
      <c r="D298" s="48"/>
      <c r="E298" s="48"/>
      <c r="F298" s="48"/>
      <c r="G298" s="48"/>
      <c r="H298" s="48"/>
      <c r="I298" s="48"/>
    </row>
    <row r="299" spans="1:9" hidden="1" x14ac:dyDescent="0.2">
      <c r="A299" s="46"/>
      <c r="B299" s="46"/>
      <c r="C299" s="46"/>
      <c r="D299" s="48"/>
      <c r="E299" s="48"/>
      <c r="F299" s="48"/>
      <c r="G299" s="48"/>
      <c r="H299" s="48"/>
      <c r="I299" s="48"/>
    </row>
    <row r="300" spans="1:9" hidden="1" x14ac:dyDescent="0.2">
      <c r="A300" s="46"/>
      <c r="B300" s="46"/>
      <c r="C300" s="46"/>
      <c r="D300" s="48"/>
      <c r="E300" s="48"/>
      <c r="F300" s="48"/>
      <c r="G300" s="48"/>
      <c r="H300" s="48"/>
      <c r="I300" s="48"/>
    </row>
    <row r="301" spans="1:9" hidden="1" x14ac:dyDescent="0.2">
      <c r="A301" s="46"/>
      <c r="B301" s="46"/>
      <c r="C301" s="46"/>
      <c r="D301" s="48"/>
      <c r="E301" s="48"/>
      <c r="F301" s="48"/>
      <c r="G301" s="48"/>
      <c r="H301" s="48"/>
      <c r="I301" s="48"/>
    </row>
    <row r="302" spans="1:9" hidden="1" x14ac:dyDescent="0.2">
      <c r="A302" s="46"/>
      <c r="B302" s="46"/>
      <c r="C302" s="46"/>
      <c r="D302" s="48"/>
      <c r="E302" s="48"/>
      <c r="F302" s="48"/>
      <c r="G302" s="48"/>
      <c r="H302" s="48"/>
      <c r="I302" s="48"/>
    </row>
    <row r="303" spans="1:9" hidden="1" x14ac:dyDescent="0.2">
      <c r="A303" s="46"/>
      <c r="B303" s="46"/>
      <c r="C303" s="46"/>
      <c r="D303" s="48"/>
      <c r="E303" s="48"/>
      <c r="F303" s="48"/>
      <c r="G303" s="48"/>
      <c r="H303" s="48"/>
      <c r="I303" s="48"/>
    </row>
    <row r="304" spans="1:9" hidden="1" x14ac:dyDescent="0.2">
      <c r="A304" s="46"/>
      <c r="B304" s="46"/>
      <c r="C304" s="46"/>
      <c r="D304" s="48"/>
      <c r="E304" s="48"/>
      <c r="F304" s="48"/>
      <c r="G304" s="48"/>
      <c r="H304" s="48"/>
      <c r="I304" s="48"/>
    </row>
    <row r="305" spans="1:9" hidden="1" x14ac:dyDescent="0.2">
      <c r="A305" s="46"/>
      <c r="B305" s="46"/>
      <c r="C305" s="46"/>
      <c r="D305" s="48"/>
      <c r="E305" s="48"/>
      <c r="F305" s="48"/>
      <c r="G305" s="48"/>
      <c r="H305" s="48"/>
      <c r="I305" s="48"/>
    </row>
    <row r="306" spans="1:9" hidden="1" x14ac:dyDescent="0.2">
      <c r="A306" s="46"/>
      <c r="B306" s="46"/>
      <c r="C306" s="46"/>
      <c r="D306" s="48"/>
      <c r="E306" s="48"/>
      <c r="F306" s="48"/>
      <c r="G306" s="48"/>
      <c r="H306" s="48"/>
      <c r="I306" s="48"/>
    </row>
    <row r="307" spans="1:9" hidden="1" x14ac:dyDescent="0.2">
      <c r="A307" s="46"/>
      <c r="B307" s="46"/>
      <c r="C307" s="46"/>
      <c r="D307" s="48"/>
      <c r="E307" s="48"/>
      <c r="F307" s="48"/>
      <c r="G307" s="48"/>
      <c r="H307" s="48"/>
      <c r="I307" s="48"/>
    </row>
    <row r="308" spans="1:9" hidden="1" x14ac:dyDescent="0.2">
      <c r="A308" s="46"/>
      <c r="B308" s="46"/>
      <c r="C308" s="46"/>
      <c r="D308" s="48"/>
      <c r="E308" s="48"/>
      <c r="F308" s="48"/>
      <c r="G308" s="48"/>
      <c r="H308" s="48"/>
      <c r="I308" s="48"/>
    </row>
    <row r="309" spans="1:9" hidden="1" x14ac:dyDescent="0.2">
      <c r="A309" s="46"/>
      <c r="B309" s="46"/>
      <c r="C309" s="46"/>
      <c r="D309" s="48"/>
      <c r="E309" s="48"/>
      <c r="F309" s="48"/>
      <c r="G309" s="48"/>
      <c r="H309" s="48"/>
      <c r="I309" s="48"/>
    </row>
    <row r="310" spans="1:9" hidden="1" x14ac:dyDescent="0.2">
      <c r="A310" s="46"/>
      <c r="B310" s="46"/>
      <c r="C310" s="46"/>
      <c r="D310" s="48"/>
      <c r="E310" s="48"/>
      <c r="F310" s="48"/>
      <c r="G310" s="48"/>
      <c r="H310" s="48"/>
      <c r="I310" s="48"/>
    </row>
    <row r="311" spans="1:9" hidden="1" x14ac:dyDescent="0.2">
      <c r="A311" s="46"/>
      <c r="B311" s="46"/>
      <c r="C311" s="46"/>
      <c r="D311" s="48"/>
      <c r="E311" s="48"/>
      <c r="F311" s="48"/>
      <c r="G311" s="48"/>
      <c r="H311" s="48"/>
      <c r="I311" s="48"/>
    </row>
    <row r="312" spans="1:9" hidden="1" x14ac:dyDescent="0.2">
      <c r="A312" s="46"/>
      <c r="B312" s="46"/>
      <c r="C312" s="46"/>
      <c r="D312" s="48"/>
      <c r="E312" s="48"/>
      <c r="F312" s="48"/>
      <c r="G312" s="48"/>
      <c r="H312" s="48"/>
      <c r="I312" s="48"/>
    </row>
    <row r="313" spans="1:9" hidden="1" x14ac:dyDescent="0.2">
      <c r="A313" s="46"/>
      <c r="B313" s="46"/>
      <c r="C313" s="46"/>
      <c r="D313" s="48"/>
      <c r="E313" s="48"/>
      <c r="F313" s="48"/>
      <c r="G313" s="48"/>
      <c r="H313" s="48"/>
      <c r="I313" s="48"/>
    </row>
    <row r="314" spans="1:9" hidden="1" x14ac:dyDescent="0.2">
      <c r="A314" s="46"/>
      <c r="B314" s="46"/>
      <c r="C314" s="46"/>
      <c r="D314" s="48"/>
      <c r="E314" s="48"/>
      <c r="F314" s="48"/>
      <c r="G314" s="48"/>
      <c r="H314" s="48"/>
      <c r="I314" s="48"/>
    </row>
    <row r="315" spans="1:9" hidden="1" x14ac:dyDescent="0.2">
      <c r="A315" s="46"/>
      <c r="B315" s="46"/>
      <c r="C315" s="46"/>
      <c r="D315" s="48"/>
      <c r="E315" s="48"/>
      <c r="F315" s="48"/>
      <c r="G315" s="48"/>
      <c r="H315" s="48"/>
      <c r="I315" s="48"/>
    </row>
    <row r="316" spans="1:9" hidden="1" x14ac:dyDescent="0.2">
      <c r="A316" s="46"/>
      <c r="B316" s="46"/>
      <c r="C316" s="46"/>
      <c r="D316" s="48"/>
      <c r="E316" s="48"/>
      <c r="F316" s="48"/>
      <c r="G316" s="48"/>
      <c r="H316" s="48"/>
      <c r="I316" s="48"/>
    </row>
    <row r="317" spans="1:9" hidden="1" x14ac:dyDescent="0.2">
      <c r="A317" s="46"/>
      <c r="B317" s="46"/>
      <c r="C317" s="46"/>
      <c r="D317" s="48"/>
      <c r="E317" s="48"/>
      <c r="F317" s="48"/>
      <c r="G317" s="48"/>
      <c r="H317" s="48"/>
      <c r="I317" s="48"/>
    </row>
    <row r="318" spans="1:9" hidden="1" x14ac:dyDescent="0.2">
      <c r="A318" s="46"/>
      <c r="B318" s="46"/>
      <c r="C318" s="46"/>
      <c r="D318" s="48"/>
      <c r="E318" s="48"/>
      <c r="F318" s="48"/>
      <c r="G318" s="48"/>
      <c r="H318" s="48"/>
      <c r="I318" s="48"/>
    </row>
    <row r="319" spans="1:9" hidden="1" x14ac:dyDescent="0.2">
      <c r="A319" s="46"/>
      <c r="B319" s="46"/>
      <c r="C319" s="46"/>
      <c r="D319" s="48"/>
      <c r="E319" s="48"/>
      <c r="F319" s="48"/>
      <c r="G319" s="48"/>
      <c r="H319" s="48"/>
      <c r="I319" s="48"/>
    </row>
    <row r="320" spans="1:9" hidden="1" x14ac:dyDescent="0.2">
      <c r="A320" s="46"/>
      <c r="B320" s="46"/>
      <c r="C320" s="46"/>
      <c r="D320" s="48"/>
      <c r="E320" s="48"/>
      <c r="F320" s="48"/>
      <c r="G320" s="48"/>
      <c r="H320" s="48"/>
      <c r="I320" s="48"/>
    </row>
    <row r="321" spans="1:9" hidden="1" x14ac:dyDescent="0.2">
      <c r="A321" s="46"/>
      <c r="B321" s="46"/>
      <c r="C321" s="46"/>
      <c r="D321" s="48"/>
      <c r="E321" s="48"/>
      <c r="F321" s="48"/>
      <c r="G321" s="48"/>
      <c r="H321" s="48"/>
      <c r="I321" s="48"/>
    </row>
    <row r="322" spans="1:9" hidden="1" x14ac:dyDescent="0.2">
      <c r="A322" s="46"/>
      <c r="B322" s="46"/>
      <c r="C322" s="46"/>
      <c r="D322" s="48"/>
      <c r="E322" s="48"/>
      <c r="F322" s="48"/>
      <c r="G322" s="48"/>
      <c r="H322" s="48"/>
      <c r="I322" s="48"/>
    </row>
    <row r="323" spans="1:9" hidden="1" x14ac:dyDescent="0.2">
      <c r="A323" s="46"/>
      <c r="B323" s="46"/>
      <c r="C323" s="46"/>
      <c r="D323" s="48"/>
      <c r="E323" s="48"/>
      <c r="F323" s="48"/>
      <c r="G323" s="48"/>
      <c r="H323" s="48"/>
      <c r="I323" s="48"/>
    </row>
    <row r="324" spans="1:9" hidden="1" x14ac:dyDescent="0.2">
      <c r="A324" s="46"/>
      <c r="B324" s="46"/>
      <c r="C324" s="46"/>
      <c r="D324" s="48"/>
      <c r="E324" s="48"/>
      <c r="F324" s="48"/>
      <c r="G324" s="48"/>
      <c r="H324" s="48"/>
      <c r="I324" s="48"/>
    </row>
    <row r="325" spans="1:9" hidden="1" x14ac:dyDescent="0.2">
      <c r="A325" s="46"/>
      <c r="B325" s="46"/>
      <c r="C325" s="46"/>
      <c r="D325" s="48"/>
      <c r="E325" s="48"/>
      <c r="F325" s="48"/>
      <c r="G325" s="48"/>
      <c r="H325" s="48"/>
      <c r="I325" s="48"/>
    </row>
    <row r="326" spans="1:9" hidden="1" x14ac:dyDescent="0.2">
      <c r="A326" s="46"/>
      <c r="B326" s="46"/>
      <c r="C326" s="46"/>
      <c r="D326" s="48"/>
      <c r="E326" s="48"/>
      <c r="F326" s="48"/>
      <c r="G326" s="48"/>
      <c r="H326" s="48"/>
      <c r="I326" s="48"/>
    </row>
    <row r="327" spans="1:9" hidden="1" x14ac:dyDescent="0.2">
      <c r="A327" s="46"/>
      <c r="B327" s="46"/>
      <c r="C327" s="46"/>
      <c r="D327" s="48"/>
      <c r="E327" s="48"/>
      <c r="F327" s="48"/>
      <c r="G327" s="48"/>
      <c r="H327" s="48"/>
      <c r="I327" s="48"/>
    </row>
    <row r="328" spans="1:9" hidden="1" x14ac:dyDescent="0.2">
      <c r="A328" s="46"/>
      <c r="B328" s="46"/>
      <c r="C328" s="46"/>
      <c r="D328" s="48"/>
      <c r="E328" s="48"/>
      <c r="F328" s="48"/>
      <c r="G328" s="48"/>
      <c r="H328" s="48"/>
      <c r="I328" s="48"/>
    </row>
    <row r="329" spans="1:9" hidden="1" x14ac:dyDescent="0.2">
      <c r="A329" s="46"/>
      <c r="B329" s="46"/>
      <c r="C329" s="46"/>
      <c r="D329" s="48"/>
      <c r="E329" s="48"/>
      <c r="F329" s="48"/>
      <c r="G329" s="48"/>
      <c r="H329" s="48"/>
      <c r="I329" s="48"/>
    </row>
    <row r="330" spans="1:9" hidden="1" x14ac:dyDescent="0.2">
      <c r="A330" s="46"/>
      <c r="B330" s="46"/>
      <c r="C330" s="46"/>
      <c r="D330" s="48"/>
      <c r="E330" s="48"/>
      <c r="F330" s="48"/>
      <c r="G330" s="48"/>
      <c r="H330" s="48"/>
      <c r="I330" s="48"/>
    </row>
    <row r="331" spans="1:9" hidden="1" x14ac:dyDescent="0.2">
      <c r="A331" s="46"/>
      <c r="B331" s="46"/>
      <c r="C331" s="46"/>
      <c r="D331" s="48"/>
      <c r="E331" s="48"/>
      <c r="F331" s="48"/>
      <c r="G331" s="48"/>
      <c r="H331" s="48"/>
      <c r="I331" s="48"/>
    </row>
    <row r="332" spans="1:9" hidden="1" x14ac:dyDescent="0.2">
      <c r="A332" s="46"/>
      <c r="B332" s="46"/>
      <c r="C332" s="46"/>
      <c r="D332" s="48"/>
      <c r="E332" s="48"/>
      <c r="F332" s="48"/>
      <c r="G332" s="48"/>
      <c r="H332" s="48"/>
      <c r="I332" s="48"/>
    </row>
    <row r="333" spans="1:9" hidden="1" x14ac:dyDescent="0.2">
      <c r="A333" s="46"/>
      <c r="B333" s="46"/>
      <c r="C333" s="46"/>
      <c r="D333" s="48"/>
      <c r="E333" s="48"/>
      <c r="F333" s="48"/>
      <c r="G333" s="48"/>
      <c r="H333" s="48"/>
      <c r="I333" s="48"/>
    </row>
    <row r="334" spans="1:9" hidden="1" x14ac:dyDescent="0.2">
      <c r="A334" s="46"/>
      <c r="B334" s="46"/>
      <c r="C334" s="46"/>
      <c r="D334" s="48"/>
      <c r="E334" s="48"/>
      <c r="F334" s="48"/>
      <c r="G334" s="48"/>
      <c r="H334" s="48"/>
      <c r="I334" s="48"/>
    </row>
    <row r="335" spans="1:9" hidden="1" x14ac:dyDescent="0.2">
      <c r="A335" s="46"/>
      <c r="B335" s="46"/>
      <c r="C335" s="46"/>
      <c r="D335" s="48"/>
      <c r="E335" s="48"/>
      <c r="F335" s="48"/>
      <c r="G335" s="48"/>
      <c r="H335" s="48"/>
      <c r="I335" s="48"/>
    </row>
    <row r="336" spans="1:9" hidden="1" x14ac:dyDescent="0.2">
      <c r="A336" s="46"/>
      <c r="B336" s="46"/>
      <c r="C336" s="46"/>
      <c r="D336" s="48"/>
      <c r="E336" s="48"/>
      <c r="F336" s="48"/>
      <c r="G336" s="48"/>
      <c r="H336" s="48"/>
      <c r="I336" s="48"/>
    </row>
    <row r="337" spans="1:9" hidden="1" x14ac:dyDescent="0.2">
      <c r="A337" s="46"/>
      <c r="B337" s="46"/>
      <c r="C337" s="46"/>
      <c r="D337" s="48"/>
      <c r="E337" s="48"/>
      <c r="F337" s="48"/>
      <c r="G337" s="48"/>
      <c r="H337" s="48"/>
      <c r="I337" s="48"/>
    </row>
    <row r="338" spans="1:9" hidden="1" x14ac:dyDescent="0.2">
      <c r="A338" s="46"/>
      <c r="B338" s="46"/>
      <c r="C338" s="46"/>
      <c r="D338" s="48"/>
      <c r="E338" s="48"/>
      <c r="F338" s="48"/>
      <c r="G338" s="48"/>
      <c r="H338" s="48"/>
      <c r="I338" s="48"/>
    </row>
    <row r="339" spans="1:9" hidden="1" x14ac:dyDescent="0.2">
      <c r="A339" s="46"/>
      <c r="B339" s="46"/>
      <c r="C339" s="46"/>
      <c r="D339" s="48"/>
      <c r="E339" s="48"/>
      <c r="F339" s="48"/>
      <c r="G339" s="48"/>
      <c r="H339" s="48"/>
      <c r="I339" s="48"/>
    </row>
    <row r="340" spans="1:9" hidden="1" x14ac:dyDescent="0.2">
      <c r="A340" s="46"/>
      <c r="B340" s="46"/>
      <c r="C340" s="46"/>
      <c r="D340" s="48"/>
      <c r="E340" s="48"/>
      <c r="F340" s="48"/>
      <c r="G340" s="48"/>
      <c r="H340" s="48"/>
      <c r="I340" s="48"/>
    </row>
    <row r="341" spans="1:9" hidden="1" x14ac:dyDescent="0.2">
      <c r="A341" s="46"/>
      <c r="B341" s="46"/>
      <c r="C341" s="46"/>
      <c r="D341" s="48"/>
      <c r="E341" s="48"/>
      <c r="F341" s="48"/>
      <c r="G341" s="48"/>
      <c r="H341" s="48"/>
      <c r="I341" s="48"/>
    </row>
    <row r="342" spans="1:9" hidden="1" x14ac:dyDescent="0.2">
      <c r="A342" s="46"/>
      <c r="B342" s="46"/>
      <c r="C342" s="46"/>
      <c r="D342" s="48"/>
      <c r="E342" s="48"/>
      <c r="F342" s="48"/>
      <c r="G342" s="48"/>
      <c r="H342" s="48"/>
      <c r="I342" s="48"/>
    </row>
    <row r="343" spans="1:9" hidden="1" x14ac:dyDescent="0.2">
      <c r="A343" s="46"/>
      <c r="B343" s="46"/>
      <c r="C343" s="46"/>
      <c r="D343" s="48"/>
      <c r="E343" s="48"/>
      <c r="F343" s="48"/>
      <c r="G343" s="48"/>
      <c r="H343" s="48"/>
      <c r="I343" s="48"/>
    </row>
    <row r="344" spans="1:9" hidden="1" x14ac:dyDescent="0.2">
      <c r="A344" s="46"/>
      <c r="B344" s="46"/>
      <c r="C344" s="46"/>
      <c r="D344" s="48"/>
      <c r="E344" s="48"/>
      <c r="F344" s="48"/>
      <c r="G344" s="48"/>
      <c r="H344" s="48"/>
      <c r="I344" s="48"/>
    </row>
    <row r="345" spans="1:9" hidden="1" x14ac:dyDescent="0.2">
      <c r="A345" s="46"/>
      <c r="B345" s="46"/>
      <c r="C345" s="46"/>
      <c r="D345" s="48"/>
      <c r="E345" s="48"/>
      <c r="F345" s="48"/>
      <c r="G345" s="48"/>
      <c r="H345" s="48"/>
      <c r="I345" s="48"/>
    </row>
    <row r="346" spans="1:9" hidden="1" x14ac:dyDescent="0.2">
      <c r="A346" s="46"/>
      <c r="B346" s="46"/>
      <c r="C346" s="46"/>
      <c r="D346" s="48"/>
      <c r="E346" s="48"/>
      <c r="F346" s="48"/>
      <c r="G346" s="48"/>
      <c r="H346" s="48"/>
      <c r="I346" s="48"/>
    </row>
    <row r="347" spans="1:9" hidden="1" x14ac:dyDescent="0.2">
      <c r="A347" s="46"/>
      <c r="B347" s="46"/>
      <c r="C347" s="46"/>
      <c r="D347" s="48"/>
      <c r="E347" s="48"/>
      <c r="F347" s="48"/>
      <c r="G347" s="48"/>
      <c r="H347" s="48"/>
      <c r="I347" s="48"/>
    </row>
    <row r="348" spans="1:9" hidden="1" x14ac:dyDescent="0.2">
      <c r="A348" s="46"/>
      <c r="B348" s="46"/>
      <c r="C348" s="46"/>
      <c r="D348" s="48"/>
      <c r="E348" s="48"/>
      <c r="F348" s="48"/>
      <c r="G348" s="48"/>
      <c r="H348" s="48"/>
      <c r="I348" s="48"/>
    </row>
    <row r="349" spans="1:9" hidden="1" x14ac:dyDescent="0.2">
      <c r="A349" s="46"/>
      <c r="B349" s="46"/>
      <c r="C349" s="46"/>
      <c r="D349" s="48"/>
      <c r="E349" s="48"/>
      <c r="F349" s="48"/>
      <c r="G349" s="48"/>
      <c r="H349" s="48"/>
      <c r="I349" s="48"/>
    </row>
    <row r="350" spans="1:9" hidden="1" x14ac:dyDescent="0.2">
      <c r="A350" s="46"/>
      <c r="B350" s="46"/>
      <c r="C350" s="46"/>
      <c r="D350" s="48"/>
      <c r="E350" s="48"/>
      <c r="F350" s="48"/>
      <c r="G350" s="48"/>
      <c r="H350" s="48"/>
      <c r="I350" s="48"/>
    </row>
    <row r="351" spans="1:9" hidden="1" x14ac:dyDescent="0.2">
      <c r="A351" s="46"/>
      <c r="B351" s="46"/>
      <c r="C351" s="46"/>
      <c r="D351" s="48"/>
      <c r="E351" s="48"/>
      <c r="F351" s="48"/>
      <c r="G351" s="48"/>
      <c r="H351" s="48"/>
      <c r="I351" s="48"/>
    </row>
    <row r="352" spans="1:9" hidden="1" x14ac:dyDescent="0.2">
      <c r="A352" s="46"/>
      <c r="B352" s="46"/>
      <c r="C352" s="46"/>
      <c r="D352" s="48"/>
      <c r="E352" s="48"/>
      <c r="F352" s="48"/>
      <c r="G352" s="48"/>
      <c r="H352" s="48"/>
      <c r="I352" s="48"/>
    </row>
    <row r="353" spans="1:9" hidden="1" x14ac:dyDescent="0.2">
      <c r="A353" s="46"/>
      <c r="B353" s="46"/>
      <c r="C353" s="46"/>
      <c r="D353" s="48"/>
      <c r="E353" s="48"/>
      <c r="F353" s="48"/>
      <c r="G353" s="48"/>
      <c r="H353" s="48"/>
      <c r="I353" s="48"/>
    </row>
    <row r="354" spans="1:9" hidden="1" x14ac:dyDescent="0.2">
      <c r="A354" s="46"/>
      <c r="B354" s="46"/>
      <c r="C354" s="46"/>
      <c r="D354" s="48"/>
      <c r="E354" s="48"/>
      <c r="F354" s="48"/>
      <c r="G354" s="48"/>
      <c r="H354" s="48"/>
      <c r="I354" s="48"/>
    </row>
    <row r="355" spans="1:9" hidden="1" x14ac:dyDescent="0.2">
      <c r="A355" s="46"/>
      <c r="B355" s="46"/>
      <c r="C355" s="46"/>
      <c r="D355" s="48"/>
      <c r="E355" s="48"/>
      <c r="F355" s="48"/>
      <c r="G355" s="48"/>
      <c r="H355" s="48"/>
      <c r="I355" s="48"/>
    </row>
    <row r="356" spans="1:9" hidden="1" x14ac:dyDescent="0.2">
      <c r="A356" s="46"/>
      <c r="B356" s="46"/>
      <c r="C356" s="46"/>
      <c r="D356" s="48"/>
      <c r="E356" s="48"/>
      <c r="F356" s="48"/>
      <c r="G356" s="48"/>
      <c r="H356" s="48"/>
      <c r="I356" s="48"/>
    </row>
    <row r="357" spans="1:9" hidden="1" x14ac:dyDescent="0.2">
      <c r="A357" s="46"/>
      <c r="B357" s="46"/>
      <c r="C357" s="46"/>
      <c r="D357" s="48"/>
      <c r="E357" s="48"/>
      <c r="F357" s="48"/>
      <c r="G357" s="48"/>
      <c r="H357" s="48"/>
      <c r="I357" s="48"/>
    </row>
    <row r="358" spans="1:9" hidden="1" x14ac:dyDescent="0.2">
      <c r="A358" s="46"/>
      <c r="B358" s="46"/>
      <c r="C358" s="46"/>
      <c r="D358" s="48"/>
      <c r="E358" s="48"/>
      <c r="F358" s="48"/>
      <c r="G358" s="48"/>
      <c r="H358" s="48"/>
      <c r="I358" s="48"/>
    </row>
    <row r="359" spans="1:9" hidden="1" x14ac:dyDescent="0.2">
      <c r="A359" s="46"/>
      <c r="B359" s="46"/>
      <c r="C359" s="46"/>
      <c r="D359" s="48"/>
      <c r="E359" s="48"/>
      <c r="F359" s="48"/>
      <c r="G359" s="48"/>
      <c r="H359" s="48"/>
      <c r="I359" s="48"/>
    </row>
    <row r="360" spans="1:9" hidden="1" x14ac:dyDescent="0.2">
      <c r="A360" s="46"/>
      <c r="B360" s="46"/>
      <c r="C360" s="46"/>
      <c r="D360" s="48"/>
      <c r="E360" s="48"/>
      <c r="F360" s="48"/>
      <c r="G360" s="48"/>
      <c r="H360" s="48"/>
      <c r="I360" s="48"/>
    </row>
    <row r="361" spans="1:9" hidden="1" x14ac:dyDescent="0.2">
      <c r="A361" s="46"/>
      <c r="B361" s="46"/>
      <c r="C361" s="46"/>
      <c r="D361" s="48"/>
      <c r="E361" s="48"/>
      <c r="F361" s="48"/>
      <c r="G361" s="48"/>
      <c r="H361" s="48"/>
      <c r="I361" s="48"/>
    </row>
    <row r="362" spans="1:9" hidden="1" x14ac:dyDescent="0.2">
      <c r="A362" s="46"/>
      <c r="B362" s="46"/>
      <c r="C362" s="46"/>
      <c r="D362" s="48"/>
      <c r="E362" s="48"/>
      <c r="F362" s="48"/>
      <c r="G362" s="48"/>
      <c r="H362" s="48"/>
      <c r="I362" s="48"/>
    </row>
    <row r="363" spans="1:9" hidden="1" x14ac:dyDescent="0.2">
      <c r="A363" s="46"/>
      <c r="B363" s="46"/>
      <c r="C363" s="46"/>
      <c r="D363" s="48"/>
      <c r="E363" s="48"/>
      <c r="F363" s="48"/>
      <c r="G363" s="48"/>
      <c r="H363" s="48"/>
      <c r="I363" s="48"/>
    </row>
    <row r="364" spans="1:9" hidden="1" x14ac:dyDescent="0.2">
      <c r="A364" s="46"/>
      <c r="B364" s="46"/>
      <c r="C364" s="46"/>
      <c r="D364" s="48"/>
      <c r="E364" s="48"/>
      <c r="F364" s="48"/>
      <c r="G364" s="48"/>
      <c r="H364" s="48"/>
      <c r="I364" s="48"/>
    </row>
    <row r="365" spans="1:9" hidden="1" x14ac:dyDescent="0.2">
      <c r="A365" s="46"/>
      <c r="B365" s="46"/>
      <c r="C365" s="46"/>
      <c r="D365" s="48"/>
      <c r="E365" s="48"/>
      <c r="F365" s="48"/>
      <c r="G365" s="48"/>
      <c r="H365" s="48"/>
      <c r="I365" s="48"/>
    </row>
    <row r="366" spans="1:9" hidden="1" x14ac:dyDescent="0.2">
      <c r="A366" s="46"/>
      <c r="B366" s="46"/>
      <c r="C366" s="46"/>
      <c r="D366" s="48"/>
      <c r="E366" s="48"/>
      <c r="F366" s="48"/>
      <c r="G366" s="48"/>
      <c r="H366" s="48"/>
      <c r="I366" s="48"/>
    </row>
    <row r="367" spans="1:9" hidden="1" x14ac:dyDescent="0.2">
      <c r="A367" s="46"/>
      <c r="B367" s="46"/>
      <c r="C367" s="46"/>
      <c r="D367" s="48"/>
      <c r="E367" s="48"/>
      <c r="F367" s="48"/>
      <c r="G367" s="48"/>
      <c r="H367" s="48"/>
      <c r="I367" s="48"/>
    </row>
    <row r="368" spans="1:9" hidden="1" x14ac:dyDescent="0.2">
      <c r="A368" s="46"/>
      <c r="B368" s="46"/>
      <c r="C368" s="46"/>
      <c r="D368" s="48"/>
      <c r="E368" s="48"/>
      <c r="F368" s="48"/>
      <c r="G368" s="48"/>
      <c r="H368" s="48"/>
      <c r="I368" s="48"/>
    </row>
    <row r="369" spans="1:9" hidden="1" x14ac:dyDescent="0.2">
      <c r="A369" s="46"/>
      <c r="B369" s="46"/>
      <c r="C369" s="46"/>
      <c r="D369" s="48"/>
      <c r="E369" s="48"/>
      <c r="F369" s="48"/>
      <c r="G369" s="48"/>
      <c r="H369" s="48"/>
      <c r="I369" s="48"/>
    </row>
    <row r="370" spans="1:9" hidden="1" x14ac:dyDescent="0.2">
      <c r="A370" s="46"/>
      <c r="B370" s="46"/>
      <c r="C370" s="46"/>
      <c r="D370" s="48"/>
      <c r="E370" s="48"/>
      <c r="F370" s="48"/>
      <c r="G370" s="48"/>
      <c r="H370" s="48"/>
      <c r="I370" s="48"/>
    </row>
    <row r="371" spans="1:9" hidden="1" x14ac:dyDescent="0.2">
      <c r="A371" s="46"/>
      <c r="B371" s="46"/>
      <c r="C371" s="46"/>
      <c r="D371" s="48"/>
      <c r="E371" s="48"/>
      <c r="F371" s="48"/>
      <c r="G371" s="48"/>
      <c r="H371" s="48"/>
      <c r="I371" s="48"/>
    </row>
    <row r="372" spans="1:9" hidden="1" x14ac:dyDescent="0.2">
      <c r="A372" s="46"/>
      <c r="B372" s="46"/>
      <c r="C372" s="46"/>
      <c r="D372" s="48"/>
      <c r="E372" s="48"/>
      <c r="F372" s="48"/>
      <c r="G372" s="48"/>
      <c r="H372" s="48"/>
      <c r="I372" s="48"/>
    </row>
    <row r="373" spans="1:9" hidden="1" x14ac:dyDescent="0.2">
      <c r="A373" s="46"/>
      <c r="B373" s="46"/>
      <c r="C373" s="46"/>
      <c r="D373" s="48"/>
      <c r="E373" s="48"/>
      <c r="F373" s="48"/>
      <c r="G373" s="48"/>
      <c r="H373" s="48"/>
      <c r="I373" s="48"/>
    </row>
    <row r="374" spans="1:9" hidden="1" x14ac:dyDescent="0.2">
      <c r="A374" s="46"/>
      <c r="B374" s="46"/>
      <c r="C374" s="46"/>
      <c r="D374" s="48"/>
      <c r="E374" s="48"/>
      <c r="F374" s="48"/>
      <c r="G374" s="48"/>
      <c r="H374" s="48"/>
      <c r="I374" s="48"/>
    </row>
    <row r="375" spans="1:9" hidden="1" x14ac:dyDescent="0.2">
      <c r="A375" s="46"/>
      <c r="B375" s="46"/>
      <c r="C375" s="46"/>
      <c r="D375" s="48"/>
      <c r="E375" s="48"/>
      <c r="F375" s="48"/>
      <c r="G375" s="48"/>
      <c r="H375" s="48"/>
      <c r="I375" s="48"/>
    </row>
    <row r="376" spans="1:9" hidden="1" x14ac:dyDescent="0.2">
      <c r="A376" s="46"/>
      <c r="B376" s="46"/>
      <c r="C376" s="46"/>
      <c r="D376" s="48"/>
      <c r="E376" s="48"/>
      <c r="F376" s="48"/>
      <c r="G376" s="48"/>
      <c r="H376" s="48"/>
      <c r="I376" s="48"/>
    </row>
    <row r="377" spans="1:9" hidden="1" x14ac:dyDescent="0.2">
      <c r="A377" s="46"/>
      <c r="B377" s="46"/>
      <c r="C377" s="46"/>
      <c r="D377" s="48"/>
      <c r="E377" s="48"/>
      <c r="F377" s="48"/>
      <c r="G377" s="48"/>
      <c r="H377" s="48"/>
      <c r="I377" s="48"/>
    </row>
    <row r="378" spans="1:9" hidden="1" x14ac:dyDescent="0.2">
      <c r="A378" s="46"/>
      <c r="B378" s="46"/>
      <c r="C378" s="46"/>
      <c r="D378" s="48"/>
      <c r="E378" s="48"/>
      <c r="F378" s="48"/>
      <c r="G378" s="48"/>
      <c r="H378" s="48"/>
      <c r="I378" s="48"/>
    </row>
    <row r="379" spans="1:9" hidden="1" x14ac:dyDescent="0.2">
      <c r="A379" s="46"/>
      <c r="B379" s="46"/>
      <c r="C379" s="46"/>
      <c r="D379" s="48"/>
      <c r="E379" s="48"/>
      <c r="F379" s="48"/>
      <c r="G379" s="48"/>
      <c r="H379" s="48"/>
      <c r="I379" s="48"/>
    </row>
    <row r="380" spans="1:9" hidden="1" x14ac:dyDescent="0.2">
      <c r="A380" s="46"/>
      <c r="B380" s="46"/>
      <c r="C380" s="46"/>
      <c r="D380" s="48"/>
      <c r="E380" s="48"/>
      <c r="F380" s="48"/>
      <c r="G380" s="48"/>
      <c r="H380" s="48"/>
      <c r="I380" s="48"/>
    </row>
    <row r="381" spans="1:9" hidden="1" x14ac:dyDescent="0.2">
      <c r="A381" s="46"/>
      <c r="B381" s="46"/>
      <c r="C381" s="46"/>
      <c r="D381" s="48"/>
      <c r="E381" s="48"/>
      <c r="F381" s="48"/>
      <c r="G381" s="48"/>
      <c r="H381" s="48"/>
      <c r="I381" s="48"/>
    </row>
    <row r="382" spans="1:9" hidden="1" x14ac:dyDescent="0.2">
      <c r="A382" s="46"/>
      <c r="B382" s="46"/>
      <c r="C382" s="46"/>
      <c r="D382" s="48"/>
      <c r="E382" s="48"/>
      <c r="F382" s="48"/>
      <c r="G382" s="48"/>
      <c r="H382" s="48"/>
      <c r="I382" s="48"/>
    </row>
    <row r="383" spans="1:9" hidden="1" x14ac:dyDescent="0.2">
      <c r="A383" s="46"/>
      <c r="B383" s="46"/>
      <c r="C383" s="46"/>
      <c r="D383" s="48"/>
      <c r="E383" s="48"/>
      <c r="F383" s="48"/>
      <c r="G383" s="48"/>
      <c r="H383" s="48"/>
      <c r="I383" s="48"/>
    </row>
    <row r="384" spans="1:9" hidden="1" x14ac:dyDescent="0.2">
      <c r="A384" s="46"/>
      <c r="B384" s="46"/>
      <c r="C384" s="46"/>
      <c r="D384" s="48"/>
      <c r="E384" s="48"/>
      <c r="F384" s="48"/>
      <c r="G384" s="48"/>
      <c r="H384" s="48"/>
      <c r="I384" s="48"/>
    </row>
    <row r="385" spans="1:9" hidden="1" x14ac:dyDescent="0.2">
      <c r="A385" s="46"/>
      <c r="B385" s="46"/>
      <c r="C385" s="46"/>
      <c r="D385" s="48"/>
      <c r="E385" s="48"/>
      <c r="F385" s="48"/>
      <c r="G385" s="48"/>
      <c r="H385" s="48"/>
      <c r="I385" s="48"/>
    </row>
    <row r="386" spans="1:9" hidden="1" x14ac:dyDescent="0.2">
      <c r="A386" s="46"/>
      <c r="B386" s="46"/>
      <c r="C386" s="46"/>
      <c r="D386" s="48"/>
      <c r="E386" s="48"/>
      <c r="F386" s="48"/>
      <c r="G386" s="48"/>
      <c r="H386" s="48"/>
      <c r="I386" s="48"/>
    </row>
    <row r="387" spans="1:9" hidden="1" x14ac:dyDescent="0.2">
      <c r="A387" s="46"/>
      <c r="B387" s="46"/>
      <c r="C387" s="46"/>
      <c r="D387" s="48"/>
      <c r="E387" s="48"/>
      <c r="F387" s="48"/>
      <c r="G387" s="48"/>
      <c r="H387" s="48"/>
      <c r="I387" s="48"/>
    </row>
    <row r="388" spans="1:9" hidden="1" x14ac:dyDescent="0.2">
      <c r="A388" s="46"/>
      <c r="B388" s="46"/>
      <c r="C388" s="46"/>
      <c r="D388" s="48"/>
      <c r="E388" s="48"/>
      <c r="F388" s="48"/>
      <c r="G388" s="48"/>
      <c r="H388" s="48"/>
      <c r="I388" s="48"/>
    </row>
    <row r="389" spans="1:9" hidden="1" x14ac:dyDescent="0.2">
      <c r="A389" s="46"/>
      <c r="B389" s="46"/>
      <c r="C389" s="46"/>
      <c r="D389" s="48"/>
      <c r="E389" s="48"/>
      <c r="F389" s="48"/>
      <c r="G389" s="48"/>
      <c r="H389" s="48"/>
      <c r="I389" s="48"/>
    </row>
    <row r="390" spans="1:9" hidden="1" x14ac:dyDescent="0.2">
      <c r="A390" s="46"/>
      <c r="B390" s="46"/>
      <c r="C390" s="46"/>
      <c r="D390" s="48"/>
      <c r="E390" s="48"/>
      <c r="F390" s="48"/>
      <c r="G390" s="48"/>
      <c r="H390" s="48"/>
      <c r="I390" s="48"/>
    </row>
    <row r="391" spans="1:9" hidden="1" x14ac:dyDescent="0.2">
      <c r="A391" s="46"/>
      <c r="B391" s="46"/>
      <c r="C391" s="46"/>
      <c r="D391" s="48"/>
      <c r="E391" s="48"/>
      <c r="F391" s="48"/>
      <c r="G391" s="48"/>
      <c r="H391" s="48"/>
      <c r="I391" s="48"/>
    </row>
    <row r="392" spans="1:9" hidden="1" x14ac:dyDescent="0.2">
      <c r="A392" s="46"/>
      <c r="B392" s="46"/>
      <c r="C392" s="46"/>
      <c r="D392" s="48"/>
      <c r="E392" s="48"/>
      <c r="F392" s="48"/>
      <c r="G392" s="48"/>
      <c r="H392" s="48"/>
      <c r="I392" s="48"/>
    </row>
    <row r="393" spans="1:9" hidden="1" x14ac:dyDescent="0.2">
      <c r="A393" s="46"/>
      <c r="B393" s="46"/>
      <c r="C393" s="46"/>
      <c r="D393" s="48"/>
      <c r="E393" s="48"/>
      <c r="F393" s="48"/>
      <c r="G393" s="48"/>
      <c r="H393" s="48"/>
      <c r="I393" s="48"/>
    </row>
    <row r="394" spans="1:9" hidden="1" x14ac:dyDescent="0.2">
      <c r="A394" s="46"/>
      <c r="B394" s="46"/>
      <c r="C394" s="46"/>
      <c r="D394" s="48"/>
      <c r="E394" s="48"/>
      <c r="F394" s="48"/>
      <c r="G394" s="48"/>
      <c r="H394" s="48"/>
      <c r="I394" s="48"/>
    </row>
    <row r="395" spans="1:9" hidden="1" x14ac:dyDescent="0.2">
      <c r="A395" s="46"/>
      <c r="B395" s="46"/>
      <c r="C395" s="46"/>
      <c r="D395" s="48"/>
      <c r="E395" s="48"/>
      <c r="F395" s="48"/>
      <c r="G395" s="48"/>
      <c r="H395" s="48"/>
      <c r="I395" s="48"/>
    </row>
    <row r="396" spans="1:9" hidden="1" x14ac:dyDescent="0.2">
      <c r="A396" s="46"/>
      <c r="B396" s="46"/>
      <c r="C396" s="46"/>
      <c r="D396" s="48"/>
      <c r="E396" s="48"/>
      <c r="F396" s="48"/>
      <c r="G396" s="48"/>
      <c r="H396" s="48"/>
      <c r="I396" s="48"/>
    </row>
    <row r="397" spans="1:9" hidden="1" x14ac:dyDescent="0.2">
      <c r="A397" s="46"/>
      <c r="B397" s="46"/>
      <c r="C397" s="46"/>
      <c r="D397" s="48"/>
      <c r="E397" s="48"/>
      <c r="F397" s="48"/>
      <c r="G397" s="48"/>
      <c r="H397" s="48"/>
      <c r="I397" s="48"/>
    </row>
    <row r="398" spans="1:9" hidden="1" x14ac:dyDescent="0.2">
      <c r="A398" s="46"/>
      <c r="B398" s="46"/>
      <c r="C398" s="46"/>
      <c r="D398" s="48"/>
      <c r="E398" s="48"/>
      <c r="F398" s="48"/>
      <c r="G398" s="48"/>
      <c r="H398" s="48"/>
      <c r="I398" s="48"/>
    </row>
    <row r="399" spans="1:9" hidden="1" x14ac:dyDescent="0.2">
      <c r="A399" s="46"/>
      <c r="B399" s="46"/>
      <c r="C399" s="46"/>
      <c r="D399" s="48"/>
      <c r="E399" s="48"/>
      <c r="F399" s="48"/>
      <c r="G399" s="48"/>
      <c r="H399" s="48"/>
      <c r="I399" s="48"/>
    </row>
    <row r="400" spans="1:9" hidden="1" x14ac:dyDescent="0.2">
      <c r="A400" s="46"/>
      <c r="B400" s="46"/>
      <c r="C400" s="46"/>
      <c r="D400" s="48"/>
      <c r="E400" s="48"/>
      <c r="F400" s="48"/>
      <c r="G400" s="48"/>
      <c r="H400" s="48"/>
      <c r="I400" s="48"/>
    </row>
    <row r="401" spans="1:9" hidden="1" x14ac:dyDescent="0.2">
      <c r="A401" s="46"/>
      <c r="B401" s="46"/>
      <c r="C401" s="46"/>
      <c r="D401" s="48"/>
      <c r="E401" s="48"/>
      <c r="F401" s="48"/>
      <c r="G401" s="48"/>
      <c r="H401" s="48"/>
      <c r="I401" s="48"/>
    </row>
    <row r="402" spans="1:9" hidden="1" x14ac:dyDescent="0.2">
      <c r="A402" s="46"/>
      <c r="B402" s="46"/>
      <c r="C402" s="46"/>
      <c r="D402" s="48"/>
      <c r="E402" s="48"/>
      <c r="F402" s="48"/>
      <c r="G402" s="48"/>
      <c r="H402" s="48"/>
      <c r="I402" s="48"/>
    </row>
    <row r="403" spans="1:9" hidden="1" x14ac:dyDescent="0.2">
      <c r="A403" s="46"/>
      <c r="B403" s="46"/>
      <c r="C403" s="46"/>
      <c r="D403" s="48"/>
      <c r="E403" s="48"/>
      <c r="F403" s="48"/>
      <c r="G403" s="48"/>
      <c r="H403" s="48"/>
      <c r="I403" s="48"/>
    </row>
    <row r="404" spans="1:9" hidden="1" x14ac:dyDescent="0.2">
      <c r="A404" s="46"/>
      <c r="B404" s="46"/>
      <c r="C404" s="46"/>
      <c r="D404" s="48"/>
      <c r="E404" s="48"/>
      <c r="F404" s="48"/>
      <c r="G404" s="48"/>
      <c r="H404" s="48"/>
      <c r="I404" s="48"/>
    </row>
    <row r="405" spans="1:9" hidden="1" x14ac:dyDescent="0.2">
      <c r="A405" s="46"/>
      <c r="B405" s="46"/>
      <c r="C405" s="46"/>
      <c r="D405" s="48"/>
      <c r="E405" s="48"/>
      <c r="F405" s="48"/>
      <c r="G405" s="48"/>
      <c r="H405" s="48"/>
      <c r="I405" s="48"/>
    </row>
    <row r="406" spans="1:9" hidden="1" x14ac:dyDescent="0.2">
      <c r="A406" s="46"/>
      <c r="B406" s="46"/>
      <c r="C406" s="46"/>
      <c r="D406" s="48"/>
      <c r="E406" s="48"/>
      <c r="F406" s="48"/>
      <c r="G406" s="48"/>
      <c r="H406" s="48"/>
      <c r="I406" s="48"/>
    </row>
    <row r="407" spans="1:9" hidden="1" x14ac:dyDescent="0.2">
      <c r="A407" s="46"/>
      <c r="B407" s="46"/>
      <c r="C407" s="46"/>
      <c r="D407" s="48"/>
      <c r="E407" s="48"/>
      <c r="F407" s="48"/>
      <c r="G407" s="48"/>
      <c r="H407" s="48"/>
      <c r="I407" s="48"/>
    </row>
    <row r="408" spans="1:9" hidden="1" x14ac:dyDescent="0.2">
      <c r="A408" s="46"/>
      <c r="B408" s="46"/>
      <c r="C408" s="46"/>
      <c r="D408" s="48"/>
      <c r="E408" s="48"/>
      <c r="F408" s="48"/>
      <c r="G408" s="48"/>
      <c r="H408" s="48"/>
      <c r="I408" s="48"/>
    </row>
    <row r="409" spans="1:9" hidden="1" x14ac:dyDescent="0.2">
      <c r="A409" s="46"/>
      <c r="B409" s="46"/>
      <c r="C409" s="46"/>
      <c r="D409" s="48"/>
      <c r="E409" s="48"/>
      <c r="F409" s="48"/>
      <c r="G409" s="48"/>
      <c r="H409" s="48"/>
      <c r="I409" s="48"/>
    </row>
    <row r="410" spans="1:9" hidden="1" x14ac:dyDescent="0.2">
      <c r="A410" s="46"/>
      <c r="B410" s="46"/>
      <c r="C410" s="46"/>
      <c r="D410" s="48"/>
      <c r="E410" s="48"/>
      <c r="F410" s="48"/>
      <c r="G410" s="48"/>
      <c r="H410" s="48"/>
      <c r="I410" s="48"/>
    </row>
    <row r="411" spans="1:9" hidden="1" x14ac:dyDescent="0.2">
      <c r="A411" s="46"/>
      <c r="B411" s="46"/>
      <c r="C411" s="46"/>
      <c r="D411" s="48"/>
      <c r="E411" s="48"/>
      <c r="F411" s="48"/>
      <c r="G411" s="48"/>
      <c r="H411" s="48"/>
      <c r="I411" s="48"/>
    </row>
    <row r="412" spans="1:9" hidden="1" x14ac:dyDescent="0.2">
      <c r="A412" s="46"/>
      <c r="B412" s="46"/>
      <c r="C412" s="46"/>
      <c r="D412" s="48"/>
      <c r="E412" s="48"/>
      <c r="F412" s="48"/>
      <c r="G412" s="48"/>
      <c r="H412" s="48"/>
      <c r="I412" s="48"/>
    </row>
    <row r="413" spans="1:9" hidden="1" x14ac:dyDescent="0.2">
      <c r="A413" s="46"/>
      <c r="B413" s="46"/>
      <c r="C413" s="46"/>
      <c r="D413" s="48"/>
      <c r="E413" s="48"/>
      <c r="F413" s="48"/>
      <c r="G413" s="48"/>
      <c r="H413" s="48"/>
      <c r="I413" s="48"/>
    </row>
    <row r="414" spans="1:9" hidden="1" x14ac:dyDescent="0.2">
      <c r="A414" s="46"/>
      <c r="B414" s="46"/>
      <c r="C414" s="46"/>
      <c r="D414" s="48"/>
      <c r="E414" s="48"/>
      <c r="F414" s="48"/>
      <c r="G414" s="48"/>
      <c r="H414" s="48"/>
      <c r="I414" s="48"/>
    </row>
    <row r="415" spans="1:9" hidden="1" x14ac:dyDescent="0.2">
      <c r="A415" s="46"/>
      <c r="B415" s="46"/>
      <c r="C415" s="46"/>
      <c r="D415" s="48"/>
      <c r="E415" s="48"/>
      <c r="F415" s="48"/>
      <c r="G415" s="48"/>
      <c r="H415" s="48"/>
      <c r="I415" s="48"/>
    </row>
    <row r="416" spans="1:9" hidden="1" x14ac:dyDescent="0.2">
      <c r="A416" s="46"/>
      <c r="B416" s="46"/>
      <c r="C416" s="46"/>
      <c r="D416" s="48"/>
      <c r="E416" s="48"/>
      <c r="F416" s="48"/>
      <c r="G416" s="48"/>
      <c r="H416" s="48"/>
      <c r="I416" s="48"/>
    </row>
    <row r="417" spans="1:9" hidden="1" x14ac:dyDescent="0.2">
      <c r="A417" s="46"/>
      <c r="B417" s="46"/>
      <c r="C417" s="46"/>
      <c r="D417" s="48"/>
      <c r="E417" s="48"/>
      <c r="F417" s="48"/>
      <c r="G417" s="48"/>
      <c r="H417" s="48"/>
      <c r="I417" s="48"/>
    </row>
    <row r="418" spans="1:9" hidden="1" x14ac:dyDescent="0.2">
      <c r="A418" s="46"/>
      <c r="B418" s="46"/>
      <c r="C418" s="46"/>
      <c r="D418" s="48"/>
      <c r="E418" s="48"/>
      <c r="F418" s="48"/>
      <c r="G418" s="48"/>
      <c r="H418" s="48"/>
      <c r="I418" s="48"/>
    </row>
    <row r="419" spans="1:9" hidden="1" x14ac:dyDescent="0.2">
      <c r="A419" s="46"/>
      <c r="B419" s="46"/>
      <c r="C419" s="46"/>
      <c r="D419" s="48"/>
      <c r="E419" s="48"/>
      <c r="F419" s="48"/>
      <c r="G419" s="48"/>
      <c r="H419" s="48"/>
      <c r="I419" s="48"/>
    </row>
    <row r="420" spans="1:9" hidden="1" x14ac:dyDescent="0.2">
      <c r="A420" s="46"/>
      <c r="B420" s="46"/>
      <c r="C420" s="46"/>
      <c r="D420" s="48"/>
      <c r="E420" s="48"/>
      <c r="F420" s="48"/>
      <c r="G420" s="48"/>
      <c r="H420" s="48"/>
      <c r="I420" s="48"/>
    </row>
    <row r="421" spans="1:9" hidden="1" x14ac:dyDescent="0.2">
      <c r="A421" s="46"/>
      <c r="B421" s="46"/>
      <c r="C421" s="46"/>
      <c r="D421" s="48"/>
      <c r="E421" s="48"/>
      <c r="F421" s="48"/>
      <c r="G421" s="48"/>
      <c r="H421" s="48"/>
      <c r="I421" s="48"/>
    </row>
    <row r="422" spans="1:9" hidden="1" x14ac:dyDescent="0.2">
      <c r="A422" s="46"/>
      <c r="B422" s="46"/>
      <c r="C422" s="46"/>
      <c r="D422" s="48"/>
      <c r="E422" s="48"/>
      <c r="F422" s="48"/>
      <c r="G422" s="48"/>
      <c r="H422" s="48"/>
      <c r="I422" s="48"/>
    </row>
    <row r="423" spans="1:9" hidden="1" x14ac:dyDescent="0.2">
      <c r="A423" s="46"/>
      <c r="B423" s="46"/>
      <c r="C423" s="46"/>
      <c r="D423" s="48"/>
      <c r="E423" s="48"/>
      <c r="F423" s="48"/>
      <c r="G423" s="48"/>
      <c r="H423" s="48"/>
      <c r="I423" s="48"/>
    </row>
    <row r="424" spans="1:9" hidden="1" x14ac:dyDescent="0.2">
      <c r="A424" s="46"/>
      <c r="B424" s="46"/>
      <c r="C424" s="46"/>
      <c r="D424" s="48"/>
      <c r="E424" s="48"/>
      <c r="F424" s="48"/>
      <c r="G424" s="48"/>
      <c r="H424" s="48"/>
      <c r="I424" s="48"/>
    </row>
    <row r="425" spans="1:9" hidden="1" x14ac:dyDescent="0.2">
      <c r="A425" s="46"/>
      <c r="B425" s="46"/>
      <c r="C425" s="46"/>
      <c r="D425" s="48"/>
      <c r="E425" s="48"/>
      <c r="F425" s="48"/>
      <c r="G425" s="48"/>
      <c r="H425" s="48"/>
      <c r="I425" s="48"/>
    </row>
    <row r="426" spans="1:9" hidden="1" x14ac:dyDescent="0.2">
      <c r="A426" s="46"/>
      <c r="B426" s="46"/>
      <c r="C426" s="46"/>
      <c r="D426" s="48"/>
      <c r="E426" s="48"/>
      <c r="F426" s="48"/>
      <c r="G426" s="48"/>
      <c r="H426" s="48"/>
      <c r="I426" s="48"/>
    </row>
    <row r="427" spans="1:9" hidden="1" x14ac:dyDescent="0.2">
      <c r="A427" s="46"/>
      <c r="B427" s="46"/>
      <c r="C427" s="46"/>
      <c r="D427" s="48"/>
      <c r="E427" s="48"/>
      <c r="F427" s="48"/>
      <c r="G427" s="48"/>
      <c r="H427" s="48"/>
      <c r="I427" s="48"/>
    </row>
    <row r="428" spans="1:9" hidden="1" x14ac:dyDescent="0.2">
      <c r="A428" s="46"/>
      <c r="B428" s="46"/>
      <c r="C428" s="46"/>
      <c r="D428" s="48"/>
      <c r="E428" s="48"/>
      <c r="F428" s="48"/>
      <c r="G428" s="48"/>
      <c r="H428" s="48"/>
      <c r="I428" s="48"/>
    </row>
    <row r="429" spans="1:9" hidden="1" x14ac:dyDescent="0.2">
      <c r="A429" s="46"/>
      <c r="B429" s="46"/>
      <c r="C429" s="46"/>
      <c r="D429" s="48"/>
      <c r="E429" s="48"/>
      <c r="F429" s="48"/>
      <c r="G429" s="48"/>
      <c r="H429" s="48"/>
      <c r="I429" s="48"/>
    </row>
    <row r="430" spans="1:9" hidden="1" x14ac:dyDescent="0.2">
      <c r="A430" s="46"/>
      <c r="B430" s="46"/>
      <c r="C430" s="46"/>
      <c r="D430" s="48"/>
      <c r="E430" s="48"/>
      <c r="F430" s="48"/>
      <c r="G430" s="48"/>
      <c r="H430" s="48"/>
      <c r="I430" s="48"/>
    </row>
    <row r="431" spans="1:9" hidden="1" x14ac:dyDescent="0.2">
      <c r="A431" s="46"/>
      <c r="B431" s="46"/>
      <c r="C431" s="46"/>
      <c r="D431" s="48"/>
      <c r="E431" s="48"/>
      <c r="F431" s="48"/>
      <c r="G431" s="48"/>
      <c r="H431" s="48"/>
      <c r="I431" s="48"/>
    </row>
    <row r="432" spans="1:9" hidden="1" x14ac:dyDescent="0.2">
      <c r="A432" s="46"/>
      <c r="B432" s="46"/>
      <c r="C432" s="46"/>
      <c r="D432" s="48"/>
      <c r="E432" s="48"/>
      <c r="F432" s="48"/>
      <c r="G432" s="48"/>
      <c r="H432" s="48"/>
      <c r="I432" s="48"/>
    </row>
    <row r="433" spans="1:9" hidden="1" x14ac:dyDescent="0.2">
      <c r="A433" s="46"/>
      <c r="B433" s="46"/>
      <c r="C433" s="46"/>
      <c r="D433" s="48"/>
      <c r="E433" s="48"/>
      <c r="F433" s="48"/>
      <c r="G433" s="48"/>
      <c r="H433" s="48"/>
      <c r="I433" s="48"/>
    </row>
    <row r="434" spans="1:9" hidden="1" x14ac:dyDescent="0.2">
      <c r="A434" s="46"/>
      <c r="B434" s="46"/>
      <c r="C434" s="46"/>
      <c r="D434" s="48"/>
      <c r="E434" s="48"/>
      <c r="F434" s="48"/>
      <c r="G434" s="48"/>
      <c r="H434" s="48"/>
      <c r="I434" s="48"/>
    </row>
    <row r="435" spans="1:9" hidden="1" x14ac:dyDescent="0.2">
      <c r="A435" s="46"/>
      <c r="B435" s="46"/>
      <c r="C435" s="46"/>
      <c r="D435" s="48"/>
      <c r="E435" s="48"/>
      <c r="F435" s="48"/>
      <c r="G435" s="48"/>
      <c r="H435" s="48"/>
      <c r="I435" s="48"/>
    </row>
    <row r="436" spans="1:9" hidden="1" x14ac:dyDescent="0.2">
      <c r="A436" s="46"/>
      <c r="B436" s="46"/>
      <c r="C436" s="46"/>
      <c r="D436" s="48"/>
      <c r="E436" s="48"/>
      <c r="F436" s="48"/>
      <c r="G436" s="48"/>
      <c r="H436" s="48"/>
      <c r="I436" s="48"/>
    </row>
    <row r="437" spans="1:9" hidden="1" x14ac:dyDescent="0.2">
      <c r="A437" s="46"/>
      <c r="B437" s="46"/>
      <c r="C437" s="46"/>
      <c r="D437" s="48"/>
      <c r="E437" s="48"/>
      <c r="F437" s="48"/>
      <c r="G437" s="48"/>
      <c r="H437" s="48"/>
      <c r="I437" s="48"/>
    </row>
    <row r="438" spans="1:9" hidden="1" x14ac:dyDescent="0.2">
      <c r="A438" s="46"/>
      <c r="B438" s="46"/>
      <c r="C438" s="46"/>
      <c r="D438" s="48"/>
      <c r="E438" s="48"/>
      <c r="F438" s="48"/>
      <c r="G438" s="48"/>
      <c r="H438" s="48"/>
      <c r="I438" s="48"/>
    </row>
    <row r="439" spans="1:9" hidden="1" x14ac:dyDescent="0.2">
      <c r="A439" s="46"/>
      <c r="B439" s="46"/>
      <c r="C439" s="46"/>
      <c r="D439" s="48"/>
      <c r="E439" s="48"/>
      <c r="F439" s="48"/>
      <c r="G439" s="48"/>
      <c r="H439" s="48"/>
      <c r="I439" s="48"/>
    </row>
    <row r="440" spans="1:9" hidden="1" x14ac:dyDescent="0.2">
      <c r="A440" s="46"/>
      <c r="B440" s="46"/>
      <c r="C440" s="46"/>
      <c r="D440" s="48"/>
      <c r="E440" s="48"/>
      <c r="F440" s="48"/>
      <c r="G440" s="48"/>
      <c r="H440" s="48"/>
      <c r="I440" s="48"/>
    </row>
    <row r="441" spans="1:9" hidden="1" x14ac:dyDescent="0.2">
      <c r="A441" s="46"/>
      <c r="B441" s="46"/>
      <c r="C441" s="46"/>
      <c r="D441" s="48"/>
      <c r="E441" s="48"/>
      <c r="F441" s="48"/>
      <c r="G441" s="48"/>
      <c r="H441" s="48"/>
      <c r="I441" s="48"/>
    </row>
    <row r="442" spans="1:9" hidden="1" x14ac:dyDescent="0.2">
      <c r="A442" s="46"/>
      <c r="B442" s="46"/>
      <c r="C442" s="46"/>
      <c r="D442" s="48"/>
      <c r="E442" s="48"/>
      <c r="F442" s="48"/>
      <c r="G442" s="48"/>
      <c r="H442" s="48"/>
      <c r="I442" s="48"/>
    </row>
    <row r="443" spans="1:9" hidden="1" x14ac:dyDescent="0.2">
      <c r="A443" s="46"/>
      <c r="B443" s="46"/>
      <c r="C443" s="46"/>
      <c r="D443" s="48"/>
      <c r="E443" s="48"/>
      <c r="F443" s="48"/>
      <c r="G443" s="48"/>
      <c r="H443" s="48"/>
      <c r="I443" s="48"/>
    </row>
    <row r="444" spans="1:9" hidden="1" x14ac:dyDescent="0.2">
      <c r="A444" s="46"/>
      <c r="B444" s="46"/>
      <c r="C444" s="46"/>
      <c r="D444" s="48"/>
      <c r="E444" s="48"/>
      <c r="F444" s="48"/>
      <c r="G444" s="48"/>
      <c r="H444" s="48"/>
      <c r="I444" s="48"/>
    </row>
    <row r="445" spans="1:9" hidden="1" x14ac:dyDescent="0.2">
      <c r="A445" s="46"/>
      <c r="B445" s="46"/>
      <c r="C445" s="46"/>
      <c r="D445" s="48"/>
      <c r="E445" s="48"/>
      <c r="F445" s="48"/>
      <c r="G445" s="48"/>
      <c r="H445" s="48"/>
      <c r="I445" s="48"/>
    </row>
    <row r="446" spans="1:9" hidden="1" x14ac:dyDescent="0.2">
      <c r="A446" s="46"/>
      <c r="B446" s="46"/>
      <c r="C446" s="46"/>
      <c r="D446" s="48"/>
      <c r="E446" s="48"/>
      <c r="F446" s="48"/>
      <c r="G446" s="48"/>
      <c r="H446" s="48"/>
      <c r="I446" s="48"/>
    </row>
    <row r="447" spans="1:9" hidden="1" x14ac:dyDescent="0.2">
      <c r="A447" s="46"/>
      <c r="B447" s="46"/>
      <c r="C447" s="46"/>
      <c r="D447" s="48"/>
      <c r="E447" s="48"/>
      <c r="F447" s="48"/>
      <c r="G447" s="48"/>
      <c r="H447" s="48"/>
      <c r="I447" s="48"/>
    </row>
    <row r="448" spans="1:9" hidden="1" x14ac:dyDescent="0.2">
      <c r="A448" s="46"/>
      <c r="B448" s="46"/>
      <c r="C448" s="46"/>
      <c r="D448" s="48"/>
      <c r="E448" s="48"/>
      <c r="F448" s="48"/>
      <c r="G448" s="48"/>
      <c r="H448" s="48"/>
      <c r="I448" s="48"/>
    </row>
    <row r="449" spans="1:9" hidden="1" x14ac:dyDescent="0.2">
      <c r="A449" s="46"/>
      <c r="B449" s="46"/>
      <c r="C449" s="46"/>
      <c r="D449" s="48"/>
      <c r="E449" s="48"/>
      <c r="F449" s="48"/>
      <c r="G449" s="48"/>
      <c r="H449" s="48"/>
      <c r="I449" s="48"/>
    </row>
    <row r="450" spans="1:9" hidden="1" x14ac:dyDescent="0.2">
      <c r="A450" s="46"/>
      <c r="B450" s="46"/>
      <c r="C450" s="46"/>
      <c r="D450" s="48"/>
      <c r="E450" s="48"/>
      <c r="F450" s="48"/>
      <c r="G450" s="48"/>
      <c r="H450" s="48"/>
      <c r="I450" s="48"/>
    </row>
    <row r="451" spans="1:9" hidden="1" x14ac:dyDescent="0.2">
      <c r="A451" s="46"/>
      <c r="B451" s="46"/>
      <c r="C451" s="46"/>
      <c r="D451" s="48"/>
      <c r="E451" s="48"/>
      <c r="F451" s="48"/>
      <c r="G451" s="48"/>
      <c r="H451" s="48"/>
      <c r="I451" s="48"/>
    </row>
    <row r="452" spans="1:9" hidden="1" x14ac:dyDescent="0.2">
      <c r="A452" s="46"/>
      <c r="B452" s="46"/>
      <c r="C452" s="46"/>
      <c r="D452" s="48"/>
      <c r="E452" s="48"/>
      <c r="F452" s="48"/>
      <c r="G452" s="48"/>
      <c r="H452" s="48"/>
      <c r="I452" s="48"/>
    </row>
    <row r="453" spans="1:9" hidden="1" x14ac:dyDescent="0.2">
      <c r="A453" s="46"/>
      <c r="B453" s="46"/>
      <c r="C453" s="46"/>
      <c r="D453" s="48"/>
      <c r="E453" s="48"/>
      <c r="F453" s="48"/>
      <c r="G453" s="48"/>
      <c r="H453" s="48"/>
      <c r="I453" s="48"/>
    </row>
    <row r="454" spans="1:9" hidden="1" x14ac:dyDescent="0.2">
      <c r="A454" s="46"/>
      <c r="B454" s="46"/>
      <c r="C454" s="46"/>
      <c r="D454" s="48"/>
      <c r="E454" s="48"/>
      <c r="F454" s="48"/>
      <c r="G454" s="48"/>
      <c r="H454" s="48"/>
      <c r="I454" s="48"/>
    </row>
    <row r="455" spans="1:9" hidden="1" x14ac:dyDescent="0.2">
      <c r="A455" s="46"/>
      <c r="B455" s="46"/>
      <c r="C455" s="46"/>
      <c r="D455" s="48"/>
      <c r="E455" s="48"/>
      <c r="F455" s="48"/>
      <c r="G455" s="48"/>
      <c r="H455" s="48"/>
      <c r="I455" s="48"/>
    </row>
    <row r="456" spans="1:9" hidden="1" x14ac:dyDescent="0.2">
      <c r="A456" s="46"/>
      <c r="B456" s="46"/>
      <c r="C456" s="46"/>
      <c r="D456" s="48"/>
      <c r="E456" s="48"/>
      <c r="F456" s="48"/>
      <c r="G456" s="48"/>
      <c r="H456" s="48"/>
      <c r="I456" s="48"/>
    </row>
    <row r="457" spans="1:9" hidden="1" x14ac:dyDescent="0.2">
      <c r="A457" s="46"/>
      <c r="B457" s="46"/>
      <c r="C457" s="46"/>
      <c r="D457" s="48"/>
      <c r="E457" s="48"/>
      <c r="F457" s="48"/>
      <c r="G457" s="48"/>
      <c r="H457" s="48"/>
      <c r="I457" s="48"/>
    </row>
    <row r="458" spans="1:9" hidden="1" x14ac:dyDescent="0.2">
      <c r="A458" s="46"/>
      <c r="B458" s="46"/>
      <c r="C458" s="46"/>
      <c r="D458" s="48"/>
      <c r="E458" s="48"/>
      <c r="F458" s="48"/>
      <c r="G458" s="48"/>
      <c r="H458" s="48"/>
      <c r="I458" s="48"/>
    </row>
    <row r="459" spans="1:9" hidden="1" x14ac:dyDescent="0.2">
      <c r="A459" s="46"/>
      <c r="B459" s="46"/>
      <c r="C459" s="46"/>
      <c r="D459" s="48"/>
      <c r="E459" s="48"/>
      <c r="F459" s="48"/>
      <c r="G459" s="48"/>
      <c r="H459" s="48"/>
      <c r="I459" s="48"/>
    </row>
    <row r="460" spans="1:9" hidden="1" x14ac:dyDescent="0.2">
      <c r="A460" s="46"/>
      <c r="B460" s="46"/>
      <c r="C460" s="46"/>
      <c r="D460" s="48"/>
      <c r="E460" s="48"/>
      <c r="F460" s="48"/>
      <c r="G460" s="48"/>
      <c r="H460" s="48"/>
      <c r="I460" s="48"/>
    </row>
    <row r="461" spans="1:9" hidden="1" x14ac:dyDescent="0.2">
      <c r="A461" s="46"/>
      <c r="B461" s="46"/>
      <c r="C461" s="46"/>
      <c r="D461" s="48"/>
      <c r="E461" s="48"/>
      <c r="F461" s="48"/>
      <c r="G461" s="48"/>
      <c r="H461" s="48"/>
      <c r="I461" s="48"/>
    </row>
    <row r="462" spans="1:9" hidden="1" x14ac:dyDescent="0.2">
      <c r="A462" s="46"/>
      <c r="B462" s="46"/>
      <c r="C462" s="46"/>
      <c r="D462" s="48"/>
      <c r="E462" s="48"/>
      <c r="F462" s="48"/>
      <c r="G462" s="48"/>
      <c r="H462" s="48"/>
      <c r="I462" s="48"/>
    </row>
    <row r="463" spans="1:9" hidden="1" x14ac:dyDescent="0.2">
      <c r="A463" s="46"/>
      <c r="B463" s="46"/>
      <c r="C463" s="46"/>
      <c r="D463" s="48"/>
      <c r="E463" s="48"/>
      <c r="F463" s="48"/>
      <c r="G463" s="48"/>
      <c r="H463" s="48"/>
      <c r="I463" s="48"/>
    </row>
    <row r="464" spans="1:9" hidden="1" x14ac:dyDescent="0.2">
      <c r="A464" s="46"/>
      <c r="B464" s="46"/>
      <c r="C464" s="46"/>
      <c r="D464" s="48"/>
      <c r="E464" s="48"/>
      <c r="F464" s="48"/>
      <c r="G464" s="48"/>
      <c r="H464" s="48"/>
      <c r="I464" s="48"/>
    </row>
    <row r="465" spans="1:9" hidden="1" x14ac:dyDescent="0.2">
      <c r="A465" s="46"/>
      <c r="B465" s="46"/>
      <c r="C465" s="46"/>
      <c r="D465" s="48"/>
      <c r="E465" s="48"/>
      <c r="F465" s="48"/>
      <c r="G465" s="48"/>
      <c r="H465" s="48"/>
      <c r="I465" s="48"/>
    </row>
    <row r="466" spans="1:9" hidden="1" x14ac:dyDescent="0.2">
      <c r="A466" s="46"/>
      <c r="B466" s="46"/>
      <c r="C466" s="46"/>
      <c r="D466" s="48"/>
      <c r="E466" s="48"/>
      <c r="F466" s="48"/>
      <c r="G466" s="48"/>
      <c r="H466" s="48"/>
      <c r="I466" s="48"/>
    </row>
    <row r="467" spans="1:9" hidden="1" x14ac:dyDescent="0.2">
      <c r="A467" s="46"/>
      <c r="B467" s="46"/>
      <c r="C467" s="46"/>
      <c r="D467" s="48"/>
      <c r="E467" s="48"/>
      <c r="F467" s="48"/>
      <c r="G467" s="48"/>
      <c r="H467" s="48"/>
      <c r="I467" s="48"/>
    </row>
    <row r="468" spans="1:9" hidden="1" x14ac:dyDescent="0.2">
      <c r="A468" s="46"/>
      <c r="B468" s="46"/>
      <c r="C468" s="46"/>
      <c r="D468" s="48"/>
      <c r="E468" s="48"/>
      <c r="F468" s="48"/>
      <c r="G468" s="48"/>
      <c r="H468" s="48"/>
      <c r="I468" s="48"/>
    </row>
    <row r="469" spans="1:9" hidden="1" x14ac:dyDescent="0.2">
      <c r="A469" s="46"/>
      <c r="B469" s="46"/>
      <c r="C469" s="46"/>
      <c r="D469" s="48"/>
      <c r="E469" s="48"/>
      <c r="F469" s="48"/>
      <c r="G469" s="48"/>
      <c r="H469" s="48"/>
      <c r="I469" s="48"/>
    </row>
    <row r="470" spans="1:9" hidden="1" x14ac:dyDescent="0.2">
      <c r="A470" s="46"/>
      <c r="B470" s="46"/>
      <c r="C470" s="46"/>
      <c r="D470" s="48"/>
      <c r="E470" s="48"/>
      <c r="F470" s="48"/>
      <c r="G470" s="48"/>
      <c r="H470" s="48"/>
      <c r="I470" s="48"/>
    </row>
    <row r="471" spans="1:9" hidden="1" x14ac:dyDescent="0.2">
      <c r="A471" s="46"/>
      <c r="B471" s="46"/>
      <c r="C471" s="46"/>
      <c r="D471" s="48"/>
      <c r="E471" s="48"/>
      <c r="F471" s="48"/>
      <c r="G471" s="48"/>
      <c r="H471" s="48"/>
      <c r="I471" s="48"/>
    </row>
    <row r="472" spans="1:9" hidden="1" x14ac:dyDescent="0.2">
      <c r="A472" s="46"/>
      <c r="B472" s="46"/>
      <c r="C472" s="46"/>
      <c r="D472" s="48"/>
      <c r="E472" s="48"/>
      <c r="F472" s="48"/>
      <c r="G472" s="48"/>
      <c r="H472" s="48"/>
      <c r="I472" s="48"/>
    </row>
    <row r="473" spans="1:9" hidden="1" x14ac:dyDescent="0.2">
      <c r="A473" s="46"/>
      <c r="B473" s="46"/>
      <c r="C473" s="46"/>
      <c r="D473" s="48"/>
      <c r="E473" s="48"/>
      <c r="F473" s="48"/>
      <c r="G473" s="48"/>
      <c r="H473" s="48"/>
      <c r="I473" s="48"/>
    </row>
    <row r="474" spans="1:9" hidden="1" x14ac:dyDescent="0.2">
      <c r="A474" s="46"/>
      <c r="B474" s="46"/>
      <c r="C474" s="46"/>
      <c r="D474" s="48"/>
      <c r="E474" s="48"/>
      <c r="F474" s="48"/>
      <c r="G474" s="48"/>
      <c r="H474" s="48"/>
      <c r="I474" s="48"/>
    </row>
    <row r="475" spans="1:9" hidden="1" x14ac:dyDescent="0.2">
      <c r="A475" s="46"/>
      <c r="B475" s="46"/>
      <c r="C475" s="46"/>
      <c r="D475" s="48"/>
      <c r="E475" s="48"/>
      <c r="F475" s="48"/>
      <c r="G475" s="48"/>
      <c r="H475" s="48"/>
      <c r="I475" s="48"/>
    </row>
    <row r="476" spans="1:9" hidden="1" x14ac:dyDescent="0.2">
      <c r="A476" s="46"/>
      <c r="B476" s="46"/>
      <c r="C476" s="46"/>
      <c r="D476" s="48"/>
      <c r="E476" s="48"/>
      <c r="F476" s="48"/>
      <c r="G476" s="48"/>
      <c r="H476" s="48"/>
      <c r="I476" s="48"/>
    </row>
    <row r="477" spans="1:9" hidden="1" x14ac:dyDescent="0.2">
      <c r="A477" s="46"/>
      <c r="B477" s="46"/>
      <c r="C477" s="46"/>
      <c r="D477" s="48"/>
      <c r="E477" s="48"/>
      <c r="F477" s="48"/>
      <c r="G477" s="48"/>
      <c r="H477" s="48"/>
      <c r="I477" s="48"/>
    </row>
    <row r="478" spans="1:9" hidden="1" x14ac:dyDescent="0.2">
      <c r="A478" s="46"/>
      <c r="B478" s="46"/>
      <c r="C478" s="46"/>
      <c r="D478" s="48"/>
      <c r="E478" s="48"/>
      <c r="F478" s="48"/>
      <c r="G478" s="48"/>
      <c r="H478" s="48"/>
      <c r="I478" s="48"/>
    </row>
    <row r="479" spans="1:9" hidden="1" x14ac:dyDescent="0.2">
      <c r="A479" s="46"/>
      <c r="B479" s="46"/>
      <c r="C479" s="46"/>
      <c r="D479" s="48"/>
      <c r="E479" s="48"/>
      <c r="F479" s="48"/>
      <c r="G479" s="48"/>
      <c r="H479" s="48"/>
      <c r="I479" s="48"/>
    </row>
    <row r="480" spans="1:9" hidden="1" x14ac:dyDescent="0.2">
      <c r="A480" s="46"/>
      <c r="B480" s="46"/>
      <c r="C480" s="46"/>
      <c r="D480" s="48"/>
      <c r="E480" s="48"/>
      <c r="F480" s="48"/>
      <c r="G480" s="48"/>
      <c r="H480" s="48"/>
      <c r="I480" s="48"/>
    </row>
    <row r="481" spans="1:9" hidden="1" x14ac:dyDescent="0.2">
      <c r="A481" s="46"/>
      <c r="B481" s="46"/>
      <c r="C481" s="46"/>
      <c r="D481" s="48"/>
      <c r="E481" s="48"/>
      <c r="F481" s="48"/>
      <c r="G481" s="48"/>
      <c r="H481" s="48"/>
      <c r="I481" s="48"/>
    </row>
    <row r="482" spans="1:9" hidden="1" x14ac:dyDescent="0.2">
      <c r="A482" s="46"/>
      <c r="B482" s="46"/>
      <c r="C482" s="46"/>
      <c r="D482" s="48"/>
      <c r="E482" s="48"/>
      <c r="F482" s="48"/>
      <c r="G482" s="48"/>
      <c r="H482" s="48"/>
      <c r="I482" s="48"/>
    </row>
    <row r="483" spans="1:9" hidden="1" x14ac:dyDescent="0.2">
      <c r="A483" s="46"/>
      <c r="B483" s="46"/>
      <c r="C483" s="46"/>
      <c r="D483" s="48"/>
      <c r="E483" s="48"/>
      <c r="F483" s="48"/>
      <c r="G483" s="48"/>
      <c r="H483" s="48"/>
      <c r="I483" s="48"/>
    </row>
    <row r="484" spans="1:9" hidden="1" x14ac:dyDescent="0.2">
      <c r="A484" s="46"/>
      <c r="B484" s="46"/>
      <c r="C484" s="46"/>
      <c r="D484" s="48"/>
      <c r="E484" s="48"/>
      <c r="F484" s="48"/>
      <c r="G484" s="48"/>
      <c r="H484" s="48"/>
      <c r="I484" s="48"/>
    </row>
    <row r="485" spans="1:9" hidden="1" x14ac:dyDescent="0.2">
      <c r="A485" s="46"/>
      <c r="B485" s="46"/>
      <c r="C485" s="46"/>
      <c r="D485" s="48"/>
      <c r="E485" s="48"/>
      <c r="F485" s="48"/>
      <c r="G485" s="48"/>
      <c r="H485" s="48"/>
      <c r="I485" s="48"/>
    </row>
    <row r="486" spans="1:9" hidden="1" x14ac:dyDescent="0.2">
      <c r="A486" s="46"/>
      <c r="B486" s="46"/>
      <c r="C486" s="46"/>
      <c r="D486" s="48"/>
      <c r="E486" s="48"/>
      <c r="F486" s="48"/>
      <c r="G486" s="48"/>
      <c r="H486" s="48"/>
      <c r="I486" s="48"/>
    </row>
    <row r="487" spans="1:9" hidden="1" x14ac:dyDescent="0.2">
      <c r="A487" s="46"/>
      <c r="B487" s="46"/>
      <c r="C487" s="46"/>
      <c r="D487" s="48"/>
      <c r="E487" s="48"/>
      <c r="F487" s="48"/>
      <c r="G487" s="48"/>
      <c r="H487" s="48"/>
      <c r="I487" s="48"/>
    </row>
    <row r="488" spans="1:9" hidden="1" x14ac:dyDescent="0.2">
      <c r="A488" s="46"/>
      <c r="B488" s="46"/>
      <c r="C488" s="46"/>
      <c r="D488" s="48"/>
      <c r="E488" s="48"/>
      <c r="F488" s="48"/>
      <c r="G488" s="48"/>
      <c r="H488" s="48"/>
      <c r="I488" s="48"/>
    </row>
    <row r="489" spans="1:9" hidden="1" x14ac:dyDescent="0.2">
      <c r="A489" s="46"/>
      <c r="B489" s="46"/>
      <c r="C489" s="46"/>
      <c r="D489" s="48"/>
      <c r="E489" s="48"/>
      <c r="F489" s="48"/>
      <c r="G489" s="48"/>
      <c r="H489" s="48"/>
      <c r="I489" s="48"/>
    </row>
    <row r="490" spans="1:9" hidden="1" x14ac:dyDescent="0.2">
      <c r="A490" s="46"/>
      <c r="B490" s="46"/>
      <c r="C490" s="46"/>
      <c r="D490" s="48"/>
      <c r="E490" s="48"/>
      <c r="F490" s="48"/>
      <c r="G490" s="48"/>
      <c r="H490" s="48"/>
      <c r="I490" s="48"/>
    </row>
    <row r="491" spans="1:9" hidden="1" x14ac:dyDescent="0.2">
      <c r="A491" s="46"/>
      <c r="B491" s="46"/>
      <c r="C491" s="46"/>
      <c r="D491" s="48"/>
      <c r="E491" s="48"/>
      <c r="F491" s="48"/>
      <c r="G491" s="48"/>
      <c r="H491" s="48"/>
      <c r="I491" s="48"/>
    </row>
    <row r="492" spans="1:9" hidden="1" x14ac:dyDescent="0.2">
      <c r="A492" s="46"/>
      <c r="B492" s="46"/>
      <c r="C492" s="46"/>
      <c r="D492" s="48"/>
      <c r="E492" s="48"/>
      <c r="F492" s="48"/>
      <c r="G492" s="48"/>
      <c r="H492" s="48"/>
      <c r="I492" s="48"/>
    </row>
    <row r="493" spans="1:9" hidden="1" x14ac:dyDescent="0.2">
      <c r="A493" s="46"/>
      <c r="B493" s="46"/>
      <c r="C493" s="46"/>
      <c r="D493" s="48"/>
      <c r="E493" s="48"/>
      <c r="F493" s="48"/>
      <c r="G493" s="48"/>
      <c r="H493" s="48"/>
      <c r="I493" s="48"/>
    </row>
    <row r="494" spans="1:9" hidden="1" x14ac:dyDescent="0.2">
      <c r="A494" s="46"/>
      <c r="B494" s="46"/>
      <c r="C494" s="46"/>
      <c r="D494" s="48"/>
      <c r="E494" s="48"/>
      <c r="F494" s="48"/>
      <c r="G494" s="48"/>
      <c r="H494" s="48"/>
      <c r="I494" s="48"/>
    </row>
    <row r="495" spans="1:9" hidden="1" x14ac:dyDescent="0.2">
      <c r="A495" s="46"/>
      <c r="B495" s="46"/>
      <c r="C495" s="46"/>
      <c r="D495" s="48"/>
      <c r="E495" s="48"/>
      <c r="F495" s="48"/>
      <c r="G495" s="48"/>
      <c r="H495" s="48"/>
      <c r="I495" s="48"/>
    </row>
    <row r="496" spans="1:9" hidden="1" x14ac:dyDescent="0.2">
      <c r="A496" s="46"/>
      <c r="B496" s="46"/>
      <c r="C496" s="46"/>
      <c r="D496" s="48"/>
      <c r="E496" s="48"/>
      <c r="F496" s="48"/>
      <c r="G496" s="48"/>
      <c r="H496" s="48"/>
      <c r="I496" s="48"/>
    </row>
    <row r="497" spans="1:9" hidden="1" x14ac:dyDescent="0.2">
      <c r="A497" s="46"/>
      <c r="B497" s="46"/>
      <c r="C497" s="46"/>
      <c r="D497" s="48"/>
      <c r="E497" s="48"/>
      <c r="F497" s="48"/>
      <c r="G497" s="48"/>
      <c r="H497" s="48"/>
      <c r="I497" s="48"/>
    </row>
    <row r="498" spans="1:9" hidden="1" x14ac:dyDescent="0.2">
      <c r="A498" s="46"/>
      <c r="B498" s="46"/>
      <c r="C498" s="46"/>
      <c r="D498" s="48"/>
      <c r="E498" s="48"/>
      <c r="F498" s="48"/>
      <c r="G498" s="48"/>
      <c r="H498" s="48"/>
      <c r="I498" s="48"/>
    </row>
    <row r="499" spans="1:9" hidden="1" x14ac:dyDescent="0.2">
      <c r="A499" s="46"/>
      <c r="B499" s="46"/>
      <c r="C499" s="46"/>
      <c r="D499" s="48"/>
      <c r="E499" s="48"/>
      <c r="F499" s="48"/>
      <c r="G499" s="48"/>
      <c r="H499" s="48"/>
      <c r="I499" s="48"/>
    </row>
    <row r="500" spans="1:9" hidden="1" x14ac:dyDescent="0.2">
      <c r="A500" s="46"/>
      <c r="B500" s="46"/>
      <c r="C500" s="46"/>
      <c r="D500" s="48"/>
      <c r="E500" s="48"/>
      <c r="F500" s="48"/>
      <c r="G500" s="48"/>
      <c r="H500" s="48"/>
      <c r="I500" s="48"/>
    </row>
    <row r="501" spans="1:9" hidden="1" x14ac:dyDescent="0.2">
      <c r="A501" s="46"/>
      <c r="B501" s="46"/>
      <c r="C501" s="46"/>
      <c r="D501" s="48"/>
      <c r="E501" s="48"/>
      <c r="F501" s="48"/>
      <c r="G501" s="48"/>
      <c r="H501" s="48"/>
      <c r="I501" s="48"/>
    </row>
    <row r="502" spans="1:9" hidden="1" x14ac:dyDescent="0.2">
      <c r="A502" s="46"/>
      <c r="B502" s="46"/>
      <c r="C502" s="46"/>
      <c r="D502" s="48"/>
      <c r="E502" s="48"/>
      <c r="F502" s="48"/>
      <c r="G502" s="48"/>
      <c r="H502" s="48"/>
      <c r="I502" s="48"/>
    </row>
    <row r="503" spans="1:9" hidden="1" x14ac:dyDescent="0.2">
      <c r="A503" s="46"/>
      <c r="B503" s="46"/>
      <c r="C503" s="46"/>
      <c r="D503" s="48"/>
      <c r="E503" s="48"/>
      <c r="F503" s="48"/>
      <c r="G503" s="48"/>
      <c r="H503" s="48"/>
      <c r="I503" s="48"/>
    </row>
    <row r="504" spans="1:9" hidden="1" x14ac:dyDescent="0.2">
      <c r="A504" s="46"/>
      <c r="B504" s="46"/>
      <c r="C504" s="46"/>
      <c r="D504" s="48"/>
      <c r="E504" s="48"/>
      <c r="F504" s="48"/>
      <c r="G504" s="48"/>
      <c r="H504" s="48"/>
      <c r="I504" s="48"/>
    </row>
    <row r="505" spans="1:9" hidden="1" x14ac:dyDescent="0.2">
      <c r="A505" s="46"/>
      <c r="B505" s="46"/>
      <c r="C505" s="46"/>
      <c r="D505" s="48"/>
      <c r="E505" s="48"/>
      <c r="F505" s="48"/>
      <c r="G505" s="48"/>
      <c r="H505" s="48"/>
      <c r="I505" s="48"/>
    </row>
    <row r="506" spans="1:9" hidden="1" x14ac:dyDescent="0.2">
      <c r="A506" s="46"/>
      <c r="B506" s="46"/>
      <c r="C506" s="46"/>
      <c r="D506" s="48"/>
      <c r="E506" s="48"/>
      <c r="F506" s="48"/>
      <c r="G506" s="48"/>
      <c r="H506" s="48"/>
      <c r="I506" s="48"/>
    </row>
    <row r="507" spans="1:9" hidden="1" x14ac:dyDescent="0.2">
      <c r="A507" s="46"/>
      <c r="B507" s="46"/>
      <c r="C507" s="46"/>
      <c r="D507" s="48"/>
      <c r="E507" s="48"/>
      <c r="F507" s="48"/>
      <c r="G507" s="48"/>
      <c r="H507" s="48"/>
      <c r="I507" s="48"/>
    </row>
    <row r="508" spans="1:9" hidden="1" x14ac:dyDescent="0.2">
      <c r="A508" s="46"/>
      <c r="B508" s="46"/>
      <c r="C508" s="46"/>
      <c r="D508" s="48"/>
      <c r="E508" s="48"/>
      <c r="F508" s="48"/>
      <c r="G508" s="48"/>
      <c r="H508" s="48"/>
      <c r="I508" s="48"/>
    </row>
    <row r="509" spans="1:9" hidden="1" x14ac:dyDescent="0.2">
      <c r="A509" s="46"/>
      <c r="B509" s="46"/>
      <c r="C509" s="46"/>
      <c r="D509" s="48"/>
      <c r="E509" s="48"/>
      <c r="F509" s="48"/>
      <c r="G509" s="48"/>
      <c r="H509" s="48"/>
      <c r="I509" s="48"/>
    </row>
    <row r="510" spans="1:9" hidden="1" x14ac:dyDescent="0.2">
      <c r="A510" s="46"/>
      <c r="B510" s="46"/>
      <c r="C510" s="46"/>
      <c r="D510" s="48"/>
      <c r="E510" s="48"/>
      <c r="F510" s="48"/>
      <c r="G510" s="48"/>
      <c r="H510" s="48"/>
      <c r="I510" s="48"/>
    </row>
    <row r="511" spans="1:9" hidden="1" x14ac:dyDescent="0.2">
      <c r="A511" s="46"/>
      <c r="B511" s="46"/>
      <c r="C511" s="46"/>
      <c r="D511" s="48"/>
      <c r="E511" s="48"/>
      <c r="F511" s="48"/>
      <c r="G511" s="48"/>
      <c r="H511" s="48"/>
      <c r="I511" s="48"/>
    </row>
    <row r="512" spans="1:9" hidden="1" x14ac:dyDescent="0.2">
      <c r="A512" s="46"/>
      <c r="B512" s="46"/>
      <c r="C512" s="46"/>
      <c r="D512" s="48"/>
      <c r="E512" s="48"/>
      <c r="F512" s="48"/>
      <c r="G512" s="48"/>
      <c r="H512" s="48"/>
      <c r="I512" s="48"/>
    </row>
    <row r="513" spans="1:9" hidden="1" x14ac:dyDescent="0.2">
      <c r="A513" s="46"/>
      <c r="B513" s="46"/>
      <c r="C513" s="46"/>
      <c r="D513" s="48"/>
      <c r="E513" s="48"/>
      <c r="F513" s="48"/>
      <c r="G513" s="48"/>
      <c r="H513" s="48"/>
      <c r="I513" s="48"/>
    </row>
    <row r="514" spans="1:9" hidden="1" x14ac:dyDescent="0.2">
      <c r="A514" s="46"/>
      <c r="B514" s="46"/>
      <c r="C514" s="46"/>
      <c r="D514" s="48"/>
      <c r="E514" s="48"/>
      <c r="F514" s="48"/>
      <c r="G514" s="48"/>
      <c r="H514" s="48"/>
      <c r="I514" s="48"/>
    </row>
    <row r="515" spans="1:9" hidden="1" x14ac:dyDescent="0.2">
      <c r="A515" s="46"/>
      <c r="B515" s="46"/>
      <c r="C515" s="46"/>
      <c r="D515" s="48"/>
      <c r="E515" s="48"/>
      <c r="F515" s="48"/>
      <c r="G515" s="48"/>
      <c r="H515" s="48"/>
      <c r="I515" s="48"/>
    </row>
    <row r="516" spans="1:9" hidden="1" x14ac:dyDescent="0.2">
      <c r="A516" s="46"/>
      <c r="B516" s="46"/>
      <c r="C516" s="46"/>
      <c r="D516" s="48"/>
      <c r="E516" s="48"/>
      <c r="F516" s="48"/>
      <c r="G516" s="48"/>
      <c r="H516" s="48"/>
      <c r="I516" s="48"/>
    </row>
    <row r="517" spans="1:9" hidden="1" x14ac:dyDescent="0.2">
      <c r="A517" s="46"/>
      <c r="B517" s="46"/>
      <c r="C517" s="46"/>
      <c r="D517" s="48"/>
      <c r="E517" s="48"/>
      <c r="F517" s="48"/>
      <c r="G517" s="48"/>
      <c r="H517" s="48"/>
      <c r="I517" s="48"/>
    </row>
    <row r="518" spans="1:9" hidden="1" x14ac:dyDescent="0.2">
      <c r="A518" s="46"/>
      <c r="B518" s="46"/>
      <c r="C518" s="46"/>
      <c r="D518" s="48"/>
      <c r="E518" s="48"/>
      <c r="F518" s="48"/>
      <c r="G518" s="48"/>
      <c r="H518" s="48"/>
      <c r="I518" s="48"/>
    </row>
    <row r="519" spans="1:9" hidden="1" x14ac:dyDescent="0.2">
      <c r="A519" s="46"/>
      <c r="B519" s="46"/>
      <c r="C519" s="46"/>
      <c r="D519" s="48"/>
      <c r="E519" s="48"/>
      <c r="F519" s="48"/>
      <c r="G519" s="48"/>
      <c r="H519" s="48"/>
      <c r="I519" s="48"/>
    </row>
    <row r="520" spans="1:9" hidden="1" x14ac:dyDescent="0.2">
      <c r="A520" s="46"/>
      <c r="B520" s="46"/>
      <c r="C520" s="46"/>
      <c r="D520" s="48"/>
      <c r="E520" s="48"/>
      <c r="F520" s="48"/>
      <c r="G520" s="48"/>
      <c r="H520" s="48"/>
      <c r="I520" s="48"/>
    </row>
    <row r="521" spans="1:9" hidden="1" x14ac:dyDescent="0.2">
      <c r="A521" s="46"/>
      <c r="B521" s="46"/>
      <c r="C521" s="46"/>
      <c r="D521" s="48"/>
      <c r="E521" s="48"/>
      <c r="F521" s="48"/>
      <c r="G521" s="48"/>
      <c r="H521" s="48"/>
      <c r="I521" s="48"/>
    </row>
    <row r="522" spans="1:9" hidden="1" x14ac:dyDescent="0.2">
      <c r="A522" s="46"/>
      <c r="B522" s="46"/>
      <c r="C522" s="46"/>
      <c r="D522" s="48"/>
      <c r="E522" s="48"/>
      <c r="F522" s="48"/>
      <c r="G522" s="48"/>
      <c r="H522" s="48"/>
      <c r="I522" s="48"/>
    </row>
    <row r="523" spans="1:9" hidden="1" x14ac:dyDescent="0.2">
      <c r="A523" s="46"/>
      <c r="B523" s="46"/>
      <c r="C523" s="46"/>
      <c r="D523" s="48"/>
      <c r="E523" s="48"/>
      <c r="F523" s="48"/>
      <c r="G523" s="48"/>
      <c r="H523" s="48"/>
      <c r="I523" s="48"/>
    </row>
    <row r="524" spans="1:9" hidden="1" x14ac:dyDescent="0.2">
      <c r="A524" s="46"/>
      <c r="B524" s="46"/>
      <c r="C524" s="46"/>
      <c r="D524" s="48"/>
      <c r="E524" s="48"/>
      <c r="F524" s="48"/>
      <c r="G524" s="48"/>
      <c r="H524" s="48"/>
      <c r="I524" s="48"/>
    </row>
    <row r="525" spans="1:9" hidden="1" x14ac:dyDescent="0.2">
      <c r="A525" s="46"/>
      <c r="B525" s="46"/>
      <c r="C525" s="46"/>
      <c r="D525" s="48"/>
      <c r="E525" s="48"/>
      <c r="F525" s="48"/>
      <c r="G525" s="48"/>
      <c r="H525" s="48"/>
      <c r="I525" s="48"/>
    </row>
    <row r="526" spans="1:9" hidden="1" x14ac:dyDescent="0.2">
      <c r="A526" s="46"/>
      <c r="B526" s="46"/>
      <c r="C526" s="46"/>
      <c r="D526" s="48"/>
      <c r="E526" s="48"/>
      <c r="F526" s="48"/>
      <c r="G526" s="48"/>
      <c r="H526" s="48"/>
      <c r="I526" s="48"/>
    </row>
    <row r="527" spans="1:9" hidden="1" x14ac:dyDescent="0.2">
      <c r="A527" s="46"/>
      <c r="B527" s="46"/>
      <c r="C527" s="46"/>
      <c r="D527" s="48"/>
      <c r="E527" s="48"/>
      <c r="F527" s="48"/>
      <c r="G527" s="48"/>
      <c r="H527" s="48"/>
      <c r="I527" s="48"/>
    </row>
    <row r="528" spans="1:9" hidden="1" x14ac:dyDescent="0.2">
      <c r="A528" s="46"/>
      <c r="B528" s="46"/>
      <c r="C528" s="46"/>
      <c r="D528" s="48"/>
      <c r="E528" s="48"/>
      <c r="F528" s="48"/>
      <c r="G528" s="48"/>
      <c r="H528" s="48"/>
      <c r="I528" s="48"/>
    </row>
    <row r="529" spans="1:9" hidden="1" x14ac:dyDescent="0.2">
      <c r="A529" s="46"/>
      <c r="B529" s="46"/>
      <c r="C529" s="46"/>
      <c r="D529" s="48"/>
      <c r="E529" s="48"/>
      <c r="F529" s="48"/>
      <c r="G529" s="48"/>
      <c r="H529" s="48"/>
      <c r="I529" s="48"/>
    </row>
    <row r="530" spans="1:9" hidden="1" x14ac:dyDescent="0.2">
      <c r="A530" s="46"/>
      <c r="B530" s="46"/>
      <c r="C530" s="46"/>
      <c r="D530" s="48"/>
      <c r="E530" s="48"/>
      <c r="F530" s="48"/>
      <c r="G530" s="48"/>
      <c r="H530" s="48"/>
      <c r="I530" s="48"/>
    </row>
    <row r="531" spans="1:9" hidden="1" x14ac:dyDescent="0.2">
      <c r="A531" s="46"/>
      <c r="B531" s="46"/>
      <c r="C531" s="46"/>
      <c r="D531" s="48"/>
      <c r="E531" s="48"/>
      <c r="F531" s="48"/>
      <c r="G531" s="48"/>
      <c r="H531" s="48"/>
      <c r="I531" s="48"/>
    </row>
    <row r="532" spans="1:9" hidden="1" x14ac:dyDescent="0.2">
      <c r="A532" s="46"/>
      <c r="B532" s="46"/>
      <c r="C532" s="46"/>
      <c r="D532" s="48"/>
      <c r="E532" s="48"/>
      <c r="F532" s="48"/>
      <c r="G532" s="48"/>
      <c r="H532" s="48"/>
      <c r="I532" s="48"/>
    </row>
    <row r="533" spans="1:9" hidden="1" x14ac:dyDescent="0.2">
      <c r="A533" s="46"/>
      <c r="B533" s="46"/>
      <c r="C533" s="46"/>
      <c r="D533" s="48"/>
      <c r="E533" s="48"/>
      <c r="F533" s="48"/>
      <c r="G533" s="48"/>
      <c r="H533" s="48"/>
      <c r="I533" s="48"/>
    </row>
    <row r="534" spans="1:9" hidden="1" x14ac:dyDescent="0.2">
      <c r="A534" s="46"/>
      <c r="B534" s="46"/>
      <c r="C534" s="46"/>
      <c r="D534" s="48"/>
      <c r="E534" s="48"/>
      <c r="F534" s="48"/>
      <c r="G534" s="48"/>
      <c r="H534" s="48"/>
      <c r="I534" s="48"/>
    </row>
    <row r="535" spans="1:9" hidden="1" x14ac:dyDescent="0.2">
      <c r="A535" s="46"/>
      <c r="B535" s="46"/>
      <c r="C535" s="46"/>
      <c r="D535" s="48"/>
      <c r="E535" s="48"/>
      <c r="F535" s="48"/>
      <c r="G535" s="48"/>
      <c r="H535" s="48"/>
      <c r="I535" s="48"/>
    </row>
    <row r="536" spans="1:9" hidden="1" x14ac:dyDescent="0.2">
      <c r="A536" s="46"/>
      <c r="B536" s="46"/>
      <c r="C536" s="46"/>
      <c r="D536" s="48"/>
      <c r="E536" s="48"/>
      <c r="F536" s="48"/>
      <c r="G536" s="48"/>
      <c r="H536" s="48"/>
      <c r="I536" s="48"/>
    </row>
    <row r="537" spans="1:9" hidden="1" x14ac:dyDescent="0.2">
      <c r="A537" s="46"/>
      <c r="B537" s="46"/>
      <c r="C537" s="46"/>
      <c r="D537" s="48"/>
      <c r="E537" s="48"/>
      <c r="F537" s="48"/>
      <c r="G537" s="48"/>
      <c r="H537" s="48"/>
      <c r="I537" s="48"/>
    </row>
    <row r="538" spans="1:9" hidden="1" x14ac:dyDescent="0.2">
      <c r="A538" s="46"/>
      <c r="B538" s="46"/>
      <c r="C538" s="46"/>
      <c r="D538" s="48"/>
      <c r="E538" s="48"/>
      <c r="F538" s="48"/>
      <c r="G538" s="48"/>
      <c r="H538" s="48"/>
      <c r="I538" s="48"/>
    </row>
    <row r="539" spans="1:9" hidden="1" x14ac:dyDescent="0.2">
      <c r="A539" s="46"/>
      <c r="B539" s="46"/>
      <c r="C539" s="46"/>
      <c r="D539" s="48"/>
      <c r="E539" s="48"/>
      <c r="F539" s="48"/>
      <c r="G539" s="48"/>
      <c r="H539" s="48"/>
      <c r="I539" s="48"/>
    </row>
    <row r="540" spans="1:9" hidden="1" x14ac:dyDescent="0.2">
      <c r="A540" s="46"/>
      <c r="B540" s="46"/>
      <c r="C540" s="46"/>
      <c r="D540" s="48"/>
      <c r="E540" s="48"/>
      <c r="F540" s="48"/>
      <c r="G540" s="48"/>
      <c r="H540" s="48"/>
      <c r="I540" s="48"/>
    </row>
    <row r="541" spans="1:9" hidden="1" x14ac:dyDescent="0.2">
      <c r="A541" s="46"/>
      <c r="B541" s="46"/>
      <c r="C541" s="46"/>
      <c r="D541" s="48"/>
      <c r="E541" s="48"/>
      <c r="F541" s="48"/>
      <c r="G541" s="48"/>
      <c r="H541" s="48"/>
      <c r="I541" s="48"/>
    </row>
    <row r="542" spans="1:9" hidden="1" x14ac:dyDescent="0.2">
      <c r="A542" s="46"/>
      <c r="B542" s="46"/>
      <c r="C542" s="46"/>
      <c r="D542" s="48"/>
      <c r="E542" s="48"/>
      <c r="F542" s="48"/>
      <c r="G542" s="48"/>
      <c r="H542" s="48"/>
      <c r="I542" s="48"/>
    </row>
    <row r="543" spans="1:9" hidden="1" x14ac:dyDescent="0.2">
      <c r="A543" s="46"/>
      <c r="B543" s="46"/>
      <c r="C543" s="46"/>
      <c r="D543" s="48"/>
      <c r="E543" s="48"/>
      <c r="F543" s="48"/>
      <c r="G543" s="48"/>
      <c r="H543" s="48"/>
      <c r="I543" s="48"/>
    </row>
    <row r="544" spans="1:9" hidden="1" x14ac:dyDescent="0.2">
      <c r="A544" s="46"/>
      <c r="B544" s="46"/>
      <c r="C544" s="46"/>
      <c r="D544" s="48"/>
      <c r="E544" s="48"/>
      <c r="F544" s="48"/>
      <c r="G544" s="48"/>
      <c r="H544" s="48"/>
      <c r="I544" s="48"/>
    </row>
    <row r="545" spans="1:9" hidden="1" x14ac:dyDescent="0.2">
      <c r="A545" s="46"/>
      <c r="B545" s="46"/>
      <c r="C545" s="46"/>
      <c r="D545" s="48"/>
      <c r="E545" s="48"/>
      <c r="F545" s="48"/>
      <c r="G545" s="48"/>
      <c r="H545" s="48"/>
      <c r="I545" s="48"/>
    </row>
    <row r="546" spans="1:9" hidden="1" x14ac:dyDescent="0.2">
      <c r="A546" s="46"/>
      <c r="B546" s="46"/>
      <c r="C546" s="46"/>
      <c r="D546" s="48"/>
      <c r="E546" s="48"/>
      <c r="F546" s="48"/>
      <c r="G546" s="48"/>
      <c r="H546" s="48"/>
      <c r="I546" s="48"/>
    </row>
    <row r="547" spans="1:9" hidden="1" x14ac:dyDescent="0.2">
      <c r="A547" s="46"/>
      <c r="B547" s="46"/>
      <c r="C547" s="46"/>
      <c r="D547" s="48"/>
      <c r="E547" s="48"/>
      <c r="F547" s="48"/>
      <c r="G547" s="48"/>
      <c r="H547" s="48"/>
      <c r="I547" s="48"/>
    </row>
    <row r="548" spans="1:9" hidden="1" x14ac:dyDescent="0.2">
      <c r="A548" s="46"/>
      <c r="B548" s="46"/>
      <c r="C548" s="46"/>
      <c r="D548" s="48"/>
      <c r="E548" s="48"/>
      <c r="F548" s="48"/>
      <c r="G548" s="48"/>
      <c r="H548" s="48"/>
      <c r="I548" s="48"/>
    </row>
    <row r="549" spans="1:9" hidden="1" x14ac:dyDescent="0.2">
      <c r="A549" s="46"/>
      <c r="B549" s="46"/>
      <c r="C549" s="46"/>
      <c r="D549" s="48"/>
      <c r="E549" s="48"/>
      <c r="F549" s="48"/>
      <c r="G549" s="48"/>
      <c r="H549" s="48"/>
      <c r="I549" s="48"/>
    </row>
    <row r="550" spans="1:9" hidden="1" x14ac:dyDescent="0.2">
      <c r="A550" s="46"/>
      <c r="B550" s="46"/>
      <c r="C550" s="46"/>
      <c r="D550" s="48"/>
      <c r="E550" s="48"/>
      <c r="F550" s="48"/>
      <c r="G550" s="48"/>
      <c r="H550" s="48"/>
      <c r="I550" s="48"/>
    </row>
    <row r="551" spans="1:9" hidden="1" x14ac:dyDescent="0.2">
      <c r="A551" s="46"/>
      <c r="B551" s="46"/>
      <c r="C551" s="46"/>
      <c r="D551" s="48"/>
      <c r="E551" s="48"/>
      <c r="F551" s="48"/>
      <c r="G551" s="48"/>
      <c r="H551" s="48"/>
      <c r="I551" s="48"/>
    </row>
    <row r="552" spans="1:9" hidden="1" x14ac:dyDescent="0.2">
      <c r="A552" s="46"/>
      <c r="B552" s="46"/>
      <c r="C552" s="46"/>
      <c r="D552" s="48"/>
      <c r="E552" s="48"/>
      <c r="F552" s="48"/>
      <c r="G552" s="48"/>
      <c r="H552" s="48"/>
      <c r="I552" s="48"/>
    </row>
    <row r="553" spans="1:9" hidden="1" x14ac:dyDescent="0.2">
      <c r="A553" s="46"/>
      <c r="B553" s="46"/>
      <c r="C553" s="46"/>
      <c r="D553" s="48"/>
      <c r="E553" s="48"/>
      <c r="F553" s="48"/>
      <c r="G553" s="48"/>
      <c r="H553" s="48"/>
      <c r="I553" s="48"/>
    </row>
    <row r="554" spans="1:9" hidden="1" x14ac:dyDescent="0.2">
      <c r="A554" s="46"/>
      <c r="B554" s="46"/>
      <c r="C554" s="46"/>
      <c r="D554" s="48"/>
      <c r="E554" s="48"/>
      <c r="F554" s="48"/>
      <c r="G554" s="48"/>
      <c r="H554" s="48"/>
      <c r="I554" s="48"/>
    </row>
    <row r="555" spans="1:9" hidden="1" x14ac:dyDescent="0.2">
      <c r="A555" s="46"/>
      <c r="B555" s="46"/>
      <c r="C555" s="46"/>
      <c r="D555" s="48"/>
      <c r="E555" s="48"/>
      <c r="F555" s="48"/>
      <c r="G555" s="48"/>
      <c r="H555" s="48"/>
      <c r="I555" s="48"/>
    </row>
    <row r="556" spans="1:9" hidden="1" x14ac:dyDescent="0.2">
      <c r="A556" s="46"/>
      <c r="B556" s="46"/>
      <c r="C556" s="46"/>
      <c r="D556" s="48"/>
      <c r="E556" s="48"/>
      <c r="F556" s="48"/>
      <c r="G556" s="48"/>
      <c r="H556" s="48"/>
      <c r="I556" s="48"/>
    </row>
    <row r="557" spans="1:9" hidden="1" x14ac:dyDescent="0.2">
      <c r="A557" s="46"/>
      <c r="B557" s="46"/>
      <c r="C557" s="46"/>
      <c r="D557" s="48"/>
      <c r="E557" s="48"/>
      <c r="F557" s="48"/>
      <c r="G557" s="48"/>
      <c r="H557" s="48"/>
      <c r="I557" s="48"/>
    </row>
    <row r="558" spans="1:9" hidden="1" x14ac:dyDescent="0.2">
      <c r="A558" s="46"/>
      <c r="B558" s="46"/>
      <c r="C558" s="46"/>
      <c r="D558" s="48"/>
      <c r="E558" s="48"/>
      <c r="F558" s="48"/>
      <c r="G558" s="48"/>
      <c r="H558" s="48"/>
      <c r="I558" s="48"/>
    </row>
    <row r="559" spans="1:9" hidden="1" x14ac:dyDescent="0.2">
      <c r="A559" s="46"/>
      <c r="B559" s="46"/>
      <c r="C559" s="46"/>
      <c r="D559" s="48"/>
      <c r="E559" s="48"/>
      <c r="F559" s="48"/>
      <c r="G559" s="48"/>
      <c r="H559" s="48"/>
      <c r="I559" s="48"/>
    </row>
    <row r="560" spans="1:9" hidden="1" x14ac:dyDescent="0.2">
      <c r="A560" s="46"/>
      <c r="B560" s="46"/>
      <c r="C560" s="46"/>
      <c r="D560" s="48"/>
      <c r="E560" s="48"/>
      <c r="F560" s="48"/>
      <c r="G560" s="48"/>
      <c r="H560" s="48"/>
      <c r="I560" s="48"/>
    </row>
    <row r="561" spans="1:9" hidden="1" x14ac:dyDescent="0.2">
      <c r="A561" s="46"/>
      <c r="B561" s="46"/>
      <c r="C561" s="46"/>
      <c r="D561" s="48"/>
      <c r="E561" s="48"/>
      <c r="F561" s="48"/>
      <c r="G561" s="48"/>
      <c r="H561" s="48"/>
      <c r="I561" s="48"/>
    </row>
    <row r="562" spans="1:9" hidden="1" x14ac:dyDescent="0.2">
      <c r="A562" s="46"/>
      <c r="B562" s="46"/>
      <c r="C562" s="46"/>
      <c r="D562" s="48"/>
      <c r="E562" s="48"/>
      <c r="F562" s="48"/>
      <c r="G562" s="48"/>
      <c r="H562" s="48"/>
      <c r="I562" s="48"/>
    </row>
    <row r="563" spans="1:9" hidden="1" x14ac:dyDescent="0.2">
      <c r="A563" s="46"/>
      <c r="B563" s="46"/>
      <c r="C563" s="46"/>
      <c r="D563" s="48"/>
      <c r="E563" s="48"/>
      <c r="F563" s="48"/>
      <c r="G563" s="48"/>
      <c r="H563" s="48"/>
      <c r="I563" s="48"/>
    </row>
    <row r="564" spans="1:9" hidden="1" x14ac:dyDescent="0.2">
      <c r="A564" s="46"/>
      <c r="B564" s="46"/>
      <c r="C564" s="46"/>
      <c r="D564" s="48"/>
      <c r="E564" s="48"/>
      <c r="F564" s="48"/>
      <c r="G564" s="48"/>
      <c r="H564" s="48"/>
      <c r="I564" s="48"/>
    </row>
    <row r="565" spans="1:9" hidden="1" x14ac:dyDescent="0.2">
      <c r="A565" s="46"/>
      <c r="B565" s="46"/>
      <c r="C565" s="46"/>
      <c r="D565" s="48"/>
      <c r="E565" s="48"/>
      <c r="F565" s="48"/>
      <c r="G565" s="48"/>
      <c r="H565" s="48"/>
      <c r="I565" s="48"/>
    </row>
    <row r="566" spans="1:9" hidden="1" x14ac:dyDescent="0.2">
      <c r="A566" s="46"/>
      <c r="B566" s="46"/>
      <c r="C566" s="46"/>
      <c r="D566" s="48"/>
      <c r="E566" s="48"/>
      <c r="F566" s="48"/>
      <c r="G566" s="48"/>
      <c r="H566" s="48"/>
      <c r="I566" s="48"/>
    </row>
    <row r="567" spans="1:9" hidden="1" x14ac:dyDescent="0.2">
      <c r="A567" s="46"/>
      <c r="B567" s="46"/>
      <c r="C567" s="46"/>
      <c r="D567" s="48"/>
      <c r="E567" s="48"/>
      <c r="F567" s="48"/>
      <c r="G567" s="48"/>
      <c r="H567" s="48"/>
      <c r="I567" s="48"/>
    </row>
    <row r="568" spans="1:9" hidden="1" x14ac:dyDescent="0.2">
      <c r="A568" s="46"/>
      <c r="B568" s="46"/>
      <c r="C568" s="46"/>
      <c r="D568" s="48"/>
      <c r="E568" s="48"/>
      <c r="F568" s="48"/>
      <c r="G568" s="48"/>
      <c r="H568" s="48"/>
      <c r="I568" s="48"/>
    </row>
    <row r="569" spans="1:9" hidden="1" x14ac:dyDescent="0.2">
      <c r="A569" s="46"/>
      <c r="B569" s="46"/>
      <c r="C569" s="46"/>
      <c r="D569" s="48"/>
      <c r="E569" s="48"/>
      <c r="F569" s="48"/>
      <c r="G569" s="48"/>
      <c r="H569" s="48"/>
      <c r="I569" s="48"/>
    </row>
    <row r="570" spans="1:9" hidden="1" x14ac:dyDescent="0.2">
      <c r="A570" s="46"/>
      <c r="B570" s="46"/>
      <c r="C570" s="46"/>
      <c r="D570" s="48"/>
      <c r="E570" s="48"/>
      <c r="F570" s="48"/>
      <c r="G570" s="48"/>
      <c r="H570" s="48"/>
      <c r="I570" s="48"/>
    </row>
    <row r="571" spans="1:9" hidden="1" x14ac:dyDescent="0.2">
      <c r="A571" s="46"/>
      <c r="B571" s="46"/>
      <c r="C571" s="46"/>
      <c r="D571" s="48"/>
      <c r="E571" s="48"/>
      <c r="F571" s="48"/>
      <c r="G571" s="48"/>
      <c r="H571" s="48"/>
      <c r="I571" s="48"/>
    </row>
    <row r="572" spans="1:9" hidden="1" x14ac:dyDescent="0.2">
      <c r="A572" s="46"/>
      <c r="B572" s="46"/>
      <c r="C572" s="46"/>
      <c r="D572" s="48"/>
      <c r="E572" s="48"/>
      <c r="F572" s="48"/>
      <c r="G572" s="48"/>
      <c r="H572" s="48"/>
      <c r="I572" s="48"/>
    </row>
    <row r="573" spans="1:9" hidden="1" x14ac:dyDescent="0.2">
      <c r="A573" s="46"/>
      <c r="B573" s="46"/>
      <c r="C573" s="46"/>
      <c r="D573" s="48"/>
      <c r="E573" s="48"/>
      <c r="F573" s="48"/>
      <c r="G573" s="48"/>
      <c r="H573" s="48"/>
      <c r="I573" s="48"/>
    </row>
    <row r="574" spans="1:9" hidden="1" x14ac:dyDescent="0.2">
      <c r="A574" s="46"/>
      <c r="B574" s="46"/>
      <c r="C574" s="46"/>
      <c r="D574" s="48"/>
      <c r="E574" s="48"/>
      <c r="F574" s="48"/>
      <c r="G574" s="48"/>
      <c r="H574" s="48"/>
      <c r="I574" s="48"/>
    </row>
    <row r="575" spans="1:9" hidden="1" x14ac:dyDescent="0.2">
      <c r="A575" s="46"/>
      <c r="B575" s="46"/>
      <c r="C575" s="46"/>
      <c r="D575" s="48"/>
      <c r="E575" s="48"/>
      <c r="F575" s="48"/>
      <c r="G575" s="48"/>
      <c r="H575" s="48"/>
      <c r="I575" s="48"/>
    </row>
    <row r="576" spans="1:9" hidden="1" x14ac:dyDescent="0.2">
      <c r="A576" s="46"/>
      <c r="B576" s="46"/>
      <c r="C576" s="46"/>
      <c r="D576" s="48"/>
      <c r="E576" s="48"/>
      <c r="F576" s="48"/>
      <c r="G576" s="48"/>
      <c r="H576" s="48"/>
      <c r="I576" s="48"/>
    </row>
    <row r="577" spans="1:9" hidden="1" x14ac:dyDescent="0.2">
      <c r="A577" s="46"/>
      <c r="B577" s="46"/>
      <c r="C577" s="46"/>
      <c r="D577" s="48"/>
      <c r="E577" s="48"/>
      <c r="F577" s="48"/>
      <c r="G577" s="48"/>
      <c r="H577" s="48"/>
      <c r="I577" s="48"/>
    </row>
    <row r="578" spans="1:9" hidden="1" x14ac:dyDescent="0.2">
      <c r="A578" s="46"/>
      <c r="B578" s="46"/>
      <c r="C578" s="46"/>
      <c r="D578" s="48"/>
      <c r="E578" s="48"/>
      <c r="F578" s="48"/>
      <c r="G578" s="48"/>
      <c r="H578" s="48"/>
      <c r="I578" s="48"/>
    </row>
    <row r="579" spans="1:9" hidden="1" x14ac:dyDescent="0.2">
      <c r="A579" s="46"/>
      <c r="B579" s="46"/>
      <c r="C579" s="46"/>
      <c r="D579" s="48"/>
      <c r="E579" s="48"/>
      <c r="F579" s="48"/>
      <c r="G579" s="48"/>
      <c r="H579" s="48"/>
      <c r="I579" s="48"/>
    </row>
    <row r="580" spans="1:9" hidden="1" x14ac:dyDescent="0.2">
      <c r="A580" s="46"/>
      <c r="B580" s="46"/>
      <c r="C580" s="46"/>
      <c r="D580" s="48"/>
      <c r="E580" s="48"/>
      <c r="F580" s="48"/>
      <c r="G580" s="48"/>
      <c r="H580" s="48"/>
      <c r="I580" s="48"/>
    </row>
    <row r="581" spans="1:9" hidden="1" x14ac:dyDescent="0.2">
      <c r="A581" s="46"/>
      <c r="B581" s="46"/>
      <c r="C581" s="46"/>
      <c r="D581" s="48"/>
      <c r="E581" s="48"/>
      <c r="F581" s="48"/>
      <c r="G581" s="48"/>
      <c r="H581" s="48"/>
      <c r="I581" s="48"/>
    </row>
    <row r="582" spans="1:9" hidden="1" x14ac:dyDescent="0.2">
      <c r="A582" s="46"/>
      <c r="B582" s="46"/>
      <c r="C582" s="46"/>
      <c r="D582" s="48"/>
      <c r="E582" s="48"/>
      <c r="F582" s="48"/>
      <c r="G582" s="48"/>
      <c r="H582" s="48"/>
      <c r="I582" s="48"/>
    </row>
    <row r="583" spans="1:9" hidden="1" x14ac:dyDescent="0.2">
      <c r="A583" s="46"/>
      <c r="B583" s="46"/>
      <c r="C583" s="46"/>
      <c r="D583" s="48"/>
      <c r="E583" s="48"/>
      <c r="F583" s="48"/>
      <c r="G583" s="48"/>
      <c r="H583" s="48"/>
      <c r="I583" s="48"/>
    </row>
    <row r="584" spans="1:9" hidden="1" x14ac:dyDescent="0.2">
      <c r="A584" s="46"/>
      <c r="B584" s="46"/>
      <c r="C584" s="46"/>
      <c r="D584" s="48"/>
      <c r="E584" s="48"/>
      <c r="F584" s="48"/>
      <c r="G584" s="48"/>
      <c r="H584" s="48"/>
      <c r="I584" s="48"/>
    </row>
    <row r="585" spans="1:9" hidden="1" x14ac:dyDescent="0.2">
      <c r="A585" s="46"/>
      <c r="B585" s="46"/>
      <c r="C585" s="46"/>
      <c r="D585" s="48"/>
      <c r="E585" s="48"/>
      <c r="F585" s="48"/>
      <c r="G585" s="48"/>
      <c r="H585" s="48"/>
      <c r="I585" s="48"/>
    </row>
    <row r="586" spans="1:9" hidden="1" x14ac:dyDescent="0.2">
      <c r="A586" s="46"/>
      <c r="B586" s="46"/>
      <c r="C586" s="46"/>
      <c r="D586" s="48"/>
      <c r="E586" s="48"/>
      <c r="F586" s="48"/>
      <c r="G586" s="48"/>
      <c r="H586" s="48"/>
      <c r="I586" s="48"/>
    </row>
    <row r="587" spans="1:9" hidden="1" x14ac:dyDescent="0.2">
      <c r="A587" s="46"/>
      <c r="B587" s="46"/>
      <c r="C587" s="46"/>
      <c r="D587" s="48"/>
      <c r="E587" s="48"/>
      <c r="F587" s="48"/>
      <c r="G587" s="48"/>
      <c r="H587" s="48"/>
      <c r="I587" s="48"/>
    </row>
    <row r="588" spans="1:9" hidden="1" x14ac:dyDescent="0.2">
      <c r="A588" s="46"/>
      <c r="B588" s="46"/>
      <c r="C588" s="46"/>
      <c r="D588" s="48"/>
      <c r="E588" s="48"/>
      <c r="F588" s="48"/>
      <c r="G588" s="48"/>
      <c r="H588" s="48"/>
      <c r="I588" s="48"/>
    </row>
    <row r="589" spans="1:9" hidden="1" x14ac:dyDescent="0.2">
      <c r="A589" s="46"/>
      <c r="B589" s="46"/>
      <c r="C589" s="46"/>
      <c r="D589" s="48"/>
      <c r="E589" s="48"/>
      <c r="F589" s="48"/>
      <c r="G589" s="48"/>
      <c r="H589" s="48"/>
      <c r="I589" s="48"/>
    </row>
    <row r="590" spans="1:9" hidden="1" x14ac:dyDescent="0.2">
      <c r="A590" s="46"/>
      <c r="B590" s="46"/>
      <c r="C590" s="46"/>
      <c r="D590" s="48"/>
      <c r="E590" s="48"/>
      <c r="F590" s="48"/>
      <c r="G590" s="48"/>
      <c r="H590" s="48"/>
      <c r="I590" s="48"/>
    </row>
    <row r="591" spans="1:9" hidden="1" x14ac:dyDescent="0.2">
      <c r="A591" s="46"/>
      <c r="B591" s="46"/>
      <c r="C591" s="46"/>
      <c r="D591" s="48"/>
      <c r="E591" s="48"/>
      <c r="F591" s="48"/>
      <c r="G591" s="48"/>
      <c r="H591" s="48"/>
      <c r="I591" s="48"/>
    </row>
    <row r="592" spans="1:9" hidden="1" x14ac:dyDescent="0.2">
      <c r="A592" s="46"/>
      <c r="B592" s="46"/>
      <c r="C592" s="46"/>
      <c r="D592" s="48"/>
      <c r="E592" s="48"/>
      <c r="F592" s="48"/>
      <c r="G592" s="48"/>
      <c r="H592" s="48"/>
      <c r="I592" s="48"/>
    </row>
    <row r="593" spans="1:9" hidden="1" x14ac:dyDescent="0.2">
      <c r="A593" s="46"/>
      <c r="B593" s="46"/>
      <c r="C593" s="46"/>
      <c r="D593" s="48"/>
      <c r="E593" s="48"/>
      <c r="F593" s="48"/>
      <c r="G593" s="48"/>
      <c r="H593" s="48"/>
      <c r="I593" s="48"/>
    </row>
    <row r="594" spans="1:9" hidden="1" x14ac:dyDescent="0.2">
      <c r="A594" s="46"/>
      <c r="B594" s="46"/>
      <c r="C594" s="46"/>
      <c r="D594" s="48"/>
      <c r="E594" s="48"/>
      <c r="F594" s="48"/>
      <c r="G594" s="48"/>
      <c r="H594" s="48"/>
      <c r="I594" s="48"/>
    </row>
    <row r="595" spans="1:9" hidden="1" x14ac:dyDescent="0.2">
      <c r="A595" s="46"/>
      <c r="B595" s="46"/>
      <c r="C595" s="46"/>
      <c r="D595" s="48"/>
      <c r="E595" s="48"/>
      <c r="F595" s="48"/>
      <c r="G595" s="48"/>
      <c r="H595" s="48"/>
      <c r="I595" s="48"/>
    </row>
    <row r="596" spans="1:9" hidden="1" x14ac:dyDescent="0.2">
      <c r="A596" s="46"/>
      <c r="B596" s="46"/>
      <c r="C596" s="46"/>
      <c r="D596" s="48"/>
      <c r="E596" s="48"/>
      <c r="F596" s="48"/>
      <c r="G596" s="48"/>
      <c r="H596" s="48"/>
      <c r="I596" s="48"/>
    </row>
    <row r="597" spans="1:9" hidden="1" x14ac:dyDescent="0.2">
      <c r="A597" s="46"/>
      <c r="B597" s="46"/>
      <c r="C597" s="46"/>
      <c r="D597" s="48"/>
      <c r="E597" s="48"/>
      <c r="F597" s="48"/>
      <c r="G597" s="48"/>
      <c r="H597" s="48"/>
      <c r="I597" s="48"/>
    </row>
    <row r="598" spans="1:9" hidden="1" x14ac:dyDescent="0.2">
      <c r="A598" s="46"/>
      <c r="B598" s="46"/>
      <c r="C598" s="46"/>
      <c r="D598" s="48"/>
      <c r="E598" s="48"/>
      <c r="F598" s="48"/>
      <c r="G598" s="48"/>
      <c r="H598" s="48"/>
      <c r="I598" s="48"/>
    </row>
    <row r="599" spans="1:9" hidden="1" x14ac:dyDescent="0.2">
      <c r="A599" s="46"/>
      <c r="B599" s="46"/>
      <c r="C599" s="46"/>
      <c r="D599" s="48"/>
      <c r="E599" s="48"/>
      <c r="F599" s="48"/>
      <c r="G599" s="48"/>
      <c r="H599" s="48"/>
      <c r="I599" s="48"/>
    </row>
    <row r="600" spans="1:9" hidden="1" x14ac:dyDescent="0.2">
      <c r="A600" s="46"/>
      <c r="B600" s="46"/>
      <c r="C600" s="46"/>
      <c r="D600" s="48"/>
      <c r="E600" s="48"/>
      <c r="F600" s="48"/>
      <c r="G600" s="48"/>
      <c r="H600" s="48"/>
      <c r="I600" s="48"/>
    </row>
    <row r="601" spans="1:9" hidden="1" x14ac:dyDescent="0.2">
      <c r="A601" s="46"/>
      <c r="B601" s="46"/>
      <c r="C601" s="46"/>
      <c r="D601" s="48"/>
      <c r="E601" s="48"/>
      <c r="F601" s="48"/>
      <c r="G601" s="48"/>
      <c r="H601" s="48"/>
      <c r="I601" s="48"/>
    </row>
    <row r="602" spans="1:9" hidden="1" x14ac:dyDescent="0.2">
      <c r="A602" s="46"/>
      <c r="B602" s="46"/>
      <c r="C602" s="46"/>
      <c r="D602" s="48"/>
      <c r="E602" s="48"/>
      <c r="F602" s="48"/>
      <c r="G602" s="48"/>
      <c r="H602" s="48"/>
      <c r="I602" s="48"/>
    </row>
    <row r="603" spans="1:9" hidden="1" x14ac:dyDescent="0.2">
      <c r="A603" s="46"/>
      <c r="B603" s="46"/>
      <c r="C603" s="46"/>
      <c r="D603" s="48"/>
      <c r="E603" s="48"/>
      <c r="F603" s="48"/>
      <c r="G603" s="48"/>
      <c r="H603" s="48"/>
      <c r="I603" s="48"/>
    </row>
    <row r="604" spans="1:9" hidden="1" x14ac:dyDescent="0.2">
      <c r="A604" s="46"/>
      <c r="B604" s="46"/>
      <c r="C604" s="46"/>
      <c r="D604" s="48"/>
      <c r="E604" s="48"/>
      <c r="F604" s="48"/>
      <c r="G604" s="48"/>
      <c r="H604" s="48"/>
      <c r="I604" s="48"/>
    </row>
    <row r="605" spans="1:9" hidden="1" x14ac:dyDescent="0.2">
      <c r="A605" s="46"/>
      <c r="B605" s="46"/>
      <c r="C605" s="46"/>
      <c r="D605" s="48"/>
      <c r="E605" s="48"/>
      <c r="F605" s="48"/>
      <c r="G605" s="48"/>
      <c r="H605" s="48"/>
      <c r="I605" s="48"/>
    </row>
    <row r="606" spans="1:9" hidden="1" x14ac:dyDescent="0.2">
      <c r="A606" s="46"/>
      <c r="B606" s="46"/>
      <c r="C606" s="46"/>
      <c r="D606" s="48"/>
      <c r="E606" s="48"/>
      <c r="F606" s="48"/>
      <c r="G606" s="48"/>
      <c r="H606" s="48"/>
      <c r="I606" s="48"/>
    </row>
    <row r="607" spans="1:9" hidden="1" x14ac:dyDescent="0.2">
      <c r="A607" s="46"/>
      <c r="B607" s="46"/>
      <c r="C607" s="46"/>
      <c r="D607" s="48"/>
      <c r="E607" s="48"/>
      <c r="F607" s="48"/>
      <c r="G607" s="48"/>
      <c r="H607" s="48"/>
      <c r="I607" s="48"/>
    </row>
    <row r="608" spans="1:9" hidden="1" x14ac:dyDescent="0.2">
      <c r="A608" s="46"/>
      <c r="B608" s="46"/>
      <c r="C608" s="46"/>
      <c r="D608" s="48"/>
      <c r="E608" s="48"/>
      <c r="F608" s="48"/>
      <c r="G608" s="48"/>
      <c r="H608" s="48"/>
      <c r="I608" s="48"/>
    </row>
    <row r="609" spans="1:9" hidden="1" x14ac:dyDescent="0.2">
      <c r="A609" s="46"/>
      <c r="B609" s="46"/>
      <c r="C609" s="46"/>
      <c r="D609" s="48"/>
      <c r="E609" s="48"/>
      <c r="F609" s="48"/>
      <c r="G609" s="48"/>
      <c r="H609" s="48"/>
      <c r="I609" s="48"/>
    </row>
    <row r="610" spans="1:9" hidden="1" x14ac:dyDescent="0.2">
      <c r="A610" s="46"/>
      <c r="B610" s="46"/>
      <c r="C610" s="46"/>
      <c r="D610" s="48"/>
      <c r="E610" s="48"/>
      <c r="F610" s="48"/>
      <c r="G610" s="48"/>
      <c r="H610" s="48"/>
      <c r="I610" s="48"/>
    </row>
    <row r="611" spans="1:9" hidden="1" x14ac:dyDescent="0.2">
      <c r="A611" s="46"/>
      <c r="B611" s="46"/>
      <c r="C611" s="46"/>
      <c r="D611" s="48"/>
      <c r="E611" s="48"/>
      <c r="F611" s="48"/>
      <c r="G611" s="48"/>
      <c r="H611" s="48"/>
      <c r="I611" s="48"/>
    </row>
    <row r="612" spans="1:9" hidden="1" x14ac:dyDescent="0.2">
      <c r="A612" s="46"/>
      <c r="B612" s="46"/>
      <c r="C612" s="46"/>
      <c r="D612" s="48"/>
      <c r="E612" s="48"/>
      <c r="F612" s="48"/>
      <c r="G612" s="48"/>
      <c r="H612" s="48"/>
      <c r="I612" s="48"/>
    </row>
    <row r="613" spans="1:9" hidden="1" x14ac:dyDescent="0.2">
      <c r="A613" s="46"/>
      <c r="B613" s="46"/>
      <c r="C613" s="46"/>
      <c r="D613" s="48"/>
      <c r="E613" s="48"/>
      <c r="F613" s="48"/>
      <c r="G613" s="48"/>
      <c r="H613" s="48"/>
      <c r="I613" s="48"/>
    </row>
    <row r="614" spans="1:9" hidden="1" x14ac:dyDescent="0.2">
      <c r="A614" s="46"/>
      <c r="B614" s="46"/>
      <c r="C614" s="46"/>
      <c r="D614" s="48"/>
      <c r="E614" s="48"/>
      <c r="F614" s="48"/>
      <c r="G614" s="48"/>
      <c r="H614" s="48"/>
      <c r="I614" s="48"/>
    </row>
    <row r="615" spans="1:9" hidden="1" x14ac:dyDescent="0.2">
      <c r="A615" s="46"/>
      <c r="B615" s="46"/>
      <c r="C615" s="46"/>
      <c r="D615" s="48"/>
      <c r="E615" s="48"/>
      <c r="F615" s="48"/>
      <c r="G615" s="48"/>
      <c r="H615" s="48"/>
      <c r="I615" s="48"/>
    </row>
    <row r="616" spans="1:9" hidden="1" x14ac:dyDescent="0.2">
      <c r="A616" s="46"/>
      <c r="B616" s="46"/>
      <c r="C616" s="46"/>
      <c r="D616" s="48"/>
      <c r="E616" s="48"/>
      <c r="F616" s="48"/>
      <c r="G616" s="48"/>
      <c r="H616" s="48"/>
      <c r="I616" s="48"/>
    </row>
    <row r="617" spans="1:9" hidden="1" x14ac:dyDescent="0.2">
      <c r="A617" s="46"/>
      <c r="B617" s="46"/>
      <c r="C617" s="46"/>
      <c r="D617" s="48"/>
      <c r="E617" s="48"/>
      <c r="F617" s="48"/>
      <c r="G617" s="48"/>
      <c r="H617" s="48"/>
      <c r="I617" s="48"/>
    </row>
    <row r="618" spans="1:9" hidden="1" x14ac:dyDescent="0.2">
      <c r="A618" s="46"/>
      <c r="B618" s="46"/>
      <c r="C618" s="46"/>
      <c r="D618" s="48"/>
      <c r="E618" s="48"/>
      <c r="F618" s="48"/>
      <c r="G618" s="48"/>
      <c r="H618" s="48"/>
      <c r="I618" s="48"/>
    </row>
    <row r="619" spans="1:9" hidden="1" x14ac:dyDescent="0.2">
      <c r="A619" s="46"/>
      <c r="B619" s="46"/>
      <c r="C619" s="46"/>
      <c r="D619" s="48"/>
      <c r="E619" s="48"/>
      <c r="F619" s="48"/>
      <c r="G619" s="48"/>
      <c r="H619" s="48"/>
      <c r="I619" s="48"/>
    </row>
    <row r="620" spans="1:9" hidden="1" x14ac:dyDescent="0.2">
      <c r="A620" s="46"/>
      <c r="B620" s="46"/>
      <c r="C620" s="46"/>
      <c r="D620" s="48"/>
      <c r="E620" s="48"/>
      <c r="F620" s="48"/>
      <c r="G620" s="48"/>
      <c r="H620" s="48"/>
      <c r="I620" s="48"/>
    </row>
    <row r="621" spans="1:9" hidden="1" x14ac:dyDescent="0.2">
      <c r="A621" s="46"/>
      <c r="B621" s="46"/>
      <c r="C621" s="46"/>
      <c r="D621" s="48"/>
      <c r="E621" s="48"/>
      <c r="F621" s="48"/>
      <c r="G621" s="48"/>
      <c r="H621" s="48"/>
      <c r="I621" s="48"/>
    </row>
    <row r="622" spans="1:9" hidden="1" x14ac:dyDescent="0.2">
      <c r="A622" s="46"/>
      <c r="B622" s="46"/>
      <c r="C622" s="46"/>
      <c r="D622" s="48"/>
      <c r="E622" s="48"/>
      <c r="F622" s="48"/>
      <c r="G622" s="48"/>
      <c r="H622" s="48"/>
      <c r="I622" s="48"/>
    </row>
    <row r="623" spans="1:9" hidden="1" x14ac:dyDescent="0.2">
      <c r="A623" s="46"/>
      <c r="B623" s="46"/>
      <c r="C623" s="46"/>
      <c r="D623" s="48"/>
      <c r="E623" s="48"/>
      <c r="F623" s="48"/>
      <c r="G623" s="48"/>
      <c r="H623" s="48"/>
      <c r="I623" s="48"/>
    </row>
    <row r="624" spans="1:9" hidden="1" x14ac:dyDescent="0.2">
      <c r="A624" s="46"/>
      <c r="B624" s="46"/>
      <c r="C624" s="46"/>
      <c r="D624" s="48"/>
      <c r="E624" s="48"/>
      <c r="F624" s="48"/>
      <c r="G624" s="48"/>
      <c r="H624" s="48"/>
      <c r="I624" s="48"/>
    </row>
    <row r="625" spans="1:9" hidden="1" x14ac:dyDescent="0.2">
      <c r="A625" s="46"/>
      <c r="B625" s="46"/>
      <c r="C625" s="46"/>
      <c r="D625" s="48"/>
      <c r="E625" s="48"/>
      <c r="F625" s="48"/>
      <c r="G625" s="48"/>
      <c r="H625" s="48"/>
      <c r="I625" s="48"/>
    </row>
    <row r="626" spans="1:9" hidden="1" x14ac:dyDescent="0.2">
      <c r="A626" s="46"/>
      <c r="B626" s="46"/>
      <c r="C626" s="46"/>
      <c r="D626" s="48"/>
      <c r="E626" s="48"/>
      <c r="F626" s="48"/>
      <c r="G626" s="48"/>
      <c r="H626" s="48"/>
      <c r="I626" s="48"/>
    </row>
    <row r="627" spans="1:9" hidden="1" x14ac:dyDescent="0.2">
      <c r="A627" s="46"/>
      <c r="B627" s="46"/>
      <c r="C627" s="46"/>
      <c r="D627" s="48"/>
      <c r="E627" s="48"/>
      <c r="F627" s="48"/>
      <c r="G627" s="48"/>
      <c r="H627" s="48"/>
      <c r="I627" s="48"/>
    </row>
    <row r="628" spans="1:9" hidden="1" x14ac:dyDescent="0.2">
      <c r="A628" s="46"/>
      <c r="B628" s="46"/>
      <c r="C628" s="46"/>
      <c r="D628" s="48"/>
      <c r="E628" s="48"/>
      <c r="F628" s="48"/>
      <c r="G628" s="48"/>
      <c r="H628" s="48"/>
      <c r="I628" s="48"/>
    </row>
    <row r="629" spans="1:9" hidden="1" x14ac:dyDescent="0.2">
      <c r="A629" s="46"/>
      <c r="B629" s="46"/>
      <c r="C629" s="46"/>
      <c r="D629" s="48"/>
      <c r="E629" s="48"/>
      <c r="F629" s="48"/>
      <c r="G629" s="48"/>
      <c r="H629" s="48"/>
      <c r="I629" s="48"/>
    </row>
    <row r="630" spans="1:9" hidden="1" x14ac:dyDescent="0.2">
      <c r="A630" s="46"/>
      <c r="B630" s="46"/>
      <c r="C630" s="46"/>
      <c r="D630" s="48"/>
      <c r="E630" s="48"/>
      <c r="F630" s="48"/>
      <c r="G630" s="48"/>
      <c r="H630" s="48"/>
      <c r="I630" s="48"/>
    </row>
    <row r="631" spans="1:9" hidden="1" x14ac:dyDescent="0.2">
      <c r="A631" s="46"/>
      <c r="B631" s="46"/>
      <c r="C631" s="46"/>
      <c r="D631" s="48"/>
      <c r="E631" s="48"/>
      <c r="F631" s="48"/>
      <c r="G631" s="48"/>
      <c r="H631" s="48"/>
      <c r="I631" s="48"/>
    </row>
    <row r="632" spans="1:9" hidden="1" x14ac:dyDescent="0.2">
      <c r="A632" s="46"/>
      <c r="B632" s="46"/>
      <c r="C632" s="46"/>
      <c r="D632" s="48"/>
      <c r="E632" s="48"/>
      <c r="F632" s="48"/>
      <c r="G632" s="48"/>
      <c r="H632" s="48"/>
      <c r="I632" s="48"/>
    </row>
    <row r="633" spans="1:9" hidden="1" x14ac:dyDescent="0.2">
      <c r="A633" s="46"/>
      <c r="B633" s="46"/>
      <c r="C633" s="46"/>
      <c r="D633" s="48"/>
      <c r="E633" s="48"/>
      <c r="F633" s="48"/>
      <c r="G633" s="48"/>
      <c r="H633" s="48"/>
      <c r="I633" s="48"/>
    </row>
    <row r="634" spans="1:9" hidden="1" x14ac:dyDescent="0.2">
      <c r="A634" s="46"/>
      <c r="B634" s="46"/>
      <c r="C634" s="46"/>
      <c r="D634" s="48"/>
      <c r="E634" s="48"/>
      <c r="F634" s="48"/>
      <c r="G634" s="48"/>
      <c r="H634" s="48"/>
      <c r="I634" s="48"/>
    </row>
    <row r="635" spans="1:9" hidden="1" x14ac:dyDescent="0.2">
      <c r="A635" s="46"/>
      <c r="B635" s="46"/>
      <c r="C635" s="46"/>
      <c r="D635" s="48"/>
      <c r="E635" s="48"/>
      <c r="F635" s="48"/>
      <c r="G635" s="48"/>
      <c r="H635" s="48"/>
      <c r="I635" s="48"/>
    </row>
    <row r="636" spans="1:9" hidden="1" x14ac:dyDescent="0.2">
      <c r="A636" s="46"/>
      <c r="B636" s="46"/>
      <c r="C636" s="46"/>
      <c r="D636" s="48"/>
      <c r="E636" s="48"/>
      <c r="F636" s="48"/>
      <c r="G636" s="48"/>
      <c r="H636" s="48"/>
      <c r="I636" s="48"/>
    </row>
    <row r="637" spans="1:9" hidden="1" x14ac:dyDescent="0.2">
      <c r="A637" s="46"/>
      <c r="B637" s="46"/>
      <c r="C637" s="46"/>
      <c r="D637" s="48"/>
      <c r="E637" s="48"/>
      <c r="F637" s="48"/>
      <c r="G637" s="48"/>
      <c r="H637" s="48"/>
      <c r="I637" s="48"/>
    </row>
    <row r="638" spans="1:9" hidden="1" x14ac:dyDescent="0.2">
      <c r="A638" s="46"/>
      <c r="B638" s="46"/>
      <c r="C638" s="46"/>
      <c r="D638" s="48"/>
      <c r="E638" s="48"/>
      <c r="F638" s="48"/>
      <c r="G638" s="48"/>
      <c r="H638" s="48"/>
      <c r="I638" s="48"/>
    </row>
    <row r="639" spans="1:9" hidden="1" x14ac:dyDescent="0.2">
      <c r="A639" s="46"/>
      <c r="B639" s="46"/>
      <c r="C639" s="46"/>
      <c r="D639" s="48"/>
      <c r="E639" s="48"/>
      <c r="F639" s="48"/>
      <c r="G639" s="48"/>
      <c r="H639" s="48"/>
      <c r="I639" s="48"/>
    </row>
    <row r="640" spans="1:9" hidden="1" x14ac:dyDescent="0.2">
      <c r="A640" s="46"/>
      <c r="B640" s="46"/>
      <c r="C640" s="46"/>
      <c r="D640" s="48"/>
      <c r="E640" s="48"/>
      <c r="F640" s="48"/>
      <c r="G640" s="48"/>
      <c r="H640" s="48"/>
      <c r="I640" s="48"/>
    </row>
    <row r="641" spans="1:9" hidden="1" x14ac:dyDescent="0.2">
      <c r="A641" s="46"/>
      <c r="B641" s="46"/>
      <c r="C641" s="46"/>
      <c r="D641" s="48"/>
      <c r="E641" s="48"/>
      <c r="F641" s="48"/>
      <c r="G641" s="48"/>
      <c r="H641" s="48"/>
      <c r="I641" s="48"/>
    </row>
    <row r="642" spans="1:9" hidden="1" x14ac:dyDescent="0.2">
      <c r="A642" s="46"/>
      <c r="B642" s="46"/>
      <c r="C642" s="46"/>
      <c r="D642" s="48"/>
      <c r="E642" s="48"/>
      <c r="F642" s="48"/>
      <c r="G642" s="48"/>
      <c r="H642" s="48"/>
      <c r="I642" s="48"/>
    </row>
    <row r="643" spans="1:9" hidden="1" x14ac:dyDescent="0.2">
      <c r="A643" s="46"/>
      <c r="B643" s="46"/>
      <c r="C643" s="46"/>
      <c r="D643" s="48"/>
      <c r="E643" s="48"/>
      <c r="F643" s="48"/>
      <c r="G643" s="48"/>
      <c r="H643" s="48"/>
      <c r="I643" s="48"/>
    </row>
    <row r="644" spans="1:9" hidden="1" x14ac:dyDescent="0.2">
      <c r="A644" s="46"/>
      <c r="B644" s="46"/>
      <c r="C644" s="46"/>
      <c r="D644" s="48"/>
      <c r="E644" s="48"/>
      <c r="F644" s="48"/>
      <c r="G644" s="48"/>
      <c r="H644" s="48"/>
      <c r="I644" s="48"/>
    </row>
    <row r="645" spans="1:9" hidden="1" x14ac:dyDescent="0.2">
      <c r="A645" s="46"/>
      <c r="B645" s="46"/>
      <c r="C645" s="46"/>
      <c r="D645" s="48"/>
      <c r="E645" s="48"/>
      <c r="F645" s="48"/>
      <c r="G645" s="48"/>
      <c r="H645" s="48"/>
      <c r="I645" s="48"/>
    </row>
    <row r="646" spans="1:9" hidden="1" x14ac:dyDescent="0.2">
      <c r="A646" s="46"/>
      <c r="B646" s="46"/>
      <c r="C646" s="46"/>
      <c r="D646" s="48"/>
      <c r="E646" s="48"/>
      <c r="F646" s="48"/>
      <c r="G646" s="48"/>
      <c r="H646" s="48"/>
      <c r="I646" s="48"/>
    </row>
    <row r="647" spans="1:9" hidden="1" x14ac:dyDescent="0.2">
      <c r="A647" s="46"/>
      <c r="B647" s="46"/>
      <c r="C647" s="46"/>
      <c r="D647" s="48"/>
      <c r="E647" s="48"/>
      <c r="F647" s="48"/>
      <c r="G647" s="48"/>
      <c r="H647" s="48"/>
      <c r="I647" s="48"/>
    </row>
    <row r="648" spans="1:9" hidden="1" x14ac:dyDescent="0.2">
      <c r="A648" s="46"/>
      <c r="B648" s="46"/>
      <c r="C648" s="46"/>
      <c r="D648" s="48"/>
      <c r="E648" s="48"/>
      <c r="F648" s="48"/>
      <c r="G648" s="48"/>
      <c r="H648" s="48"/>
      <c r="I648" s="48"/>
    </row>
    <row r="649" spans="1:9" hidden="1" x14ac:dyDescent="0.2">
      <c r="A649" s="46"/>
      <c r="B649" s="46"/>
      <c r="C649" s="46"/>
      <c r="D649" s="48"/>
      <c r="E649" s="48"/>
      <c r="F649" s="48"/>
      <c r="G649" s="48"/>
      <c r="H649" s="48"/>
      <c r="I649" s="48"/>
    </row>
    <row r="650" spans="1:9" hidden="1" x14ac:dyDescent="0.2">
      <c r="A650" s="46"/>
      <c r="B650" s="46"/>
      <c r="C650" s="46"/>
      <c r="D650" s="48"/>
      <c r="E650" s="48"/>
      <c r="F650" s="48"/>
      <c r="G650" s="48"/>
      <c r="H650" s="48"/>
      <c r="I650" s="48"/>
    </row>
    <row r="651" spans="1:9" hidden="1" x14ac:dyDescent="0.2">
      <c r="A651" s="46"/>
      <c r="B651" s="46"/>
      <c r="C651" s="46"/>
      <c r="D651" s="48"/>
      <c r="E651" s="48"/>
      <c r="F651" s="48"/>
      <c r="G651" s="48"/>
      <c r="H651" s="48"/>
      <c r="I651" s="48"/>
    </row>
    <row r="652" spans="1:9" hidden="1" x14ac:dyDescent="0.2">
      <c r="A652" s="46"/>
      <c r="B652" s="46"/>
      <c r="C652" s="46"/>
      <c r="D652" s="48"/>
      <c r="E652" s="48"/>
      <c r="F652" s="48"/>
      <c r="G652" s="48"/>
      <c r="H652" s="48"/>
      <c r="I652" s="48"/>
    </row>
    <row r="653" spans="1:9" hidden="1" x14ac:dyDescent="0.2">
      <c r="A653" s="46"/>
      <c r="B653" s="46"/>
      <c r="C653" s="46"/>
      <c r="D653" s="48"/>
      <c r="E653" s="48"/>
      <c r="F653" s="48"/>
      <c r="G653" s="48"/>
      <c r="H653" s="48"/>
      <c r="I653" s="48"/>
    </row>
    <row r="654" spans="1:9" hidden="1" x14ac:dyDescent="0.2">
      <c r="A654" s="46"/>
      <c r="B654" s="46"/>
      <c r="C654" s="46"/>
      <c r="D654" s="48"/>
      <c r="E654" s="48"/>
      <c r="F654" s="48"/>
      <c r="G654" s="48"/>
      <c r="H654" s="48"/>
      <c r="I654" s="48"/>
    </row>
    <row r="655" spans="1:9" hidden="1" x14ac:dyDescent="0.2">
      <c r="A655" s="46"/>
      <c r="B655" s="46"/>
      <c r="C655" s="46"/>
      <c r="D655" s="48"/>
      <c r="E655" s="48"/>
      <c r="F655" s="48"/>
      <c r="G655" s="48"/>
      <c r="H655" s="48"/>
      <c r="I655" s="48"/>
    </row>
    <row r="656" spans="1:9" hidden="1" x14ac:dyDescent="0.2">
      <c r="A656" s="46"/>
      <c r="B656" s="46"/>
      <c r="C656" s="46"/>
      <c r="D656" s="48"/>
      <c r="E656" s="48"/>
      <c r="F656" s="48"/>
      <c r="G656" s="48"/>
      <c r="H656" s="48"/>
      <c r="I656" s="48"/>
    </row>
    <row r="657" spans="1:9" hidden="1" x14ac:dyDescent="0.2">
      <c r="A657" s="46"/>
      <c r="B657" s="46"/>
      <c r="C657" s="46"/>
      <c r="D657" s="48"/>
      <c r="E657" s="48"/>
      <c r="F657" s="48"/>
      <c r="G657" s="48"/>
      <c r="H657" s="48"/>
      <c r="I657" s="48"/>
    </row>
    <row r="658" spans="1:9" hidden="1" x14ac:dyDescent="0.2">
      <c r="A658" s="46"/>
      <c r="B658" s="46"/>
      <c r="C658" s="46"/>
      <c r="D658" s="48"/>
      <c r="E658" s="48"/>
      <c r="F658" s="48"/>
      <c r="G658" s="48"/>
      <c r="H658" s="48"/>
      <c r="I658" s="48"/>
    </row>
    <row r="659" spans="1:9" hidden="1" x14ac:dyDescent="0.2">
      <c r="A659" s="46"/>
      <c r="B659" s="46"/>
      <c r="C659" s="46"/>
      <c r="D659" s="48"/>
      <c r="E659" s="48"/>
      <c r="F659" s="48"/>
      <c r="G659" s="48"/>
      <c r="H659" s="48"/>
      <c r="I659" s="48"/>
    </row>
    <row r="660" spans="1:9" hidden="1" x14ac:dyDescent="0.2">
      <c r="A660" s="46"/>
      <c r="B660" s="46"/>
      <c r="C660" s="46"/>
      <c r="D660" s="48"/>
      <c r="E660" s="48"/>
      <c r="F660" s="48"/>
      <c r="G660" s="48"/>
      <c r="H660" s="48"/>
      <c r="I660" s="48"/>
    </row>
    <row r="661" spans="1:9" hidden="1" x14ac:dyDescent="0.2">
      <c r="A661" s="46"/>
      <c r="B661" s="46"/>
      <c r="C661" s="46"/>
      <c r="D661" s="48"/>
      <c r="E661" s="48"/>
      <c r="F661" s="48"/>
      <c r="G661" s="48"/>
      <c r="H661" s="48"/>
      <c r="I661" s="48"/>
    </row>
    <row r="662" spans="1:9" hidden="1" x14ac:dyDescent="0.2">
      <c r="A662" s="46"/>
      <c r="B662" s="46"/>
      <c r="C662" s="46"/>
      <c r="D662" s="48"/>
      <c r="E662" s="48"/>
      <c r="F662" s="48"/>
      <c r="G662" s="48"/>
      <c r="H662" s="48"/>
      <c r="I662" s="48"/>
    </row>
    <row r="663" spans="1:9" hidden="1" x14ac:dyDescent="0.2">
      <c r="A663" s="46"/>
      <c r="B663" s="46"/>
      <c r="C663" s="46"/>
      <c r="D663" s="48"/>
      <c r="E663" s="48"/>
      <c r="F663" s="48"/>
      <c r="G663" s="48"/>
      <c r="H663" s="48"/>
      <c r="I663" s="48"/>
    </row>
    <row r="664" spans="1:9" hidden="1" x14ac:dyDescent="0.2">
      <c r="A664" s="46"/>
      <c r="B664" s="46"/>
      <c r="C664" s="46"/>
      <c r="D664" s="48"/>
      <c r="E664" s="48"/>
      <c r="F664" s="48"/>
      <c r="G664" s="48"/>
      <c r="H664" s="48"/>
      <c r="I664" s="48"/>
    </row>
    <row r="665" spans="1:9" hidden="1" x14ac:dyDescent="0.2">
      <c r="A665" s="46"/>
      <c r="B665" s="46"/>
      <c r="C665" s="46"/>
      <c r="D665" s="48"/>
      <c r="E665" s="48"/>
      <c r="F665" s="48"/>
      <c r="G665" s="48"/>
      <c r="H665" s="48"/>
      <c r="I665" s="48"/>
    </row>
    <row r="666" spans="1:9" hidden="1" x14ac:dyDescent="0.2">
      <c r="A666" s="46"/>
      <c r="B666" s="46"/>
      <c r="C666" s="46"/>
      <c r="D666" s="48"/>
      <c r="E666" s="48"/>
      <c r="F666" s="48"/>
      <c r="G666" s="48"/>
      <c r="H666" s="48"/>
      <c r="I666" s="48"/>
    </row>
    <row r="667" spans="1:9" hidden="1" x14ac:dyDescent="0.2">
      <c r="A667" s="46"/>
      <c r="B667" s="46"/>
      <c r="C667" s="46"/>
      <c r="D667" s="48"/>
      <c r="E667" s="48"/>
      <c r="F667" s="48"/>
      <c r="G667" s="48"/>
      <c r="H667" s="48"/>
      <c r="I667" s="48"/>
    </row>
    <row r="668" spans="1:9" hidden="1" x14ac:dyDescent="0.2">
      <c r="A668" s="46"/>
      <c r="B668" s="46"/>
      <c r="C668" s="46"/>
      <c r="D668" s="48"/>
      <c r="E668" s="48"/>
      <c r="F668" s="48"/>
      <c r="G668" s="48"/>
      <c r="H668" s="48"/>
      <c r="I668" s="48"/>
    </row>
    <row r="669" spans="1:9" hidden="1" x14ac:dyDescent="0.2">
      <c r="A669" s="46"/>
      <c r="B669" s="46"/>
      <c r="C669" s="46"/>
      <c r="D669" s="48"/>
      <c r="E669" s="48"/>
      <c r="F669" s="48"/>
      <c r="G669" s="48"/>
      <c r="H669" s="48"/>
      <c r="I669" s="48"/>
    </row>
    <row r="670" spans="1:9" hidden="1" x14ac:dyDescent="0.2">
      <c r="A670" s="46"/>
      <c r="B670" s="46"/>
      <c r="C670" s="46"/>
      <c r="D670" s="48"/>
      <c r="E670" s="48"/>
      <c r="F670" s="48"/>
      <c r="G670" s="48"/>
      <c r="H670" s="48"/>
      <c r="I670" s="48"/>
    </row>
    <row r="671" spans="1:9" hidden="1" x14ac:dyDescent="0.2">
      <c r="A671" s="46"/>
      <c r="B671" s="46"/>
      <c r="C671" s="46"/>
      <c r="D671" s="48"/>
      <c r="E671" s="48"/>
      <c r="F671" s="48"/>
      <c r="G671" s="48"/>
      <c r="H671" s="48"/>
      <c r="I671" s="48"/>
    </row>
    <row r="672" spans="1:9" hidden="1" x14ac:dyDescent="0.2">
      <c r="A672" s="46"/>
      <c r="B672" s="46"/>
      <c r="C672" s="46"/>
      <c r="D672" s="48"/>
      <c r="E672" s="48"/>
      <c r="F672" s="48"/>
      <c r="G672" s="48"/>
      <c r="H672" s="48"/>
      <c r="I672" s="48"/>
    </row>
    <row r="673" spans="1:9" hidden="1" x14ac:dyDescent="0.2">
      <c r="A673" s="46"/>
      <c r="B673" s="46"/>
      <c r="C673" s="46"/>
      <c r="D673" s="48"/>
      <c r="E673" s="48"/>
      <c r="F673" s="48"/>
      <c r="G673" s="48"/>
      <c r="H673" s="48"/>
      <c r="I673" s="48"/>
    </row>
    <row r="674" spans="1:9" hidden="1" x14ac:dyDescent="0.2">
      <c r="A674" s="46"/>
      <c r="B674" s="46"/>
      <c r="C674" s="46"/>
      <c r="D674" s="48"/>
      <c r="E674" s="48"/>
      <c r="F674" s="48"/>
      <c r="G674" s="48"/>
      <c r="H674" s="48"/>
      <c r="I674" s="48"/>
    </row>
    <row r="675" spans="1:9" hidden="1" x14ac:dyDescent="0.2">
      <c r="A675" s="46"/>
      <c r="B675" s="46"/>
      <c r="C675" s="46"/>
      <c r="D675" s="48"/>
      <c r="E675" s="48"/>
      <c r="F675" s="48"/>
      <c r="G675" s="48"/>
      <c r="H675" s="48"/>
      <c r="I675" s="48"/>
    </row>
    <row r="676" spans="1:9" hidden="1" x14ac:dyDescent="0.2">
      <c r="A676" s="46"/>
      <c r="B676" s="46"/>
      <c r="C676" s="46"/>
      <c r="D676" s="48"/>
      <c r="E676" s="48"/>
      <c r="F676" s="48"/>
      <c r="G676" s="48"/>
      <c r="H676" s="48"/>
      <c r="I676" s="48"/>
    </row>
    <row r="677" spans="1:9" hidden="1" x14ac:dyDescent="0.2">
      <c r="A677" s="46"/>
      <c r="B677" s="46"/>
      <c r="C677" s="46"/>
      <c r="D677" s="48"/>
      <c r="E677" s="48"/>
      <c r="F677" s="48"/>
      <c r="G677" s="48"/>
      <c r="H677" s="48"/>
      <c r="I677" s="48"/>
    </row>
    <row r="678" spans="1:9" hidden="1" x14ac:dyDescent="0.2">
      <c r="A678" s="46"/>
      <c r="B678" s="46"/>
      <c r="C678" s="46"/>
      <c r="D678" s="48"/>
      <c r="E678" s="48"/>
      <c r="F678" s="48"/>
      <c r="G678" s="48"/>
      <c r="H678" s="48"/>
      <c r="I678" s="48"/>
    </row>
    <row r="679" spans="1:9" hidden="1" x14ac:dyDescent="0.2">
      <c r="A679" s="46"/>
      <c r="B679" s="46"/>
      <c r="C679" s="46"/>
      <c r="D679" s="48"/>
      <c r="E679" s="48"/>
      <c r="F679" s="48"/>
      <c r="G679" s="48"/>
      <c r="H679" s="48"/>
      <c r="I679" s="48"/>
    </row>
    <row r="680" spans="1:9" hidden="1" x14ac:dyDescent="0.2">
      <c r="A680" s="46"/>
      <c r="B680" s="46"/>
      <c r="C680" s="46"/>
      <c r="D680" s="48"/>
      <c r="E680" s="48"/>
      <c r="F680" s="48"/>
      <c r="G680" s="48"/>
      <c r="H680" s="48"/>
      <c r="I680" s="48"/>
    </row>
    <row r="681" spans="1:9" hidden="1" x14ac:dyDescent="0.2">
      <c r="A681" s="46"/>
      <c r="B681" s="46"/>
      <c r="C681" s="46"/>
      <c r="D681" s="48"/>
      <c r="E681" s="48"/>
      <c r="F681" s="48"/>
      <c r="G681" s="48"/>
      <c r="H681" s="48"/>
      <c r="I681" s="48"/>
    </row>
    <row r="682" spans="1:9" hidden="1" x14ac:dyDescent="0.2">
      <c r="A682" s="46"/>
      <c r="B682" s="46"/>
      <c r="C682" s="46"/>
      <c r="D682" s="48"/>
      <c r="E682" s="48"/>
      <c r="F682" s="48"/>
      <c r="G682" s="48"/>
      <c r="H682" s="48"/>
      <c r="I682" s="48"/>
    </row>
    <row r="683" spans="1:9" hidden="1" x14ac:dyDescent="0.2">
      <c r="A683" s="46"/>
      <c r="B683" s="46"/>
      <c r="C683" s="46"/>
      <c r="D683" s="48"/>
      <c r="E683" s="48"/>
      <c r="F683" s="48"/>
      <c r="G683" s="48"/>
      <c r="H683" s="48"/>
      <c r="I683" s="48"/>
    </row>
    <row r="684" spans="1:9" hidden="1" x14ac:dyDescent="0.2">
      <c r="A684" s="46"/>
      <c r="B684" s="46"/>
      <c r="C684" s="46"/>
      <c r="D684" s="48"/>
      <c r="E684" s="48"/>
      <c r="F684" s="48"/>
      <c r="G684" s="48"/>
      <c r="H684" s="48"/>
      <c r="I684" s="48"/>
    </row>
    <row r="685" spans="1:9" hidden="1" x14ac:dyDescent="0.2">
      <c r="A685" s="46"/>
      <c r="B685" s="46"/>
      <c r="C685" s="46"/>
      <c r="D685" s="48"/>
      <c r="E685" s="48"/>
      <c r="F685" s="48"/>
      <c r="G685" s="48"/>
      <c r="H685" s="48"/>
      <c r="I685" s="48"/>
    </row>
    <row r="686" spans="1:9" hidden="1" x14ac:dyDescent="0.2">
      <c r="A686" s="46"/>
      <c r="B686" s="46"/>
      <c r="C686" s="46"/>
      <c r="D686" s="48"/>
      <c r="E686" s="48"/>
      <c r="F686" s="48"/>
      <c r="G686" s="48"/>
      <c r="H686" s="48"/>
      <c r="I686" s="48"/>
    </row>
    <row r="687" spans="1:9" hidden="1" x14ac:dyDescent="0.2">
      <c r="A687" s="46"/>
      <c r="B687" s="46"/>
      <c r="C687" s="46"/>
      <c r="D687" s="48"/>
      <c r="E687" s="48"/>
      <c r="F687" s="48"/>
      <c r="G687" s="48"/>
      <c r="H687" s="48"/>
      <c r="I687" s="48"/>
    </row>
    <row r="688" spans="1:9" hidden="1" x14ac:dyDescent="0.2">
      <c r="A688" s="46"/>
      <c r="B688" s="46"/>
      <c r="C688" s="46"/>
      <c r="D688" s="48"/>
      <c r="E688" s="48"/>
      <c r="F688" s="48"/>
      <c r="G688" s="48"/>
      <c r="H688" s="48"/>
      <c r="I688" s="48"/>
    </row>
    <row r="689" spans="1:9" hidden="1" x14ac:dyDescent="0.2">
      <c r="A689" s="46"/>
      <c r="B689" s="46"/>
      <c r="C689" s="46"/>
      <c r="D689" s="48"/>
      <c r="E689" s="48"/>
      <c r="F689" s="48"/>
      <c r="G689" s="48"/>
      <c r="H689" s="48"/>
      <c r="I689" s="48"/>
    </row>
    <row r="690" spans="1:9" hidden="1" x14ac:dyDescent="0.2">
      <c r="A690" s="46"/>
      <c r="B690" s="46"/>
      <c r="C690" s="46"/>
      <c r="D690" s="48"/>
      <c r="E690" s="48"/>
      <c r="F690" s="48"/>
      <c r="G690" s="48"/>
      <c r="H690" s="48"/>
      <c r="I690" s="48"/>
    </row>
    <row r="691" spans="1:9" hidden="1" x14ac:dyDescent="0.2">
      <c r="A691" s="46"/>
      <c r="B691" s="46"/>
      <c r="C691" s="46"/>
      <c r="D691" s="48"/>
      <c r="E691" s="48"/>
      <c r="F691" s="48"/>
      <c r="G691" s="48"/>
      <c r="H691" s="48"/>
      <c r="I691" s="48"/>
    </row>
    <row r="692" spans="1:9" hidden="1" x14ac:dyDescent="0.2">
      <c r="A692" s="46"/>
      <c r="B692" s="46"/>
      <c r="C692" s="46"/>
      <c r="D692" s="48"/>
      <c r="E692" s="48"/>
      <c r="F692" s="48"/>
      <c r="G692" s="48"/>
      <c r="H692" s="48"/>
      <c r="I692" s="48"/>
    </row>
    <row r="693" spans="1:9" hidden="1" x14ac:dyDescent="0.2">
      <c r="A693" s="46"/>
      <c r="B693" s="46"/>
      <c r="C693" s="46"/>
      <c r="D693" s="48"/>
      <c r="E693" s="48"/>
      <c r="F693" s="48"/>
      <c r="G693" s="48"/>
      <c r="H693" s="48"/>
      <c r="I693" s="48"/>
    </row>
    <row r="694" spans="1:9" hidden="1" x14ac:dyDescent="0.2">
      <c r="A694" s="46"/>
      <c r="B694" s="46"/>
      <c r="C694" s="46"/>
      <c r="D694" s="48"/>
      <c r="E694" s="48"/>
      <c r="F694" s="48"/>
      <c r="G694" s="48"/>
      <c r="H694" s="48"/>
      <c r="I694" s="48"/>
    </row>
    <row r="695" spans="1:9" hidden="1" x14ac:dyDescent="0.2">
      <c r="A695" s="46"/>
      <c r="B695" s="46"/>
      <c r="C695" s="46"/>
      <c r="D695" s="48"/>
      <c r="E695" s="48"/>
      <c r="F695" s="48"/>
      <c r="G695" s="48"/>
      <c r="H695" s="48"/>
      <c r="I695" s="48"/>
    </row>
    <row r="696" spans="1:9" hidden="1" x14ac:dyDescent="0.2">
      <c r="A696" s="46"/>
      <c r="B696" s="46"/>
      <c r="C696" s="46"/>
      <c r="D696" s="48"/>
      <c r="E696" s="48"/>
      <c r="F696" s="48"/>
      <c r="G696" s="48"/>
      <c r="H696" s="48"/>
      <c r="I696" s="48"/>
    </row>
    <row r="697" spans="1:9" hidden="1" x14ac:dyDescent="0.2">
      <c r="A697" s="46"/>
      <c r="B697" s="46"/>
      <c r="C697" s="46"/>
      <c r="D697" s="48"/>
      <c r="E697" s="48"/>
      <c r="F697" s="48"/>
      <c r="G697" s="48"/>
      <c r="H697" s="48"/>
      <c r="I697" s="48"/>
    </row>
    <row r="698" spans="1:9" hidden="1" x14ac:dyDescent="0.2">
      <c r="A698" s="46"/>
      <c r="B698" s="46"/>
      <c r="C698" s="46"/>
      <c r="D698" s="48"/>
      <c r="E698" s="48"/>
      <c r="F698" s="48"/>
      <c r="G698" s="48"/>
      <c r="H698" s="48"/>
      <c r="I698" s="48"/>
    </row>
    <row r="699" spans="1:9" hidden="1" x14ac:dyDescent="0.2">
      <c r="A699" s="46"/>
      <c r="B699" s="46"/>
      <c r="C699" s="46"/>
      <c r="D699" s="48"/>
      <c r="E699" s="48"/>
      <c r="F699" s="48"/>
      <c r="G699" s="48"/>
      <c r="H699" s="48"/>
      <c r="I699" s="48"/>
    </row>
    <row r="700" spans="1:9" hidden="1" x14ac:dyDescent="0.2">
      <c r="A700" s="46"/>
      <c r="B700" s="46"/>
      <c r="C700" s="46"/>
      <c r="D700" s="48"/>
      <c r="E700" s="48"/>
      <c r="F700" s="48"/>
      <c r="G700" s="48"/>
      <c r="H700" s="48"/>
      <c r="I700" s="48"/>
    </row>
    <row r="701" spans="1:9" hidden="1" x14ac:dyDescent="0.2">
      <c r="A701" s="46"/>
      <c r="B701" s="46"/>
      <c r="C701" s="46"/>
      <c r="D701" s="48"/>
      <c r="E701" s="48"/>
      <c r="F701" s="48"/>
      <c r="G701" s="48"/>
      <c r="H701" s="48"/>
      <c r="I701" s="48"/>
    </row>
    <row r="702" spans="1:9" hidden="1" x14ac:dyDescent="0.2">
      <c r="A702" s="46"/>
      <c r="B702" s="46"/>
      <c r="C702" s="46"/>
      <c r="D702" s="48"/>
      <c r="E702" s="48"/>
      <c r="F702" s="48"/>
      <c r="G702" s="48"/>
      <c r="H702" s="48"/>
      <c r="I702" s="48"/>
    </row>
    <row r="703" spans="1:9" hidden="1" x14ac:dyDescent="0.2">
      <c r="A703" s="46"/>
      <c r="B703" s="46"/>
      <c r="C703" s="46"/>
      <c r="D703" s="48"/>
      <c r="E703" s="48"/>
      <c r="F703" s="48"/>
      <c r="G703" s="48"/>
      <c r="H703" s="48"/>
      <c r="I703" s="48"/>
    </row>
    <row r="704" spans="1:9" hidden="1" x14ac:dyDescent="0.2">
      <c r="A704" s="46"/>
      <c r="B704" s="46"/>
      <c r="C704" s="46"/>
      <c r="D704" s="48"/>
      <c r="E704" s="48"/>
      <c r="F704" s="48"/>
      <c r="G704" s="48"/>
      <c r="H704" s="48"/>
      <c r="I704" s="48"/>
    </row>
    <row r="705" spans="1:9" hidden="1" x14ac:dyDescent="0.2">
      <c r="A705" s="46"/>
      <c r="B705" s="46"/>
      <c r="C705" s="46"/>
      <c r="D705" s="48"/>
      <c r="E705" s="48"/>
      <c r="F705" s="48"/>
      <c r="G705" s="48"/>
      <c r="H705" s="48"/>
      <c r="I705" s="48"/>
    </row>
    <row r="706" spans="1:9" hidden="1" x14ac:dyDescent="0.2">
      <c r="A706" s="46"/>
      <c r="B706" s="46"/>
      <c r="C706" s="46"/>
      <c r="D706" s="48"/>
      <c r="E706" s="48"/>
      <c r="F706" s="48"/>
      <c r="G706" s="48"/>
      <c r="H706" s="48"/>
      <c r="I706" s="48"/>
    </row>
    <row r="707" spans="1:9" hidden="1" x14ac:dyDescent="0.2">
      <c r="A707" s="46"/>
      <c r="B707" s="46"/>
      <c r="C707" s="46"/>
      <c r="D707" s="48"/>
      <c r="E707" s="48"/>
      <c r="F707" s="48"/>
      <c r="G707" s="48"/>
      <c r="H707" s="48"/>
      <c r="I707" s="48"/>
    </row>
    <row r="708" spans="1:9" hidden="1" x14ac:dyDescent="0.2">
      <c r="A708" s="46"/>
      <c r="B708" s="46"/>
      <c r="C708" s="46"/>
      <c r="D708" s="48"/>
      <c r="E708" s="48"/>
      <c r="F708" s="48"/>
      <c r="G708" s="48"/>
      <c r="H708" s="48"/>
      <c r="I708" s="48"/>
    </row>
    <row r="709" spans="1:9" hidden="1" x14ac:dyDescent="0.2">
      <c r="A709" s="46"/>
      <c r="B709" s="46"/>
      <c r="C709" s="46"/>
      <c r="D709" s="48"/>
      <c r="E709" s="48"/>
      <c r="F709" s="48"/>
      <c r="G709" s="48"/>
      <c r="H709" s="48"/>
      <c r="I709" s="48"/>
    </row>
    <row r="710" spans="1:9" hidden="1" x14ac:dyDescent="0.2">
      <c r="A710" s="46"/>
      <c r="B710" s="46"/>
      <c r="C710" s="46"/>
      <c r="D710" s="48"/>
      <c r="E710" s="48"/>
      <c r="F710" s="48"/>
      <c r="G710" s="48"/>
      <c r="H710" s="48"/>
      <c r="I710" s="48"/>
    </row>
    <row r="711" spans="1:9" hidden="1" x14ac:dyDescent="0.2">
      <c r="A711" s="46"/>
      <c r="B711" s="46"/>
      <c r="C711" s="46"/>
      <c r="D711" s="48"/>
      <c r="E711" s="48"/>
      <c r="F711" s="48"/>
      <c r="G711" s="48"/>
      <c r="H711" s="48"/>
      <c r="I711" s="48"/>
    </row>
    <row r="712" spans="1:9" hidden="1" x14ac:dyDescent="0.2">
      <c r="A712" s="46"/>
      <c r="B712" s="46"/>
      <c r="C712" s="46"/>
      <c r="D712" s="48"/>
      <c r="E712" s="48"/>
      <c r="F712" s="48"/>
      <c r="G712" s="48"/>
      <c r="H712" s="48"/>
      <c r="I712" s="48"/>
    </row>
    <row r="713" spans="1:9" hidden="1" x14ac:dyDescent="0.2">
      <c r="A713" s="46"/>
      <c r="B713" s="46"/>
      <c r="C713" s="46"/>
      <c r="D713" s="48"/>
      <c r="E713" s="48"/>
      <c r="F713" s="48"/>
      <c r="G713" s="48"/>
      <c r="H713" s="48"/>
      <c r="I713" s="48"/>
    </row>
    <row r="714" spans="1:9" hidden="1" x14ac:dyDescent="0.2">
      <c r="A714" s="46"/>
      <c r="B714" s="46"/>
      <c r="C714" s="46"/>
      <c r="D714" s="48"/>
      <c r="E714" s="48"/>
      <c r="F714" s="48"/>
      <c r="G714" s="48"/>
      <c r="H714" s="48"/>
      <c r="I714" s="48"/>
    </row>
    <row r="715" spans="1:9" hidden="1" x14ac:dyDescent="0.2">
      <c r="A715" s="46"/>
      <c r="B715" s="46"/>
      <c r="C715" s="46"/>
      <c r="D715" s="48"/>
      <c r="E715" s="48"/>
      <c r="F715" s="48"/>
      <c r="G715" s="48"/>
      <c r="H715" s="48"/>
      <c r="I715" s="48"/>
    </row>
    <row r="716" spans="1:9" hidden="1" x14ac:dyDescent="0.2">
      <c r="A716" s="46"/>
      <c r="B716" s="46"/>
      <c r="C716" s="46"/>
      <c r="D716" s="48"/>
      <c r="E716" s="48"/>
      <c r="F716" s="48"/>
      <c r="G716" s="48"/>
      <c r="H716" s="48"/>
      <c r="I716" s="48"/>
    </row>
    <row r="717" spans="1:9" hidden="1" x14ac:dyDescent="0.2">
      <c r="A717" s="46"/>
      <c r="B717" s="46"/>
      <c r="C717" s="46"/>
      <c r="D717" s="48"/>
      <c r="E717" s="48"/>
      <c r="F717" s="48"/>
      <c r="G717" s="48"/>
      <c r="H717" s="48"/>
      <c r="I717" s="48"/>
    </row>
    <row r="718" spans="1:9" hidden="1" x14ac:dyDescent="0.2">
      <c r="A718" s="46"/>
      <c r="B718" s="46"/>
      <c r="C718" s="46"/>
      <c r="D718" s="48"/>
      <c r="E718" s="48"/>
      <c r="F718" s="48"/>
      <c r="G718" s="48"/>
      <c r="H718" s="48"/>
      <c r="I718" s="48"/>
    </row>
    <row r="719" spans="1:9" hidden="1" x14ac:dyDescent="0.2">
      <c r="A719" s="46"/>
      <c r="B719" s="46"/>
      <c r="C719" s="46"/>
      <c r="D719" s="48"/>
      <c r="E719" s="48"/>
      <c r="F719" s="48"/>
      <c r="G719" s="48"/>
      <c r="H719" s="48"/>
      <c r="I719" s="48"/>
    </row>
    <row r="720" spans="1:9" hidden="1" x14ac:dyDescent="0.2">
      <c r="A720" s="46"/>
      <c r="B720" s="46"/>
      <c r="C720" s="46"/>
      <c r="D720" s="48"/>
      <c r="E720" s="48"/>
      <c r="F720" s="48"/>
      <c r="G720" s="48"/>
      <c r="H720" s="48"/>
      <c r="I720" s="48"/>
    </row>
    <row r="721" spans="1:9" hidden="1" x14ac:dyDescent="0.2">
      <c r="A721" s="46"/>
      <c r="B721" s="46"/>
      <c r="C721" s="46"/>
      <c r="D721" s="48"/>
      <c r="E721" s="48"/>
      <c r="F721" s="48"/>
      <c r="G721" s="48"/>
      <c r="H721" s="48"/>
      <c r="I721" s="48"/>
    </row>
    <row r="722" spans="1:9" hidden="1" x14ac:dyDescent="0.2">
      <c r="A722" s="46"/>
      <c r="B722" s="46"/>
      <c r="C722" s="46"/>
      <c r="D722" s="48"/>
      <c r="E722" s="48"/>
      <c r="F722" s="48"/>
      <c r="G722" s="48"/>
      <c r="H722" s="48"/>
      <c r="I722" s="48"/>
    </row>
    <row r="723" spans="1:9" hidden="1" x14ac:dyDescent="0.2">
      <c r="A723" s="46"/>
      <c r="B723" s="46"/>
      <c r="C723" s="46"/>
      <c r="D723" s="48"/>
      <c r="E723" s="48"/>
      <c r="F723" s="48"/>
      <c r="G723" s="48"/>
      <c r="H723" s="48"/>
      <c r="I723" s="48"/>
    </row>
    <row r="724" spans="1:9" hidden="1" x14ac:dyDescent="0.2">
      <c r="A724" s="46"/>
      <c r="B724" s="46"/>
      <c r="C724" s="46"/>
      <c r="D724" s="48"/>
      <c r="E724" s="48"/>
      <c r="F724" s="48"/>
      <c r="G724" s="48"/>
      <c r="H724" s="48"/>
      <c r="I724" s="48"/>
    </row>
    <row r="725" spans="1:9" hidden="1" x14ac:dyDescent="0.2">
      <c r="A725" s="46"/>
      <c r="B725" s="46"/>
      <c r="C725" s="46"/>
      <c r="D725" s="48"/>
      <c r="E725" s="48"/>
      <c r="F725" s="48"/>
      <c r="G725" s="48"/>
      <c r="H725" s="48"/>
      <c r="I725" s="48"/>
    </row>
    <row r="726" spans="1:9" hidden="1" x14ac:dyDescent="0.2">
      <c r="A726" s="46"/>
      <c r="B726" s="46"/>
      <c r="C726" s="46"/>
      <c r="D726" s="48"/>
      <c r="E726" s="48"/>
      <c r="F726" s="48"/>
      <c r="G726" s="48"/>
      <c r="H726" s="48"/>
      <c r="I726" s="48"/>
    </row>
    <row r="727" spans="1:9" hidden="1" x14ac:dyDescent="0.2">
      <c r="A727" s="46"/>
      <c r="B727" s="46"/>
      <c r="C727" s="46"/>
      <c r="D727" s="48"/>
      <c r="E727" s="48"/>
      <c r="F727" s="48"/>
      <c r="G727" s="48"/>
      <c r="H727" s="48"/>
      <c r="I727" s="48"/>
    </row>
    <row r="728" spans="1:9" hidden="1" x14ac:dyDescent="0.2">
      <c r="A728" s="46"/>
      <c r="B728" s="46"/>
      <c r="C728" s="46"/>
      <c r="D728" s="48"/>
      <c r="E728" s="48"/>
      <c r="F728" s="48"/>
      <c r="G728" s="48"/>
      <c r="H728" s="48"/>
      <c r="I728" s="48"/>
    </row>
    <row r="729" spans="1:9" hidden="1" x14ac:dyDescent="0.2">
      <c r="A729" s="46"/>
      <c r="B729" s="46"/>
      <c r="C729" s="46"/>
      <c r="D729" s="48"/>
      <c r="E729" s="48"/>
      <c r="F729" s="48"/>
      <c r="G729" s="48"/>
      <c r="H729" s="48"/>
      <c r="I729" s="48"/>
    </row>
    <row r="730" spans="1:9" hidden="1" x14ac:dyDescent="0.2">
      <c r="A730" s="46"/>
      <c r="B730" s="46"/>
      <c r="C730" s="46"/>
      <c r="D730" s="48"/>
      <c r="E730" s="48"/>
      <c r="F730" s="48"/>
      <c r="G730" s="48"/>
      <c r="H730" s="48"/>
      <c r="I730" s="48"/>
    </row>
    <row r="731" spans="1:9" hidden="1" x14ac:dyDescent="0.2">
      <c r="A731" s="46"/>
      <c r="B731" s="46"/>
      <c r="C731" s="46"/>
      <c r="D731" s="48"/>
      <c r="E731" s="48"/>
      <c r="F731" s="48"/>
      <c r="G731" s="48"/>
      <c r="H731" s="48"/>
      <c r="I731" s="48"/>
    </row>
    <row r="732" spans="1:9" hidden="1" x14ac:dyDescent="0.2">
      <c r="A732" s="46"/>
      <c r="B732" s="46"/>
      <c r="C732" s="46"/>
      <c r="D732" s="48"/>
      <c r="E732" s="48"/>
      <c r="F732" s="48"/>
      <c r="G732" s="48"/>
      <c r="H732" s="48"/>
      <c r="I732" s="48"/>
    </row>
    <row r="733" spans="1:9" hidden="1" x14ac:dyDescent="0.2">
      <c r="A733" s="46"/>
      <c r="B733" s="46"/>
      <c r="C733" s="46"/>
      <c r="D733" s="48"/>
      <c r="E733" s="48"/>
      <c r="F733" s="48"/>
      <c r="G733" s="48"/>
      <c r="H733" s="48"/>
      <c r="I733" s="48"/>
    </row>
    <row r="734" spans="1:9" hidden="1" x14ac:dyDescent="0.2">
      <c r="A734" s="46"/>
      <c r="B734" s="46"/>
      <c r="C734" s="46"/>
      <c r="D734" s="48"/>
      <c r="E734" s="48"/>
      <c r="F734" s="48"/>
      <c r="G734" s="48"/>
      <c r="H734" s="48"/>
      <c r="I734" s="48"/>
    </row>
    <row r="735" spans="1:9" hidden="1" x14ac:dyDescent="0.2">
      <c r="A735" s="46"/>
      <c r="B735" s="46"/>
      <c r="C735" s="46"/>
      <c r="D735" s="48"/>
      <c r="E735" s="48"/>
      <c r="F735" s="48"/>
      <c r="G735" s="48"/>
      <c r="H735" s="48"/>
      <c r="I735" s="48"/>
    </row>
    <row r="736" spans="1:9" hidden="1" x14ac:dyDescent="0.2">
      <c r="A736" s="46"/>
      <c r="B736" s="46"/>
      <c r="C736" s="46"/>
      <c r="D736" s="48"/>
      <c r="E736" s="48"/>
      <c r="F736" s="48"/>
      <c r="G736" s="48"/>
      <c r="H736" s="48"/>
      <c r="I736" s="48"/>
    </row>
    <row r="737" spans="1:9" hidden="1" x14ac:dyDescent="0.2">
      <c r="A737" s="46"/>
      <c r="B737" s="46"/>
      <c r="C737" s="46"/>
      <c r="D737" s="48"/>
      <c r="E737" s="48"/>
      <c r="F737" s="48"/>
      <c r="G737" s="48"/>
      <c r="H737" s="48"/>
      <c r="I737" s="48"/>
    </row>
    <row r="738" spans="1:9" hidden="1" x14ac:dyDescent="0.2">
      <c r="A738" s="46"/>
      <c r="B738" s="46"/>
      <c r="C738" s="46"/>
      <c r="D738" s="48"/>
      <c r="E738" s="48"/>
      <c r="F738" s="48"/>
      <c r="G738" s="48"/>
      <c r="H738" s="48"/>
      <c r="I738" s="48"/>
    </row>
    <row r="739" spans="1:9" hidden="1" x14ac:dyDescent="0.2">
      <c r="A739" s="46"/>
      <c r="B739" s="46"/>
      <c r="C739" s="46"/>
      <c r="D739" s="48"/>
      <c r="E739" s="48"/>
      <c r="F739" s="48"/>
      <c r="G739" s="48"/>
      <c r="H739" s="48"/>
      <c r="I739" s="48"/>
    </row>
    <row r="740" spans="1:9" hidden="1" x14ac:dyDescent="0.2">
      <c r="A740" s="46"/>
      <c r="B740" s="46"/>
      <c r="C740" s="46"/>
      <c r="D740" s="48"/>
      <c r="E740" s="48"/>
      <c r="F740" s="48"/>
      <c r="G740" s="48"/>
      <c r="H740" s="48"/>
      <c r="I740" s="48"/>
    </row>
    <row r="741" spans="1:9" hidden="1" x14ac:dyDescent="0.2">
      <c r="A741" s="46"/>
      <c r="B741" s="46"/>
      <c r="C741" s="46"/>
      <c r="D741" s="48"/>
      <c r="E741" s="48"/>
      <c r="F741" s="48"/>
      <c r="G741" s="48"/>
      <c r="H741" s="48"/>
      <c r="I741" s="48"/>
    </row>
    <row r="742" spans="1:9" hidden="1" x14ac:dyDescent="0.2">
      <c r="A742" s="46"/>
      <c r="B742" s="46"/>
      <c r="C742" s="46"/>
      <c r="D742" s="48"/>
      <c r="E742" s="48"/>
      <c r="F742" s="48"/>
      <c r="G742" s="48"/>
      <c r="H742" s="48"/>
      <c r="I742" s="48"/>
    </row>
    <row r="743" spans="1:9" hidden="1" x14ac:dyDescent="0.2">
      <c r="A743" s="46"/>
      <c r="B743" s="46"/>
      <c r="C743" s="46"/>
      <c r="D743" s="48"/>
      <c r="E743" s="48"/>
      <c r="F743" s="48"/>
      <c r="G743" s="48"/>
      <c r="H743" s="48"/>
      <c r="I743" s="48"/>
    </row>
    <row r="744" spans="1:9" hidden="1" x14ac:dyDescent="0.2">
      <c r="A744" s="46"/>
      <c r="B744" s="46"/>
      <c r="C744" s="46"/>
      <c r="D744" s="48"/>
      <c r="E744" s="48"/>
      <c r="F744" s="48"/>
      <c r="G744" s="48"/>
      <c r="H744" s="48"/>
      <c r="I744" s="48"/>
    </row>
    <row r="745" spans="1:9" hidden="1" x14ac:dyDescent="0.2">
      <c r="A745" s="46"/>
      <c r="B745" s="46"/>
      <c r="C745" s="46"/>
      <c r="D745" s="48"/>
      <c r="E745" s="48"/>
      <c r="F745" s="48"/>
      <c r="G745" s="48"/>
      <c r="H745" s="48"/>
      <c r="I745" s="48"/>
    </row>
    <row r="746" spans="1:9" hidden="1" x14ac:dyDescent="0.2">
      <c r="A746" s="46"/>
      <c r="B746" s="46"/>
      <c r="C746" s="46"/>
      <c r="D746" s="48"/>
      <c r="E746" s="48"/>
      <c r="F746" s="48"/>
      <c r="G746" s="48"/>
      <c r="H746" s="48"/>
      <c r="I746" s="48"/>
    </row>
    <row r="747" spans="1:9" hidden="1" x14ac:dyDescent="0.2">
      <c r="A747" s="46"/>
      <c r="B747" s="46"/>
      <c r="C747" s="46"/>
      <c r="D747" s="48"/>
      <c r="E747" s="48"/>
      <c r="F747" s="48"/>
      <c r="G747" s="48"/>
      <c r="H747" s="48"/>
      <c r="I747" s="48"/>
    </row>
    <row r="748" spans="1:9" hidden="1" x14ac:dyDescent="0.2">
      <c r="A748" s="46"/>
      <c r="B748" s="46"/>
      <c r="C748" s="46"/>
      <c r="D748" s="48"/>
      <c r="E748" s="48"/>
      <c r="F748" s="48"/>
      <c r="G748" s="48"/>
      <c r="H748" s="48"/>
      <c r="I748" s="48"/>
    </row>
    <row r="749" spans="1:9" hidden="1" x14ac:dyDescent="0.2">
      <c r="A749" s="46"/>
      <c r="B749" s="46"/>
      <c r="C749" s="46"/>
      <c r="D749" s="48"/>
      <c r="E749" s="48"/>
      <c r="F749" s="48"/>
      <c r="G749" s="48"/>
      <c r="H749" s="48"/>
      <c r="I749" s="48"/>
    </row>
    <row r="750" spans="1:9" hidden="1" x14ac:dyDescent="0.2">
      <c r="A750" s="46"/>
      <c r="B750" s="46"/>
      <c r="C750" s="46"/>
      <c r="D750" s="48"/>
      <c r="E750" s="48"/>
      <c r="F750" s="48"/>
      <c r="G750" s="48"/>
      <c r="H750" s="48"/>
      <c r="I750" s="48"/>
    </row>
    <row r="751" spans="1:9" hidden="1" x14ac:dyDescent="0.2">
      <c r="A751" s="46"/>
      <c r="B751" s="46"/>
      <c r="C751" s="46"/>
      <c r="D751" s="48"/>
      <c r="E751" s="48"/>
      <c r="F751" s="48"/>
      <c r="G751" s="48"/>
      <c r="H751" s="48"/>
      <c r="I751" s="48"/>
    </row>
    <row r="752" spans="1:9" hidden="1" x14ac:dyDescent="0.2">
      <c r="A752" s="46"/>
      <c r="B752" s="46"/>
      <c r="C752" s="46"/>
      <c r="D752" s="48"/>
      <c r="E752" s="48"/>
      <c r="F752" s="48"/>
      <c r="G752" s="48"/>
      <c r="H752" s="48"/>
      <c r="I752" s="48"/>
    </row>
    <row r="753" spans="1:9" hidden="1" x14ac:dyDescent="0.2">
      <c r="A753" s="46"/>
      <c r="B753" s="46"/>
      <c r="C753" s="46"/>
      <c r="D753" s="48"/>
      <c r="E753" s="48"/>
      <c r="F753" s="48"/>
      <c r="G753" s="48"/>
      <c r="H753" s="48"/>
      <c r="I753" s="48"/>
    </row>
    <row r="754" spans="1:9" hidden="1" x14ac:dyDescent="0.2">
      <c r="A754" s="46"/>
      <c r="B754" s="46"/>
      <c r="C754" s="46"/>
      <c r="D754" s="48"/>
      <c r="E754" s="48"/>
      <c r="F754" s="48"/>
      <c r="G754" s="48"/>
      <c r="H754" s="48"/>
      <c r="I754" s="48"/>
    </row>
    <row r="755" spans="1:9" hidden="1" x14ac:dyDescent="0.2">
      <c r="A755" s="46"/>
      <c r="B755" s="46"/>
      <c r="C755" s="46"/>
      <c r="D755" s="48"/>
      <c r="E755" s="48"/>
      <c r="F755" s="48"/>
      <c r="G755" s="48"/>
      <c r="H755" s="48"/>
      <c r="I755" s="48"/>
    </row>
    <row r="756" spans="1:9" hidden="1" x14ac:dyDescent="0.2">
      <c r="A756" s="46"/>
      <c r="B756" s="46"/>
      <c r="C756" s="46"/>
      <c r="D756" s="48"/>
      <c r="E756" s="48"/>
      <c r="F756" s="48"/>
      <c r="G756" s="48"/>
      <c r="H756" s="48"/>
      <c r="I756" s="48"/>
    </row>
    <row r="757" spans="1:9" hidden="1" x14ac:dyDescent="0.2">
      <c r="A757" s="46"/>
      <c r="B757" s="46"/>
      <c r="C757" s="46"/>
      <c r="D757" s="48"/>
      <c r="E757" s="48"/>
      <c r="F757" s="48"/>
      <c r="G757" s="48"/>
      <c r="H757" s="48"/>
      <c r="I757" s="48"/>
    </row>
    <row r="758" spans="1:9" hidden="1" x14ac:dyDescent="0.2">
      <c r="A758" s="46"/>
      <c r="B758" s="46"/>
      <c r="C758" s="46"/>
      <c r="D758" s="48"/>
      <c r="E758" s="48"/>
      <c r="F758" s="48"/>
      <c r="G758" s="48"/>
      <c r="H758" s="48"/>
      <c r="I758" s="48"/>
    </row>
    <row r="759" spans="1:9" hidden="1" x14ac:dyDescent="0.2">
      <c r="A759" s="46"/>
      <c r="B759" s="46"/>
      <c r="C759" s="46"/>
      <c r="D759" s="48"/>
      <c r="E759" s="48"/>
      <c r="F759" s="48"/>
      <c r="G759" s="48"/>
      <c r="H759" s="48"/>
      <c r="I759" s="48"/>
    </row>
    <row r="760" spans="1:9" hidden="1" x14ac:dyDescent="0.2">
      <c r="A760" s="46"/>
      <c r="B760" s="46"/>
      <c r="C760" s="46"/>
      <c r="D760" s="48"/>
      <c r="E760" s="48"/>
      <c r="F760" s="48"/>
      <c r="G760" s="48"/>
      <c r="H760" s="48"/>
      <c r="I760" s="48"/>
    </row>
    <row r="761" spans="1:9" hidden="1" x14ac:dyDescent="0.2">
      <c r="A761" s="46"/>
      <c r="B761" s="46"/>
      <c r="C761" s="46"/>
      <c r="D761" s="48"/>
      <c r="E761" s="48"/>
      <c r="F761" s="48"/>
      <c r="G761" s="48"/>
      <c r="H761" s="48"/>
      <c r="I761" s="48"/>
    </row>
    <row r="762" spans="1:9" hidden="1" x14ac:dyDescent="0.2">
      <c r="A762" s="46"/>
      <c r="B762" s="46"/>
      <c r="C762" s="46"/>
      <c r="D762" s="48"/>
      <c r="E762" s="48"/>
      <c r="F762" s="48"/>
      <c r="G762" s="48"/>
      <c r="H762" s="48"/>
      <c r="I762" s="48"/>
    </row>
    <row r="763" spans="1:9" hidden="1" x14ac:dyDescent="0.2">
      <c r="A763" s="46"/>
      <c r="B763" s="46"/>
      <c r="C763" s="46"/>
      <c r="D763" s="48"/>
      <c r="E763" s="48"/>
      <c r="F763" s="48"/>
      <c r="G763" s="48"/>
      <c r="H763" s="48"/>
      <c r="I763" s="48"/>
    </row>
    <row r="764" spans="1:9" hidden="1" x14ac:dyDescent="0.2">
      <c r="A764" s="46"/>
      <c r="B764" s="46"/>
      <c r="C764" s="46"/>
      <c r="D764" s="48"/>
      <c r="E764" s="48"/>
      <c r="F764" s="48"/>
      <c r="G764" s="48"/>
      <c r="H764" s="48"/>
      <c r="I764" s="48"/>
    </row>
    <row r="765" spans="1:9" hidden="1" x14ac:dyDescent="0.2">
      <c r="A765" s="46"/>
      <c r="B765" s="46"/>
      <c r="C765" s="46"/>
      <c r="D765" s="48"/>
      <c r="E765" s="48"/>
      <c r="F765" s="48"/>
      <c r="G765" s="48"/>
      <c r="H765" s="48"/>
      <c r="I765" s="48"/>
    </row>
    <row r="766" spans="1:9" hidden="1" x14ac:dyDescent="0.2">
      <c r="A766" s="46"/>
      <c r="B766" s="46"/>
      <c r="C766" s="46"/>
      <c r="D766" s="48"/>
      <c r="E766" s="48"/>
      <c r="F766" s="48"/>
      <c r="G766" s="48"/>
      <c r="H766" s="48"/>
      <c r="I766" s="48"/>
    </row>
    <row r="767" spans="1:9" hidden="1" x14ac:dyDescent="0.2">
      <c r="A767" s="46"/>
      <c r="B767" s="46"/>
      <c r="C767" s="46"/>
      <c r="D767" s="48"/>
      <c r="E767" s="48"/>
      <c r="F767" s="48"/>
      <c r="G767" s="48"/>
      <c r="H767" s="48"/>
      <c r="I767" s="48"/>
    </row>
    <row r="768" spans="1:9" hidden="1" x14ac:dyDescent="0.2">
      <c r="A768" s="46"/>
      <c r="B768" s="46"/>
      <c r="C768" s="46"/>
      <c r="D768" s="48"/>
      <c r="E768" s="48"/>
      <c r="F768" s="48"/>
      <c r="G768" s="48"/>
      <c r="H768" s="48"/>
      <c r="I768" s="48"/>
    </row>
    <row r="769" spans="1:9" hidden="1" x14ac:dyDescent="0.2">
      <c r="A769" s="46"/>
      <c r="B769" s="46"/>
      <c r="C769" s="46"/>
      <c r="D769" s="48"/>
      <c r="E769" s="48"/>
      <c r="F769" s="48"/>
      <c r="G769" s="48"/>
      <c r="H769" s="48"/>
      <c r="I769" s="48"/>
    </row>
    <row r="770" spans="1:9" hidden="1" x14ac:dyDescent="0.2">
      <c r="A770" s="46"/>
      <c r="B770" s="46"/>
      <c r="C770" s="46"/>
      <c r="D770" s="48"/>
      <c r="E770" s="48"/>
      <c r="F770" s="48"/>
      <c r="G770" s="48"/>
      <c r="H770" s="48"/>
      <c r="I770" s="48"/>
    </row>
    <row r="771" spans="1:9" hidden="1" x14ac:dyDescent="0.2">
      <c r="A771" s="46"/>
      <c r="B771" s="46"/>
      <c r="C771" s="46"/>
      <c r="D771" s="48"/>
      <c r="E771" s="48"/>
      <c r="F771" s="48"/>
      <c r="G771" s="48"/>
      <c r="H771" s="48"/>
      <c r="I771" s="48"/>
    </row>
    <row r="772" spans="1:9" hidden="1" x14ac:dyDescent="0.2">
      <c r="A772" s="46"/>
      <c r="B772" s="46"/>
      <c r="C772" s="46"/>
      <c r="D772" s="48"/>
      <c r="E772" s="48"/>
      <c r="F772" s="48"/>
      <c r="G772" s="48"/>
      <c r="H772" s="48"/>
      <c r="I772" s="48"/>
    </row>
    <row r="773" spans="1:9" hidden="1" x14ac:dyDescent="0.2">
      <c r="A773" s="46"/>
      <c r="B773" s="46"/>
      <c r="C773" s="46"/>
      <c r="D773" s="48"/>
      <c r="E773" s="48"/>
      <c r="F773" s="48"/>
      <c r="G773" s="48"/>
      <c r="H773" s="48"/>
      <c r="I773" s="48"/>
    </row>
    <row r="774" spans="1:9" hidden="1" x14ac:dyDescent="0.2">
      <c r="A774" s="46"/>
      <c r="B774" s="46"/>
      <c r="C774" s="46"/>
      <c r="D774" s="48"/>
      <c r="E774" s="48"/>
      <c r="F774" s="48"/>
      <c r="G774" s="48"/>
      <c r="H774" s="48"/>
      <c r="I774" s="48"/>
    </row>
    <row r="775" spans="1:9" hidden="1" x14ac:dyDescent="0.2">
      <c r="A775" s="46"/>
      <c r="B775" s="46"/>
      <c r="C775" s="46"/>
      <c r="D775" s="48"/>
      <c r="E775" s="48"/>
      <c r="F775" s="48"/>
      <c r="G775" s="48"/>
      <c r="H775" s="48"/>
      <c r="I775" s="48"/>
    </row>
    <row r="776" spans="1:9" hidden="1" x14ac:dyDescent="0.2">
      <c r="A776" s="46"/>
      <c r="B776" s="46"/>
      <c r="C776" s="46"/>
      <c r="D776" s="48"/>
      <c r="E776" s="48"/>
      <c r="F776" s="48"/>
      <c r="G776" s="48"/>
      <c r="H776" s="48"/>
      <c r="I776" s="48"/>
    </row>
    <row r="777" spans="1:9" hidden="1" x14ac:dyDescent="0.2">
      <c r="A777" s="46"/>
      <c r="B777" s="46"/>
      <c r="C777" s="46"/>
      <c r="D777" s="48"/>
      <c r="E777" s="48"/>
      <c r="F777" s="48"/>
      <c r="G777" s="48"/>
      <c r="H777" s="48"/>
      <c r="I777" s="48"/>
    </row>
    <row r="778" spans="1:9" hidden="1" x14ac:dyDescent="0.2">
      <c r="A778" s="46"/>
      <c r="B778" s="46"/>
      <c r="C778" s="46"/>
      <c r="D778" s="48"/>
      <c r="E778" s="48"/>
      <c r="F778" s="48"/>
      <c r="G778" s="48"/>
      <c r="H778" s="48"/>
      <c r="I778" s="48"/>
    </row>
    <row r="779" spans="1:9" hidden="1" x14ac:dyDescent="0.2">
      <c r="A779" s="46"/>
      <c r="B779" s="46"/>
      <c r="C779" s="46"/>
      <c r="D779" s="48"/>
      <c r="E779" s="48"/>
      <c r="F779" s="48"/>
      <c r="G779" s="48"/>
      <c r="H779" s="48"/>
      <c r="I779" s="48"/>
    </row>
    <row r="780" spans="1:9" hidden="1" x14ac:dyDescent="0.2">
      <c r="A780" s="46"/>
      <c r="B780" s="46"/>
      <c r="C780" s="46"/>
      <c r="D780" s="48"/>
      <c r="E780" s="48"/>
      <c r="F780" s="48"/>
      <c r="G780" s="48"/>
      <c r="H780" s="48"/>
      <c r="I780" s="48"/>
    </row>
    <row r="781" spans="1:9" hidden="1" x14ac:dyDescent="0.2">
      <c r="A781" s="46"/>
      <c r="B781" s="46"/>
      <c r="C781" s="46"/>
      <c r="D781" s="48"/>
      <c r="E781" s="48"/>
      <c r="F781" s="48"/>
      <c r="G781" s="48"/>
      <c r="H781" s="48"/>
      <c r="I781" s="48"/>
    </row>
    <row r="782" spans="1:9" hidden="1" x14ac:dyDescent="0.2">
      <c r="A782" s="46"/>
      <c r="B782" s="46"/>
      <c r="C782" s="46"/>
      <c r="D782" s="48"/>
      <c r="E782" s="48"/>
      <c r="F782" s="48"/>
      <c r="G782" s="48"/>
      <c r="H782" s="48"/>
      <c r="I782" s="48"/>
    </row>
    <row r="783" spans="1:9" hidden="1" x14ac:dyDescent="0.2">
      <c r="A783" s="46"/>
      <c r="B783" s="46"/>
      <c r="C783" s="46"/>
      <c r="D783" s="48"/>
      <c r="E783" s="48"/>
      <c r="F783" s="48"/>
      <c r="G783" s="48"/>
      <c r="H783" s="48"/>
      <c r="I783" s="48"/>
    </row>
    <row r="784" spans="1:9" hidden="1" x14ac:dyDescent="0.2">
      <c r="A784" s="46"/>
      <c r="B784" s="46"/>
      <c r="C784" s="46"/>
      <c r="D784" s="48"/>
      <c r="E784" s="48"/>
      <c r="F784" s="48"/>
      <c r="G784" s="48"/>
      <c r="H784" s="48"/>
      <c r="I784" s="48"/>
    </row>
    <row r="785" spans="1:9" hidden="1" x14ac:dyDescent="0.2">
      <c r="A785" s="46"/>
      <c r="B785" s="46"/>
      <c r="C785" s="46"/>
      <c r="D785" s="48"/>
      <c r="E785" s="48"/>
      <c r="F785" s="48"/>
      <c r="G785" s="48"/>
      <c r="H785" s="48"/>
      <c r="I785" s="48"/>
    </row>
    <row r="786" spans="1:9" hidden="1" x14ac:dyDescent="0.2">
      <c r="A786" s="46"/>
      <c r="B786" s="46"/>
      <c r="C786" s="46"/>
      <c r="D786" s="48"/>
      <c r="E786" s="48"/>
      <c r="F786" s="48"/>
      <c r="G786" s="48"/>
      <c r="H786" s="48"/>
      <c r="I786" s="48"/>
    </row>
    <row r="787" spans="1:9" hidden="1" x14ac:dyDescent="0.2">
      <c r="A787" s="46"/>
      <c r="B787" s="46"/>
      <c r="C787" s="46"/>
      <c r="D787" s="48"/>
      <c r="E787" s="48"/>
      <c r="F787" s="48"/>
      <c r="G787" s="48"/>
      <c r="H787" s="48"/>
      <c r="I787" s="48"/>
    </row>
    <row r="788" spans="1:9" hidden="1" x14ac:dyDescent="0.2">
      <c r="A788" s="46"/>
      <c r="B788" s="46"/>
      <c r="C788" s="46"/>
      <c r="D788" s="48"/>
      <c r="E788" s="48"/>
      <c r="F788" s="48"/>
      <c r="G788" s="48"/>
      <c r="H788" s="48"/>
      <c r="I788" s="48"/>
    </row>
    <row r="789" spans="1:9" hidden="1" x14ac:dyDescent="0.2">
      <c r="A789" s="46"/>
      <c r="B789" s="46"/>
      <c r="C789" s="46"/>
      <c r="D789" s="48"/>
      <c r="E789" s="48"/>
      <c r="F789" s="48"/>
      <c r="G789" s="48"/>
      <c r="H789" s="48"/>
      <c r="I789" s="48"/>
    </row>
    <row r="790" spans="1:9" hidden="1" x14ac:dyDescent="0.2">
      <c r="A790" s="46"/>
      <c r="B790" s="46"/>
      <c r="C790" s="46"/>
      <c r="D790" s="48"/>
      <c r="E790" s="48"/>
      <c r="F790" s="48"/>
      <c r="G790" s="48"/>
      <c r="H790" s="48"/>
      <c r="I790" s="48"/>
    </row>
    <row r="791" spans="1:9" hidden="1" x14ac:dyDescent="0.2">
      <c r="A791" s="46"/>
      <c r="B791" s="46"/>
      <c r="C791" s="46"/>
      <c r="D791" s="48"/>
      <c r="E791" s="48"/>
      <c r="F791" s="48"/>
      <c r="G791" s="48"/>
      <c r="H791" s="48"/>
      <c r="I791" s="48"/>
    </row>
    <row r="792" spans="1:9" hidden="1" x14ac:dyDescent="0.2">
      <c r="A792" s="46"/>
      <c r="B792" s="46"/>
      <c r="C792" s="46"/>
      <c r="D792" s="48"/>
      <c r="E792" s="48"/>
      <c r="F792" s="48"/>
      <c r="G792" s="48"/>
      <c r="H792" s="48"/>
      <c r="I792" s="48"/>
    </row>
    <row r="793" spans="1:9" hidden="1" x14ac:dyDescent="0.2">
      <c r="A793" s="46"/>
      <c r="B793" s="46"/>
      <c r="C793" s="46"/>
      <c r="D793" s="48"/>
      <c r="E793" s="48"/>
      <c r="F793" s="48"/>
      <c r="G793" s="48"/>
      <c r="H793" s="48"/>
      <c r="I793" s="48"/>
    </row>
    <row r="794" spans="1:9" hidden="1" x14ac:dyDescent="0.2">
      <c r="A794" s="46"/>
      <c r="B794" s="46"/>
      <c r="C794" s="46"/>
      <c r="D794" s="48"/>
      <c r="E794" s="48"/>
      <c r="F794" s="48"/>
      <c r="G794" s="48"/>
      <c r="H794" s="48"/>
      <c r="I794" s="48"/>
    </row>
    <row r="795" spans="1:9" hidden="1" x14ac:dyDescent="0.2">
      <c r="A795" s="46"/>
      <c r="B795" s="46"/>
      <c r="C795" s="46"/>
      <c r="D795" s="48"/>
      <c r="E795" s="48"/>
      <c r="F795" s="48"/>
      <c r="G795" s="48"/>
      <c r="H795" s="48"/>
      <c r="I795" s="48"/>
    </row>
    <row r="796" spans="1:9" hidden="1" x14ac:dyDescent="0.2">
      <c r="A796" s="46"/>
      <c r="B796" s="46"/>
      <c r="C796" s="46"/>
      <c r="D796" s="48"/>
      <c r="E796" s="48"/>
      <c r="F796" s="48"/>
      <c r="G796" s="48"/>
      <c r="H796" s="48"/>
      <c r="I796" s="48"/>
    </row>
    <row r="797" spans="1:9" hidden="1" x14ac:dyDescent="0.2">
      <c r="A797" s="46"/>
      <c r="B797" s="46"/>
      <c r="C797" s="46"/>
      <c r="D797" s="48"/>
      <c r="E797" s="48"/>
      <c r="F797" s="48"/>
      <c r="G797" s="48"/>
      <c r="H797" s="48"/>
      <c r="I797" s="48"/>
    </row>
    <row r="798" spans="1:9" hidden="1" x14ac:dyDescent="0.2">
      <c r="A798" s="46"/>
      <c r="B798" s="46"/>
      <c r="C798" s="46"/>
      <c r="D798" s="48"/>
      <c r="E798" s="48"/>
      <c r="F798" s="48"/>
      <c r="G798" s="48"/>
      <c r="H798" s="48"/>
      <c r="I798" s="48"/>
    </row>
    <row r="799" spans="1:9" hidden="1" x14ac:dyDescent="0.2">
      <c r="A799" s="46"/>
      <c r="B799" s="46"/>
      <c r="C799" s="46"/>
      <c r="D799" s="48"/>
      <c r="E799" s="48"/>
      <c r="F799" s="48"/>
      <c r="G799" s="48"/>
      <c r="H799" s="48"/>
      <c r="I799" s="48"/>
    </row>
    <row r="800" spans="1:9" hidden="1" x14ac:dyDescent="0.2">
      <c r="A800" s="46"/>
      <c r="B800" s="46"/>
      <c r="C800" s="46"/>
      <c r="D800" s="48"/>
      <c r="E800" s="48"/>
      <c r="F800" s="48"/>
      <c r="G800" s="48"/>
      <c r="H800" s="48"/>
      <c r="I800" s="48"/>
    </row>
    <row r="801" spans="1:9" hidden="1" x14ac:dyDescent="0.2">
      <c r="A801" s="46"/>
      <c r="B801" s="46"/>
      <c r="C801" s="46"/>
      <c r="D801" s="48"/>
      <c r="E801" s="48"/>
      <c r="F801" s="48"/>
      <c r="G801" s="48"/>
      <c r="H801" s="48"/>
      <c r="I801" s="48"/>
    </row>
    <row r="802" spans="1:9" hidden="1" x14ac:dyDescent="0.2">
      <c r="A802" s="46"/>
      <c r="B802" s="46"/>
      <c r="C802" s="46"/>
      <c r="D802" s="48"/>
      <c r="E802" s="48"/>
      <c r="F802" s="48"/>
      <c r="G802" s="48"/>
      <c r="H802" s="48"/>
      <c r="I802" s="48"/>
    </row>
    <row r="803" spans="1:9" hidden="1" x14ac:dyDescent="0.2">
      <c r="A803" s="46"/>
      <c r="B803" s="46"/>
      <c r="C803" s="46"/>
      <c r="D803" s="48"/>
      <c r="E803" s="48"/>
      <c r="F803" s="48"/>
      <c r="G803" s="48"/>
      <c r="H803" s="48"/>
      <c r="I803" s="48"/>
    </row>
    <row r="804" spans="1:9" hidden="1" x14ac:dyDescent="0.2">
      <c r="A804" s="46"/>
      <c r="B804" s="46"/>
      <c r="C804" s="46"/>
      <c r="D804" s="48"/>
      <c r="E804" s="48"/>
      <c r="F804" s="48"/>
      <c r="G804" s="48"/>
      <c r="H804" s="48"/>
      <c r="I804" s="48"/>
    </row>
    <row r="805" spans="1:9" hidden="1" x14ac:dyDescent="0.2">
      <c r="A805" s="46"/>
      <c r="B805" s="46"/>
      <c r="C805" s="46"/>
      <c r="D805" s="48"/>
      <c r="E805" s="48"/>
      <c r="F805" s="48"/>
      <c r="G805" s="48"/>
      <c r="H805" s="48"/>
      <c r="I805" s="48"/>
    </row>
    <row r="806" spans="1:9" hidden="1" x14ac:dyDescent="0.2">
      <c r="A806" s="46"/>
      <c r="B806" s="46"/>
      <c r="C806" s="46"/>
      <c r="D806" s="48"/>
      <c r="E806" s="48"/>
      <c r="F806" s="48"/>
      <c r="G806" s="48"/>
      <c r="H806" s="48"/>
      <c r="I806" s="48"/>
    </row>
    <row r="807" spans="1:9" hidden="1" x14ac:dyDescent="0.2">
      <c r="A807" s="46"/>
      <c r="B807" s="46"/>
      <c r="C807" s="46"/>
      <c r="D807" s="48"/>
      <c r="E807" s="48"/>
      <c r="F807" s="48"/>
      <c r="G807" s="48"/>
      <c r="H807" s="48"/>
      <c r="I807" s="48"/>
    </row>
    <row r="808" spans="1:9" hidden="1" x14ac:dyDescent="0.2">
      <c r="A808" s="46"/>
      <c r="B808" s="46"/>
      <c r="C808" s="46"/>
      <c r="D808" s="48"/>
      <c r="E808" s="48"/>
      <c r="F808" s="48"/>
      <c r="G808" s="48"/>
      <c r="H808" s="48"/>
      <c r="I808" s="48"/>
    </row>
    <row r="809" spans="1:9" hidden="1" x14ac:dyDescent="0.2">
      <c r="A809" s="46"/>
      <c r="B809" s="46"/>
      <c r="C809" s="46"/>
      <c r="D809" s="48"/>
      <c r="E809" s="48"/>
      <c r="F809" s="48"/>
      <c r="G809" s="48"/>
      <c r="H809" s="48"/>
      <c r="I809" s="48"/>
    </row>
    <row r="810" spans="1:9" hidden="1" x14ac:dyDescent="0.2">
      <c r="A810" s="46"/>
      <c r="B810" s="46"/>
      <c r="C810" s="46"/>
      <c r="D810" s="48"/>
      <c r="E810" s="48"/>
      <c r="F810" s="48"/>
      <c r="G810" s="48"/>
      <c r="H810" s="48"/>
      <c r="I810" s="48"/>
    </row>
    <row r="811" spans="1:9" hidden="1" x14ac:dyDescent="0.2">
      <c r="A811" s="46"/>
      <c r="B811" s="46"/>
      <c r="C811" s="46"/>
      <c r="D811" s="48"/>
      <c r="E811" s="48"/>
      <c r="F811" s="48"/>
      <c r="G811" s="48"/>
      <c r="H811" s="48"/>
      <c r="I811" s="48"/>
    </row>
    <row r="812" spans="1:9" hidden="1" x14ac:dyDescent="0.2">
      <c r="A812" s="46"/>
      <c r="B812" s="46"/>
      <c r="C812" s="46"/>
      <c r="D812" s="48"/>
      <c r="E812" s="48"/>
      <c r="F812" s="48"/>
      <c r="G812" s="48"/>
      <c r="H812" s="48"/>
      <c r="I812" s="48"/>
    </row>
    <row r="813" spans="1:9" hidden="1" x14ac:dyDescent="0.2">
      <c r="A813" s="46"/>
      <c r="B813" s="46"/>
      <c r="C813" s="46"/>
      <c r="D813" s="48"/>
      <c r="E813" s="48"/>
      <c r="F813" s="48"/>
      <c r="G813" s="48"/>
      <c r="H813" s="48"/>
      <c r="I813" s="48"/>
    </row>
    <row r="814" spans="1:9" hidden="1" x14ac:dyDescent="0.2">
      <c r="A814" s="46"/>
      <c r="B814" s="46"/>
      <c r="C814" s="46"/>
      <c r="D814" s="48"/>
      <c r="E814" s="48"/>
      <c r="F814" s="48"/>
      <c r="G814" s="48"/>
      <c r="H814" s="48"/>
      <c r="I814" s="48"/>
    </row>
    <row r="815" spans="1:9" hidden="1" x14ac:dyDescent="0.2">
      <c r="A815" s="46"/>
      <c r="B815" s="46"/>
      <c r="C815" s="46"/>
      <c r="D815" s="48"/>
      <c r="E815" s="48"/>
      <c r="F815" s="48"/>
      <c r="G815" s="48"/>
      <c r="H815" s="48"/>
      <c r="I815" s="48"/>
    </row>
    <row r="816" spans="1:9" hidden="1" x14ac:dyDescent="0.2">
      <c r="A816" s="46"/>
      <c r="B816" s="46"/>
      <c r="C816" s="46"/>
      <c r="D816" s="48"/>
      <c r="E816" s="48"/>
      <c r="F816" s="48"/>
      <c r="G816" s="48"/>
      <c r="H816" s="48"/>
      <c r="I816" s="48"/>
    </row>
    <row r="817" spans="1:9" hidden="1" x14ac:dyDescent="0.2">
      <c r="A817" s="46"/>
      <c r="B817" s="46"/>
      <c r="C817" s="46"/>
      <c r="D817" s="48"/>
      <c r="E817" s="48"/>
      <c r="F817" s="48"/>
      <c r="G817" s="48"/>
      <c r="H817" s="48"/>
      <c r="I817" s="48"/>
    </row>
    <row r="818" spans="1:9" hidden="1" x14ac:dyDescent="0.2">
      <c r="A818" s="46"/>
      <c r="B818" s="46"/>
      <c r="C818" s="46"/>
      <c r="D818" s="48"/>
      <c r="E818" s="48"/>
      <c r="F818" s="48"/>
      <c r="G818" s="48"/>
      <c r="H818" s="48"/>
      <c r="I818" s="48"/>
    </row>
    <row r="819" spans="1:9" hidden="1" x14ac:dyDescent="0.2">
      <c r="A819" s="46"/>
      <c r="B819" s="46"/>
      <c r="C819" s="46"/>
      <c r="D819" s="48"/>
      <c r="E819" s="48"/>
      <c r="F819" s="48"/>
      <c r="G819" s="48"/>
      <c r="H819" s="48"/>
      <c r="I819" s="48"/>
    </row>
    <row r="820" spans="1:9" hidden="1" x14ac:dyDescent="0.2">
      <c r="A820" s="46"/>
      <c r="B820" s="46"/>
      <c r="C820" s="46"/>
      <c r="D820" s="48"/>
      <c r="E820" s="48"/>
      <c r="F820" s="48"/>
      <c r="G820" s="48"/>
      <c r="H820" s="48"/>
      <c r="I820" s="48"/>
    </row>
    <row r="821" spans="1:9" hidden="1" x14ac:dyDescent="0.2">
      <c r="A821" s="46"/>
      <c r="B821" s="46"/>
      <c r="C821" s="46"/>
      <c r="D821" s="48"/>
      <c r="E821" s="48"/>
      <c r="F821" s="48"/>
      <c r="G821" s="48"/>
      <c r="H821" s="48"/>
      <c r="I821" s="48"/>
    </row>
    <row r="822" spans="1:9" hidden="1" x14ac:dyDescent="0.2">
      <c r="A822" s="46"/>
      <c r="B822" s="46"/>
      <c r="C822" s="46"/>
      <c r="D822" s="48"/>
      <c r="E822" s="48"/>
      <c r="F822" s="48"/>
      <c r="G822" s="48"/>
      <c r="H822" s="48"/>
      <c r="I822" s="48"/>
    </row>
    <row r="823" spans="1:9" hidden="1" x14ac:dyDescent="0.2">
      <c r="A823" s="46"/>
      <c r="B823" s="46"/>
      <c r="C823" s="46"/>
      <c r="D823" s="48"/>
      <c r="E823" s="48"/>
      <c r="F823" s="48"/>
      <c r="G823" s="48"/>
      <c r="H823" s="48"/>
      <c r="I823" s="48"/>
    </row>
    <row r="824" spans="1:9" hidden="1" x14ac:dyDescent="0.2">
      <c r="A824" s="46"/>
      <c r="B824" s="46"/>
      <c r="C824" s="46"/>
      <c r="D824" s="48"/>
      <c r="E824" s="48"/>
      <c r="F824" s="48"/>
      <c r="G824" s="48"/>
      <c r="H824" s="48"/>
      <c r="I824" s="48"/>
    </row>
    <row r="825" spans="1:9" hidden="1" x14ac:dyDescent="0.2">
      <c r="A825" s="46"/>
      <c r="B825" s="46"/>
      <c r="C825" s="46"/>
      <c r="D825" s="48"/>
      <c r="E825" s="48"/>
      <c r="F825" s="48"/>
      <c r="G825" s="48"/>
      <c r="H825" s="48"/>
      <c r="I825" s="48"/>
    </row>
    <row r="826" spans="1:9" hidden="1" x14ac:dyDescent="0.2">
      <c r="A826" s="46"/>
      <c r="B826" s="46"/>
      <c r="C826" s="46"/>
      <c r="D826" s="48"/>
      <c r="E826" s="48"/>
      <c r="F826" s="48"/>
      <c r="G826" s="48"/>
      <c r="H826" s="48"/>
      <c r="I826" s="48"/>
    </row>
    <row r="827" spans="1:9" hidden="1" x14ac:dyDescent="0.2">
      <c r="A827" s="46"/>
      <c r="B827" s="46"/>
      <c r="C827" s="46"/>
      <c r="D827" s="48"/>
      <c r="E827" s="48"/>
      <c r="F827" s="48"/>
      <c r="G827" s="48"/>
      <c r="H827" s="48"/>
      <c r="I827" s="48"/>
    </row>
    <row r="828" spans="1:9" hidden="1" x14ac:dyDescent="0.2">
      <c r="A828" s="46"/>
      <c r="B828" s="46"/>
      <c r="C828" s="46"/>
      <c r="D828" s="48"/>
      <c r="E828" s="48"/>
      <c r="F828" s="48"/>
      <c r="G828" s="48"/>
      <c r="H828" s="48"/>
      <c r="I828" s="48"/>
    </row>
    <row r="829" spans="1:9" hidden="1" x14ac:dyDescent="0.2">
      <c r="A829" s="46"/>
      <c r="B829" s="46"/>
      <c r="C829" s="46"/>
      <c r="D829" s="48"/>
      <c r="E829" s="48"/>
      <c r="F829" s="48"/>
      <c r="G829" s="48"/>
      <c r="H829" s="48"/>
      <c r="I829" s="48"/>
    </row>
    <row r="830" spans="1:9" hidden="1" x14ac:dyDescent="0.2">
      <c r="A830" s="46"/>
      <c r="B830" s="46"/>
      <c r="C830" s="46"/>
      <c r="D830" s="48"/>
      <c r="E830" s="48"/>
      <c r="F830" s="48"/>
      <c r="G830" s="48"/>
      <c r="H830" s="48"/>
      <c r="I830" s="48"/>
    </row>
    <row r="831" spans="1:9" hidden="1" x14ac:dyDescent="0.2">
      <c r="A831" s="46"/>
      <c r="B831" s="46"/>
      <c r="C831" s="46"/>
      <c r="D831" s="48"/>
      <c r="E831" s="48"/>
      <c r="F831" s="48"/>
      <c r="G831" s="48"/>
      <c r="H831" s="48"/>
      <c r="I831" s="48"/>
    </row>
    <row r="832" spans="1:9" hidden="1" x14ac:dyDescent="0.2">
      <c r="A832" s="46"/>
      <c r="B832" s="46"/>
      <c r="C832" s="46"/>
      <c r="D832" s="48"/>
      <c r="E832" s="48"/>
      <c r="F832" s="48"/>
      <c r="G832" s="48"/>
      <c r="H832" s="48"/>
      <c r="I832" s="48"/>
    </row>
    <row r="833" spans="1:9" hidden="1" x14ac:dyDescent="0.2">
      <c r="A833" s="46"/>
      <c r="B833" s="46"/>
      <c r="C833" s="46"/>
      <c r="D833" s="48"/>
      <c r="E833" s="48"/>
      <c r="F833" s="48"/>
      <c r="G833" s="48"/>
      <c r="H833" s="48"/>
      <c r="I833" s="48"/>
    </row>
    <row r="834" spans="1:9" hidden="1" x14ac:dyDescent="0.2">
      <c r="A834" s="46"/>
      <c r="B834" s="46"/>
      <c r="C834" s="46"/>
      <c r="D834" s="48"/>
      <c r="E834" s="48"/>
      <c r="F834" s="48"/>
      <c r="G834" s="48"/>
      <c r="H834" s="48"/>
      <c r="I834" s="48"/>
    </row>
    <row r="835" spans="1:9" hidden="1" x14ac:dyDescent="0.2">
      <c r="A835" s="46"/>
      <c r="B835" s="46"/>
      <c r="C835" s="46"/>
      <c r="D835" s="48"/>
      <c r="E835" s="48"/>
      <c r="F835" s="48"/>
      <c r="G835" s="48"/>
      <c r="H835" s="48"/>
      <c r="I835" s="48"/>
    </row>
    <row r="836" spans="1:9" hidden="1" x14ac:dyDescent="0.2">
      <c r="A836" s="46"/>
      <c r="B836" s="46"/>
      <c r="C836" s="46"/>
      <c r="D836" s="48"/>
      <c r="E836" s="48"/>
      <c r="F836" s="48"/>
      <c r="G836" s="48"/>
      <c r="H836" s="48"/>
      <c r="I836" s="48"/>
    </row>
    <row r="837" spans="1:9" hidden="1" x14ac:dyDescent="0.2">
      <c r="A837" s="46"/>
      <c r="B837" s="46"/>
      <c r="C837" s="46"/>
      <c r="D837" s="48"/>
      <c r="E837" s="48"/>
      <c r="F837" s="48"/>
      <c r="G837" s="48"/>
      <c r="H837" s="48"/>
      <c r="I837" s="48"/>
    </row>
    <row r="838" spans="1:9" hidden="1" x14ac:dyDescent="0.2">
      <c r="A838" s="46"/>
      <c r="B838" s="46"/>
      <c r="C838" s="46"/>
      <c r="D838" s="48"/>
      <c r="E838" s="48"/>
      <c r="F838" s="48"/>
      <c r="G838" s="48"/>
      <c r="H838" s="48"/>
      <c r="I838" s="48"/>
    </row>
    <row r="839" spans="1:9" hidden="1" x14ac:dyDescent="0.2">
      <c r="A839" s="46"/>
      <c r="B839" s="46"/>
      <c r="C839" s="46"/>
      <c r="D839" s="48"/>
      <c r="E839" s="48"/>
      <c r="F839" s="48"/>
      <c r="G839" s="48"/>
      <c r="H839" s="48"/>
      <c r="I839" s="48"/>
    </row>
    <row r="840" spans="1:9" hidden="1" x14ac:dyDescent="0.2">
      <c r="A840" s="46"/>
      <c r="B840" s="46"/>
      <c r="C840" s="46"/>
      <c r="D840" s="48"/>
      <c r="E840" s="48"/>
      <c r="F840" s="48"/>
      <c r="G840" s="48"/>
      <c r="H840" s="48"/>
      <c r="I840" s="48"/>
    </row>
    <row r="841" spans="1:9" hidden="1" x14ac:dyDescent="0.2">
      <c r="A841" s="46"/>
      <c r="B841" s="46"/>
      <c r="C841" s="46"/>
      <c r="D841" s="48"/>
      <c r="E841" s="48"/>
      <c r="F841" s="48"/>
      <c r="G841" s="48"/>
      <c r="H841" s="48"/>
      <c r="I841" s="48"/>
    </row>
    <row r="842" spans="1:9" hidden="1" x14ac:dyDescent="0.2">
      <c r="A842" s="46"/>
      <c r="B842" s="46"/>
      <c r="C842" s="46"/>
      <c r="D842" s="48"/>
      <c r="E842" s="48"/>
      <c r="F842" s="48"/>
      <c r="G842" s="48"/>
      <c r="H842" s="48"/>
      <c r="I842" s="48"/>
    </row>
    <row r="843" spans="1:9" hidden="1" x14ac:dyDescent="0.2">
      <c r="A843" s="46"/>
      <c r="B843" s="46"/>
      <c r="C843" s="46"/>
      <c r="D843" s="48"/>
      <c r="E843" s="48"/>
      <c r="F843" s="48"/>
      <c r="G843" s="48"/>
      <c r="H843" s="48"/>
      <c r="I843" s="48"/>
    </row>
    <row r="844" spans="1:9" hidden="1" x14ac:dyDescent="0.2">
      <c r="A844" s="46"/>
      <c r="B844" s="46"/>
      <c r="C844" s="46"/>
      <c r="D844" s="48"/>
      <c r="E844" s="48"/>
      <c r="F844" s="48"/>
      <c r="G844" s="48"/>
      <c r="H844" s="48"/>
      <c r="I844" s="48"/>
    </row>
    <row r="845" spans="1:9" hidden="1" x14ac:dyDescent="0.2">
      <c r="A845" s="46"/>
      <c r="B845" s="46"/>
      <c r="C845" s="46"/>
      <c r="D845" s="48"/>
      <c r="E845" s="48"/>
      <c r="F845" s="48"/>
      <c r="G845" s="48"/>
      <c r="H845" s="48"/>
      <c r="I845" s="48"/>
    </row>
    <row r="846" spans="1:9" hidden="1" x14ac:dyDescent="0.2">
      <c r="A846" s="46"/>
      <c r="B846" s="46"/>
      <c r="C846" s="46"/>
      <c r="D846" s="48"/>
      <c r="E846" s="48"/>
      <c r="F846" s="48"/>
      <c r="G846" s="48"/>
      <c r="H846" s="48"/>
      <c r="I846" s="48"/>
    </row>
    <row r="847" spans="1:9" hidden="1" x14ac:dyDescent="0.2">
      <c r="A847" s="46"/>
      <c r="B847" s="46"/>
      <c r="C847" s="46"/>
      <c r="D847" s="48"/>
      <c r="E847" s="48"/>
      <c r="F847" s="48"/>
      <c r="G847" s="48"/>
      <c r="H847" s="48"/>
      <c r="I847" s="48"/>
    </row>
    <row r="848" spans="1:9" hidden="1" x14ac:dyDescent="0.2">
      <c r="A848" s="46"/>
      <c r="B848" s="46"/>
      <c r="C848" s="46"/>
      <c r="D848" s="48"/>
      <c r="E848" s="48"/>
      <c r="F848" s="48"/>
      <c r="G848" s="48"/>
      <c r="H848" s="48"/>
      <c r="I848" s="48"/>
    </row>
    <row r="849" spans="1:9" hidden="1" x14ac:dyDescent="0.2">
      <c r="A849" s="46"/>
      <c r="B849" s="46"/>
      <c r="C849" s="46"/>
      <c r="D849" s="48"/>
      <c r="E849" s="48"/>
      <c r="F849" s="48"/>
      <c r="G849" s="48"/>
      <c r="H849" s="48"/>
      <c r="I849" s="48"/>
    </row>
    <row r="850" spans="1:9" hidden="1" x14ac:dyDescent="0.2">
      <c r="A850" s="46"/>
      <c r="B850" s="46"/>
      <c r="C850" s="46"/>
      <c r="D850" s="48"/>
      <c r="E850" s="48"/>
      <c r="F850" s="48"/>
      <c r="G850" s="48"/>
      <c r="H850" s="48"/>
      <c r="I850" s="48"/>
    </row>
    <row r="851" spans="1:9" hidden="1" x14ac:dyDescent="0.2">
      <c r="A851" s="46"/>
      <c r="B851" s="46"/>
      <c r="C851" s="46"/>
      <c r="D851" s="48"/>
      <c r="E851" s="48"/>
      <c r="F851" s="48"/>
      <c r="G851" s="48"/>
      <c r="H851" s="48"/>
      <c r="I851" s="48"/>
    </row>
    <row r="852" spans="1:9" hidden="1" x14ac:dyDescent="0.2">
      <c r="A852" s="46"/>
      <c r="B852" s="46"/>
      <c r="C852" s="46"/>
      <c r="D852" s="48"/>
      <c r="E852" s="48"/>
      <c r="F852" s="48"/>
      <c r="G852" s="48"/>
      <c r="H852" s="48"/>
      <c r="I852" s="48"/>
    </row>
    <row r="853" spans="1:9" hidden="1" x14ac:dyDescent="0.2">
      <c r="A853" s="46"/>
      <c r="B853" s="46"/>
      <c r="C853" s="46"/>
      <c r="D853" s="48"/>
      <c r="E853" s="48"/>
      <c r="F853" s="48"/>
      <c r="G853" s="48"/>
      <c r="H853" s="48"/>
      <c r="I853" s="48"/>
    </row>
    <row r="854" spans="1:9" hidden="1" x14ac:dyDescent="0.2">
      <c r="A854" s="46"/>
      <c r="B854" s="46"/>
      <c r="C854" s="46"/>
      <c r="D854" s="48"/>
      <c r="E854" s="48"/>
      <c r="F854" s="48"/>
      <c r="G854" s="48"/>
      <c r="H854" s="48"/>
      <c r="I854" s="48"/>
    </row>
    <row r="855" spans="1:9" hidden="1" x14ac:dyDescent="0.2">
      <c r="A855" s="46"/>
      <c r="B855" s="46"/>
      <c r="C855" s="46"/>
      <c r="D855" s="48"/>
      <c r="E855" s="48"/>
      <c r="F855" s="48"/>
      <c r="G855" s="48"/>
      <c r="H855" s="48"/>
      <c r="I855" s="48"/>
    </row>
    <row r="856" spans="1:9" hidden="1" x14ac:dyDescent="0.2">
      <c r="A856" s="46"/>
      <c r="B856" s="46"/>
      <c r="C856" s="46"/>
      <c r="D856" s="48"/>
      <c r="E856" s="48"/>
      <c r="F856" s="48"/>
      <c r="G856" s="48"/>
      <c r="H856" s="48"/>
      <c r="I856" s="48"/>
    </row>
    <row r="857" spans="1:9" hidden="1" x14ac:dyDescent="0.2">
      <c r="A857" s="46"/>
      <c r="B857" s="46"/>
      <c r="C857" s="46"/>
      <c r="D857" s="48"/>
      <c r="E857" s="48"/>
      <c r="F857" s="48"/>
      <c r="G857" s="48"/>
      <c r="H857" s="48"/>
      <c r="I857" s="48"/>
    </row>
    <row r="858" spans="1:9" hidden="1" x14ac:dyDescent="0.2">
      <c r="A858" s="46"/>
      <c r="B858" s="46"/>
      <c r="C858" s="46"/>
      <c r="D858" s="48"/>
      <c r="E858" s="48"/>
      <c r="F858" s="48"/>
      <c r="G858" s="48"/>
      <c r="H858" s="48"/>
      <c r="I858" s="48"/>
    </row>
    <row r="859" spans="1:9" hidden="1" x14ac:dyDescent="0.2">
      <c r="A859" s="46"/>
      <c r="B859" s="46"/>
      <c r="C859" s="46"/>
      <c r="D859" s="48"/>
      <c r="E859" s="48"/>
      <c r="F859" s="48"/>
      <c r="G859" s="48"/>
      <c r="H859" s="48"/>
      <c r="I859" s="48"/>
    </row>
    <row r="860" spans="1:9" hidden="1" x14ac:dyDescent="0.2">
      <c r="A860" s="46"/>
      <c r="B860" s="46"/>
      <c r="C860" s="46"/>
      <c r="D860" s="48"/>
      <c r="E860" s="48"/>
      <c r="F860" s="48"/>
      <c r="G860" s="48"/>
      <c r="H860" s="48"/>
      <c r="I860" s="48"/>
    </row>
    <row r="861" spans="1:9" hidden="1" x14ac:dyDescent="0.2">
      <c r="A861" s="46"/>
      <c r="B861" s="46"/>
      <c r="C861" s="46"/>
      <c r="D861" s="48"/>
      <c r="E861" s="48"/>
      <c r="F861" s="48"/>
      <c r="G861" s="48"/>
      <c r="H861" s="48"/>
      <c r="I861" s="48"/>
    </row>
    <row r="862" spans="1:9" hidden="1" x14ac:dyDescent="0.2">
      <c r="A862" s="46"/>
      <c r="B862" s="46"/>
      <c r="C862" s="46"/>
      <c r="D862" s="48"/>
      <c r="E862" s="48"/>
      <c r="F862" s="48"/>
      <c r="G862" s="48"/>
      <c r="H862" s="48"/>
      <c r="I862" s="48"/>
    </row>
    <row r="863" spans="1:9" hidden="1" x14ac:dyDescent="0.2">
      <c r="A863" s="46"/>
      <c r="B863" s="46"/>
      <c r="C863" s="46"/>
      <c r="D863" s="48"/>
      <c r="E863" s="48"/>
      <c r="F863" s="48"/>
      <c r="G863" s="48"/>
      <c r="H863" s="48"/>
      <c r="I863" s="48"/>
    </row>
    <row r="864" spans="1:9" hidden="1" x14ac:dyDescent="0.2">
      <c r="A864" s="46"/>
      <c r="B864" s="46"/>
      <c r="C864" s="46"/>
      <c r="D864" s="48"/>
      <c r="E864" s="48"/>
      <c r="F864" s="48"/>
      <c r="G864" s="48"/>
      <c r="H864" s="48"/>
      <c r="I864" s="48"/>
    </row>
    <row r="865" spans="1:9" hidden="1" x14ac:dyDescent="0.2">
      <c r="A865" s="46"/>
      <c r="B865" s="46"/>
      <c r="C865" s="46"/>
      <c r="D865" s="48"/>
      <c r="E865" s="48"/>
      <c r="F865" s="48"/>
      <c r="G865" s="48"/>
      <c r="H865" s="48"/>
      <c r="I865" s="48"/>
    </row>
    <row r="866" spans="1:9" hidden="1" x14ac:dyDescent="0.2">
      <c r="A866" s="46"/>
      <c r="B866" s="46"/>
      <c r="C866" s="46"/>
      <c r="D866" s="48"/>
      <c r="E866" s="48"/>
      <c r="F866" s="48"/>
      <c r="G866" s="48"/>
      <c r="H866" s="48"/>
      <c r="I866" s="48"/>
    </row>
    <row r="867" spans="1:9" hidden="1" x14ac:dyDescent="0.2">
      <c r="A867" s="46"/>
      <c r="B867" s="46"/>
      <c r="C867" s="46"/>
      <c r="D867" s="48"/>
      <c r="E867" s="48"/>
      <c r="F867" s="48"/>
      <c r="G867" s="48"/>
      <c r="H867" s="48"/>
      <c r="I867" s="48"/>
    </row>
    <row r="868" spans="1:9" hidden="1" x14ac:dyDescent="0.2">
      <c r="A868" s="46"/>
      <c r="B868" s="46"/>
      <c r="C868" s="46"/>
      <c r="D868" s="48"/>
      <c r="E868" s="48"/>
      <c r="F868" s="48"/>
      <c r="G868" s="48"/>
      <c r="H868" s="48"/>
      <c r="I868" s="48"/>
    </row>
    <row r="869" spans="1:9" hidden="1" x14ac:dyDescent="0.2">
      <c r="A869" s="46"/>
      <c r="B869" s="46"/>
      <c r="C869" s="46"/>
      <c r="D869" s="48"/>
      <c r="E869" s="48"/>
      <c r="F869" s="48"/>
      <c r="G869" s="48"/>
      <c r="H869" s="48"/>
      <c r="I869" s="48"/>
    </row>
    <row r="870" spans="1:9" hidden="1" x14ac:dyDescent="0.2">
      <c r="A870" s="46"/>
      <c r="B870" s="46"/>
      <c r="C870" s="46"/>
      <c r="D870" s="48"/>
      <c r="E870" s="48"/>
      <c r="F870" s="48"/>
      <c r="G870" s="48"/>
      <c r="H870" s="48"/>
      <c r="I870" s="48"/>
    </row>
    <row r="871" spans="1:9" hidden="1" x14ac:dyDescent="0.2">
      <c r="A871" s="46"/>
      <c r="B871" s="46"/>
      <c r="C871" s="46"/>
      <c r="D871" s="48"/>
      <c r="E871" s="48"/>
      <c r="F871" s="48"/>
      <c r="G871" s="48"/>
      <c r="H871" s="48"/>
      <c r="I871" s="48"/>
    </row>
    <row r="872" spans="1:9" hidden="1" x14ac:dyDescent="0.2">
      <c r="A872" s="46"/>
      <c r="B872" s="46"/>
      <c r="C872" s="46"/>
      <c r="D872" s="48"/>
      <c r="E872" s="48"/>
      <c r="F872" s="48"/>
      <c r="G872" s="48"/>
      <c r="H872" s="48"/>
      <c r="I872" s="48"/>
    </row>
    <row r="873" spans="1:9" hidden="1" x14ac:dyDescent="0.2">
      <c r="A873" s="46"/>
      <c r="B873" s="46"/>
      <c r="C873" s="46"/>
      <c r="D873" s="48"/>
      <c r="E873" s="48"/>
      <c r="F873" s="48"/>
      <c r="G873" s="48"/>
      <c r="H873" s="48"/>
      <c r="I873" s="48"/>
    </row>
    <row r="874" spans="1:9" hidden="1" x14ac:dyDescent="0.2">
      <c r="A874" s="46"/>
      <c r="B874" s="46"/>
      <c r="C874" s="46"/>
      <c r="D874" s="48"/>
      <c r="E874" s="48"/>
      <c r="F874" s="48"/>
      <c r="G874" s="48"/>
      <c r="H874" s="48"/>
      <c r="I874" s="48"/>
    </row>
    <row r="875" spans="1:9" hidden="1" x14ac:dyDescent="0.2">
      <c r="A875" s="46"/>
      <c r="B875" s="46"/>
      <c r="C875" s="46"/>
      <c r="D875" s="48"/>
      <c r="E875" s="48"/>
      <c r="F875" s="48"/>
      <c r="G875" s="48"/>
      <c r="H875" s="48"/>
      <c r="I875" s="48"/>
    </row>
    <row r="876" spans="1:9" hidden="1" x14ac:dyDescent="0.2">
      <c r="A876" s="46"/>
      <c r="B876" s="46"/>
      <c r="C876" s="46"/>
      <c r="D876" s="48"/>
      <c r="E876" s="48"/>
      <c r="F876" s="48"/>
      <c r="G876" s="48"/>
      <c r="H876" s="48"/>
      <c r="I876" s="48"/>
    </row>
    <row r="877" spans="1:9" hidden="1" x14ac:dyDescent="0.2">
      <c r="A877" s="46"/>
      <c r="B877" s="46"/>
      <c r="C877" s="46"/>
      <c r="D877" s="48"/>
      <c r="E877" s="48"/>
      <c r="F877" s="48"/>
      <c r="G877" s="48"/>
      <c r="H877" s="48"/>
      <c r="I877" s="48"/>
    </row>
    <row r="878" spans="1:9" hidden="1" x14ac:dyDescent="0.2">
      <c r="A878" s="46"/>
      <c r="B878" s="46"/>
      <c r="C878" s="46"/>
      <c r="D878" s="48"/>
      <c r="E878" s="48"/>
      <c r="F878" s="48"/>
      <c r="G878" s="48"/>
      <c r="H878" s="48"/>
      <c r="I878" s="48"/>
    </row>
    <row r="879" spans="1:9" hidden="1" x14ac:dyDescent="0.2">
      <c r="A879" s="46"/>
      <c r="B879" s="46"/>
      <c r="C879" s="46"/>
      <c r="D879" s="48"/>
      <c r="E879" s="48"/>
      <c r="F879" s="48"/>
      <c r="G879" s="48"/>
      <c r="H879" s="48"/>
      <c r="I879" s="48"/>
    </row>
    <row r="880" spans="1:9" hidden="1" x14ac:dyDescent="0.2">
      <c r="A880" s="46"/>
      <c r="B880" s="46"/>
      <c r="C880" s="46"/>
      <c r="D880" s="48"/>
      <c r="E880" s="48"/>
      <c r="F880" s="48"/>
      <c r="G880" s="48"/>
      <c r="H880" s="48"/>
      <c r="I880" s="48"/>
    </row>
    <row r="881" spans="1:9" hidden="1" x14ac:dyDescent="0.2">
      <c r="A881" s="46"/>
      <c r="B881" s="46"/>
      <c r="C881" s="46"/>
      <c r="D881" s="48"/>
      <c r="E881" s="48"/>
      <c r="F881" s="48"/>
      <c r="G881" s="48"/>
      <c r="H881" s="48"/>
      <c r="I881" s="48"/>
    </row>
    <row r="882" spans="1:9" hidden="1" x14ac:dyDescent="0.2">
      <c r="A882" s="46"/>
      <c r="B882" s="46"/>
      <c r="C882" s="46"/>
      <c r="D882" s="48"/>
      <c r="E882" s="48"/>
      <c r="F882" s="48"/>
      <c r="G882" s="48"/>
      <c r="H882" s="48"/>
      <c r="I882" s="48"/>
    </row>
    <row r="883" spans="1:9" hidden="1" x14ac:dyDescent="0.2">
      <c r="A883" s="46"/>
      <c r="B883" s="46"/>
      <c r="C883" s="46"/>
      <c r="D883" s="48"/>
      <c r="E883" s="48"/>
      <c r="F883" s="48"/>
      <c r="G883" s="48"/>
      <c r="H883" s="48"/>
      <c r="I883" s="48"/>
    </row>
    <row r="884" spans="1:9" hidden="1" x14ac:dyDescent="0.2">
      <c r="A884" s="46"/>
      <c r="B884" s="46"/>
      <c r="C884" s="46"/>
      <c r="D884" s="48"/>
      <c r="E884" s="48"/>
      <c r="F884" s="48"/>
      <c r="G884" s="48"/>
      <c r="H884" s="48"/>
      <c r="I884" s="48"/>
    </row>
    <row r="885" spans="1:9" hidden="1" x14ac:dyDescent="0.2">
      <c r="A885" s="46"/>
      <c r="B885" s="46"/>
      <c r="C885" s="46"/>
      <c r="D885" s="48"/>
      <c r="E885" s="48"/>
      <c r="F885" s="48"/>
      <c r="G885" s="48"/>
      <c r="H885" s="48"/>
      <c r="I885" s="48"/>
    </row>
    <row r="886" spans="1:9" hidden="1" x14ac:dyDescent="0.2">
      <c r="A886" s="46"/>
      <c r="B886" s="46"/>
      <c r="C886" s="46"/>
      <c r="D886" s="48"/>
      <c r="E886" s="48"/>
      <c r="F886" s="48"/>
      <c r="G886" s="48"/>
      <c r="H886" s="48"/>
      <c r="I886" s="48"/>
    </row>
    <row r="887" spans="1:9" hidden="1" x14ac:dyDescent="0.2">
      <c r="A887" s="46"/>
      <c r="B887" s="46"/>
      <c r="C887" s="46"/>
      <c r="D887" s="48"/>
      <c r="E887" s="48"/>
      <c r="F887" s="48"/>
      <c r="G887" s="48"/>
      <c r="H887" s="48"/>
      <c r="I887" s="48"/>
    </row>
    <row r="888" spans="1:9" hidden="1" x14ac:dyDescent="0.2">
      <c r="A888" s="46"/>
      <c r="B888" s="46"/>
      <c r="C888" s="46"/>
      <c r="D888" s="48"/>
      <c r="E888" s="48"/>
      <c r="F888" s="48"/>
      <c r="G888" s="48"/>
      <c r="H888" s="48"/>
      <c r="I888" s="48"/>
    </row>
    <row r="889" spans="1:9" hidden="1" x14ac:dyDescent="0.2">
      <c r="A889" s="46"/>
      <c r="B889" s="46"/>
      <c r="C889" s="46"/>
      <c r="D889" s="48"/>
      <c r="E889" s="48"/>
      <c r="F889" s="48"/>
      <c r="G889" s="48"/>
      <c r="H889" s="48"/>
      <c r="I889" s="48"/>
    </row>
    <row r="890" spans="1:9" hidden="1" x14ac:dyDescent="0.2">
      <c r="A890" s="46"/>
      <c r="B890" s="46"/>
      <c r="C890" s="46"/>
      <c r="D890" s="48"/>
      <c r="E890" s="48"/>
      <c r="F890" s="48"/>
      <c r="G890" s="48"/>
      <c r="H890" s="48"/>
      <c r="I890" s="48"/>
    </row>
    <row r="891" spans="1:9" hidden="1" x14ac:dyDescent="0.2">
      <c r="A891" s="46"/>
      <c r="B891" s="46"/>
      <c r="C891" s="46"/>
      <c r="D891" s="48"/>
      <c r="E891" s="48"/>
      <c r="F891" s="48"/>
      <c r="G891" s="48"/>
      <c r="H891" s="48"/>
      <c r="I891" s="48"/>
    </row>
    <row r="892" spans="1:9" hidden="1" x14ac:dyDescent="0.2">
      <c r="A892" s="46"/>
      <c r="B892" s="46"/>
      <c r="C892" s="46"/>
      <c r="D892" s="48"/>
      <c r="E892" s="48"/>
      <c r="F892" s="48"/>
      <c r="G892" s="48"/>
      <c r="H892" s="48"/>
      <c r="I892" s="48"/>
    </row>
    <row r="893" spans="1:9" hidden="1" x14ac:dyDescent="0.2">
      <c r="A893" s="46"/>
      <c r="B893" s="46"/>
      <c r="C893" s="46"/>
      <c r="D893" s="48"/>
      <c r="E893" s="48"/>
      <c r="F893" s="48"/>
      <c r="G893" s="48"/>
      <c r="H893" s="48"/>
      <c r="I893" s="48"/>
    </row>
    <row r="894" spans="1:9" hidden="1" x14ac:dyDescent="0.2">
      <c r="A894" s="46"/>
      <c r="B894" s="46"/>
      <c r="C894" s="46"/>
      <c r="D894" s="48"/>
      <c r="E894" s="48"/>
      <c r="F894" s="48"/>
      <c r="G894" s="48"/>
      <c r="H894" s="48"/>
      <c r="I894" s="48"/>
    </row>
    <row r="895" spans="1:9" hidden="1" x14ac:dyDescent="0.2">
      <c r="A895" s="46"/>
      <c r="B895" s="46"/>
      <c r="C895" s="46"/>
      <c r="D895" s="48"/>
      <c r="E895" s="48"/>
      <c r="F895" s="48"/>
      <c r="G895" s="48"/>
      <c r="H895" s="48"/>
      <c r="I895" s="48"/>
    </row>
    <row r="896" spans="1:9" hidden="1" x14ac:dyDescent="0.2">
      <c r="A896" s="46"/>
      <c r="B896" s="46"/>
      <c r="C896" s="46"/>
      <c r="D896" s="48"/>
      <c r="E896" s="48"/>
      <c r="F896" s="48"/>
      <c r="G896" s="48"/>
      <c r="H896" s="48"/>
      <c r="I896" s="48"/>
    </row>
    <row r="897" spans="1:9" hidden="1" x14ac:dyDescent="0.2">
      <c r="A897" s="46"/>
      <c r="B897" s="46"/>
      <c r="C897" s="46"/>
      <c r="D897" s="48"/>
      <c r="E897" s="48"/>
      <c r="F897" s="48"/>
      <c r="G897" s="48"/>
      <c r="H897" s="48"/>
      <c r="I897" s="48"/>
    </row>
    <row r="898" spans="1:9" hidden="1" x14ac:dyDescent="0.2">
      <c r="A898" s="46"/>
      <c r="B898" s="46"/>
      <c r="C898" s="46"/>
      <c r="D898" s="48"/>
      <c r="E898" s="48"/>
      <c r="F898" s="48"/>
      <c r="G898" s="48"/>
      <c r="H898" s="48"/>
      <c r="I898" s="48"/>
    </row>
    <row r="899" spans="1:9" hidden="1" x14ac:dyDescent="0.2">
      <c r="A899" s="46"/>
      <c r="B899" s="46"/>
      <c r="C899" s="46"/>
      <c r="D899" s="48"/>
      <c r="E899" s="48"/>
      <c r="F899" s="48"/>
      <c r="G899" s="48"/>
      <c r="H899" s="48"/>
      <c r="I899" s="48"/>
    </row>
    <row r="900" spans="1:9" hidden="1" x14ac:dyDescent="0.2">
      <c r="A900" s="46"/>
      <c r="B900" s="46"/>
      <c r="C900" s="46"/>
      <c r="D900" s="48"/>
      <c r="E900" s="48"/>
      <c r="F900" s="48"/>
      <c r="G900" s="48"/>
      <c r="H900" s="48"/>
      <c r="I900" s="48"/>
    </row>
    <row r="901" spans="1:9" hidden="1" x14ac:dyDescent="0.2">
      <c r="A901" s="46"/>
      <c r="B901" s="46"/>
      <c r="C901" s="46"/>
      <c r="D901" s="48"/>
      <c r="E901" s="48"/>
      <c r="F901" s="48"/>
      <c r="G901" s="48"/>
      <c r="H901" s="48"/>
      <c r="I901" s="48"/>
    </row>
    <row r="902" spans="1:9" hidden="1" x14ac:dyDescent="0.2">
      <c r="A902" s="46"/>
      <c r="B902" s="46"/>
      <c r="C902" s="46"/>
      <c r="D902" s="48"/>
      <c r="E902" s="48"/>
      <c r="F902" s="48"/>
      <c r="G902" s="48"/>
      <c r="H902" s="48"/>
      <c r="I902" s="48"/>
    </row>
    <row r="903" spans="1:9" hidden="1" x14ac:dyDescent="0.2">
      <c r="A903" s="46"/>
      <c r="B903" s="46"/>
      <c r="C903" s="46"/>
      <c r="D903" s="48"/>
      <c r="E903" s="48"/>
      <c r="F903" s="48"/>
      <c r="G903" s="48"/>
      <c r="H903" s="48"/>
      <c r="I903" s="48"/>
    </row>
    <row r="904" spans="1:9" hidden="1" x14ac:dyDescent="0.2">
      <c r="A904" s="46"/>
      <c r="B904" s="46"/>
      <c r="C904" s="46"/>
      <c r="D904" s="48"/>
      <c r="E904" s="48"/>
      <c r="F904" s="48"/>
      <c r="G904" s="48"/>
      <c r="H904" s="48"/>
      <c r="I904" s="48"/>
    </row>
    <row r="905" spans="1:9" hidden="1" x14ac:dyDescent="0.2">
      <c r="A905" s="46"/>
      <c r="B905" s="46"/>
      <c r="C905" s="46"/>
      <c r="D905" s="48"/>
      <c r="E905" s="48"/>
      <c r="F905" s="48"/>
      <c r="G905" s="48"/>
      <c r="H905" s="48"/>
      <c r="I905" s="48"/>
    </row>
    <row r="906" spans="1:9" hidden="1" x14ac:dyDescent="0.2">
      <c r="A906" s="46"/>
      <c r="B906" s="46"/>
      <c r="C906" s="46"/>
      <c r="D906" s="48"/>
      <c r="E906" s="48"/>
      <c r="F906" s="48"/>
      <c r="G906" s="48"/>
      <c r="H906" s="48"/>
      <c r="I906" s="48"/>
    </row>
    <row r="907" spans="1:9" hidden="1" x14ac:dyDescent="0.2">
      <c r="A907" s="46"/>
      <c r="B907" s="46"/>
      <c r="C907" s="46"/>
      <c r="D907" s="48"/>
      <c r="E907" s="48"/>
      <c r="F907" s="48"/>
      <c r="G907" s="48"/>
      <c r="H907" s="48"/>
      <c r="I907" s="48"/>
    </row>
    <row r="908" spans="1:9" hidden="1" x14ac:dyDescent="0.2">
      <c r="A908" s="46"/>
      <c r="B908" s="46"/>
      <c r="C908" s="46"/>
      <c r="D908" s="48"/>
      <c r="E908" s="48"/>
      <c r="F908" s="48"/>
      <c r="G908" s="48"/>
      <c r="H908" s="48"/>
      <c r="I908" s="48"/>
    </row>
    <row r="909" spans="1:9" hidden="1" x14ac:dyDescent="0.2">
      <c r="A909" s="46"/>
      <c r="B909" s="46"/>
      <c r="C909" s="46"/>
      <c r="D909" s="48"/>
      <c r="E909" s="48"/>
      <c r="F909" s="48"/>
      <c r="G909" s="48"/>
      <c r="H909" s="48"/>
      <c r="I909" s="48"/>
    </row>
    <row r="910" spans="1:9" hidden="1" x14ac:dyDescent="0.2">
      <c r="A910" s="46"/>
      <c r="B910" s="46"/>
      <c r="C910" s="46"/>
      <c r="D910" s="48"/>
      <c r="E910" s="48"/>
      <c r="F910" s="48"/>
      <c r="G910" s="48"/>
      <c r="H910" s="48"/>
      <c r="I910" s="48"/>
    </row>
    <row r="911" spans="1:9" hidden="1" x14ac:dyDescent="0.2">
      <c r="A911" s="46"/>
      <c r="B911" s="46"/>
      <c r="C911" s="46"/>
      <c r="D911" s="48"/>
      <c r="E911" s="48"/>
      <c r="F911" s="48"/>
      <c r="G911" s="48"/>
      <c r="H911" s="48"/>
      <c r="I911" s="48"/>
    </row>
    <row r="912" spans="1:9" hidden="1" x14ac:dyDescent="0.2">
      <c r="A912" s="46"/>
      <c r="B912" s="46"/>
      <c r="C912" s="46"/>
      <c r="D912" s="48"/>
      <c r="E912" s="48"/>
      <c r="F912" s="48"/>
      <c r="G912" s="48"/>
      <c r="H912" s="48"/>
      <c r="I912" s="48"/>
    </row>
    <row r="913" spans="1:9" hidden="1" x14ac:dyDescent="0.2">
      <c r="A913" s="46"/>
      <c r="B913" s="46"/>
      <c r="C913" s="46"/>
      <c r="D913" s="48"/>
      <c r="E913" s="48"/>
      <c r="F913" s="48"/>
      <c r="G913" s="48"/>
      <c r="H913" s="48"/>
      <c r="I913" s="48"/>
    </row>
    <row r="914" spans="1:9" hidden="1" x14ac:dyDescent="0.2">
      <c r="A914" s="46"/>
      <c r="B914" s="46"/>
      <c r="C914" s="46"/>
      <c r="D914" s="48"/>
      <c r="E914" s="48"/>
      <c r="F914" s="48"/>
      <c r="G914" s="48"/>
      <c r="H914" s="48"/>
      <c r="I914" s="48"/>
    </row>
    <row r="915" spans="1:9" hidden="1" x14ac:dyDescent="0.2">
      <c r="A915" s="46"/>
      <c r="B915" s="46"/>
      <c r="C915" s="46"/>
      <c r="D915" s="48"/>
      <c r="E915" s="48"/>
      <c r="F915" s="48"/>
      <c r="G915" s="48"/>
      <c r="H915" s="48"/>
      <c r="I915" s="48"/>
    </row>
    <row r="916" spans="1:9" hidden="1" x14ac:dyDescent="0.2">
      <c r="A916" s="46"/>
      <c r="B916" s="46"/>
      <c r="C916" s="46"/>
      <c r="D916" s="48"/>
      <c r="E916" s="48"/>
      <c r="F916" s="48"/>
      <c r="G916" s="48"/>
      <c r="H916" s="48"/>
      <c r="I916" s="48"/>
    </row>
    <row r="917" spans="1:9" hidden="1" x14ac:dyDescent="0.2">
      <c r="A917" s="46"/>
      <c r="B917" s="46"/>
      <c r="C917" s="46"/>
      <c r="D917" s="48"/>
      <c r="E917" s="48"/>
      <c r="F917" s="48"/>
      <c r="G917" s="48"/>
      <c r="H917" s="48"/>
      <c r="I917" s="48"/>
    </row>
    <row r="918" spans="1:9" hidden="1" x14ac:dyDescent="0.2">
      <c r="A918" s="46"/>
      <c r="B918" s="46"/>
      <c r="C918" s="46"/>
      <c r="D918" s="48"/>
      <c r="E918" s="48"/>
      <c r="F918" s="48"/>
      <c r="G918" s="48"/>
      <c r="H918" s="48"/>
      <c r="I918" s="48"/>
    </row>
    <row r="919" spans="1:9" hidden="1" x14ac:dyDescent="0.2">
      <c r="A919" s="46"/>
      <c r="B919" s="46"/>
      <c r="C919" s="46"/>
      <c r="D919" s="48"/>
      <c r="E919" s="48"/>
      <c r="F919" s="48"/>
      <c r="G919" s="48"/>
      <c r="H919" s="48"/>
      <c r="I919" s="48"/>
    </row>
    <row r="920" spans="1:9" hidden="1" x14ac:dyDescent="0.2">
      <c r="A920" s="46"/>
      <c r="B920" s="46"/>
      <c r="C920" s="46"/>
      <c r="D920" s="48"/>
      <c r="E920" s="48"/>
      <c r="F920" s="48"/>
      <c r="G920" s="48"/>
      <c r="H920" s="48"/>
      <c r="I920" s="48"/>
    </row>
    <row r="921" spans="1:9" hidden="1" x14ac:dyDescent="0.2">
      <c r="A921" s="46"/>
      <c r="B921" s="46"/>
      <c r="C921" s="46"/>
      <c r="D921" s="48"/>
      <c r="E921" s="48"/>
      <c r="F921" s="48"/>
      <c r="G921" s="48"/>
      <c r="H921" s="48"/>
      <c r="I921" s="48"/>
    </row>
    <row r="922" spans="1:9" hidden="1" x14ac:dyDescent="0.2">
      <c r="A922" s="46"/>
      <c r="B922" s="46"/>
      <c r="C922" s="46"/>
      <c r="D922" s="48"/>
      <c r="E922" s="48"/>
      <c r="F922" s="48"/>
      <c r="G922" s="48"/>
      <c r="H922" s="48"/>
      <c r="I922" s="48"/>
    </row>
    <row r="923" spans="1:9" hidden="1" x14ac:dyDescent="0.2">
      <c r="A923" s="46"/>
      <c r="B923" s="46"/>
      <c r="C923" s="46"/>
      <c r="D923" s="48"/>
      <c r="E923" s="48"/>
      <c r="F923" s="48"/>
      <c r="G923" s="48"/>
      <c r="H923" s="48"/>
      <c r="I923" s="48"/>
    </row>
    <row r="924" spans="1:9" hidden="1" x14ac:dyDescent="0.2">
      <c r="A924" s="46"/>
      <c r="B924" s="46"/>
      <c r="C924" s="46"/>
      <c r="D924" s="48"/>
      <c r="E924" s="48"/>
      <c r="F924" s="48"/>
      <c r="G924" s="48"/>
      <c r="H924" s="48"/>
      <c r="I924" s="48"/>
    </row>
    <row r="925" spans="1:9" hidden="1" x14ac:dyDescent="0.2">
      <c r="A925" s="46"/>
      <c r="B925" s="46"/>
      <c r="C925" s="46"/>
      <c r="D925" s="48"/>
      <c r="E925" s="48"/>
      <c r="F925" s="48"/>
      <c r="G925" s="48"/>
      <c r="H925" s="48"/>
      <c r="I925" s="48"/>
    </row>
    <row r="926" spans="1:9" hidden="1" x14ac:dyDescent="0.2">
      <c r="A926" s="46"/>
      <c r="B926" s="46"/>
      <c r="C926" s="46"/>
      <c r="D926" s="48"/>
      <c r="E926" s="48"/>
      <c r="F926" s="48"/>
      <c r="G926" s="48"/>
      <c r="H926" s="48"/>
      <c r="I926" s="48"/>
    </row>
    <row r="927" spans="1:9" hidden="1" x14ac:dyDescent="0.2">
      <c r="A927" s="46"/>
      <c r="B927" s="46"/>
      <c r="C927" s="46"/>
      <c r="D927" s="48"/>
      <c r="E927" s="48"/>
      <c r="F927" s="48"/>
      <c r="G927" s="48"/>
      <c r="H927" s="48"/>
      <c r="I927" s="48"/>
    </row>
    <row r="928" spans="1:9" hidden="1" x14ac:dyDescent="0.2">
      <c r="A928" s="46"/>
      <c r="B928" s="46"/>
      <c r="C928" s="46"/>
      <c r="D928" s="48"/>
      <c r="E928" s="48"/>
      <c r="F928" s="48"/>
      <c r="G928" s="48"/>
      <c r="H928" s="48"/>
      <c r="I928" s="48"/>
    </row>
    <row r="929" spans="1:9" hidden="1" x14ac:dyDescent="0.2">
      <c r="A929" s="46"/>
      <c r="B929" s="46"/>
      <c r="C929" s="46"/>
      <c r="D929" s="48"/>
      <c r="E929" s="48"/>
      <c r="F929" s="48"/>
      <c r="G929" s="48"/>
      <c r="H929" s="48"/>
      <c r="I929" s="48"/>
    </row>
    <row r="930" spans="1:9" hidden="1" x14ac:dyDescent="0.2">
      <c r="A930" s="46"/>
      <c r="B930" s="46"/>
      <c r="C930" s="46"/>
      <c r="D930" s="48"/>
      <c r="E930" s="48"/>
      <c r="F930" s="48"/>
      <c r="G930" s="48"/>
      <c r="H930" s="48"/>
      <c r="I930" s="48"/>
    </row>
    <row r="931" spans="1:9" hidden="1" x14ac:dyDescent="0.2">
      <c r="A931" s="46"/>
      <c r="B931" s="46"/>
      <c r="C931" s="46"/>
      <c r="D931" s="48"/>
      <c r="E931" s="48"/>
      <c r="F931" s="48"/>
      <c r="G931" s="48"/>
      <c r="H931" s="48"/>
      <c r="I931" s="48"/>
    </row>
    <row r="932" spans="1:9" hidden="1" x14ac:dyDescent="0.2">
      <c r="A932" s="46"/>
      <c r="B932" s="46"/>
      <c r="C932" s="46"/>
      <c r="D932" s="48"/>
      <c r="E932" s="48"/>
      <c r="F932" s="48"/>
      <c r="G932" s="48"/>
      <c r="H932" s="48"/>
      <c r="I932" s="48"/>
    </row>
    <row r="933" spans="1:9" hidden="1" x14ac:dyDescent="0.2">
      <c r="A933" s="46"/>
      <c r="B933" s="46"/>
      <c r="C933" s="46"/>
      <c r="D933" s="48"/>
      <c r="E933" s="48"/>
      <c r="F933" s="48"/>
      <c r="G933" s="48"/>
      <c r="H933" s="48"/>
      <c r="I933" s="48"/>
    </row>
    <row r="934" spans="1:9" hidden="1" x14ac:dyDescent="0.2">
      <c r="A934" s="46"/>
      <c r="B934" s="46"/>
      <c r="C934" s="46"/>
      <c r="D934" s="48"/>
      <c r="E934" s="48"/>
      <c r="F934" s="48"/>
      <c r="G934" s="48"/>
      <c r="H934" s="48"/>
      <c r="I934" s="48"/>
    </row>
    <row r="935" spans="1:9" hidden="1" x14ac:dyDescent="0.2">
      <c r="A935" s="46"/>
      <c r="B935" s="46"/>
      <c r="C935" s="46"/>
      <c r="D935" s="48"/>
      <c r="E935" s="48"/>
      <c r="F935" s="48"/>
      <c r="G935" s="48"/>
      <c r="H935" s="48"/>
      <c r="I935" s="48"/>
    </row>
    <row r="936" spans="1:9" hidden="1" x14ac:dyDescent="0.2">
      <c r="A936" s="46"/>
      <c r="B936" s="46"/>
      <c r="C936" s="46"/>
      <c r="D936" s="48"/>
      <c r="E936" s="48"/>
      <c r="F936" s="48"/>
      <c r="G936" s="48"/>
      <c r="H936" s="48"/>
      <c r="I936" s="48"/>
    </row>
    <row r="937" spans="1:9" hidden="1" x14ac:dyDescent="0.2">
      <c r="A937" s="46"/>
      <c r="B937" s="46"/>
      <c r="C937" s="46"/>
      <c r="D937" s="48"/>
      <c r="E937" s="48"/>
      <c r="F937" s="48"/>
      <c r="G937" s="48"/>
      <c r="H937" s="48"/>
      <c r="I937" s="48"/>
    </row>
    <row r="938" spans="1:9" hidden="1" x14ac:dyDescent="0.2">
      <c r="A938" s="46"/>
      <c r="B938" s="46"/>
      <c r="C938" s="46"/>
      <c r="D938" s="48"/>
      <c r="E938" s="48"/>
      <c r="F938" s="48"/>
      <c r="G938" s="48"/>
      <c r="H938" s="48"/>
      <c r="I938" s="48"/>
    </row>
    <row r="939" spans="1:9" hidden="1" x14ac:dyDescent="0.2">
      <c r="A939" s="46"/>
      <c r="B939" s="46"/>
      <c r="C939" s="46"/>
      <c r="D939" s="48"/>
      <c r="E939" s="48"/>
      <c r="F939" s="48"/>
      <c r="G939" s="48"/>
      <c r="H939" s="48"/>
      <c r="I939" s="48"/>
    </row>
    <row r="940" spans="1:9" hidden="1" x14ac:dyDescent="0.2">
      <c r="A940" s="46"/>
      <c r="B940" s="46"/>
      <c r="C940" s="46"/>
      <c r="D940" s="48"/>
      <c r="E940" s="48"/>
      <c r="F940" s="48"/>
      <c r="G940" s="48"/>
      <c r="H940" s="48"/>
      <c r="I940" s="48"/>
    </row>
    <row r="941" spans="1:9" hidden="1" x14ac:dyDescent="0.2">
      <c r="A941" s="46"/>
      <c r="B941" s="46"/>
      <c r="C941" s="46"/>
      <c r="D941" s="48"/>
      <c r="E941" s="48"/>
      <c r="F941" s="48"/>
      <c r="G941" s="48"/>
      <c r="H941" s="48"/>
      <c r="I941" s="48"/>
    </row>
    <row r="942" spans="1:9" hidden="1" x14ac:dyDescent="0.2">
      <c r="A942" s="46"/>
      <c r="B942" s="46"/>
      <c r="C942" s="46"/>
      <c r="D942" s="48"/>
      <c r="E942" s="48"/>
      <c r="F942" s="48"/>
      <c r="G942" s="48"/>
      <c r="H942" s="48"/>
      <c r="I942" s="48"/>
    </row>
    <row r="943" spans="1:9" hidden="1" x14ac:dyDescent="0.2">
      <c r="A943" s="46"/>
      <c r="B943" s="46"/>
      <c r="C943" s="46"/>
      <c r="D943" s="48"/>
      <c r="E943" s="48"/>
      <c r="F943" s="48"/>
      <c r="G943" s="48"/>
      <c r="H943" s="48"/>
      <c r="I943" s="48"/>
    </row>
    <row r="944" spans="1:9" hidden="1" x14ac:dyDescent="0.2">
      <c r="A944" s="46"/>
      <c r="B944" s="46"/>
      <c r="C944" s="46"/>
      <c r="D944" s="48"/>
      <c r="E944" s="48"/>
      <c r="F944" s="48"/>
      <c r="G944" s="48"/>
      <c r="H944" s="48"/>
      <c r="I944" s="48"/>
    </row>
    <row r="945" spans="1:9" hidden="1" x14ac:dyDescent="0.2">
      <c r="A945" s="46"/>
      <c r="B945" s="46"/>
      <c r="C945" s="46"/>
      <c r="D945" s="48"/>
      <c r="E945" s="48"/>
      <c r="F945" s="48"/>
      <c r="G945" s="48"/>
      <c r="H945" s="48"/>
      <c r="I945" s="48"/>
    </row>
    <row r="946" spans="1:9" hidden="1" x14ac:dyDescent="0.2">
      <c r="A946" s="46"/>
      <c r="B946" s="46"/>
      <c r="C946" s="46"/>
      <c r="D946" s="48"/>
      <c r="E946" s="48"/>
      <c r="F946" s="48"/>
      <c r="G946" s="48"/>
      <c r="H946" s="48"/>
      <c r="I946" s="48"/>
    </row>
    <row r="947" spans="1:9" hidden="1" x14ac:dyDescent="0.2">
      <c r="A947" s="46"/>
      <c r="B947" s="46"/>
      <c r="C947" s="46"/>
      <c r="D947" s="48"/>
      <c r="E947" s="48"/>
      <c r="F947" s="48"/>
      <c r="G947" s="48"/>
      <c r="H947" s="48"/>
      <c r="I947" s="48"/>
    </row>
    <row r="948" spans="1:9" hidden="1" x14ac:dyDescent="0.2">
      <c r="A948" s="46"/>
      <c r="B948" s="46"/>
      <c r="C948" s="46"/>
      <c r="D948" s="48"/>
      <c r="E948" s="48"/>
      <c r="F948" s="48"/>
      <c r="G948" s="48"/>
      <c r="H948" s="48"/>
      <c r="I948" s="48"/>
    </row>
    <row r="949" spans="1:9" hidden="1" x14ac:dyDescent="0.2">
      <c r="A949" s="46"/>
      <c r="B949" s="46"/>
      <c r="C949" s="46"/>
      <c r="D949" s="48"/>
      <c r="E949" s="48"/>
      <c r="F949" s="48"/>
      <c r="G949" s="48"/>
      <c r="H949" s="48"/>
      <c r="I949" s="48"/>
    </row>
    <row r="950" spans="1:9" hidden="1" x14ac:dyDescent="0.2">
      <c r="A950" s="46"/>
      <c r="B950" s="46"/>
      <c r="C950" s="46"/>
      <c r="D950" s="48"/>
      <c r="E950" s="48"/>
      <c r="F950" s="48"/>
      <c r="G950" s="48"/>
      <c r="H950" s="48"/>
      <c r="I950" s="48"/>
    </row>
    <row r="951" spans="1:9" hidden="1" x14ac:dyDescent="0.2">
      <c r="A951" s="46"/>
      <c r="B951" s="46"/>
      <c r="C951" s="46"/>
      <c r="D951" s="48"/>
      <c r="E951" s="48"/>
      <c r="F951" s="48"/>
      <c r="G951" s="48"/>
      <c r="H951" s="48"/>
      <c r="I951" s="48"/>
    </row>
    <row r="952" spans="1:9" hidden="1" x14ac:dyDescent="0.2">
      <c r="A952" s="46"/>
      <c r="B952" s="46"/>
      <c r="C952" s="46"/>
      <c r="D952" s="48"/>
      <c r="E952" s="48"/>
      <c r="F952" s="48"/>
      <c r="G952" s="48"/>
      <c r="H952" s="48"/>
      <c r="I952" s="48"/>
    </row>
    <row r="953" spans="1:9" hidden="1" x14ac:dyDescent="0.2">
      <c r="A953" s="46"/>
      <c r="B953" s="46"/>
      <c r="C953" s="46"/>
      <c r="D953" s="48"/>
      <c r="E953" s="48"/>
      <c r="F953" s="48"/>
      <c r="G953" s="48"/>
      <c r="H953" s="48"/>
      <c r="I953" s="48"/>
    </row>
    <row r="954" spans="1:9" hidden="1" x14ac:dyDescent="0.2">
      <c r="A954" s="46"/>
      <c r="B954" s="46"/>
      <c r="C954" s="46"/>
      <c r="D954" s="48"/>
      <c r="E954" s="48"/>
      <c r="F954" s="48"/>
      <c r="G954" s="48"/>
      <c r="H954" s="48"/>
      <c r="I954" s="48"/>
    </row>
    <row r="955" spans="1:9" hidden="1" x14ac:dyDescent="0.2">
      <c r="A955" s="46"/>
      <c r="B955" s="46"/>
      <c r="C955" s="46"/>
      <c r="D955" s="48"/>
      <c r="E955" s="48"/>
      <c r="F955" s="48"/>
      <c r="G955" s="48"/>
      <c r="H955" s="48"/>
      <c r="I955" s="48"/>
    </row>
    <row r="956" spans="1:9" hidden="1" x14ac:dyDescent="0.2">
      <c r="A956" s="46"/>
      <c r="B956" s="46"/>
      <c r="C956" s="46"/>
      <c r="D956" s="48"/>
      <c r="E956" s="48"/>
      <c r="F956" s="48"/>
      <c r="G956" s="48"/>
      <c r="H956" s="48"/>
      <c r="I956" s="48"/>
    </row>
    <row r="957" spans="1:9" hidden="1" x14ac:dyDescent="0.2">
      <c r="A957" s="46"/>
      <c r="B957" s="46"/>
      <c r="C957" s="46"/>
      <c r="D957" s="48"/>
      <c r="E957" s="48"/>
      <c r="F957" s="48"/>
      <c r="G957" s="48"/>
      <c r="H957" s="48"/>
      <c r="I957" s="48"/>
    </row>
    <row r="958" spans="1:9" hidden="1" x14ac:dyDescent="0.2">
      <c r="A958" s="46"/>
      <c r="B958" s="46"/>
      <c r="C958" s="46"/>
      <c r="D958" s="48"/>
      <c r="E958" s="48"/>
      <c r="F958" s="48"/>
      <c r="G958" s="48"/>
      <c r="H958" s="48"/>
      <c r="I958" s="48"/>
    </row>
    <row r="959" spans="1:9" hidden="1" x14ac:dyDescent="0.2">
      <c r="A959" s="46"/>
      <c r="B959" s="46"/>
      <c r="C959" s="46"/>
      <c r="D959" s="48"/>
      <c r="E959" s="48"/>
      <c r="F959" s="48"/>
      <c r="G959" s="48"/>
      <c r="H959" s="48"/>
      <c r="I959" s="48"/>
    </row>
    <row r="960" spans="1:9" hidden="1" x14ac:dyDescent="0.2">
      <c r="A960" s="46"/>
      <c r="B960" s="46"/>
      <c r="C960" s="46"/>
      <c r="D960" s="48"/>
      <c r="E960" s="48"/>
      <c r="F960" s="48"/>
      <c r="G960" s="48"/>
      <c r="H960" s="48"/>
      <c r="I960" s="48"/>
    </row>
    <row r="961" spans="1:9" hidden="1" x14ac:dyDescent="0.2">
      <c r="A961" s="46"/>
      <c r="B961" s="46"/>
      <c r="C961" s="46"/>
      <c r="D961" s="48"/>
      <c r="E961" s="48"/>
      <c r="F961" s="48"/>
      <c r="G961" s="48"/>
      <c r="H961" s="48"/>
      <c r="I961" s="48"/>
    </row>
    <row r="962" spans="1:9" hidden="1" x14ac:dyDescent="0.2">
      <c r="A962" s="46"/>
      <c r="B962" s="46"/>
      <c r="C962" s="46"/>
      <c r="D962" s="48"/>
      <c r="E962" s="48"/>
      <c r="F962" s="48"/>
      <c r="G962" s="48"/>
      <c r="H962" s="48"/>
      <c r="I962" s="48"/>
    </row>
    <row r="963" spans="1:9" hidden="1" x14ac:dyDescent="0.2">
      <c r="A963" s="46"/>
      <c r="B963" s="46"/>
      <c r="C963" s="46"/>
      <c r="D963" s="48"/>
      <c r="E963" s="48"/>
      <c r="F963" s="48"/>
      <c r="G963" s="48"/>
      <c r="H963" s="48"/>
      <c r="I963" s="48"/>
    </row>
    <row r="964" spans="1:9" hidden="1" x14ac:dyDescent="0.2">
      <c r="A964" s="46"/>
      <c r="B964" s="46"/>
      <c r="C964" s="46"/>
      <c r="D964" s="48"/>
      <c r="E964" s="48"/>
      <c r="F964" s="48"/>
      <c r="G964" s="48"/>
      <c r="H964" s="48"/>
      <c r="I964" s="48"/>
    </row>
    <row r="965" spans="1:9" hidden="1" x14ac:dyDescent="0.2">
      <c r="A965" s="46"/>
      <c r="B965" s="46"/>
      <c r="C965" s="46"/>
      <c r="D965" s="48"/>
      <c r="E965" s="48"/>
      <c r="F965" s="48"/>
      <c r="G965" s="48"/>
      <c r="H965" s="48"/>
      <c r="I965" s="48"/>
    </row>
    <row r="966" spans="1:9" hidden="1" x14ac:dyDescent="0.2">
      <c r="A966" s="46"/>
      <c r="B966" s="46"/>
      <c r="C966" s="46"/>
      <c r="D966" s="48"/>
      <c r="E966" s="48"/>
      <c r="F966" s="48"/>
      <c r="G966" s="48"/>
      <c r="H966" s="48"/>
      <c r="I966" s="48"/>
    </row>
    <row r="967" spans="1:9" hidden="1" x14ac:dyDescent="0.2">
      <c r="A967" s="46"/>
      <c r="B967" s="46"/>
      <c r="C967" s="46"/>
      <c r="D967" s="48"/>
      <c r="E967" s="48"/>
      <c r="F967" s="48"/>
      <c r="G967" s="48"/>
      <c r="H967" s="48"/>
      <c r="I967" s="48"/>
    </row>
    <row r="968" spans="1:9" hidden="1" x14ac:dyDescent="0.2">
      <c r="A968" s="46"/>
      <c r="B968" s="46"/>
      <c r="C968" s="46"/>
      <c r="D968" s="48"/>
      <c r="E968" s="48"/>
      <c r="F968" s="48"/>
      <c r="G968" s="48"/>
      <c r="H968" s="48"/>
      <c r="I968" s="48"/>
    </row>
    <row r="969" spans="1:9" hidden="1" x14ac:dyDescent="0.2">
      <c r="A969" s="46"/>
      <c r="B969" s="46"/>
      <c r="C969" s="46"/>
      <c r="D969" s="48"/>
      <c r="E969" s="48"/>
      <c r="F969" s="48"/>
      <c r="G969" s="48"/>
      <c r="H969" s="48"/>
      <c r="I969" s="48"/>
    </row>
    <row r="970" spans="1:9" hidden="1" x14ac:dyDescent="0.2">
      <c r="A970" s="46"/>
      <c r="B970" s="46"/>
      <c r="C970" s="46"/>
      <c r="D970" s="48"/>
      <c r="E970" s="48"/>
      <c r="F970" s="48"/>
      <c r="G970" s="48"/>
      <c r="H970" s="48"/>
      <c r="I970" s="48"/>
    </row>
    <row r="971" spans="1:9" hidden="1" x14ac:dyDescent="0.2">
      <c r="A971" s="46"/>
      <c r="B971" s="46"/>
      <c r="C971" s="46"/>
      <c r="D971" s="48"/>
      <c r="E971" s="48"/>
      <c r="F971" s="48"/>
      <c r="G971" s="48"/>
      <c r="H971" s="48"/>
      <c r="I971" s="48"/>
    </row>
    <row r="972" spans="1:9" hidden="1" x14ac:dyDescent="0.2">
      <c r="A972" s="46"/>
      <c r="B972" s="46"/>
      <c r="C972" s="46"/>
      <c r="D972" s="48"/>
      <c r="E972" s="48"/>
      <c r="F972" s="48"/>
      <c r="G972" s="48"/>
      <c r="H972" s="48"/>
      <c r="I972" s="48"/>
    </row>
    <row r="973" spans="1:9" hidden="1" x14ac:dyDescent="0.2">
      <c r="A973" s="46"/>
      <c r="B973" s="46"/>
      <c r="C973" s="46"/>
      <c r="D973" s="48"/>
      <c r="E973" s="48"/>
      <c r="F973" s="48"/>
      <c r="G973" s="48"/>
      <c r="H973" s="48"/>
      <c r="I973" s="48"/>
    </row>
    <row r="974" spans="1:9" hidden="1" x14ac:dyDescent="0.2">
      <c r="A974" s="46"/>
      <c r="B974" s="46"/>
      <c r="C974" s="46"/>
      <c r="D974" s="48"/>
      <c r="E974" s="48"/>
      <c r="F974" s="48"/>
      <c r="G974" s="48"/>
      <c r="H974" s="48"/>
      <c r="I974" s="48"/>
    </row>
    <row r="975" spans="1:9" hidden="1" x14ac:dyDescent="0.2">
      <c r="A975" s="46"/>
      <c r="B975" s="46"/>
      <c r="C975" s="46"/>
      <c r="D975" s="48"/>
      <c r="E975" s="48"/>
      <c r="F975" s="48"/>
      <c r="G975" s="48"/>
      <c r="H975" s="48"/>
      <c r="I975" s="48"/>
    </row>
    <row r="976" spans="1:9" hidden="1" x14ac:dyDescent="0.2">
      <c r="A976" s="46"/>
      <c r="B976" s="46"/>
      <c r="C976" s="46"/>
      <c r="D976" s="48"/>
      <c r="E976" s="48"/>
      <c r="F976" s="48"/>
      <c r="G976" s="48"/>
      <c r="H976" s="48"/>
      <c r="I976" s="48"/>
    </row>
    <row r="977" spans="1:9" hidden="1" x14ac:dyDescent="0.2">
      <c r="A977" s="46"/>
      <c r="B977" s="46"/>
      <c r="C977" s="46"/>
      <c r="D977" s="48"/>
      <c r="E977" s="48"/>
      <c r="F977" s="48"/>
      <c r="G977" s="48"/>
      <c r="H977" s="48"/>
      <c r="I977" s="48"/>
    </row>
    <row r="978" spans="1:9" hidden="1" x14ac:dyDescent="0.2">
      <c r="A978" s="46"/>
      <c r="B978" s="46"/>
      <c r="C978" s="46"/>
      <c r="D978" s="48"/>
      <c r="E978" s="48"/>
      <c r="F978" s="48"/>
      <c r="G978" s="48"/>
      <c r="H978" s="48"/>
      <c r="I978" s="48"/>
    </row>
    <row r="979" spans="1:9" hidden="1" x14ac:dyDescent="0.2">
      <c r="A979" s="46"/>
      <c r="B979" s="46"/>
      <c r="C979" s="46"/>
      <c r="D979" s="48"/>
      <c r="E979" s="48"/>
      <c r="F979" s="48"/>
      <c r="G979" s="48"/>
      <c r="H979" s="48"/>
      <c r="I979" s="48"/>
    </row>
    <row r="980" spans="1:9" hidden="1" x14ac:dyDescent="0.2">
      <c r="A980" s="46"/>
      <c r="B980" s="46"/>
      <c r="C980" s="46"/>
      <c r="D980" s="48"/>
      <c r="E980" s="48"/>
      <c r="F980" s="48"/>
      <c r="G980" s="48"/>
      <c r="H980" s="48"/>
      <c r="I980" s="48"/>
    </row>
    <row r="981" spans="1:9" hidden="1" x14ac:dyDescent="0.2">
      <c r="A981" s="46"/>
      <c r="B981" s="46"/>
      <c r="C981" s="46"/>
      <c r="D981" s="48"/>
      <c r="E981" s="48"/>
      <c r="F981" s="48"/>
      <c r="G981" s="48"/>
      <c r="H981" s="48"/>
      <c r="I981" s="48"/>
    </row>
    <row r="982" spans="1:9" hidden="1" x14ac:dyDescent="0.2">
      <c r="A982" s="46"/>
      <c r="B982" s="46"/>
      <c r="C982" s="46"/>
      <c r="D982" s="48"/>
      <c r="E982" s="48"/>
      <c r="F982" s="48"/>
      <c r="G982" s="48"/>
      <c r="H982" s="48"/>
      <c r="I982" s="48"/>
    </row>
    <row r="983" spans="1:9" hidden="1" x14ac:dyDescent="0.2">
      <c r="A983" s="46"/>
      <c r="B983" s="46"/>
      <c r="C983" s="46"/>
      <c r="D983" s="48"/>
      <c r="E983" s="48"/>
      <c r="F983" s="48"/>
      <c r="G983" s="48"/>
      <c r="H983" s="48"/>
      <c r="I983" s="48"/>
    </row>
    <row r="984" spans="1:9" hidden="1" x14ac:dyDescent="0.2">
      <c r="A984" s="46"/>
      <c r="B984" s="46"/>
      <c r="C984" s="46"/>
      <c r="D984" s="48"/>
      <c r="E984" s="48"/>
      <c r="F984" s="48"/>
      <c r="G984" s="48"/>
      <c r="H984" s="48"/>
      <c r="I984" s="48"/>
    </row>
    <row r="985" spans="1:9" hidden="1" x14ac:dyDescent="0.2">
      <c r="A985" s="46"/>
      <c r="B985" s="46"/>
      <c r="C985" s="46"/>
      <c r="D985" s="48"/>
      <c r="E985" s="48"/>
      <c r="F985" s="48"/>
      <c r="G985" s="48"/>
      <c r="H985" s="48"/>
      <c r="I985" s="48"/>
    </row>
    <row r="986" spans="1:9" hidden="1" x14ac:dyDescent="0.2">
      <c r="A986" s="46"/>
      <c r="B986" s="46"/>
      <c r="C986" s="46"/>
      <c r="D986" s="48"/>
      <c r="E986" s="48"/>
      <c r="F986" s="48"/>
      <c r="G986" s="48"/>
      <c r="H986" s="48"/>
      <c r="I986" s="48"/>
    </row>
    <row r="987" spans="1:9" hidden="1" x14ac:dyDescent="0.2">
      <c r="A987" s="46"/>
      <c r="B987" s="46"/>
      <c r="C987" s="46"/>
      <c r="D987" s="48"/>
      <c r="E987" s="48"/>
      <c r="F987" s="48"/>
      <c r="G987" s="48"/>
      <c r="H987" s="48"/>
      <c r="I987" s="48"/>
    </row>
    <row r="988" spans="1:9" hidden="1" x14ac:dyDescent="0.2">
      <c r="A988" s="46"/>
      <c r="B988" s="46"/>
      <c r="C988" s="46"/>
      <c r="D988" s="48"/>
      <c r="E988" s="48"/>
      <c r="F988" s="48"/>
      <c r="G988" s="48"/>
      <c r="H988" s="48"/>
      <c r="I988" s="48"/>
    </row>
    <row r="989" spans="1:9" hidden="1" x14ac:dyDescent="0.2">
      <c r="A989" s="46"/>
      <c r="B989" s="46"/>
      <c r="C989" s="46"/>
      <c r="D989" s="48"/>
      <c r="E989" s="48"/>
      <c r="F989" s="48"/>
      <c r="G989" s="48"/>
      <c r="H989" s="48"/>
      <c r="I989" s="48"/>
    </row>
    <row r="990" spans="1:9" hidden="1" x14ac:dyDescent="0.2">
      <c r="A990" s="46"/>
      <c r="B990" s="46"/>
      <c r="C990" s="46"/>
      <c r="D990" s="48"/>
      <c r="E990" s="48"/>
      <c r="F990" s="48"/>
      <c r="G990" s="48"/>
      <c r="H990" s="48"/>
      <c r="I990" s="48"/>
    </row>
    <row r="991" spans="1:9" hidden="1" x14ac:dyDescent="0.2">
      <c r="A991" s="46"/>
      <c r="B991" s="46"/>
      <c r="C991" s="46"/>
      <c r="D991" s="48"/>
      <c r="E991" s="48"/>
      <c r="F991" s="48"/>
      <c r="G991" s="48"/>
      <c r="H991" s="48"/>
      <c r="I991" s="48"/>
    </row>
    <row r="992" spans="1:9" hidden="1" x14ac:dyDescent="0.2">
      <c r="A992" s="46"/>
      <c r="B992" s="46"/>
      <c r="C992" s="46"/>
      <c r="D992" s="48"/>
      <c r="E992" s="48"/>
      <c r="F992" s="48"/>
      <c r="G992" s="48"/>
      <c r="H992" s="48"/>
      <c r="I992" s="48"/>
    </row>
    <row r="993" spans="1:9" hidden="1" x14ac:dyDescent="0.2">
      <c r="A993" s="46"/>
      <c r="B993" s="46"/>
      <c r="C993" s="46"/>
      <c r="D993" s="48"/>
      <c r="E993" s="48"/>
      <c r="F993" s="48"/>
      <c r="G993" s="48"/>
      <c r="H993" s="48"/>
      <c r="I993" s="48"/>
    </row>
    <row r="994" spans="1:9" hidden="1" x14ac:dyDescent="0.2">
      <c r="A994" s="46"/>
      <c r="B994" s="46"/>
      <c r="C994" s="46"/>
      <c r="D994" s="48"/>
      <c r="E994" s="48"/>
      <c r="F994" s="48"/>
      <c r="G994" s="48"/>
      <c r="H994" s="48"/>
      <c r="I994" s="48"/>
    </row>
    <row r="995" spans="1:9" hidden="1" x14ac:dyDescent="0.2">
      <c r="A995" s="46"/>
      <c r="B995" s="46"/>
      <c r="C995" s="46"/>
      <c r="D995" s="48"/>
      <c r="E995" s="48"/>
      <c r="F995" s="48"/>
      <c r="G995" s="48"/>
      <c r="H995" s="48"/>
      <c r="I995" s="48"/>
    </row>
    <row r="996" spans="1:9" hidden="1" x14ac:dyDescent="0.2">
      <c r="A996" s="46"/>
      <c r="B996" s="46"/>
      <c r="C996" s="46"/>
      <c r="D996" s="48"/>
      <c r="E996" s="48"/>
      <c r="F996" s="48"/>
      <c r="G996" s="48"/>
      <c r="H996" s="48"/>
      <c r="I996" s="48"/>
    </row>
    <row r="997" spans="1:9" hidden="1" x14ac:dyDescent="0.2">
      <c r="A997" s="46"/>
      <c r="B997" s="46"/>
      <c r="C997" s="46"/>
      <c r="D997" s="48"/>
      <c r="E997" s="48"/>
      <c r="F997" s="48"/>
      <c r="G997" s="48"/>
      <c r="H997" s="48"/>
      <c r="I997" s="48"/>
    </row>
    <row r="998" spans="1:9" hidden="1" x14ac:dyDescent="0.2">
      <c r="A998" s="46"/>
      <c r="B998" s="46"/>
      <c r="C998" s="46"/>
      <c r="D998" s="48"/>
      <c r="E998" s="48"/>
      <c r="F998" s="48"/>
      <c r="G998" s="48"/>
      <c r="H998" s="48"/>
      <c r="I998" s="48"/>
    </row>
    <row r="999" spans="1:9" hidden="1" x14ac:dyDescent="0.2">
      <c r="A999" s="46"/>
      <c r="B999" s="46"/>
      <c r="C999" s="46"/>
      <c r="D999" s="48"/>
      <c r="E999" s="48"/>
      <c r="F999" s="48"/>
      <c r="G999" s="48"/>
      <c r="H999" s="48"/>
      <c r="I999" s="48"/>
    </row>
    <row r="1000" spans="1:9" hidden="1" x14ac:dyDescent="0.2">
      <c r="A1000" s="46"/>
      <c r="B1000" s="46"/>
      <c r="C1000" s="46"/>
      <c r="D1000" s="48"/>
      <c r="E1000" s="48"/>
      <c r="F1000" s="48"/>
      <c r="G1000" s="48"/>
      <c r="H1000" s="48"/>
      <c r="I1000" s="48"/>
    </row>
    <row r="1001" spans="1:9" hidden="1" x14ac:dyDescent="0.2">
      <c r="A1001" s="46"/>
      <c r="B1001" s="46"/>
      <c r="C1001" s="46"/>
      <c r="D1001" s="48"/>
      <c r="E1001" s="48"/>
      <c r="F1001" s="48"/>
      <c r="G1001" s="48"/>
      <c r="H1001" s="48"/>
      <c r="I1001" s="48"/>
    </row>
    <row r="1002" spans="1:9" hidden="1" x14ac:dyDescent="0.2">
      <c r="A1002" s="46"/>
      <c r="B1002" s="46"/>
      <c r="C1002" s="46"/>
      <c r="D1002" s="48"/>
      <c r="E1002" s="48"/>
      <c r="F1002" s="48"/>
      <c r="G1002" s="48"/>
      <c r="H1002" s="48"/>
      <c r="I1002" s="48"/>
    </row>
    <row r="1003" spans="1:9" hidden="1" x14ac:dyDescent="0.2">
      <c r="A1003" s="46"/>
      <c r="B1003" s="46"/>
      <c r="C1003" s="46"/>
      <c r="D1003" s="48"/>
      <c r="E1003" s="48"/>
      <c r="F1003" s="48"/>
      <c r="G1003" s="48"/>
      <c r="H1003" s="48"/>
      <c r="I1003" s="48"/>
    </row>
    <row r="1004" spans="1:9" hidden="1" x14ac:dyDescent="0.2">
      <c r="A1004" s="46"/>
      <c r="B1004" s="46"/>
      <c r="C1004" s="46"/>
      <c r="D1004" s="48"/>
      <c r="E1004" s="48"/>
      <c r="F1004" s="48"/>
      <c r="G1004" s="48"/>
      <c r="H1004" s="48"/>
      <c r="I1004" s="48"/>
    </row>
    <row r="1005" spans="1:9" hidden="1" x14ac:dyDescent="0.2">
      <c r="A1005" s="46"/>
      <c r="B1005" s="46"/>
      <c r="C1005" s="46"/>
      <c r="D1005" s="48"/>
      <c r="E1005" s="48"/>
      <c r="F1005" s="48"/>
      <c r="G1005" s="48"/>
      <c r="H1005" s="48"/>
      <c r="I1005" s="48"/>
    </row>
    <row r="1006" spans="1:9" hidden="1" x14ac:dyDescent="0.2">
      <c r="A1006" s="46"/>
      <c r="B1006" s="46"/>
      <c r="C1006" s="46"/>
      <c r="D1006" s="48"/>
      <c r="E1006" s="48"/>
      <c r="F1006" s="48"/>
      <c r="G1006" s="48"/>
      <c r="H1006" s="48"/>
      <c r="I1006" s="48"/>
    </row>
    <row r="1007" spans="1:9" hidden="1" x14ac:dyDescent="0.2">
      <c r="A1007" s="46"/>
      <c r="B1007" s="46"/>
      <c r="C1007" s="46"/>
      <c r="D1007" s="48"/>
      <c r="E1007" s="48"/>
      <c r="F1007" s="48"/>
      <c r="G1007" s="48"/>
      <c r="H1007" s="48"/>
      <c r="I1007" s="48"/>
    </row>
    <row r="1008" spans="1:9" hidden="1" x14ac:dyDescent="0.2">
      <c r="A1008" s="46"/>
      <c r="B1008" s="46"/>
      <c r="C1008" s="46"/>
      <c r="D1008" s="48"/>
      <c r="E1008" s="48"/>
      <c r="F1008" s="48"/>
      <c r="G1008" s="48"/>
      <c r="H1008" s="48"/>
      <c r="I1008" s="48"/>
    </row>
    <row r="1009" spans="1:9" hidden="1" x14ac:dyDescent="0.2">
      <c r="A1009" s="46"/>
      <c r="B1009" s="46"/>
      <c r="C1009" s="46"/>
      <c r="D1009" s="48"/>
      <c r="E1009" s="48"/>
      <c r="F1009" s="48"/>
      <c r="G1009" s="48"/>
      <c r="H1009" s="48"/>
      <c r="I1009" s="48"/>
    </row>
    <row r="1010" spans="1:9" hidden="1" x14ac:dyDescent="0.2">
      <c r="A1010" s="46"/>
      <c r="B1010" s="46"/>
      <c r="C1010" s="46"/>
      <c r="D1010" s="48"/>
      <c r="E1010" s="48"/>
      <c r="F1010" s="48"/>
      <c r="G1010" s="48"/>
      <c r="H1010" s="48"/>
      <c r="I1010" s="48"/>
    </row>
    <row r="1011" spans="1:9" hidden="1" x14ac:dyDescent="0.2">
      <c r="A1011" s="46"/>
      <c r="B1011" s="46"/>
      <c r="C1011" s="46"/>
      <c r="D1011" s="48"/>
      <c r="E1011" s="48"/>
      <c r="F1011" s="48"/>
      <c r="G1011" s="48"/>
      <c r="H1011" s="48"/>
      <c r="I1011" s="48"/>
    </row>
    <row r="1012" spans="1:9" hidden="1" x14ac:dyDescent="0.2">
      <c r="A1012" s="46"/>
      <c r="B1012" s="46"/>
      <c r="C1012" s="46"/>
      <c r="D1012" s="48"/>
      <c r="E1012" s="48"/>
      <c r="F1012" s="48"/>
      <c r="G1012" s="48"/>
      <c r="H1012" s="48"/>
      <c r="I1012" s="48"/>
    </row>
    <row r="1013" spans="1:9" hidden="1" x14ac:dyDescent="0.2">
      <c r="A1013" s="46"/>
      <c r="B1013" s="46"/>
      <c r="C1013" s="46"/>
      <c r="D1013" s="48"/>
      <c r="E1013" s="48"/>
      <c r="F1013" s="48"/>
      <c r="G1013" s="48"/>
      <c r="H1013" s="48"/>
      <c r="I1013" s="48"/>
    </row>
    <row r="1014" spans="1:9" hidden="1" x14ac:dyDescent="0.2">
      <c r="A1014" s="46"/>
      <c r="B1014" s="46"/>
      <c r="C1014" s="46"/>
      <c r="D1014" s="48"/>
      <c r="E1014" s="48"/>
      <c r="F1014" s="48"/>
      <c r="G1014" s="48"/>
      <c r="H1014" s="48"/>
      <c r="I1014" s="48"/>
    </row>
    <row r="1015" spans="1:9" hidden="1" x14ac:dyDescent="0.2">
      <c r="A1015" s="46"/>
      <c r="B1015" s="46"/>
      <c r="C1015" s="46"/>
      <c r="D1015" s="48"/>
      <c r="E1015" s="48"/>
      <c r="F1015" s="48"/>
      <c r="G1015" s="48"/>
      <c r="H1015" s="48"/>
      <c r="I1015" s="48"/>
    </row>
    <row r="1016" spans="1:9" hidden="1" x14ac:dyDescent="0.2">
      <c r="A1016" s="46"/>
      <c r="B1016" s="46"/>
      <c r="C1016" s="46"/>
      <c r="D1016" s="48"/>
      <c r="E1016" s="48"/>
      <c r="F1016" s="48"/>
      <c r="G1016" s="48"/>
      <c r="H1016" s="48"/>
      <c r="I1016" s="48"/>
    </row>
    <row r="1017" spans="1:9" hidden="1" x14ac:dyDescent="0.2">
      <c r="A1017" s="46"/>
      <c r="B1017" s="46"/>
      <c r="C1017" s="46"/>
      <c r="D1017" s="48"/>
      <c r="E1017" s="48"/>
      <c r="F1017" s="48"/>
      <c r="G1017" s="48"/>
      <c r="H1017" s="48"/>
      <c r="I1017" s="48"/>
    </row>
    <row r="1018" spans="1:9" hidden="1" x14ac:dyDescent="0.2">
      <c r="A1018" s="46"/>
      <c r="B1018" s="46"/>
      <c r="C1018" s="46"/>
      <c r="D1018" s="48"/>
      <c r="E1018" s="48"/>
      <c r="F1018" s="48"/>
      <c r="G1018" s="48"/>
      <c r="H1018" s="48"/>
      <c r="I1018" s="48"/>
    </row>
    <row r="1019" spans="1:9" hidden="1" x14ac:dyDescent="0.2">
      <c r="A1019" s="46"/>
      <c r="B1019" s="46"/>
      <c r="C1019" s="46"/>
      <c r="D1019" s="48"/>
      <c r="E1019" s="48"/>
      <c r="F1019" s="48"/>
      <c r="G1019" s="48"/>
      <c r="H1019" s="48"/>
      <c r="I1019" s="48"/>
    </row>
    <row r="1020" spans="1:9" hidden="1" x14ac:dyDescent="0.2">
      <c r="A1020" s="46"/>
      <c r="B1020" s="46"/>
      <c r="C1020" s="46"/>
      <c r="D1020" s="48"/>
      <c r="E1020" s="48"/>
      <c r="F1020" s="48"/>
      <c r="G1020" s="48"/>
      <c r="H1020" s="48"/>
      <c r="I1020" s="48"/>
    </row>
    <row r="1021" spans="1:9" hidden="1" x14ac:dyDescent="0.2">
      <c r="A1021" s="46"/>
      <c r="B1021" s="46"/>
      <c r="C1021" s="46"/>
      <c r="D1021" s="48"/>
      <c r="E1021" s="48"/>
      <c r="F1021" s="48"/>
      <c r="G1021" s="48"/>
      <c r="H1021" s="48"/>
      <c r="I1021" s="48"/>
    </row>
    <row r="1022" spans="1:9" hidden="1" x14ac:dyDescent="0.2">
      <c r="A1022" s="46"/>
      <c r="B1022" s="46"/>
      <c r="C1022" s="46"/>
      <c r="D1022" s="48"/>
      <c r="E1022" s="48"/>
      <c r="F1022" s="48"/>
      <c r="G1022" s="48"/>
      <c r="H1022" s="48"/>
      <c r="I1022" s="48"/>
    </row>
    <row r="1023" spans="1:9" hidden="1" x14ac:dyDescent="0.2">
      <c r="A1023" s="46"/>
      <c r="B1023" s="46"/>
      <c r="C1023" s="46"/>
      <c r="D1023" s="48"/>
      <c r="E1023" s="48"/>
      <c r="F1023" s="48"/>
      <c r="G1023" s="48"/>
      <c r="H1023" s="48"/>
      <c r="I1023" s="48"/>
    </row>
    <row r="1024" spans="1:9" hidden="1" x14ac:dyDescent="0.2">
      <c r="A1024" s="46"/>
      <c r="B1024" s="46"/>
      <c r="C1024" s="46"/>
      <c r="D1024" s="48"/>
      <c r="E1024" s="48"/>
      <c r="F1024" s="48"/>
      <c r="G1024" s="48"/>
      <c r="H1024" s="48"/>
      <c r="I1024" s="48"/>
    </row>
    <row r="1025" spans="1:9" hidden="1" x14ac:dyDescent="0.2">
      <c r="A1025" s="46"/>
      <c r="B1025" s="46"/>
      <c r="C1025" s="46"/>
      <c r="D1025" s="48"/>
      <c r="E1025" s="48"/>
      <c r="F1025" s="48"/>
      <c r="G1025" s="48"/>
      <c r="H1025" s="48"/>
      <c r="I1025" s="48"/>
    </row>
    <row r="1026" spans="1:9" hidden="1" x14ac:dyDescent="0.2">
      <c r="A1026" s="46"/>
      <c r="B1026" s="46"/>
      <c r="C1026" s="46"/>
      <c r="D1026" s="48"/>
      <c r="E1026" s="48"/>
      <c r="F1026" s="48"/>
      <c r="G1026" s="48"/>
      <c r="H1026" s="48"/>
      <c r="I1026" s="48"/>
    </row>
    <row r="1027" spans="1:9" hidden="1" x14ac:dyDescent="0.2">
      <c r="A1027" s="46"/>
      <c r="B1027" s="46"/>
      <c r="C1027" s="46"/>
      <c r="D1027" s="48"/>
      <c r="E1027" s="48"/>
      <c r="F1027" s="48"/>
      <c r="G1027" s="48"/>
      <c r="H1027" s="48"/>
      <c r="I1027" s="48"/>
    </row>
    <row r="1028" spans="1:9" hidden="1" x14ac:dyDescent="0.2">
      <c r="A1028" s="46"/>
      <c r="B1028" s="46"/>
      <c r="C1028" s="46"/>
      <c r="D1028" s="48"/>
      <c r="E1028" s="48"/>
      <c r="F1028" s="48"/>
      <c r="G1028" s="48"/>
      <c r="H1028" s="48"/>
      <c r="I1028" s="48"/>
    </row>
    <row r="1029" spans="1:9" hidden="1" x14ac:dyDescent="0.2">
      <c r="A1029" s="46"/>
      <c r="B1029" s="46"/>
      <c r="C1029" s="46"/>
      <c r="D1029" s="48"/>
      <c r="E1029" s="48"/>
      <c r="F1029" s="48"/>
      <c r="G1029" s="48"/>
      <c r="H1029" s="48"/>
      <c r="I1029" s="48"/>
    </row>
    <row r="1030" spans="1:9" hidden="1" x14ac:dyDescent="0.2">
      <c r="A1030" s="46"/>
      <c r="B1030" s="46"/>
      <c r="C1030" s="46"/>
      <c r="D1030" s="48"/>
      <c r="E1030" s="48"/>
      <c r="F1030" s="48"/>
      <c r="G1030" s="48"/>
      <c r="H1030" s="48"/>
      <c r="I1030" s="48"/>
    </row>
    <row r="1031" spans="1:9" hidden="1" x14ac:dyDescent="0.2">
      <c r="A1031" s="46"/>
      <c r="B1031" s="46"/>
      <c r="C1031" s="46"/>
      <c r="D1031" s="48"/>
      <c r="E1031" s="48"/>
      <c r="F1031" s="48"/>
      <c r="G1031" s="48"/>
      <c r="H1031" s="48"/>
      <c r="I1031" s="48"/>
    </row>
    <row r="1032" spans="1:9" hidden="1" x14ac:dyDescent="0.2">
      <c r="A1032" s="46"/>
      <c r="B1032" s="46"/>
      <c r="C1032" s="46"/>
      <c r="D1032" s="48"/>
      <c r="E1032" s="48"/>
      <c r="F1032" s="48"/>
      <c r="G1032" s="48"/>
      <c r="H1032" s="48"/>
      <c r="I1032" s="48"/>
    </row>
    <row r="1033" spans="1:9" hidden="1" x14ac:dyDescent="0.2">
      <c r="A1033" s="46"/>
      <c r="B1033" s="46"/>
      <c r="C1033" s="46"/>
      <c r="D1033" s="48"/>
      <c r="E1033" s="48"/>
      <c r="F1033" s="48"/>
      <c r="G1033" s="48"/>
      <c r="H1033" s="48"/>
      <c r="I1033" s="48"/>
    </row>
    <row r="1034" spans="1:9" hidden="1" x14ac:dyDescent="0.2">
      <c r="A1034" s="46"/>
      <c r="B1034" s="46"/>
      <c r="C1034" s="46"/>
      <c r="D1034" s="48"/>
      <c r="E1034" s="48"/>
      <c r="F1034" s="48"/>
      <c r="G1034" s="48"/>
      <c r="H1034" s="48"/>
      <c r="I1034" s="48"/>
    </row>
    <row r="1035" spans="1:9" hidden="1" x14ac:dyDescent="0.2">
      <c r="A1035" s="46"/>
      <c r="B1035" s="46"/>
      <c r="C1035" s="46"/>
      <c r="D1035" s="48"/>
      <c r="E1035" s="48"/>
      <c r="F1035" s="48"/>
      <c r="G1035" s="48"/>
      <c r="H1035" s="48"/>
      <c r="I1035" s="48"/>
    </row>
    <row r="1036" spans="1:9" hidden="1" x14ac:dyDescent="0.2">
      <c r="A1036" s="46"/>
      <c r="B1036" s="46"/>
      <c r="C1036" s="46"/>
      <c r="D1036" s="48"/>
      <c r="E1036" s="48"/>
      <c r="F1036" s="48"/>
      <c r="G1036" s="48"/>
      <c r="H1036" s="48"/>
      <c r="I1036" s="48"/>
    </row>
    <row r="1037" spans="1:9" hidden="1" x14ac:dyDescent="0.2">
      <c r="A1037" s="46"/>
      <c r="B1037" s="46"/>
      <c r="C1037" s="46"/>
      <c r="D1037" s="48"/>
      <c r="E1037" s="48"/>
      <c r="F1037" s="48"/>
      <c r="G1037" s="48"/>
      <c r="H1037" s="48"/>
      <c r="I1037" s="48"/>
    </row>
    <row r="1038" spans="1:9" hidden="1" x14ac:dyDescent="0.2">
      <c r="A1038" s="46"/>
      <c r="B1038" s="46"/>
      <c r="C1038" s="46"/>
      <c r="D1038" s="48"/>
      <c r="E1038" s="48"/>
      <c r="F1038" s="48"/>
      <c r="G1038" s="48"/>
      <c r="H1038" s="48"/>
      <c r="I1038" s="48"/>
    </row>
    <row r="1039" spans="1:9" hidden="1" x14ac:dyDescent="0.2">
      <c r="A1039" s="46"/>
      <c r="B1039" s="46"/>
      <c r="C1039" s="46"/>
      <c r="D1039" s="48"/>
      <c r="E1039" s="48"/>
      <c r="F1039" s="48"/>
      <c r="G1039" s="48"/>
      <c r="H1039" s="48"/>
      <c r="I1039" s="48"/>
    </row>
    <row r="1040" spans="1:9" hidden="1" x14ac:dyDescent="0.2">
      <c r="A1040" s="46"/>
      <c r="B1040" s="46"/>
      <c r="C1040" s="46"/>
      <c r="D1040" s="48"/>
      <c r="E1040" s="48"/>
      <c r="F1040" s="48"/>
      <c r="G1040" s="48"/>
      <c r="H1040" s="48"/>
      <c r="I1040" s="48"/>
    </row>
    <row r="1041" spans="1:9" hidden="1" x14ac:dyDescent="0.2">
      <c r="A1041" s="46"/>
      <c r="B1041" s="46"/>
      <c r="C1041" s="46"/>
      <c r="D1041" s="48"/>
      <c r="E1041" s="48"/>
      <c r="F1041" s="48"/>
      <c r="G1041" s="48"/>
      <c r="H1041" s="48"/>
      <c r="I1041" s="48"/>
    </row>
    <row r="1042" spans="1:9" hidden="1" x14ac:dyDescent="0.2">
      <c r="A1042" s="46"/>
      <c r="B1042" s="46"/>
      <c r="C1042" s="46"/>
      <c r="D1042" s="48"/>
      <c r="E1042" s="48"/>
      <c r="F1042" s="48"/>
      <c r="G1042" s="48"/>
      <c r="H1042" s="48"/>
      <c r="I1042" s="48"/>
    </row>
    <row r="1043" spans="1:9" hidden="1" x14ac:dyDescent="0.2">
      <c r="A1043" s="46"/>
      <c r="B1043" s="46"/>
      <c r="C1043" s="46"/>
      <c r="D1043" s="48"/>
      <c r="E1043" s="48"/>
      <c r="F1043" s="48"/>
      <c r="G1043" s="48"/>
      <c r="H1043" s="48"/>
      <c r="I1043" s="48"/>
    </row>
    <row r="1044" spans="1:9" hidden="1" x14ac:dyDescent="0.2">
      <c r="A1044" s="46"/>
      <c r="B1044" s="46"/>
      <c r="C1044" s="46"/>
      <c r="D1044" s="48"/>
      <c r="E1044" s="48"/>
      <c r="F1044" s="48"/>
      <c r="G1044" s="48"/>
      <c r="H1044" s="48"/>
      <c r="I1044" s="48"/>
    </row>
    <row r="1045" spans="1:9" hidden="1" x14ac:dyDescent="0.2">
      <c r="A1045" s="46"/>
      <c r="B1045" s="46"/>
      <c r="C1045" s="46"/>
      <c r="D1045" s="48"/>
      <c r="E1045" s="48"/>
      <c r="F1045" s="48"/>
      <c r="G1045" s="48"/>
      <c r="H1045" s="48"/>
      <c r="I1045" s="48"/>
    </row>
    <row r="1046" spans="1:9" hidden="1" x14ac:dyDescent="0.2">
      <c r="A1046" s="46"/>
      <c r="B1046" s="46"/>
      <c r="C1046" s="46"/>
      <c r="D1046" s="48"/>
      <c r="E1046" s="48"/>
      <c r="F1046" s="48"/>
      <c r="G1046" s="48"/>
      <c r="H1046" s="48"/>
      <c r="I1046" s="48"/>
    </row>
    <row r="1047" spans="1:9" hidden="1" x14ac:dyDescent="0.2">
      <c r="A1047" s="46"/>
      <c r="B1047" s="46"/>
      <c r="C1047" s="46"/>
      <c r="D1047" s="48"/>
      <c r="E1047" s="48"/>
      <c r="F1047" s="48"/>
      <c r="G1047" s="48"/>
      <c r="H1047" s="48"/>
      <c r="I1047" s="48"/>
    </row>
    <row r="1048" spans="1:9" hidden="1" x14ac:dyDescent="0.2">
      <c r="A1048" s="46"/>
      <c r="B1048" s="46"/>
      <c r="C1048" s="46"/>
      <c r="D1048" s="48"/>
      <c r="E1048" s="48"/>
      <c r="F1048" s="48"/>
      <c r="G1048" s="48"/>
      <c r="H1048" s="48"/>
      <c r="I1048" s="48"/>
    </row>
    <row r="1049" spans="1:9" hidden="1" x14ac:dyDescent="0.2">
      <c r="A1049" s="46"/>
      <c r="B1049" s="46"/>
      <c r="C1049" s="46"/>
      <c r="D1049" s="48"/>
      <c r="E1049" s="48"/>
      <c r="F1049" s="48"/>
      <c r="G1049" s="48"/>
      <c r="H1049" s="48"/>
      <c r="I1049" s="48"/>
    </row>
    <row r="1050" spans="1:9" hidden="1" x14ac:dyDescent="0.2">
      <c r="A1050" s="46"/>
      <c r="B1050" s="46"/>
      <c r="C1050" s="46"/>
      <c r="D1050" s="48"/>
      <c r="E1050" s="48"/>
      <c r="F1050" s="48"/>
      <c r="G1050" s="48"/>
      <c r="H1050" s="48"/>
      <c r="I1050" s="48"/>
    </row>
    <row r="1051" spans="1:9" hidden="1" x14ac:dyDescent="0.2">
      <c r="A1051" s="46"/>
      <c r="B1051" s="46"/>
      <c r="C1051" s="46"/>
      <c r="D1051" s="48"/>
      <c r="E1051" s="48"/>
      <c r="F1051" s="48"/>
      <c r="G1051" s="48"/>
      <c r="H1051" s="48"/>
      <c r="I1051" s="48"/>
    </row>
    <row r="1052" spans="1:9" hidden="1" x14ac:dyDescent="0.2">
      <c r="A1052" s="46"/>
      <c r="B1052" s="46"/>
      <c r="C1052" s="46"/>
      <c r="D1052" s="48"/>
      <c r="E1052" s="48"/>
      <c r="F1052" s="48"/>
      <c r="G1052" s="48"/>
      <c r="H1052" s="48"/>
      <c r="I1052" s="48"/>
    </row>
    <row r="1053" spans="1:9" hidden="1" x14ac:dyDescent="0.2">
      <c r="A1053" s="46"/>
      <c r="B1053" s="46"/>
      <c r="C1053" s="46"/>
      <c r="D1053" s="48"/>
      <c r="E1053" s="48"/>
      <c r="F1053" s="48"/>
      <c r="G1053" s="48"/>
      <c r="H1053" s="48"/>
      <c r="I1053" s="48"/>
    </row>
    <row r="1054" spans="1:9" hidden="1" x14ac:dyDescent="0.2">
      <c r="A1054" s="46"/>
      <c r="B1054" s="46"/>
      <c r="C1054" s="46"/>
      <c r="D1054" s="48"/>
      <c r="E1054" s="48"/>
      <c r="F1054" s="48"/>
      <c r="G1054" s="48"/>
      <c r="H1054" s="48"/>
      <c r="I1054" s="48"/>
    </row>
    <row r="1055" spans="1:9" hidden="1" x14ac:dyDescent="0.2">
      <c r="A1055" s="46"/>
      <c r="B1055" s="46"/>
      <c r="C1055" s="46"/>
      <c r="D1055" s="48"/>
      <c r="E1055" s="48"/>
      <c r="F1055" s="48"/>
      <c r="G1055" s="48"/>
      <c r="H1055" s="48"/>
      <c r="I1055" s="48"/>
    </row>
    <row r="1056" spans="1:9" hidden="1" x14ac:dyDescent="0.2">
      <c r="A1056" s="46"/>
      <c r="B1056" s="46"/>
      <c r="C1056" s="46"/>
      <c r="D1056" s="48"/>
      <c r="E1056" s="48"/>
      <c r="F1056" s="48"/>
      <c r="G1056" s="48"/>
      <c r="H1056" s="48"/>
      <c r="I1056" s="48"/>
    </row>
    <row r="1057" spans="1:9" hidden="1" x14ac:dyDescent="0.2">
      <c r="A1057" s="46"/>
      <c r="B1057" s="46"/>
      <c r="C1057" s="46"/>
      <c r="D1057" s="48"/>
      <c r="E1057" s="48"/>
      <c r="F1057" s="48"/>
      <c r="G1057" s="48"/>
      <c r="H1057" s="48"/>
      <c r="I1057" s="48"/>
    </row>
    <row r="1058" spans="1:9" hidden="1" x14ac:dyDescent="0.2">
      <c r="A1058" s="46"/>
      <c r="B1058" s="46"/>
      <c r="C1058" s="46"/>
      <c r="D1058" s="48"/>
      <c r="E1058" s="48"/>
      <c r="F1058" s="48"/>
      <c r="G1058" s="48"/>
      <c r="H1058" s="48"/>
      <c r="I1058" s="48"/>
    </row>
    <row r="1059" spans="1:9" hidden="1" x14ac:dyDescent="0.2">
      <c r="A1059" s="46"/>
      <c r="B1059" s="46"/>
      <c r="C1059" s="46"/>
      <c r="D1059" s="48"/>
      <c r="E1059" s="48"/>
      <c r="F1059" s="48"/>
      <c r="G1059" s="48"/>
      <c r="H1059" s="48"/>
      <c r="I1059" s="48"/>
    </row>
    <row r="1060" spans="1:9" hidden="1" x14ac:dyDescent="0.2">
      <c r="A1060" s="46"/>
      <c r="B1060" s="46"/>
      <c r="C1060" s="46"/>
      <c r="D1060" s="48"/>
      <c r="E1060" s="48"/>
      <c r="F1060" s="48"/>
      <c r="G1060" s="48"/>
      <c r="H1060" s="48"/>
      <c r="I1060" s="48"/>
    </row>
    <row r="1061" spans="1:9" hidden="1" x14ac:dyDescent="0.2">
      <c r="A1061" s="46"/>
      <c r="B1061" s="46"/>
      <c r="C1061" s="46"/>
      <c r="D1061" s="48"/>
      <c r="E1061" s="48"/>
      <c r="F1061" s="48"/>
      <c r="G1061" s="48"/>
      <c r="H1061" s="48"/>
      <c r="I1061" s="48"/>
    </row>
    <row r="1062" spans="1:9" hidden="1" x14ac:dyDescent="0.2">
      <c r="A1062" s="46"/>
      <c r="B1062" s="46"/>
      <c r="C1062" s="46"/>
      <c r="D1062" s="48"/>
      <c r="E1062" s="48"/>
      <c r="F1062" s="48"/>
      <c r="G1062" s="48"/>
      <c r="H1062" s="48"/>
      <c r="I1062" s="48"/>
    </row>
    <row r="1063" spans="1:9" hidden="1" x14ac:dyDescent="0.2">
      <c r="A1063" s="46"/>
      <c r="B1063" s="46"/>
      <c r="C1063" s="46"/>
      <c r="D1063" s="48"/>
      <c r="E1063" s="48"/>
      <c r="F1063" s="48"/>
      <c r="G1063" s="48"/>
      <c r="H1063" s="48"/>
      <c r="I1063" s="48"/>
    </row>
    <row r="1064" spans="1:9" hidden="1" x14ac:dyDescent="0.2">
      <c r="A1064" s="46"/>
      <c r="B1064" s="46"/>
      <c r="C1064" s="46"/>
      <c r="D1064" s="48"/>
      <c r="E1064" s="48"/>
      <c r="F1064" s="48"/>
      <c r="G1064" s="48"/>
      <c r="H1064" s="48"/>
      <c r="I1064" s="48"/>
    </row>
    <row r="1065" spans="1:9" hidden="1" x14ac:dyDescent="0.2">
      <c r="A1065" s="46"/>
      <c r="B1065" s="46"/>
      <c r="C1065" s="46"/>
      <c r="D1065" s="48"/>
      <c r="E1065" s="48"/>
      <c r="F1065" s="48"/>
      <c r="G1065" s="48"/>
      <c r="H1065" s="48"/>
      <c r="I1065" s="48"/>
    </row>
    <row r="1066" spans="1:9" hidden="1" x14ac:dyDescent="0.2">
      <c r="A1066" s="46"/>
      <c r="B1066" s="46"/>
      <c r="C1066" s="46"/>
      <c r="D1066" s="48"/>
      <c r="E1066" s="48"/>
      <c r="F1066" s="48"/>
      <c r="G1066" s="48"/>
      <c r="H1066" s="48"/>
      <c r="I1066" s="48"/>
    </row>
    <row r="1067" spans="1:9" hidden="1" x14ac:dyDescent="0.2">
      <c r="A1067" s="46"/>
      <c r="B1067" s="46"/>
      <c r="C1067" s="46"/>
      <c r="D1067" s="48"/>
      <c r="E1067" s="48"/>
      <c r="F1067" s="48"/>
      <c r="G1067" s="48"/>
      <c r="H1067" s="48"/>
      <c r="I1067" s="48"/>
    </row>
    <row r="1068" spans="1:9" hidden="1" x14ac:dyDescent="0.2">
      <c r="A1068" s="46"/>
      <c r="B1068" s="46"/>
      <c r="C1068" s="46"/>
      <c r="D1068" s="48"/>
      <c r="E1068" s="48"/>
      <c r="F1068" s="48"/>
      <c r="G1068" s="48"/>
      <c r="H1068" s="48"/>
      <c r="I1068" s="48"/>
    </row>
    <row r="1069" spans="1:9" hidden="1" x14ac:dyDescent="0.2">
      <c r="A1069" s="46"/>
      <c r="B1069" s="46"/>
      <c r="C1069" s="46"/>
      <c r="D1069" s="48"/>
      <c r="E1069" s="48"/>
      <c r="F1069" s="48"/>
      <c r="G1069" s="48"/>
      <c r="H1069" s="48"/>
      <c r="I1069" s="48"/>
    </row>
    <row r="1070" spans="1:9" hidden="1" x14ac:dyDescent="0.2">
      <c r="A1070" s="46"/>
      <c r="B1070" s="46"/>
      <c r="C1070" s="46"/>
      <c r="D1070" s="48"/>
      <c r="E1070" s="48"/>
      <c r="F1070" s="48"/>
      <c r="G1070" s="48"/>
      <c r="H1070" s="48"/>
      <c r="I1070" s="48"/>
    </row>
    <row r="1071" spans="1:9" hidden="1" x14ac:dyDescent="0.2">
      <c r="A1071" s="46"/>
      <c r="B1071" s="46"/>
      <c r="C1071" s="46"/>
      <c r="D1071" s="48"/>
      <c r="E1071" s="48"/>
      <c r="F1071" s="48"/>
      <c r="G1071" s="48"/>
      <c r="H1071" s="48"/>
      <c r="I1071" s="48"/>
    </row>
    <row r="1072" spans="1:9" hidden="1" x14ac:dyDescent="0.2">
      <c r="A1072" s="46"/>
      <c r="B1072" s="46"/>
      <c r="C1072" s="46"/>
      <c r="D1072" s="48"/>
      <c r="E1072" s="48"/>
      <c r="F1072" s="48"/>
      <c r="G1072" s="48"/>
      <c r="H1072" s="48"/>
      <c r="I1072" s="48"/>
    </row>
    <row r="1073" spans="1:9" hidden="1" x14ac:dyDescent="0.2">
      <c r="A1073" s="46"/>
      <c r="B1073" s="46"/>
      <c r="C1073" s="46"/>
      <c r="D1073" s="48"/>
      <c r="E1073" s="48"/>
      <c r="F1073" s="48"/>
      <c r="G1073" s="48"/>
      <c r="H1073" s="48"/>
      <c r="I1073" s="48"/>
    </row>
    <row r="1074" spans="1:9" hidden="1" x14ac:dyDescent="0.2">
      <c r="A1074" s="46"/>
      <c r="B1074" s="46"/>
      <c r="C1074" s="46"/>
      <c r="D1074" s="48"/>
      <c r="E1074" s="48"/>
      <c r="F1074" s="48"/>
      <c r="G1074" s="48"/>
      <c r="H1074" s="48"/>
      <c r="I1074" s="48"/>
    </row>
    <row r="1075" spans="1:9" hidden="1" x14ac:dyDescent="0.2">
      <c r="A1075" s="46"/>
      <c r="B1075" s="46"/>
      <c r="C1075" s="46"/>
      <c r="D1075" s="48"/>
      <c r="E1075" s="48"/>
      <c r="F1075" s="48"/>
      <c r="G1075" s="48"/>
      <c r="H1075" s="48"/>
      <c r="I1075" s="48"/>
    </row>
    <row r="1076" spans="1:9" hidden="1" x14ac:dyDescent="0.2">
      <c r="A1076" s="46"/>
      <c r="B1076" s="46"/>
      <c r="C1076" s="46"/>
      <c r="D1076" s="48"/>
      <c r="E1076" s="48"/>
      <c r="F1076" s="48"/>
      <c r="G1076" s="48"/>
      <c r="H1076" s="48"/>
      <c r="I1076" s="48"/>
    </row>
    <row r="1077" spans="1:9" hidden="1" x14ac:dyDescent="0.2">
      <c r="A1077" s="46"/>
      <c r="B1077" s="46"/>
      <c r="C1077" s="46"/>
      <c r="D1077" s="48"/>
      <c r="E1077" s="48"/>
      <c r="F1077" s="48"/>
      <c r="G1077" s="48"/>
      <c r="H1077" s="48"/>
      <c r="I1077" s="48"/>
    </row>
    <row r="1078" spans="1:9" hidden="1" x14ac:dyDescent="0.2">
      <c r="A1078" s="46"/>
      <c r="B1078" s="46"/>
      <c r="C1078" s="46"/>
      <c r="D1078" s="48"/>
      <c r="E1078" s="48"/>
      <c r="F1078" s="48"/>
      <c r="G1078" s="48"/>
      <c r="H1078" s="48"/>
      <c r="I1078" s="48"/>
    </row>
    <row r="1079" spans="1:9" hidden="1" x14ac:dyDescent="0.2">
      <c r="A1079" s="46"/>
      <c r="B1079" s="46"/>
      <c r="C1079" s="46"/>
      <c r="D1079" s="48"/>
      <c r="E1079" s="48"/>
      <c r="F1079" s="48"/>
      <c r="G1079" s="48"/>
      <c r="H1079" s="48"/>
      <c r="I1079" s="48"/>
    </row>
    <row r="1080" spans="1:9" hidden="1" x14ac:dyDescent="0.2">
      <c r="A1080" s="46"/>
      <c r="B1080" s="46"/>
      <c r="C1080" s="46"/>
      <c r="D1080" s="48"/>
      <c r="E1080" s="48"/>
      <c r="F1080" s="48"/>
      <c r="G1080" s="48"/>
      <c r="H1080" s="48"/>
      <c r="I1080" s="48"/>
    </row>
    <row r="1081" spans="1:9" hidden="1" x14ac:dyDescent="0.2">
      <c r="A1081" s="46"/>
      <c r="B1081" s="46"/>
      <c r="C1081" s="46"/>
      <c r="D1081" s="48"/>
      <c r="E1081" s="48"/>
      <c r="F1081" s="48"/>
      <c r="G1081" s="48"/>
      <c r="H1081" s="48"/>
      <c r="I1081" s="48"/>
    </row>
    <row r="1082" spans="1:9" hidden="1" x14ac:dyDescent="0.2">
      <c r="A1082" s="46"/>
      <c r="B1082" s="46"/>
      <c r="C1082" s="46"/>
      <c r="D1082" s="48"/>
      <c r="E1082" s="48"/>
      <c r="F1082" s="48"/>
      <c r="G1082" s="48"/>
      <c r="H1082" s="48"/>
      <c r="I1082" s="48"/>
    </row>
    <row r="1083" spans="1:9" hidden="1" x14ac:dyDescent="0.2">
      <c r="A1083" s="46"/>
      <c r="B1083" s="46"/>
      <c r="C1083" s="46"/>
      <c r="D1083" s="48"/>
      <c r="E1083" s="48"/>
      <c r="F1083" s="48"/>
      <c r="G1083" s="48"/>
      <c r="H1083" s="48"/>
      <c r="I1083" s="48"/>
    </row>
    <row r="1084" spans="1:9" hidden="1" x14ac:dyDescent="0.2">
      <c r="A1084" s="46"/>
      <c r="B1084" s="46"/>
      <c r="C1084" s="46"/>
      <c r="D1084" s="48"/>
      <c r="E1084" s="48"/>
      <c r="F1084" s="48"/>
      <c r="G1084" s="48"/>
      <c r="H1084" s="48"/>
      <c r="I1084" s="48"/>
    </row>
    <row r="1085" spans="1:9" hidden="1" x14ac:dyDescent="0.2">
      <c r="A1085" s="46"/>
      <c r="B1085" s="46"/>
      <c r="C1085" s="46"/>
      <c r="D1085" s="48"/>
      <c r="E1085" s="48"/>
      <c r="F1085" s="48"/>
      <c r="G1085" s="48"/>
      <c r="H1085" s="48"/>
      <c r="I1085" s="48"/>
    </row>
    <row r="1086" spans="1:9" hidden="1" x14ac:dyDescent="0.2">
      <c r="A1086" s="46"/>
      <c r="B1086" s="46"/>
      <c r="C1086" s="46"/>
      <c r="D1086" s="48"/>
      <c r="E1086" s="48"/>
      <c r="F1086" s="48"/>
      <c r="G1086" s="48"/>
      <c r="H1086" s="48"/>
      <c r="I1086" s="48"/>
    </row>
    <row r="1087" spans="1:9" hidden="1" x14ac:dyDescent="0.2">
      <c r="A1087" s="46"/>
      <c r="B1087" s="46"/>
      <c r="C1087" s="46"/>
      <c r="D1087" s="48"/>
      <c r="E1087" s="48"/>
      <c r="F1087" s="48"/>
      <c r="G1087" s="48"/>
      <c r="H1087" s="48"/>
      <c r="I1087" s="48"/>
    </row>
    <row r="1088" spans="1:9" hidden="1" x14ac:dyDescent="0.2">
      <c r="A1088" s="46"/>
      <c r="B1088" s="46"/>
      <c r="C1088" s="46"/>
      <c r="D1088" s="48"/>
      <c r="E1088" s="48"/>
      <c r="F1088" s="48"/>
      <c r="G1088" s="48"/>
      <c r="H1088" s="48"/>
      <c r="I1088" s="48"/>
    </row>
    <row r="1089" spans="1:9" hidden="1" x14ac:dyDescent="0.2">
      <c r="A1089" s="46"/>
      <c r="B1089" s="46"/>
      <c r="C1089" s="46"/>
      <c r="D1089" s="48"/>
      <c r="E1089" s="48"/>
      <c r="F1089" s="48"/>
      <c r="G1089" s="48"/>
      <c r="H1089" s="48"/>
      <c r="I1089" s="48"/>
    </row>
    <row r="1090" spans="1:9" hidden="1" x14ac:dyDescent="0.2">
      <c r="A1090" s="46"/>
      <c r="B1090" s="46"/>
      <c r="C1090" s="46"/>
      <c r="D1090" s="48"/>
      <c r="E1090" s="48"/>
      <c r="F1090" s="48"/>
      <c r="G1090" s="48"/>
      <c r="H1090" s="48"/>
      <c r="I1090" s="48"/>
    </row>
    <row r="1091" spans="1:9" hidden="1" x14ac:dyDescent="0.2">
      <c r="A1091" s="46"/>
      <c r="B1091" s="46"/>
      <c r="C1091" s="46"/>
      <c r="D1091" s="48"/>
      <c r="E1091" s="48"/>
      <c r="F1091" s="48"/>
      <c r="G1091" s="48"/>
      <c r="H1091" s="48"/>
      <c r="I1091" s="48"/>
    </row>
    <row r="1092" spans="1:9" hidden="1" x14ac:dyDescent="0.2">
      <c r="A1092" s="46"/>
      <c r="B1092" s="46"/>
      <c r="C1092" s="46"/>
      <c r="D1092" s="48"/>
      <c r="E1092" s="48"/>
      <c r="F1092" s="48"/>
      <c r="G1092" s="48"/>
      <c r="H1092" s="48"/>
      <c r="I1092" s="48"/>
    </row>
    <row r="1093" spans="1:9" hidden="1" x14ac:dyDescent="0.2">
      <c r="A1093" s="46"/>
      <c r="B1093" s="46"/>
      <c r="C1093" s="46"/>
      <c r="D1093" s="48"/>
      <c r="E1093" s="48"/>
      <c r="F1093" s="48"/>
      <c r="G1093" s="48"/>
      <c r="H1093" s="48"/>
      <c r="I1093" s="48"/>
    </row>
    <row r="1094" spans="1:9" hidden="1" x14ac:dyDescent="0.2">
      <c r="A1094" s="46"/>
      <c r="B1094" s="46"/>
      <c r="C1094" s="46"/>
      <c r="D1094" s="48"/>
      <c r="E1094" s="48"/>
      <c r="F1094" s="48"/>
      <c r="G1094" s="48"/>
      <c r="H1094" s="48"/>
      <c r="I1094" s="48"/>
    </row>
    <row r="1095" spans="1:9" hidden="1" x14ac:dyDescent="0.2">
      <c r="A1095" s="46"/>
      <c r="B1095" s="46"/>
      <c r="C1095" s="46"/>
      <c r="D1095" s="48"/>
      <c r="E1095" s="48"/>
      <c r="F1095" s="48"/>
      <c r="G1095" s="48"/>
      <c r="H1095" s="48"/>
      <c r="I1095" s="48"/>
    </row>
    <row r="1096" spans="1:9" hidden="1" x14ac:dyDescent="0.2">
      <c r="A1096" s="46"/>
      <c r="B1096" s="46"/>
      <c r="C1096" s="46"/>
      <c r="D1096" s="48"/>
      <c r="E1096" s="48"/>
      <c r="F1096" s="48"/>
      <c r="G1096" s="48"/>
      <c r="H1096" s="48"/>
      <c r="I1096" s="48"/>
    </row>
    <row r="1097" spans="1:9" hidden="1" x14ac:dyDescent="0.2">
      <c r="A1097" s="46"/>
      <c r="B1097" s="46"/>
      <c r="C1097" s="46"/>
      <c r="D1097" s="48"/>
      <c r="E1097" s="48"/>
      <c r="F1097" s="48"/>
      <c r="G1097" s="48"/>
      <c r="H1097" s="48"/>
      <c r="I1097" s="48"/>
    </row>
    <row r="1098" spans="1:9" hidden="1" x14ac:dyDescent="0.2">
      <c r="A1098" s="46"/>
      <c r="B1098" s="46"/>
      <c r="C1098" s="46"/>
      <c r="D1098" s="48"/>
      <c r="E1098" s="48"/>
      <c r="F1098" s="48"/>
      <c r="G1098" s="48"/>
      <c r="H1098" s="48"/>
      <c r="I1098" s="48"/>
    </row>
    <row r="1099" spans="1:9" hidden="1" x14ac:dyDescent="0.2">
      <c r="A1099" s="46"/>
      <c r="B1099" s="46"/>
      <c r="C1099" s="46"/>
      <c r="D1099" s="48"/>
      <c r="E1099" s="48"/>
      <c r="F1099" s="48"/>
      <c r="G1099" s="48"/>
      <c r="H1099" s="48"/>
      <c r="I1099" s="48"/>
    </row>
    <row r="1100" spans="1:9" hidden="1" x14ac:dyDescent="0.2">
      <c r="A1100" s="46"/>
      <c r="B1100" s="46"/>
      <c r="C1100" s="46"/>
      <c r="D1100" s="48"/>
      <c r="E1100" s="48"/>
      <c r="F1100" s="48"/>
      <c r="G1100" s="48"/>
      <c r="H1100" s="48"/>
      <c r="I1100" s="48"/>
    </row>
    <row r="1101" spans="1:9" hidden="1" x14ac:dyDescent="0.2">
      <c r="A1101" s="46"/>
      <c r="B1101" s="46"/>
      <c r="C1101" s="46"/>
      <c r="D1101" s="48"/>
      <c r="E1101" s="48"/>
      <c r="F1101" s="48"/>
      <c r="G1101" s="48"/>
      <c r="H1101" s="48"/>
      <c r="I1101" s="48"/>
    </row>
    <row r="1102" spans="1:9" hidden="1" x14ac:dyDescent="0.2">
      <c r="A1102" s="46"/>
      <c r="B1102" s="46"/>
      <c r="C1102" s="46"/>
      <c r="D1102" s="48"/>
      <c r="E1102" s="48"/>
      <c r="F1102" s="48"/>
      <c r="G1102" s="48"/>
      <c r="H1102" s="48"/>
      <c r="I1102" s="48"/>
    </row>
    <row r="1103" spans="1:9" hidden="1" x14ac:dyDescent="0.2">
      <c r="A1103" s="46"/>
      <c r="B1103" s="46"/>
      <c r="C1103" s="46"/>
      <c r="D1103" s="48"/>
      <c r="E1103" s="48"/>
      <c r="F1103" s="48"/>
      <c r="G1103" s="48"/>
      <c r="H1103" s="48"/>
      <c r="I1103" s="48"/>
    </row>
    <row r="1104" spans="1:9" hidden="1" x14ac:dyDescent="0.2">
      <c r="A1104" s="46"/>
      <c r="B1104" s="46"/>
      <c r="C1104" s="46"/>
      <c r="D1104" s="48"/>
      <c r="E1104" s="48"/>
      <c r="F1104" s="48"/>
      <c r="G1104" s="48"/>
      <c r="H1104" s="48"/>
      <c r="I1104" s="48"/>
    </row>
    <row r="1105" spans="1:9" hidden="1" x14ac:dyDescent="0.2">
      <c r="A1105" s="46"/>
      <c r="B1105" s="46"/>
      <c r="C1105" s="46"/>
      <c r="D1105" s="48"/>
      <c r="E1105" s="48"/>
      <c r="F1105" s="48"/>
      <c r="G1105" s="48"/>
      <c r="H1105" s="48"/>
      <c r="I1105" s="48"/>
    </row>
    <row r="1106" spans="1:9" hidden="1" x14ac:dyDescent="0.2">
      <c r="A1106" s="46"/>
      <c r="B1106" s="46"/>
      <c r="C1106" s="46"/>
      <c r="D1106" s="48"/>
      <c r="E1106" s="48"/>
      <c r="F1106" s="48"/>
      <c r="G1106" s="48"/>
      <c r="H1106" s="48"/>
      <c r="I1106" s="48"/>
    </row>
    <row r="1107" spans="1:9" hidden="1" x14ac:dyDescent="0.2">
      <c r="A1107" s="46"/>
      <c r="B1107" s="46"/>
      <c r="C1107" s="46"/>
      <c r="D1107" s="48"/>
      <c r="E1107" s="48"/>
      <c r="F1107" s="48"/>
      <c r="G1107" s="48"/>
      <c r="H1107" s="48"/>
      <c r="I1107" s="48"/>
    </row>
    <row r="1108" spans="1:9" hidden="1" x14ac:dyDescent="0.2">
      <c r="A1108" s="46"/>
      <c r="B1108" s="46"/>
      <c r="C1108" s="46"/>
      <c r="D1108" s="48"/>
      <c r="E1108" s="48"/>
      <c r="F1108" s="48"/>
      <c r="G1108" s="48"/>
      <c r="H1108" s="48"/>
      <c r="I1108" s="48"/>
    </row>
    <row r="1109" spans="1:9" hidden="1" x14ac:dyDescent="0.2">
      <c r="A1109" s="46"/>
      <c r="B1109" s="46"/>
      <c r="C1109" s="46"/>
      <c r="D1109" s="48"/>
      <c r="E1109" s="48"/>
      <c r="F1109" s="48"/>
      <c r="G1109" s="48"/>
      <c r="H1109" s="48"/>
      <c r="I1109" s="48"/>
    </row>
    <row r="1110" spans="1:9" hidden="1" x14ac:dyDescent="0.2">
      <c r="A1110" s="46"/>
      <c r="B1110" s="46"/>
      <c r="C1110" s="46"/>
      <c r="D1110" s="48"/>
      <c r="E1110" s="48"/>
      <c r="F1110" s="48"/>
      <c r="G1110" s="48"/>
      <c r="H1110" s="48"/>
      <c r="I1110" s="48"/>
    </row>
    <row r="1111" spans="1:9" hidden="1" x14ac:dyDescent="0.2">
      <c r="A1111" s="46"/>
      <c r="B1111" s="46"/>
      <c r="C1111" s="46"/>
      <c r="D1111" s="48"/>
      <c r="E1111" s="48"/>
      <c r="F1111" s="48"/>
      <c r="G1111" s="48"/>
      <c r="H1111" s="48"/>
      <c r="I1111" s="48"/>
    </row>
    <row r="1112" spans="1:9" hidden="1" x14ac:dyDescent="0.2">
      <c r="A1112" s="46"/>
      <c r="B1112" s="46"/>
      <c r="C1112" s="46"/>
      <c r="D1112" s="48"/>
      <c r="E1112" s="48"/>
      <c r="F1112" s="48"/>
      <c r="G1112" s="48"/>
      <c r="H1112" s="48"/>
      <c r="I1112" s="48"/>
    </row>
    <row r="1113" spans="1:9" hidden="1" x14ac:dyDescent="0.2">
      <c r="A1113" s="46"/>
      <c r="B1113" s="46"/>
      <c r="C1113" s="46"/>
      <c r="D1113" s="48"/>
      <c r="E1113" s="48"/>
      <c r="F1113" s="48"/>
      <c r="G1113" s="48"/>
      <c r="H1113" s="48"/>
      <c r="I1113" s="48"/>
    </row>
    <row r="1114" spans="1:9" hidden="1" x14ac:dyDescent="0.2">
      <c r="A1114" s="46"/>
      <c r="B1114" s="46"/>
      <c r="C1114" s="46"/>
      <c r="D1114" s="48"/>
      <c r="E1114" s="48"/>
      <c r="F1114" s="48"/>
      <c r="G1114" s="48"/>
      <c r="H1114" s="48"/>
      <c r="I1114" s="48"/>
    </row>
    <row r="1115" spans="1:9" hidden="1" x14ac:dyDescent="0.2">
      <c r="A1115" s="46"/>
      <c r="B1115" s="46"/>
      <c r="C1115" s="46"/>
      <c r="D1115" s="48"/>
      <c r="E1115" s="48"/>
      <c r="F1115" s="48"/>
      <c r="G1115" s="48"/>
      <c r="H1115" s="48"/>
      <c r="I1115" s="48"/>
    </row>
    <row r="1116" spans="1:9" hidden="1" x14ac:dyDescent="0.2">
      <c r="A1116" s="46"/>
      <c r="B1116" s="46"/>
      <c r="C1116" s="46"/>
      <c r="D1116" s="48"/>
      <c r="E1116" s="48"/>
      <c r="F1116" s="48"/>
      <c r="G1116" s="48"/>
      <c r="H1116" s="48"/>
      <c r="I1116" s="48"/>
    </row>
    <row r="1117" spans="1:9" hidden="1" x14ac:dyDescent="0.2">
      <c r="A1117" s="46"/>
      <c r="B1117" s="46"/>
      <c r="C1117" s="46"/>
      <c r="D1117" s="48"/>
      <c r="E1117" s="48"/>
      <c r="F1117" s="48"/>
      <c r="G1117" s="48"/>
      <c r="H1117" s="48"/>
      <c r="I1117" s="48"/>
    </row>
    <row r="1118" spans="1:9" hidden="1" x14ac:dyDescent="0.2">
      <c r="A1118" s="46"/>
      <c r="B1118" s="46"/>
      <c r="C1118" s="46"/>
      <c r="D1118" s="48"/>
      <c r="E1118" s="48"/>
      <c r="F1118" s="48"/>
      <c r="G1118" s="48"/>
      <c r="H1118" s="48"/>
      <c r="I1118" s="48"/>
    </row>
    <row r="1119" spans="1:9" hidden="1" x14ac:dyDescent="0.2">
      <c r="A1119" s="46"/>
      <c r="B1119" s="46"/>
      <c r="C1119" s="46"/>
      <c r="D1119" s="48"/>
      <c r="E1119" s="48"/>
      <c r="F1119" s="48"/>
      <c r="G1119" s="48"/>
      <c r="H1119" s="48"/>
      <c r="I1119" s="48"/>
    </row>
    <row r="1120" spans="1:9" hidden="1" x14ac:dyDescent="0.2">
      <c r="A1120" s="46"/>
      <c r="B1120" s="46"/>
      <c r="C1120" s="46"/>
      <c r="D1120" s="48"/>
      <c r="E1120" s="48"/>
      <c r="F1120" s="48"/>
      <c r="G1120" s="48"/>
      <c r="H1120" s="48"/>
      <c r="I1120" s="48"/>
    </row>
    <row r="1121" spans="1:9" hidden="1" x14ac:dyDescent="0.2">
      <c r="A1121" s="46"/>
      <c r="B1121" s="46"/>
      <c r="C1121" s="46"/>
      <c r="D1121" s="48"/>
      <c r="E1121" s="48"/>
      <c r="F1121" s="48"/>
      <c r="G1121" s="48"/>
      <c r="H1121" s="48"/>
      <c r="I1121" s="48"/>
    </row>
    <row r="1122" spans="1:9" hidden="1" x14ac:dyDescent="0.2">
      <c r="A1122" s="46"/>
      <c r="B1122" s="46"/>
      <c r="C1122" s="46"/>
      <c r="D1122" s="48"/>
      <c r="E1122" s="48"/>
      <c r="F1122" s="48"/>
      <c r="G1122" s="48"/>
      <c r="H1122" s="48"/>
      <c r="I1122" s="48"/>
    </row>
    <row r="1123" spans="1:9" hidden="1" x14ac:dyDescent="0.2">
      <c r="A1123" s="46"/>
      <c r="B1123" s="46"/>
      <c r="C1123" s="46"/>
      <c r="D1123" s="48"/>
      <c r="E1123" s="48"/>
      <c r="F1123" s="48"/>
      <c r="G1123" s="48"/>
      <c r="H1123" s="48"/>
      <c r="I1123" s="48"/>
    </row>
    <row r="1124" spans="1:9" hidden="1" x14ac:dyDescent="0.2">
      <c r="A1124" s="46"/>
      <c r="B1124" s="46"/>
      <c r="C1124" s="46"/>
      <c r="D1124" s="48"/>
      <c r="E1124" s="48"/>
      <c r="F1124" s="48"/>
      <c r="G1124" s="48"/>
      <c r="H1124" s="48"/>
      <c r="I1124" s="48"/>
    </row>
    <row r="1125" spans="1:9" hidden="1" x14ac:dyDescent="0.2">
      <c r="A1125" s="46"/>
      <c r="B1125" s="46"/>
      <c r="C1125" s="46"/>
      <c r="D1125" s="48"/>
      <c r="E1125" s="48"/>
      <c r="F1125" s="48"/>
      <c r="G1125" s="48"/>
      <c r="H1125" s="48"/>
      <c r="I1125" s="48"/>
    </row>
    <row r="1126" spans="1:9" hidden="1" x14ac:dyDescent="0.2">
      <c r="A1126" s="46"/>
      <c r="B1126" s="46"/>
      <c r="C1126" s="46"/>
      <c r="D1126" s="48"/>
      <c r="E1126" s="48"/>
      <c r="F1126" s="48"/>
      <c r="G1126" s="48"/>
      <c r="H1126" s="48"/>
      <c r="I1126" s="48"/>
    </row>
    <row r="1127" spans="1:9" hidden="1" x14ac:dyDescent="0.2">
      <c r="A1127" s="46"/>
      <c r="B1127" s="46"/>
      <c r="C1127" s="46"/>
      <c r="D1127" s="48"/>
      <c r="E1127" s="48"/>
      <c r="F1127" s="48"/>
      <c r="G1127" s="48"/>
      <c r="H1127" s="48"/>
      <c r="I1127" s="48"/>
    </row>
    <row r="1128" spans="1:9" hidden="1" x14ac:dyDescent="0.2">
      <c r="A1128" s="46"/>
      <c r="B1128" s="46"/>
      <c r="C1128" s="46"/>
      <c r="D1128" s="48"/>
      <c r="E1128" s="48"/>
      <c r="F1128" s="48"/>
      <c r="G1128" s="48"/>
      <c r="H1128" s="48"/>
      <c r="I1128" s="48"/>
    </row>
    <row r="1129" spans="1:9" hidden="1" x14ac:dyDescent="0.2">
      <c r="A1129" s="46"/>
      <c r="B1129" s="46"/>
      <c r="C1129" s="46"/>
      <c r="D1129" s="48"/>
      <c r="E1129" s="48"/>
      <c r="F1129" s="48"/>
      <c r="G1129" s="48"/>
      <c r="H1129" s="48"/>
      <c r="I1129" s="48"/>
    </row>
    <row r="1130" spans="1:9" hidden="1" x14ac:dyDescent="0.2">
      <c r="A1130" s="46"/>
      <c r="B1130" s="46"/>
      <c r="C1130" s="46"/>
      <c r="D1130" s="48"/>
      <c r="E1130" s="48"/>
      <c r="F1130" s="48"/>
      <c r="G1130" s="48"/>
      <c r="H1130" s="48"/>
      <c r="I1130" s="48"/>
    </row>
    <row r="1131" spans="1:9" hidden="1" x14ac:dyDescent="0.2">
      <c r="A1131" s="46"/>
      <c r="B1131" s="46"/>
      <c r="C1131" s="46"/>
      <c r="D1131" s="48"/>
      <c r="E1131" s="48"/>
      <c r="F1131" s="48"/>
      <c r="G1131" s="48"/>
      <c r="H1131" s="48"/>
      <c r="I1131" s="48"/>
    </row>
    <row r="1132" spans="1:9" hidden="1" x14ac:dyDescent="0.2">
      <c r="A1132" s="46"/>
      <c r="B1132" s="46"/>
      <c r="C1132" s="46"/>
      <c r="D1132" s="48"/>
      <c r="E1132" s="48"/>
      <c r="F1132" s="48"/>
      <c r="G1132" s="48"/>
      <c r="H1132" s="48"/>
      <c r="I1132" s="48"/>
    </row>
    <row r="1133" spans="1:9" hidden="1" x14ac:dyDescent="0.2">
      <c r="A1133" s="46"/>
      <c r="B1133" s="46"/>
      <c r="C1133" s="46"/>
      <c r="D1133" s="48"/>
      <c r="E1133" s="48"/>
      <c r="F1133" s="48"/>
      <c r="G1133" s="48"/>
      <c r="H1133" s="48"/>
      <c r="I1133" s="48"/>
    </row>
    <row r="1134" spans="1:9" hidden="1" x14ac:dyDescent="0.2">
      <c r="A1134" s="46"/>
      <c r="B1134" s="46"/>
      <c r="C1134" s="46"/>
      <c r="D1134" s="48"/>
      <c r="E1134" s="48"/>
      <c r="F1134" s="48"/>
      <c r="G1134" s="48"/>
      <c r="H1134" s="48"/>
      <c r="I1134" s="48"/>
    </row>
    <row r="1135" spans="1:9" hidden="1" x14ac:dyDescent="0.2">
      <c r="A1135" s="46"/>
      <c r="B1135" s="46"/>
      <c r="C1135" s="46"/>
      <c r="D1135" s="48"/>
      <c r="E1135" s="48"/>
      <c r="F1135" s="48"/>
      <c r="G1135" s="48"/>
      <c r="H1135" s="48"/>
      <c r="I1135" s="48"/>
    </row>
    <row r="1136" spans="1:9" hidden="1" x14ac:dyDescent="0.2">
      <c r="A1136" s="46"/>
      <c r="B1136" s="46"/>
      <c r="C1136" s="46"/>
      <c r="D1136" s="48"/>
      <c r="E1136" s="48"/>
      <c r="F1136" s="48"/>
      <c r="G1136" s="48"/>
      <c r="H1136" s="48"/>
      <c r="I1136" s="48"/>
    </row>
    <row r="1137" spans="1:9" hidden="1" x14ac:dyDescent="0.2">
      <c r="A1137" s="46"/>
      <c r="B1137" s="46"/>
      <c r="C1137" s="46"/>
      <c r="D1137" s="48"/>
      <c r="E1137" s="48"/>
      <c r="F1137" s="48"/>
      <c r="G1137" s="48"/>
      <c r="H1137" s="48"/>
      <c r="I1137" s="48"/>
    </row>
    <row r="1138" spans="1:9" hidden="1" x14ac:dyDescent="0.2">
      <c r="A1138" s="46"/>
      <c r="B1138" s="46"/>
      <c r="C1138" s="46"/>
      <c r="D1138" s="48"/>
      <c r="E1138" s="48"/>
      <c r="F1138" s="48"/>
      <c r="G1138" s="48"/>
      <c r="H1138" s="48"/>
      <c r="I1138" s="48"/>
    </row>
    <row r="1139" spans="1:9" hidden="1" x14ac:dyDescent="0.2">
      <c r="A1139" s="46"/>
      <c r="B1139" s="46"/>
      <c r="C1139" s="46"/>
      <c r="D1139" s="48"/>
      <c r="E1139" s="48"/>
      <c r="F1139" s="48"/>
      <c r="G1139" s="48"/>
      <c r="H1139" s="48"/>
      <c r="I1139" s="48"/>
    </row>
    <row r="1140" spans="1:9" hidden="1" x14ac:dyDescent="0.2">
      <c r="A1140" s="46"/>
      <c r="B1140" s="46"/>
      <c r="C1140" s="46"/>
      <c r="D1140" s="48"/>
      <c r="E1140" s="48"/>
      <c r="F1140" s="48"/>
      <c r="G1140" s="48"/>
      <c r="H1140" s="48"/>
      <c r="I1140" s="48"/>
    </row>
    <row r="1141" spans="1:9" hidden="1" x14ac:dyDescent="0.2">
      <c r="A1141" s="46"/>
      <c r="B1141" s="46"/>
      <c r="C1141" s="46"/>
      <c r="D1141" s="48"/>
      <c r="E1141" s="48"/>
      <c r="F1141" s="48"/>
      <c r="G1141" s="48"/>
      <c r="H1141" s="48"/>
      <c r="I1141" s="48"/>
    </row>
    <row r="1142" spans="1:9" hidden="1" x14ac:dyDescent="0.2">
      <c r="A1142" s="46"/>
      <c r="B1142" s="46"/>
      <c r="C1142" s="46"/>
      <c r="D1142" s="48"/>
      <c r="E1142" s="48"/>
      <c r="F1142" s="48"/>
      <c r="G1142" s="48"/>
      <c r="H1142" s="48"/>
      <c r="I1142" s="48"/>
    </row>
    <row r="1143" spans="1:9" hidden="1" x14ac:dyDescent="0.2">
      <c r="A1143" s="46"/>
      <c r="B1143" s="46"/>
      <c r="C1143" s="46"/>
      <c r="D1143" s="48"/>
      <c r="E1143" s="48"/>
      <c r="F1143" s="48"/>
      <c r="G1143" s="48"/>
      <c r="H1143" s="48"/>
      <c r="I1143" s="48"/>
    </row>
    <row r="1144" spans="1:9" hidden="1" x14ac:dyDescent="0.2">
      <c r="A1144" s="46"/>
      <c r="B1144" s="46"/>
      <c r="C1144" s="46"/>
      <c r="D1144" s="48"/>
      <c r="E1144" s="48"/>
      <c r="F1144" s="48"/>
      <c r="G1144" s="48"/>
      <c r="H1144" s="48"/>
      <c r="I1144" s="48"/>
    </row>
    <row r="1145" spans="1:9" hidden="1" x14ac:dyDescent="0.2">
      <c r="A1145" s="46"/>
      <c r="B1145" s="46"/>
      <c r="C1145" s="46"/>
      <c r="D1145" s="48"/>
      <c r="E1145" s="48"/>
      <c r="F1145" s="48"/>
      <c r="G1145" s="48"/>
      <c r="H1145" s="48"/>
      <c r="I1145" s="48"/>
    </row>
    <row r="1146" spans="1:9" hidden="1" x14ac:dyDescent="0.2">
      <c r="A1146" s="46"/>
      <c r="B1146" s="46"/>
      <c r="C1146" s="46"/>
      <c r="D1146" s="48"/>
      <c r="E1146" s="48"/>
      <c r="F1146" s="48"/>
      <c r="G1146" s="48"/>
      <c r="H1146" s="48"/>
      <c r="I1146" s="48"/>
    </row>
    <row r="1147" spans="1:9" hidden="1" x14ac:dyDescent="0.2">
      <c r="A1147" s="46"/>
      <c r="B1147" s="46"/>
      <c r="C1147" s="46"/>
      <c r="D1147" s="48"/>
      <c r="E1147" s="48"/>
      <c r="F1147" s="48"/>
      <c r="G1147" s="48"/>
      <c r="H1147" s="48"/>
      <c r="I1147" s="48"/>
    </row>
    <row r="1148" spans="1:9" hidden="1" x14ac:dyDescent="0.2">
      <c r="A1148" s="46"/>
      <c r="B1148" s="46"/>
      <c r="C1148" s="46"/>
      <c r="D1148" s="48"/>
      <c r="E1148" s="48"/>
      <c r="F1148" s="48"/>
      <c r="G1148" s="48"/>
      <c r="H1148" s="48"/>
      <c r="I1148" s="48"/>
    </row>
    <row r="1149" spans="1:9" hidden="1" x14ac:dyDescent="0.2">
      <c r="A1149" s="46"/>
      <c r="B1149" s="46"/>
      <c r="C1149" s="46"/>
      <c r="D1149" s="48"/>
      <c r="E1149" s="48"/>
      <c r="F1149" s="48"/>
      <c r="G1149" s="48"/>
      <c r="H1149" s="48"/>
      <c r="I1149" s="48"/>
    </row>
    <row r="1150" spans="1:9" hidden="1" x14ac:dyDescent="0.2">
      <c r="A1150" s="46"/>
      <c r="B1150" s="46"/>
      <c r="C1150" s="46"/>
      <c r="D1150" s="48"/>
      <c r="E1150" s="48"/>
      <c r="F1150" s="48"/>
      <c r="G1150" s="48"/>
      <c r="H1150" s="48"/>
      <c r="I1150" s="48"/>
    </row>
    <row r="1151" spans="1:9" hidden="1" x14ac:dyDescent="0.2">
      <c r="A1151" s="46"/>
      <c r="B1151" s="46"/>
      <c r="C1151" s="46"/>
      <c r="D1151" s="48"/>
      <c r="E1151" s="48"/>
      <c r="F1151" s="48"/>
      <c r="G1151" s="48"/>
      <c r="H1151" s="48"/>
      <c r="I1151" s="48"/>
    </row>
    <row r="1152" spans="1:9" hidden="1" x14ac:dyDescent="0.2">
      <c r="A1152" s="46"/>
      <c r="B1152" s="46"/>
      <c r="C1152" s="46"/>
      <c r="D1152" s="48"/>
      <c r="E1152" s="48"/>
      <c r="F1152" s="48"/>
      <c r="G1152" s="48"/>
      <c r="H1152" s="48"/>
      <c r="I1152" s="48"/>
    </row>
    <row r="1153" spans="1:9" hidden="1" x14ac:dyDescent="0.2">
      <c r="A1153" s="46"/>
      <c r="B1153" s="46"/>
      <c r="C1153" s="46"/>
      <c r="D1153" s="48"/>
      <c r="E1153" s="48"/>
      <c r="F1153" s="48"/>
      <c r="G1153" s="48"/>
      <c r="H1153" s="48"/>
      <c r="I1153" s="48"/>
    </row>
    <row r="1154" spans="1:9" hidden="1" x14ac:dyDescent="0.2">
      <c r="A1154" s="46"/>
      <c r="B1154" s="46"/>
      <c r="C1154" s="46"/>
      <c r="D1154" s="48"/>
      <c r="E1154" s="48"/>
      <c r="F1154" s="48"/>
      <c r="G1154" s="48"/>
      <c r="H1154" s="48"/>
      <c r="I1154" s="48"/>
    </row>
    <row r="1155" spans="1:9" hidden="1" x14ac:dyDescent="0.2">
      <c r="A1155" s="46"/>
      <c r="B1155" s="46"/>
      <c r="C1155" s="46"/>
      <c r="D1155" s="48"/>
      <c r="E1155" s="48"/>
      <c r="F1155" s="48"/>
      <c r="G1155" s="48"/>
      <c r="H1155" s="48"/>
      <c r="I1155" s="48"/>
    </row>
    <row r="1156" spans="1:9" hidden="1" x14ac:dyDescent="0.2">
      <c r="A1156" s="46"/>
      <c r="B1156" s="46"/>
      <c r="C1156" s="46"/>
      <c r="D1156" s="48"/>
      <c r="E1156" s="48"/>
      <c r="F1156" s="48"/>
      <c r="G1156" s="48"/>
      <c r="H1156" s="48"/>
      <c r="I1156" s="48"/>
    </row>
    <row r="1157" spans="1:9" hidden="1" x14ac:dyDescent="0.2">
      <c r="A1157" s="46"/>
      <c r="B1157" s="46"/>
      <c r="C1157" s="46"/>
      <c r="D1157" s="48"/>
      <c r="E1157" s="48"/>
      <c r="F1157" s="48"/>
      <c r="G1157" s="48"/>
      <c r="H1157" s="48"/>
      <c r="I1157" s="48"/>
    </row>
    <row r="1158" spans="1:9" hidden="1" x14ac:dyDescent="0.2">
      <c r="A1158" s="46"/>
      <c r="B1158" s="46"/>
      <c r="C1158" s="46"/>
      <c r="D1158" s="48"/>
      <c r="E1158" s="48"/>
      <c r="F1158" s="48"/>
      <c r="G1158" s="48"/>
      <c r="H1158" s="48"/>
      <c r="I1158" s="48"/>
    </row>
    <row r="1159" spans="1:9" hidden="1" x14ac:dyDescent="0.2">
      <c r="A1159" s="46"/>
      <c r="B1159" s="46"/>
      <c r="C1159" s="46"/>
      <c r="D1159" s="48"/>
      <c r="E1159" s="48"/>
      <c r="F1159" s="48"/>
      <c r="G1159" s="48"/>
      <c r="H1159" s="48"/>
      <c r="I1159" s="48"/>
    </row>
    <row r="1160" spans="1:9" hidden="1" x14ac:dyDescent="0.2">
      <c r="A1160" s="46"/>
      <c r="B1160" s="46"/>
      <c r="C1160" s="46"/>
      <c r="D1160" s="48"/>
      <c r="E1160" s="48"/>
      <c r="F1160" s="48"/>
      <c r="G1160" s="48"/>
      <c r="H1160" s="48"/>
      <c r="I1160" s="48"/>
    </row>
    <row r="1161" spans="1:9" hidden="1" x14ac:dyDescent="0.2">
      <c r="A1161" s="46"/>
      <c r="B1161" s="46"/>
      <c r="C1161" s="46"/>
      <c r="D1161" s="48"/>
      <c r="E1161" s="48"/>
      <c r="F1161" s="48"/>
      <c r="G1161" s="48"/>
      <c r="H1161" s="48"/>
      <c r="I1161" s="48"/>
    </row>
    <row r="1162" spans="1:9" hidden="1" x14ac:dyDescent="0.2">
      <c r="A1162" s="46"/>
      <c r="B1162" s="46"/>
      <c r="C1162" s="46"/>
      <c r="D1162" s="48"/>
      <c r="E1162" s="48"/>
      <c r="F1162" s="48"/>
      <c r="G1162" s="48"/>
      <c r="H1162" s="48"/>
      <c r="I1162" s="48"/>
    </row>
    <row r="1163" spans="1:9" hidden="1" x14ac:dyDescent="0.2">
      <c r="A1163" s="46"/>
      <c r="B1163" s="46"/>
      <c r="C1163" s="46"/>
      <c r="D1163" s="48"/>
      <c r="E1163" s="48"/>
      <c r="F1163" s="48"/>
      <c r="G1163" s="48"/>
      <c r="H1163" s="48"/>
      <c r="I1163" s="48"/>
    </row>
    <row r="1164" spans="1:9" hidden="1" x14ac:dyDescent="0.2">
      <c r="A1164" s="46"/>
      <c r="B1164" s="46"/>
      <c r="C1164" s="46"/>
      <c r="D1164" s="48"/>
      <c r="E1164" s="48"/>
      <c r="F1164" s="48"/>
      <c r="G1164" s="48"/>
      <c r="H1164" s="48"/>
      <c r="I1164" s="48"/>
    </row>
    <row r="1165" spans="1:9" hidden="1" x14ac:dyDescent="0.2">
      <c r="A1165" s="46"/>
      <c r="B1165" s="46"/>
      <c r="C1165" s="46"/>
      <c r="D1165" s="48"/>
      <c r="E1165" s="48"/>
      <c r="F1165" s="48"/>
      <c r="G1165" s="48"/>
      <c r="H1165" s="48"/>
      <c r="I1165" s="48"/>
    </row>
    <row r="1166" spans="1:9" hidden="1" x14ac:dyDescent="0.2">
      <c r="A1166" s="46"/>
      <c r="B1166" s="46"/>
      <c r="C1166" s="46"/>
      <c r="D1166" s="48"/>
      <c r="E1166" s="48"/>
      <c r="F1166" s="48"/>
      <c r="G1166" s="48"/>
      <c r="H1166" s="48"/>
      <c r="I1166" s="48"/>
    </row>
    <row r="1167" spans="1:9" hidden="1" x14ac:dyDescent="0.2">
      <c r="A1167" s="46"/>
      <c r="B1167" s="46"/>
      <c r="C1167" s="46"/>
      <c r="D1167" s="48"/>
      <c r="E1167" s="48"/>
      <c r="F1167" s="48"/>
      <c r="G1167" s="48"/>
      <c r="H1167" s="48"/>
      <c r="I1167" s="48"/>
    </row>
    <row r="1168" spans="1:9" hidden="1" x14ac:dyDescent="0.2">
      <c r="A1168" s="46"/>
      <c r="B1168" s="46"/>
      <c r="C1168" s="46"/>
      <c r="D1168" s="48"/>
      <c r="E1168" s="48"/>
      <c r="F1168" s="48"/>
      <c r="G1168" s="48"/>
      <c r="H1168" s="48"/>
      <c r="I1168" s="48"/>
    </row>
    <row r="1169" spans="1:9" hidden="1" x14ac:dyDescent="0.2">
      <c r="A1169" s="46"/>
      <c r="B1169" s="46"/>
      <c r="C1169" s="46"/>
      <c r="D1169" s="48"/>
      <c r="E1169" s="48"/>
      <c r="F1169" s="48"/>
      <c r="G1169" s="48"/>
      <c r="H1169" s="48"/>
      <c r="I1169" s="48"/>
    </row>
    <row r="1170" spans="1:9" hidden="1" x14ac:dyDescent="0.2">
      <c r="A1170" s="46"/>
      <c r="B1170" s="46"/>
      <c r="C1170" s="46"/>
      <c r="D1170" s="48"/>
      <c r="E1170" s="48"/>
      <c r="F1170" s="48"/>
      <c r="G1170" s="48"/>
      <c r="H1170" s="48"/>
      <c r="I1170" s="48"/>
    </row>
    <row r="1171" spans="1:9" hidden="1" x14ac:dyDescent="0.2">
      <c r="A1171" s="46"/>
      <c r="B1171" s="46"/>
      <c r="C1171" s="46"/>
      <c r="D1171" s="48"/>
      <c r="E1171" s="48"/>
      <c r="F1171" s="48"/>
      <c r="G1171" s="48"/>
      <c r="H1171" s="48"/>
      <c r="I1171" s="48"/>
    </row>
    <row r="1172" spans="1:9" hidden="1" x14ac:dyDescent="0.2">
      <c r="A1172" s="46"/>
      <c r="B1172" s="46"/>
      <c r="C1172" s="46"/>
      <c r="D1172" s="48"/>
      <c r="E1172" s="48"/>
      <c r="F1172" s="48"/>
      <c r="G1172" s="48"/>
      <c r="H1172" s="48"/>
      <c r="I1172" s="48"/>
    </row>
    <row r="1173" spans="1:9" hidden="1" x14ac:dyDescent="0.2">
      <c r="A1173" s="46"/>
      <c r="B1173" s="46"/>
      <c r="C1173" s="46"/>
      <c r="D1173" s="48"/>
      <c r="E1173" s="48"/>
      <c r="F1173" s="48"/>
      <c r="G1173" s="48"/>
      <c r="H1173" s="48"/>
      <c r="I1173" s="48"/>
    </row>
    <row r="1174" spans="1:9" hidden="1" x14ac:dyDescent="0.2">
      <c r="A1174" s="46"/>
      <c r="B1174" s="46"/>
      <c r="C1174" s="46"/>
      <c r="D1174" s="48"/>
      <c r="E1174" s="48"/>
      <c r="F1174" s="48"/>
      <c r="G1174" s="48"/>
      <c r="H1174" s="48"/>
      <c r="I1174" s="48"/>
    </row>
    <row r="1175" spans="1:9" hidden="1" x14ac:dyDescent="0.2">
      <c r="A1175" s="46"/>
      <c r="B1175" s="46"/>
      <c r="C1175" s="46"/>
      <c r="D1175" s="48"/>
      <c r="E1175" s="48"/>
      <c r="F1175" s="48"/>
      <c r="G1175" s="48"/>
      <c r="H1175" s="48"/>
      <c r="I1175" s="48"/>
    </row>
    <row r="1176" spans="1:9" hidden="1" x14ac:dyDescent="0.2">
      <c r="A1176" s="46"/>
      <c r="B1176" s="46"/>
      <c r="C1176" s="46"/>
      <c r="D1176" s="48"/>
      <c r="E1176" s="48"/>
      <c r="F1176" s="48"/>
      <c r="G1176" s="48"/>
      <c r="H1176" s="48"/>
      <c r="I1176" s="48"/>
    </row>
    <row r="1177" spans="1:9" hidden="1" x14ac:dyDescent="0.2">
      <c r="A1177" s="46"/>
      <c r="B1177" s="46"/>
      <c r="C1177" s="46"/>
      <c r="D1177" s="48"/>
      <c r="E1177" s="48"/>
      <c r="F1177" s="48"/>
      <c r="G1177" s="48"/>
      <c r="H1177" s="48"/>
      <c r="I1177" s="48"/>
    </row>
    <row r="1178" spans="1:9" hidden="1" x14ac:dyDescent="0.2">
      <c r="A1178" s="46"/>
      <c r="B1178" s="46"/>
      <c r="C1178" s="46"/>
      <c r="D1178" s="48"/>
      <c r="E1178" s="48"/>
      <c r="F1178" s="48"/>
      <c r="G1178" s="48"/>
      <c r="H1178" s="48"/>
      <c r="I1178" s="48"/>
    </row>
    <row r="1179" spans="1:9" hidden="1" x14ac:dyDescent="0.2">
      <c r="A1179" s="46"/>
      <c r="B1179" s="46"/>
      <c r="C1179" s="46"/>
      <c r="D1179" s="48"/>
      <c r="E1179" s="48"/>
      <c r="F1179" s="48"/>
      <c r="G1179" s="48"/>
      <c r="H1179" s="48"/>
      <c r="I1179" s="48"/>
    </row>
    <row r="1180" spans="1:9" hidden="1" x14ac:dyDescent="0.2">
      <c r="A1180" s="46"/>
      <c r="B1180" s="46"/>
      <c r="C1180" s="46"/>
      <c r="D1180" s="48"/>
      <c r="E1180" s="48"/>
      <c r="F1180" s="48"/>
      <c r="G1180" s="48"/>
      <c r="H1180" s="48"/>
      <c r="I1180" s="48"/>
    </row>
    <row r="1181" spans="1:9" hidden="1" x14ac:dyDescent="0.2">
      <c r="A1181" s="46"/>
      <c r="B1181" s="46"/>
      <c r="C1181" s="46"/>
      <c r="D1181" s="48"/>
      <c r="E1181" s="48"/>
      <c r="F1181" s="48"/>
      <c r="G1181" s="48"/>
      <c r="H1181" s="48"/>
      <c r="I1181" s="48"/>
    </row>
    <row r="1182" spans="1:9" hidden="1" x14ac:dyDescent="0.2">
      <c r="A1182" s="46"/>
      <c r="B1182" s="46"/>
      <c r="C1182" s="46"/>
      <c r="D1182" s="48"/>
      <c r="E1182" s="48"/>
      <c r="F1182" s="48"/>
      <c r="G1182" s="48"/>
      <c r="H1182" s="48"/>
      <c r="I1182" s="48"/>
    </row>
    <row r="1183" spans="1:9" hidden="1" x14ac:dyDescent="0.2">
      <c r="A1183" s="46"/>
      <c r="B1183" s="46"/>
      <c r="C1183" s="46"/>
      <c r="D1183" s="48"/>
      <c r="E1183" s="48"/>
      <c r="F1183" s="48"/>
      <c r="G1183" s="48"/>
      <c r="H1183" s="48"/>
      <c r="I1183" s="48"/>
    </row>
    <row r="1184" spans="1:9" hidden="1" x14ac:dyDescent="0.2">
      <c r="A1184" s="46"/>
      <c r="B1184" s="46"/>
      <c r="C1184" s="46"/>
      <c r="D1184" s="48"/>
      <c r="E1184" s="48"/>
      <c r="F1184" s="48"/>
      <c r="G1184" s="48"/>
      <c r="H1184" s="48"/>
      <c r="I1184" s="48"/>
    </row>
    <row r="1185" spans="1:9" hidden="1" x14ac:dyDescent="0.2">
      <c r="A1185" s="46"/>
      <c r="B1185" s="46"/>
      <c r="C1185" s="46"/>
      <c r="D1185" s="48"/>
      <c r="E1185" s="48"/>
      <c r="F1185" s="48"/>
      <c r="G1185" s="48"/>
      <c r="H1185" s="48"/>
      <c r="I1185" s="48"/>
    </row>
    <row r="1186" spans="1:9" hidden="1" x14ac:dyDescent="0.2">
      <c r="A1186" s="46"/>
      <c r="B1186" s="46"/>
      <c r="C1186" s="46"/>
      <c r="D1186" s="48"/>
      <c r="E1186" s="48"/>
      <c r="F1186" s="48"/>
      <c r="G1186" s="48"/>
      <c r="H1186" s="48"/>
      <c r="I1186" s="48"/>
    </row>
    <row r="1187" spans="1:9" hidden="1" x14ac:dyDescent="0.2">
      <c r="A1187" s="46"/>
      <c r="B1187" s="46"/>
      <c r="C1187" s="46"/>
      <c r="D1187" s="48"/>
      <c r="E1187" s="48"/>
      <c r="F1187" s="48"/>
      <c r="G1187" s="48"/>
      <c r="H1187" s="48"/>
      <c r="I1187" s="48"/>
    </row>
    <row r="1188" spans="1:9" hidden="1" x14ac:dyDescent="0.2">
      <c r="A1188" s="46"/>
      <c r="B1188" s="46"/>
      <c r="C1188" s="46"/>
      <c r="D1188" s="48"/>
      <c r="E1188" s="48"/>
      <c r="F1188" s="48"/>
      <c r="G1188" s="48"/>
      <c r="H1188" s="48"/>
      <c r="I1188" s="48"/>
    </row>
    <row r="1189" spans="1:9" hidden="1" x14ac:dyDescent="0.2">
      <c r="A1189" s="46"/>
      <c r="B1189" s="46"/>
      <c r="C1189" s="46"/>
      <c r="D1189" s="48"/>
      <c r="E1189" s="48"/>
      <c r="F1189" s="48"/>
      <c r="G1189" s="48"/>
      <c r="H1189" s="48"/>
      <c r="I1189" s="48"/>
    </row>
    <row r="1190" spans="1:9" hidden="1" x14ac:dyDescent="0.2">
      <c r="A1190" s="46"/>
      <c r="B1190" s="46"/>
      <c r="C1190" s="46"/>
      <c r="D1190" s="48"/>
      <c r="E1190" s="48"/>
      <c r="F1190" s="48"/>
      <c r="G1190" s="48"/>
      <c r="H1190" s="48"/>
      <c r="I1190" s="48"/>
    </row>
    <row r="1191" spans="1:9" hidden="1" x14ac:dyDescent="0.2">
      <c r="A1191" s="46"/>
      <c r="B1191" s="46"/>
      <c r="C1191" s="46"/>
      <c r="D1191" s="48"/>
      <c r="E1191" s="48"/>
      <c r="F1191" s="48"/>
      <c r="G1191" s="48"/>
      <c r="H1191" s="48"/>
      <c r="I1191" s="48"/>
    </row>
    <row r="1192" spans="1:9" hidden="1" x14ac:dyDescent="0.2">
      <c r="A1192" s="46"/>
      <c r="B1192" s="46"/>
      <c r="C1192" s="46"/>
      <c r="D1192" s="48"/>
      <c r="E1192" s="48"/>
      <c r="F1192" s="48"/>
      <c r="G1192" s="48"/>
      <c r="H1192" s="48"/>
      <c r="I1192" s="48"/>
    </row>
    <row r="1193" spans="1:9" hidden="1" x14ac:dyDescent="0.2">
      <c r="A1193" s="46"/>
      <c r="B1193" s="46"/>
      <c r="C1193" s="46"/>
      <c r="D1193" s="48"/>
      <c r="E1193" s="48"/>
      <c r="F1193" s="48"/>
      <c r="G1193" s="48"/>
      <c r="H1193" s="48"/>
      <c r="I1193" s="48"/>
    </row>
    <row r="1194" spans="1:9" hidden="1" x14ac:dyDescent="0.2">
      <c r="A1194" s="46"/>
      <c r="B1194" s="46"/>
      <c r="C1194" s="46"/>
      <c r="D1194" s="48"/>
      <c r="E1194" s="48"/>
      <c r="F1194" s="48"/>
      <c r="G1194" s="48"/>
      <c r="H1194" s="48"/>
      <c r="I1194" s="48"/>
    </row>
    <row r="1195" spans="1:9" hidden="1" x14ac:dyDescent="0.2">
      <c r="A1195" s="46"/>
      <c r="B1195" s="46"/>
      <c r="C1195" s="46"/>
      <c r="D1195" s="48"/>
      <c r="E1195" s="48"/>
      <c r="F1195" s="48"/>
      <c r="G1195" s="48"/>
      <c r="H1195" s="48"/>
      <c r="I1195" s="48"/>
    </row>
    <row r="1196" spans="1:9" hidden="1" x14ac:dyDescent="0.2">
      <c r="A1196" s="46"/>
      <c r="B1196" s="46"/>
      <c r="C1196" s="46"/>
      <c r="D1196" s="48"/>
      <c r="E1196" s="48"/>
      <c r="F1196" s="48"/>
      <c r="G1196" s="48"/>
      <c r="H1196" s="48"/>
      <c r="I1196" s="48"/>
    </row>
    <row r="1197" spans="1:9" hidden="1" x14ac:dyDescent="0.2">
      <c r="A1197" s="46"/>
      <c r="B1197" s="46"/>
      <c r="C1197" s="46"/>
      <c r="D1197" s="48"/>
      <c r="E1197" s="48"/>
      <c r="F1197" s="48"/>
      <c r="G1197" s="48"/>
      <c r="H1197" s="48"/>
      <c r="I1197" s="48"/>
    </row>
    <row r="1198" spans="1:9" hidden="1" x14ac:dyDescent="0.2">
      <c r="A1198" s="46"/>
      <c r="B1198" s="46"/>
      <c r="C1198" s="46"/>
      <c r="D1198" s="48"/>
      <c r="E1198" s="48"/>
      <c r="F1198" s="48"/>
      <c r="G1198" s="48"/>
      <c r="H1198" s="48"/>
      <c r="I1198" s="48"/>
    </row>
    <row r="1199" spans="1:9" hidden="1" x14ac:dyDescent="0.2">
      <c r="A1199" s="46"/>
      <c r="B1199" s="46"/>
      <c r="C1199" s="46"/>
      <c r="D1199" s="48"/>
      <c r="E1199" s="48"/>
      <c r="F1199" s="48"/>
      <c r="G1199" s="48"/>
      <c r="H1199" s="48"/>
      <c r="I1199" s="48"/>
    </row>
    <row r="1200" spans="1:9" hidden="1" x14ac:dyDescent="0.2">
      <c r="A1200" s="46"/>
      <c r="B1200" s="46"/>
      <c r="C1200" s="46"/>
      <c r="D1200" s="48"/>
      <c r="E1200" s="48"/>
      <c r="F1200" s="48"/>
      <c r="G1200" s="48"/>
      <c r="H1200" s="48"/>
      <c r="I1200" s="48"/>
    </row>
    <row r="1201" spans="1:9" hidden="1" x14ac:dyDescent="0.2">
      <c r="A1201" s="46"/>
      <c r="B1201" s="46"/>
      <c r="C1201" s="46"/>
      <c r="D1201" s="48"/>
      <c r="E1201" s="48"/>
      <c r="F1201" s="48"/>
      <c r="G1201" s="48"/>
      <c r="H1201" s="48"/>
      <c r="I1201" s="48"/>
    </row>
    <row r="1202" spans="1:9" hidden="1" x14ac:dyDescent="0.2">
      <c r="A1202" s="46"/>
      <c r="B1202" s="46"/>
      <c r="C1202" s="46"/>
      <c r="D1202" s="48"/>
      <c r="E1202" s="48"/>
      <c r="F1202" s="48"/>
      <c r="G1202" s="48"/>
      <c r="H1202" s="48"/>
      <c r="I1202" s="48"/>
    </row>
    <row r="1203" spans="1:9" hidden="1" x14ac:dyDescent="0.2">
      <c r="A1203" s="46"/>
      <c r="B1203" s="46"/>
      <c r="C1203" s="46"/>
      <c r="D1203" s="48"/>
      <c r="E1203" s="48"/>
      <c r="F1203" s="48"/>
      <c r="G1203" s="48"/>
      <c r="H1203" s="48"/>
      <c r="I1203" s="48"/>
    </row>
    <row r="1204" spans="1:9" hidden="1" x14ac:dyDescent="0.2">
      <c r="A1204" s="46"/>
      <c r="B1204" s="46"/>
      <c r="C1204" s="46"/>
      <c r="D1204" s="48"/>
      <c r="E1204" s="48"/>
      <c r="F1204" s="48"/>
      <c r="G1204" s="48"/>
      <c r="H1204" s="48"/>
      <c r="I1204" s="48"/>
    </row>
    <row r="1205" spans="1:9" hidden="1" x14ac:dyDescent="0.2">
      <c r="A1205" s="46"/>
      <c r="B1205" s="46"/>
      <c r="C1205" s="46"/>
      <c r="D1205" s="48"/>
      <c r="E1205" s="48"/>
      <c r="F1205" s="48"/>
      <c r="G1205" s="48"/>
      <c r="H1205" s="48"/>
      <c r="I1205" s="48"/>
    </row>
    <row r="1206" spans="1:9" hidden="1" x14ac:dyDescent="0.2">
      <c r="A1206" s="46"/>
      <c r="B1206" s="46"/>
      <c r="C1206" s="46"/>
      <c r="D1206" s="48"/>
      <c r="E1206" s="48"/>
      <c r="F1206" s="48"/>
      <c r="G1206" s="48"/>
      <c r="H1206" s="48"/>
      <c r="I1206" s="48"/>
    </row>
    <row r="1207" spans="1:9" hidden="1" x14ac:dyDescent="0.2">
      <c r="A1207" s="46"/>
      <c r="B1207" s="46"/>
      <c r="C1207" s="46"/>
      <c r="D1207" s="48"/>
      <c r="E1207" s="48"/>
      <c r="F1207" s="48"/>
      <c r="G1207" s="48"/>
      <c r="H1207" s="48"/>
      <c r="I1207" s="48"/>
    </row>
    <row r="1208" spans="1:9" hidden="1" x14ac:dyDescent="0.2">
      <c r="A1208" s="46"/>
      <c r="B1208" s="46"/>
      <c r="C1208" s="46"/>
      <c r="D1208" s="48"/>
      <c r="E1208" s="48"/>
      <c r="F1208" s="48"/>
      <c r="G1208" s="48"/>
      <c r="H1208" s="48"/>
      <c r="I1208" s="48"/>
    </row>
    <row r="1209" spans="1:9" hidden="1" x14ac:dyDescent="0.2">
      <c r="A1209" s="46"/>
      <c r="B1209" s="46"/>
      <c r="C1209" s="46"/>
      <c r="D1209" s="48"/>
      <c r="E1209" s="48"/>
      <c r="F1209" s="48"/>
      <c r="G1209" s="48"/>
      <c r="H1209" s="48"/>
      <c r="I1209" s="48"/>
    </row>
    <row r="1210" spans="1:9" hidden="1" x14ac:dyDescent="0.2">
      <c r="A1210" s="46"/>
      <c r="B1210" s="46"/>
      <c r="C1210" s="46"/>
      <c r="D1210" s="48"/>
      <c r="E1210" s="48"/>
      <c r="F1210" s="48"/>
      <c r="G1210" s="48"/>
      <c r="H1210" s="48"/>
      <c r="I1210" s="48"/>
    </row>
    <row r="1211" spans="1:9" hidden="1" x14ac:dyDescent="0.2">
      <c r="A1211" s="46"/>
      <c r="B1211" s="46"/>
      <c r="C1211" s="46"/>
      <c r="D1211" s="48"/>
      <c r="E1211" s="48"/>
      <c r="F1211" s="48"/>
      <c r="G1211" s="48"/>
      <c r="H1211" s="48"/>
      <c r="I1211" s="48"/>
    </row>
    <row r="1212" spans="1:9" hidden="1" x14ac:dyDescent="0.2">
      <c r="A1212" s="46"/>
      <c r="B1212" s="46"/>
      <c r="C1212" s="46"/>
      <c r="D1212" s="48"/>
      <c r="E1212" s="48"/>
      <c r="F1212" s="48"/>
      <c r="G1212" s="48"/>
      <c r="H1212" s="48"/>
      <c r="I1212" s="48"/>
    </row>
    <row r="1213" spans="1:9" hidden="1" x14ac:dyDescent="0.2">
      <c r="A1213" s="46"/>
      <c r="B1213" s="46"/>
      <c r="C1213" s="46"/>
      <c r="D1213" s="48"/>
      <c r="E1213" s="48"/>
      <c r="F1213" s="48"/>
      <c r="G1213" s="48"/>
      <c r="H1213" s="48"/>
      <c r="I1213" s="48"/>
    </row>
    <row r="1214" spans="1:9" hidden="1" x14ac:dyDescent="0.2">
      <c r="A1214" s="46"/>
      <c r="B1214" s="46"/>
      <c r="C1214" s="46"/>
      <c r="D1214" s="48"/>
      <c r="E1214" s="48"/>
      <c r="F1214" s="48"/>
      <c r="G1214" s="48"/>
      <c r="H1214" s="48"/>
      <c r="I1214" s="48"/>
    </row>
    <row r="1215" spans="1:9" hidden="1" x14ac:dyDescent="0.2">
      <c r="A1215" s="46"/>
      <c r="B1215" s="46"/>
      <c r="C1215" s="46"/>
      <c r="D1215" s="48"/>
      <c r="E1215" s="48"/>
      <c r="F1215" s="48"/>
      <c r="G1215" s="48"/>
      <c r="H1215" s="48"/>
      <c r="I1215" s="48"/>
    </row>
    <row r="1216" spans="1:9" hidden="1" x14ac:dyDescent="0.2">
      <c r="A1216" s="46"/>
      <c r="B1216" s="46"/>
      <c r="C1216" s="46"/>
      <c r="D1216" s="48"/>
      <c r="E1216" s="48"/>
      <c r="F1216" s="48"/>
      <c r="G1216" s="48"/>
      <c r="H1216" s="48"/>
      <c r="I1216" s="48"/>
    </row>
    <row r="1217" spans="1:9" hidden="1" x14ac:dyDescent="0.2">
      <c r="A1217" s="46"/>
      <c r="B1217" s="46"/>
      <c r="C1217" s="46"/>
      <c r="D1217" s="48"/>
      <c r="E1217" s="48"/>
      <c r="F1217" s="48"/>
      <c r="G1217" s="48"/>
      <c r="H1217" s="48"/>
      <c r="I1217" s="48"/>
    </row>
    <row r="1218" spans="1:9" hidden="1" x14ac:dyDescent="0.2">
      <c r="A1218" s="46"/>
      <c r="B1218" s="46"/>
      <c r="C1218" s="46"/>
      <c r="D1218" s="48"/>
      <c r="E1218" s="48"/>
      <c r="F1218" s="48"/>
      <c r="G1218" s="48"/>
      <c r="H1218" s="48"/>
      <c r="I1218" s="48"/>
    </row>
    <row r="1219" spans="1:9" hidden="1" x14ac:dyDescent="0.2">
      <c r="A1219" s="46"/>
      <c r="B1219" s="46"/>
      <c r="C1219" s="46"/>
      <c r="D1219" s="48"/>
      <c r="E1219" s="48"/>
      <c r="F1219" s="48"/>
      <c r="G1219" s="48"/>
      <c r="H1219" s="48"/>
      <c r="I1219" s="48"/>
    </row>
    <row r="1220" spans="1:9" hidden="1" x14ac:dyDescent="0.2">
      <c r="A1220" s="46"/>
      <c r="B1220" s="46"/>
      <c r="C1220" s="46"/>
      <c r="D1220" s="48"/>
      <c r="E1220" s="48"/>
      <c r="F1220" s="48"/>
      <c r="G1220" s="48"/>
      <c r="H1220" s="48"/>
      <c r="I1220" s="48"/>
    </row>
    <row r="1221" spans="1:9" hidden="1" x14ac:dyDescent="0.2">
      <c r="A1221" s="46"/>
      <c r="B1221" s="46"/>
      <c r="C1221" s="46"/>
      <c r="D1221" s="48"/>
      <c r="E1221" s="48"/>
      <c r="F1221" s="48"/>
      <c r="G1221" s="48"/>
      <c r="H1221" s="48"/>
      <c r="I1221" s="48"/>
    </row>
    <row r="1222" spans="1:9" hidden="1" x14ac:dyDescent="0.2">
      <c r="A1222" s="46"/>
      <c r="B1222" s="46"/>
      <c r="C1222" s="46"/>
      <c r="D1222" s="48"/>
      <c r="E1222" s="48"/>
      <c r="F1222" s="48"/>
      <c r="G1222" s="48"/>
      <c r="H1222" s="48"/>
      <c r="I1222" s="48"/>
    </row>
    <row r="1223" spans="1:9" hidden="1" x14ac:dyDescent="0.2">
      <c r="A1223" s="46"/>
      <c r="B1223" s="46"/>
      <c r="C1223" s="46"/>
      <c r="D1223" s="48"/>
      <c r="E1223" s="48"/>
      <c r="F1223" s="48"/>
      <c r="G1223" s="48"/>
      <c r="H1223" s="48"/>
      <c r="I1223" s="48"/>
    </row>
    <row r="1224" spans="1:9" hidden="1" x14ac:dyDescent="0.2">
      <c r="A1224" s="46"/>
      <c r="B1224" s="46"/>
      <c r="C1224" s="46"/>
      <c r="D1224" s="48"/>
      <c r="E1224" s="48"/>
      <c r="F1224" s="48"/>
      <c r="G1224" s="48"/>
      <c r="H1224" s="48"/>
      <c r="I1224" s="48"/>
    </row>
    <row r="1225" spans="1:9" hidden="1" x14ac:dyDescent="0.2">
      <c r="A1225" s="46"/>
      <c r="B1225" s="46"/>
      <c r="C1225" s="46"/>
      <c r="D1225" s="48"/>
      <c r="E1225" s="48"/>
      <c r="F1225" s="48"/>
      <c r="G1225" s="48"/>
      <c r="H1225" s="48"/>
      <c r="I1225" s="48"/>
    </row>
    <row r="1226" spans="1:9" hidden="1" x14ac:dyDescent="0.2">
      <c r="A1226" s="46"/>
      <c r="B1226" s="46"/>
      <c r="C1226" s="46"/>
      <c r="D1226" s="48"/>
      <c r="E1226" s="48"/>
      <c r="F1226" s="48"/>
      <c r="G1226" s="48"/>
      <c r="H1226" s="48"/>
      <c r="I1226" s="48"/>
    </row>
    <row r="1227" spans="1:9" hidden="1" x14ac:dyDescent="0.2">
      <c r="A1227" s="46"/>
      <c r="B1227" s="46"/>
      <c r="C1227" s="46"/>
      <c r="D1227" s="48"/>
      <c r="E1227" s="48"/>
      <c r="F1227" s="48"/>
      <c r="G1227" s="48"/>
      <c r="H1227" s="48"/>
      <c r="I1227" s="48"/>
    </row>
    <row r="1228" spans="1:9" hidden="1" x14ac:dyDescent="0.2">
      <c r="A1228" s="46"/>
      <c r="B1228" s="46"/>
      <c r="C1228" s="46"/>
      <c r="D1228" s="48"/>
      <c r="E1228" s="48"/>
      <c r="F1228" s="48"/>
      <c r="G1228" s="48"/>
      <c r="H1228" s="48"/>
      <c r="I1228" s="48"/>
    </row>
    <row r="1229" spans="1:9" hidden="1" x14ac:dyDescent="0.2">
      <c r="A1229" s="46"/>
      <c r="B1229" s="46"/>
      <c r="C1229" s="46"/>
      <c r="D1229" s="48"/>
      <c r="E1229" s="48"/>
      <c r="F1229" s="48"/>
      <c r="G1229" s="48"/>
      <c r="H1229" s="48"/>
      <c r="I1229" s="48"/>
    </row>
    <row r="1230" spans="1:9" hidden="1" x14ac:dyDescent="0.2">
      <c r="A1230" s="46"/>
      <c r="B1230" s="46"/>
      <c r="C1230" s="46"/>
      <c r="D1230" s="48"/>
      <c r="E1230" s="48"/>
      <c r="F1230" s="48"/>
      <c r="G1230" s="48"/>
      <c r="H1230" s="48"/>
      <c r="I1230" s="48"/>
    </row>
    <row r="1231" spans="1:9" hidden="1" x14ac:dyDescent="0.2">
      <c r="A1231" s="46"/>
      <c r="B1231" s="46"/>
      <c r="C1231" s="46"/>
      <c r="D1231" s="48"/>
      <c r="E1231" s="48"/>
      <c r="F1231" s="48"/>
      <c r="G1231" s="48"/>
      <c r="H1231" s="48"/>
      <c r="I1231" s="48"/>
    </row>
    <row r="1232" spans="1:9" hidden="1" x14ac:dyDescent="0.2">
      <c r="A1232" s="46"/>
      <c r="B1232" s="46"/>
      <c r="C1232" s="46"/>
      <c r="D1232" s="48"/>
      <c r="E1232" s="48"/>
      <c r="F1232" s="48"/>
      <c r="G1232" s="48"/>
      <c r="H1232" s="48"/>
      <c r="I1232" s="48"/>
    </row>
    <row r="1233" spans="1:9" hidden="1" x14ac:dyDescent="0.2">
      <c r="A1233" s="46"/>
      <c r="B1233" s="46"/>
      <c r="C1233" s="46"/>
      <c r="D1233" s="48"/>
      <c r="E1233" s="48"/>
      <c r="F1233" s="48"/>
      <c r="G1233" s="48"/>
      <c r="H1233" s="48"/>
      <c r="I1233" s="48"/>
    </row>
    <row r="1234" spans="1:9" hidden="1" x14ac:dyDescent="0.2">
      <c r="A1234" s="46"/>
      <c r="B1234" s="46"/>
      <c r="C1234" s="46"/>
      <c r="D1234" s="48"/>
      <c r="E1234" s="48"/>
      <c r="F1234" s="48"/>
      <c r="G1234" s="48"/>
      <c r="H1234" s="48"/>
      <c r="I1234" s="48"/>
    </row>
    <row r="1235" spans="1:9" hidden="1" x14ac:dyDescent="0.2">
      <c r="A1235" s="46"/>
      <c r="B1235" s="46"/>
      <c r="C1235" s="46"/>
      <c r="D1235" s="48"/>
      <c r="E1235" s="48"/>
      <c r="F1235" s="48"/>
      <c r="G1235" s="48"/>
      <c r="H1235" s="48"/>
      <c r="I1235" s="48"/>
    </row>
    <row r="1236" spans="1:9" hidden="1" x14ac:dyDescent="0.2">
      <c r="A1236" s="46"/>
      <c r="B1236" s="46"/>
      <c r="C1236" s="46"/>
      <c r="D1236" s="48"/>
      <c r="E1236" s="48"/>
      <c r="F1236" s="48"/>
      <c r="G1236" s="48"/>
      <c r="H1236" s="48"/>
      <c r="I1236" s="48"/>
    </row>
    <row r="1237" spans="1:9" hidden="1" x14ac:dyDescent="0.2">
      <c r="A1237" s="46"/>
      <c r="B1237" s="46"/>
      <c r="C1237" s="46"/>
      <c r="D1237" s="48"/>
      <c r="E1237" s="48"/>
      <c r="F1237" s="48"/>
      <c r="G1237" s="48"/>
      <c r="H1237" s="48"/>
      <c r="I1237" s="48"/>
    </row>
    <row r="1238" spans="1:9" hidden="1" x14ac:dyDescent="0.2">
      <c r="A1238" s="46"/>
      <c r="B1238" s="46"/>
      <c r="C1238" s="46"/>
      <c r="D1238" s="48"/>
      <c r="E1238" s="48"/>
      <c r="F1238" s="48"/>
      <c r="G1238" s="48"/>
      <c r="H1238" s="48"/>
      <c r="I1238" s="48"/>
    </row>
    <row r="1239" spans="1:9" hidden="1" x14ac:dyDescent="0.2">
      <c r="A1239" s="46"/>
      <c r="B1239" s="46"/>
      <c r="C1239" s="46"/>
      <c r="D1239" s="48"/>
      <c r="E1239" s="48"/>
      <c r="F1239" s="48"/>
      <c r="G1239" s="48"/>
      <c r="H1239" s="48"/>
      <c r="I1239" s="48"/>
    </row>
    <row r="1240" spans="1:9" hidden="1" x14ac:dyDescent="0.2">
      <c r="A1240" s="46"/>
      <c r="B1240" s="46"/>
      <c r="C1240" s="46"/>
      <c r="D1240" s="48"/>
      <c r="E1240" s="48"/>
      <c r="F1240" s="48"/>
      <c r="G1240" s="48"/>
      <c r="H1240" s="48"/>
      <c r="I1240" s="48"/>
    </row>
    <row r="1241" spans="1:9" hidden="1" x14ac:dyDescent="0.2">
      <c r="A1241" s="46"/>
      <c r="B1241" s="46"/>
      <c r="C1241" s="46"/>
      <c r="D1241" s="48"/>
      <c r="E1241" s="48"/>
      <c r="F1241" s="48"/>
      <c r="G1241" s="48"/>
      <c r="H1241" s="48"/>
      <c r="I1241" s="48"/>
    </row>
    <row r="1242" spans="1:9" hidden="1" x14ac:dyDescent="0.2">
      <c r="A1242" s="46"/>
      <c r="B1242" s="46"/>
      <c r="C1242" s="46"/>
      <c r="D1242" s="48"/>
      <c r="E1242" s="48"/>
      <c r="F1242" s="48"/>
      <c r="G1242" s="48"/>
      <c r="H1242" s="48"/>
      <c r="I1242" s="48"/>
    </row>
    <row r="1243" spans="1:9" hidden="1" x14ac:dyDescent="0.2">
      <c r="A1243" s="46"/>
      <c r="B1243" s="46"/>
      <c r="C1243" s="46"/>
      <c r="D1243" s="48"/>
      <c r="E1243" s="48"/>
      <c r="F1243" s="48"/>
      <c r="G1243" s="48"/>
      <c r="H1243" s="48"/>
      <c r="I1243" s="48"/>
    </row>
    <row r="1244" spans="1:9" hidden="1" x14ac:dyDescent="0.2">
      <c r="A1244" s="46"/>
      <c r="B1244" s="46"/>
      <c r="C1244" s="46"/>
      <c r="D1244" s="48"/>
      <c r="E1244" s="48"/>
      <c r="F1244" s="48"/>
      <c r="G1244" s="48"/>
      <c r="H1244" s="48"/>
      <c r="I1244" s="48"/>
    </row>
    <row r="1245" spans="1:9" hidden="1" x14ac:dyDescent="0.2">
      <c r="A1245" s="46"/>
      <c r="B1245" s="46"/>
      <c r="C1245" s="46"/>
      <c r="D1245" s="48"/>
      <c r="E1245" s="48"/>
      <c r="F1245" s="48"/>
      <c r="G1245" s="48"/>
      <c r="H1245" s="48"/>
      <c r="I1245" s="48"/>
    </row>
    <row r="1246" spans="1:9" hidden="1" x14ac:dyDescent="0.2">
      <c r="A1246" s="46"/>
      <c r="B1246" s="46"/>
      <c r="C1246" s="46"/>
      <c r="D1246" s="48"/>
      <c r="E1246" s="48"/>
      <c r="F1246" s="48"/>
      <c r="G1246" s="48"/>
      <c r="H1246" s="48"/>
      <c r="I1246" s="48"/>
    </row>
    <row r="1247" spans="1:9" hidden="1" x14ac:dyDescent="0.2">
      <c r="A1247" s="46"/>
      <c r="B1247" s="46"/>
      <c r="C1247" s="46"/>
      <c r="D1247" s="48"/>
      <c r="E1247" s="48"/>
      <c r="F1247" s="48"/>
      <c r="G1247" s="48"/>
      <c r="H1247" s="48"/>
      <c r="I1247" s="48"/>
    </row>
    <row r="1248" spans="1:9" hidden="1" x14ac:dyDescent="0.2">
      <c r="A1248" s="46"/>
      <c r="B1248" s="46"/>
      <c r="C1248" s="46"/>
      <c r="D1248" s="48"/>
      <c r="E1248" s="48"/>
      <c r="F1248" s="48"/>
      <c r="G1248" s="48"/>
      <c r="H1248" s="48"/>
      <c r="I1248" s="48"/>
    </row>
    <row r="1249" spans="1:9" hidden="1" x14ac:dyDescent="0.2">
      <c r="A1249" s="46"/>
      <c r="B1249" s="46"/>
      <c r="C1249" s="46"/>
      <c r="D1249" s="48"/>
      <c r="E1249" s="48"/>
      <c r="F1249" s="48"/>
      <c r="G1249" s="48"/>
      <c r="H1249" s="48"/>
      <c r="I1249" s="48"/>
    </row>
    <row r="1250" spans="1:9" hidden="1" x14ac:dyDescent="0.2">
      <c r="A1250" s="46"/>
      <c r="B1250" s="46"/>
      <c r="C1250" s="46"/>
      <c r="D1250" s="48"/>
      <c r="E1250" s="48"/>
      <c r="F1250" s="48"/>
      <c r="G1250" s="48"/>
      <c r="H1250" s="48"/>
      <c r="I1250" s="48"/>
    </row>
    <row r="1251" spans="1:9" hidden="1" x14ac:dyDescent="0.2">
      <c r="A1251" s="46"/>
      <c r="B1251" s="46"/>
      <c r="C1251" s="46"/>
      <c r="D1251" s="48"/>
      <c r="E1251" s="48"/>
      <c r="F1251" s="48"/>
      <c r="G1251" s="48"/>
      <c r="H1251" s="48"/>
      <c r="I1251" s="48"/>
    </row>
    <row r="1252" spans="1:9" hidden="1" x14ac:dyDescent="0.2">
      <c r="A1252" s="46"/>
      <c r="B1252" s="46"/>
      <c r="C1252" s="46"/>
      <c r="D1252" s="48"/>
      <c r="E1252" s="48"/>
      <c r="F1252" s="48"/>
      <c r="G1252" s="48"/>
      <c r="H1252" s="48"/>
      <c r="I1252" s="48"/>
    </row>
    <row r="1253" spans="1:9" hidden="1" x14ac:dyDescent="0.2">
      <c r="A1253" s="46"/>
      <c r="B1253" s="46"/>
      <c r="C1253" s="46"/>
      <c r="D1253" s="48"/>
      <c r="E1253" s="48"/>
      <c r="F1253" s="48"/>
      <c r="G1253" s="48"/>
      <c r="H1253" s="48"/>
      <c r="I1253" s="48"/>
    </row>
    <row r="1254" spans="1:9" hidden="1" x14ac:dyDescent="0.2">
      <c r="A1254" s="46"/>
      <c r="B1254" s="46"/>
      <c r="C1254" s="46"/>
      <c r="D1254" s="48"/>
      <c r="E1254" s="48"/>
      <c r="F1254" s="48"/>
      <c r="G1254" s="48"/>
      <c r="H1254" s="48"/>
      <c r="I1254" s="48"/>
    </row>
    <row r="1255" spans="1:9" hidden="1" x14ac:dyDescent="0.2">
      <c r="A1255" s="46"/>
      <c r="B1255" s="46"/>
      <c r="C1255" s="46"/>
      <c r="D1255" s="48"/>
      <c r="E1255" s="48"/>
      <c r="F1255" s="48"/>
      <c r="G1255" s="48"/>
      <c r="H1255" s="48"/>
      <c r="I1255" s="48"/>
    </row>
    <row r="1256" spans="1:9" hidden="1" x14ac:dyDescent="0.2">
      <c r="A1256" s="46"/>
      <c r="B1256" s="46"/>
      <c r="C1256" s="46"/>
      <c r="D1256" s="48"/>
      <c r="E1256" s="48"/>
      <c r="F1256" s="48"/>
      <c r="G1256" s="48"/>
      <c r="H1256" s="48"/>
      <c r="I1256" s="48"/>
    </row>
    <row r="1257" spans="1:9" hidden="1" x14ac:dyDescent="0.2">
      <c r="A1257" s="46"/>
      <c r="B1257" s="46"/>
      <c r="C1257" s="46"/>
      <c r="D1257" s="48"/>
      <c r="E1257" s="48"/>
      <c r="F1257" s="48"/>
      <c r="G1257" s="48"/>
      <c r="H1257" s="48"/>
      <c r="I1257" s="48"/>
    </row>
    <row r="1258" spans="1:9" hidden="1" x14ac:dyDescent="0.2">
      <c r="A1258" s="46"/>
      <c r="B1258" s="46"/>
      <c r="C1258" s="46"/>
      <c r="D1258" s="48"/>
      <c r="E1258" s="48"/>
      <c r="F1258" s="48"/>
      <c r="G1258" s="48"/>
      <c r="H1258" s="48"/>
      <c r="I1258" s="48"/>
    </row>
    <row r="1259" spans="1:9" hidden="1" x14ac:dyDescent="0.2">
      <c r="A1259" s="46"/>
      <c r="B1259" s="46"/>
      <c r="C1259" s="46"/>
      <c r="D1259" s="48"/>
      <c r="E1259" s="48"/>
      <c r="F1259" s="48"/>
      <c r="G1259" s="48"/>
      <c r="H1259" s="48"/>
      <c r="I1259" s="48"/>
    </row>
    <row r="1260" spans="1:9" hidden="1" x14ac:dyDescent="0.2">
      <c r="A1260" s="46"/>
      <c r="B1260" s="46"/>
      <c r="C1260" s="46"/>
      <c r="D1260" s="48"/>
      <c r="E1260" s="48"/>
      <c r="F1260" s="48"/>
      <c r="G1260" s="48"/>
      <c r="H1260" s="48"/>
      <c r="I1260" s="48"/>
    </row>
    <row r="1261" spans="1:9" hidden="1" x14ac:dyDescent="0.2">
      <c r="A1261" s="46"/>
      <c r="B1261" s="46"/>
      <c r="C1261" s="46"/>
      <c r="D1261" s="48"/>
      <c r="E1261" s="48"/>
      <c r="F1261" s="48"/>
      <c r="G1261" s="48"/>
      <c r="H1261" s="48"/>
      <c r="I1261" s="48"/>
    </row>
    <row r="1262" spans="1:9" hidden="1" x14ac:dyDescent="0.2">
      <c r="A1262" s="46"/>
      <c r="B1262" s="46"/>
      <c r="C1262" s="46"/>
      <c r="D1262" s="48"/>
      <c r="E1262" s="48"/>
      <c r="F1262" s="48"/>
      <c r="G1262" s="48"/>
      <c r="H1262" s="48"/>
      <c r="I1262" s="48"/>
    </row>
    <row r="1263" spans="1:9" hidden="1" x14ac:dyDescent="0.2">
      <c r="A1263" s="46"/>
      <c r="B1263" s="46"/>
      <c r="C1263" s="46"/>
      <c r="D1263" s="48"/>
      <c r="E1263" s="48"/>
      <c r="F1263" s="48"/>
      <c r="G1263" s="48"/>
      <c r="H1263" s="48"/>
      <c r="I1263" s="48"/>
    </row>
    <row r="1264" spans="1:9" hidden="1" x14ac:dyDescent="0.2">
      <c r="A1264" s="46"/>
      <c r="B1264" s="46"/>
      <c r="C1264" s="46"/>
      <c r="D1264" s="48"/>
      <c r="E1264" s="48"/>
      <c r="F1264" s="48"/>
      <c r="G1264" s="48"/>
      <c r="H1264" s="48"/>
      <c r="I1264" s="48"/>
    </row>
    <row r="1265" spans="1:9" hidden="1" x14ac:dyDescent="0.2">
      <c r="A1265" s="46"/>
      <c r="B1265" s="46"/>
      <c r="C1265" s="46"/>
      <c r="D1265" s="48"/>
      <c r="E1265" s="48"/>
      <c r="F1265" s="48"/>
      <c r="G1265" s="48"/>
      <c r="H1265" s="48"/>
      <c r="I1265" s="48"/>
    </row>
    <row r="1266" spans="1:9" hidden="1" x14ac:dyDescent="0.2">
      <c r="A1266" s="46"/>
      <c r="B1266" s="46"/>
      <c r="C1266" s="46"/>
      <c r="D1266" s="48"/>
      <c r="E1266" s="48"/>
      <c r="F1266" s="48"/>
      <c r="G1266" s="48"/>
      <c r="H1266" s="48"/>
      <c r="I1266" s="48"/>
    </row>
    <row r="1267" spans="1:9" hidden="1" x14ac:dyDescent="0.2">
      <c r="A1267" s="46"/>
      <c r="B1267" s="46"/>
      <c r="C1267" s="46"/>
      <c r="D1267" s="48"/>
      <c r="E1267" s="48"/>
      <c r="F1267" s="48"/>
      <c r="G1267" s="48"/>
      <c r="H1267" s="48"/>
      <c r="I1267" s="48"/>
    </row>
    <row r="1268" spans="1:9" hidden="1" x14ac:dyDescent="0.2">
      <c r="A1268" s="46"/>
      <c r="B1268" s="46"/>
      <c r="C1268" s="46"/>
      <c r="D1268" s="48"/>
      <c r="E1268" s="48"/>
      <c r="F1268" s="48"/>
      <c r="G1268" s="48"/>
      <c r="H1268" s="48"/>
      <c r="I1268" s="48"/>
    </row>
    <row r="1269" spans="1:9" hidden="1" x14ac:dyDescent="0.2">
      <c r="A1269" s="46"/>
      <c r="B1269" s="46"/>
      <c r="C1269" s="46"/>
      <c r="D1269" s="48"/>
      <c r="E1269" s="48"/>
      <c r="F1269" s="48"/>
      <c r="G1269" s="48"/>
      <c r="H1269" s="48"/>
      <c r="I1269" s="48"/>
    </row>
    <row r="1270" spans="1:9" hidden="1" x14ac:dyDescent="0.2">
      <c r="A1270" s="46"/>
      <c r="B1270" s="46"/>
      <c r="C1270" s="46"/>
      <c r="D1270" s="48"/>
      <c r="E1270" s="48"/>
      <c r="F1270" s="48"/>
      <c r="G1270" s="48"/>
      <c r="H1270" s="48"/>
      <c r="I1270" s="48"/>
    </row>
    <row r="1271" spans="1:9" hidden="1" x14ac:dyDescent="0.2">
      <c r="A1271" s="46"/>
      <c r="B1271" s="46"/>
      <c r="C1271" s="46"/>
      <c r="D1271" s="48"/>
      <c r="E1271" s="48"/>
      <c r="F1271" s="48"/>
      <c r="G1271" s="48"/>
      <c r="H1271" s="48"/>
      <c r="I1271" s="48"/>
    </row>
    <row r="1272" spans="1:9" hidden="1" x14ac:dyDescent="0.2">
      <c r="A1272" s="46"/>
      <c r="B1272" s="46"/>
      <c r="C1272" s="46"/>
      <c r="D1272" s="48"/>
      <c r="E1272" s="48"/>
      <c r="F1272" s="48"/>
      <c r="G1272" s="48"/>
      <c r="H1272" s="48"/>
      <c r="I1272" s="48"/>
    </row>
    <row r="1273" spans="1:9" hidden="1" x14ac:dyDescent="0.2">
      <c r="A1273" s="46"/>
      <c r="B1273" s="46"/>
      <c r="C1273" s="46"/>
      <c r="D1273" s="48"/>
      <c r="E1273" s="48"/>
      <c r="F1273" s="48"/>
      <c r="G1273" s="48"/>
      <c r="H1273" s="48"/>
      <c r="I1273" s="48"/>
    </row>
    <row r="1274" spans="1:9" hidden="1" x14ac:dyDescent="0.2">
      <c r="A1274" s="46"/>
      <c r="B1274" s="46"/>
      <c r="C1274" s="46"/>
      <c r="D1274" s="48"/>
      <c r="E1274" s="48"/>
      <c r="F1274" s="48"/>
      <c r="G1274" s="48"/>
      <c r="H1274" s="48"/>
      <c r="I1274" s="48"/>
    </row>
    <row r="1275" spans="1:9" hidden="1" x14ac:dyDescent="0.2">
      <c r="A1275" s="46"/>
      <c r="B1275" s="46"/>
      <c r="C1275" s="46"/>
      <c r="D1275" s="48"/>
      <c r="E1275" s="48"/>
      <c r="F1275" s="48"/>
      <c r="G1275" s="48"/>
      <c r="H1275" s="48"/>
      <c r="I1275" s="48"/>
    </row>
    <row r="1276" spans="1:9" hidden="1" x14ac:dyDescent="0.2">
      <c r="A1276" s="46"/>
      <c r="B1276" s="46"/>
      <c r="C1276" s="46"/>
      <c r="D1276" s="48"/>
      <c r="E1276" s="48"/>
      <c r="F1276" s="48"/>
      <c r="G1276" s="48"/>
      <c r="H1276" s="48"/>
      <c r="I1276" s="48"/>
    </row>
    <row r="1277" spans="1:9" hidden="1" x14ac:dyDescent="0.2">
      <c r="A1277" s="46"/>
      <c r="B1277" s="46"/>
      <c r="C1277" s="46"/>
      <c r="D1277" s="48"/>
      <c r="E1277" s="48"/>
      <c r="F1277" s="48"/>
      <c r="G1277" s="48"/>
      <c r="H1277" s="48"/>
      <c r="I1277" s="48"/>
    </row>
    <row r="1278" spans="1:9" hidden="1" x14ac:dyDescent="0.2">
      <c r="A1278" s="46"/>
      <c r="B1278" s="46"/>
      <c r="C1278" s="46"/>
      <c r="D1278" s="48"/>
      <c r="E1278" s="48"/>
      <c r="F1278" s="48"/>
      <c r="G1278" s="48"/>
      <c r="H1278" s="48"/>
      <c r="I1278" s="48"/>
    </row>
    <row r="1279" spans="1:9" hidden="1" x14ac:dyDescent="0.2">
      <c r="A1279" s="46"/>
      <c r="B1279" s="46"/>
      <c r="C1279" s="46"/>
      <c r="D1279" s="48"/>
      <c r="E1279" s="48"/>
      <c r="F1279" s="48"/>
      <c r="G1279" s="48"/>
      <c r="H1279" s="48"/>
      <c r="I1279" s="48"/>
    </row>
    <row r="1280" spans="1:9" hidden="1" x14ac:dyDescent="0.2">
      <c r="A1280" s="46"/>
      <c r="B1280" s="46"/>
      <c r="C1280" s="46"/>
      <c r="D1280" s="48"/>
      <c r="E1280" s="48"/>
      <c r="F1280" s="48"/>
      <c r="G1280" s="48"/>
      <c r="H1280" s="48"/>
      <c r="I1280" s="48"/>
    </row>
    <row r="1281" spans="1:9" hidden="1" x14ac:dyDescent="0.2">
      <c r="A1281" s="46"/>
      <c r="B1281" s="46"/>
      <c r="C1281" s="46"/>
      <c r="D1281" s="48"/>
      <c r="E1281" s="48"/>
      <c r="F1281" s="48"/>
      <c r="G1281" s="48"/>
      <c r="H1281" s="48"/>
      <c r="I1281" s="48"/>
    </row>
    <row r="1282" spans="1:9" hidden="1" x14ac:dyDescent="0.2">
      <c r="A1282" s="46"/>
      <c r="B1282" s="46"/>
      <c r="C1282" s="46"/>
      <c r="D1282" s="48"/>
      <c r="E1282" s="48"/>
      <c r="F1282" s="48"/>
      <c r="G1282" s="48"/>
      <c r="H1282" s="48"/>
      <c r="I1282" s="48"/>
    </row>
    <row r="1283" spans="1:9" hidden="1" x14ac:dyDescent="0.2">
      <c r="A1283" s="46"/>
      <c r="B1283" s="46"/>
      <c r="C1283" s="46"/>
      <c r="D1283" s="48"/>
      <c r="E1283" s="48"/>
      <c r="F1283" s="48"/>
      <c r="G1283" s="48"/>
      <c r="H1283" s="48"/>
      <c r="I1283" s="48"/>
    </row>
    <row r="1284" spans="1:9" hidden="1" x14ac:dyDescent="0.2">
      <c r="A1284" s="46"/>
      <c r="B1284" s="46"/>
      <c r="C1284" s="46"/>
      <c r="D1284" s="48"/>
      <c r="E1284" s="48"/>
      <c r="F1284" s="48"/>
      <c r="G1284" s="48"/>
      <c r="H1284" s="48"/>
      <c r="I1284" s="48"/>
    </row>
    <row r="1285" spans="1:9" hidden="1" x14ac:dyDescent="0.2">
      <c r="A1285" s="46"/>
      <c r="B1285" s="46"/>
      <c r="C1285" s="46"/>
      <c r="D1285" s="48"/>
      <c r="E1285" s="48"/>
      <c r="F1285" s="48"/>
      <c r="G1285" s="48"/>
      <c r="H1285" s="48"/>
      <c r="I1285" s="48"/>
    </row>
    <row r="1286" spans="1:9" hidden="1" x14ac:dyDescent="0.2">
      <c r="A1286" s="46"/>
      <c r="B1286" s="46"/>
      <c r="C1286" s="46"/>
      <c r="D1286" s="48"/>
      <c r="E1286" s="48"/>
      <c r="F1286" s="48"/>
      <c r="G1286" s="48"/>
      <c r="H1286" s="48"/>
      <c r="I1286" s="48"/>
    </row>
    <row r="1287" spans="1:9" hidden="1" x14ac:dyDescent="0.2">
      <c r="A1287" s="46"/>
      <c r="B1287" s="46"/>
      <c r="C1287" s="46"/>
      <c r="D1287" s="48"/>
      <c r="E1287" s="48"/>
      <c r="F1287" s="48"/>
      <c r="G1287" s="48"/>
      <c r="H1287" s="48"/>
      <c r="I1287" s="48"/>
    </row>
    <row r="1288" spans="1:9" hidden="1" x14ac:dyDescent="0.2">
      <c r="A1288" s="46"/>
      <c r="B1288" s="46"/>
      <c r="C1288" s="46"/>
      <c r="D1288" s="48"/>
      <c r="E1288" s="48"/>
      <c r="F1288" s="48"/>
      <c r="G1288" s="48"/>
      <c r="H1288" s="48"/>
      <c r="I1288" s="48"/>
    </row>
    <row r="1289" spans="1:9" hidden="1" x14ac:dyDescent="0.2">
      <c r="A1289" s="46"/>
      <c r="B1289" s="46"/>
      <c r="C1289" s="46"/>
      <c r="D1289" s="48"/>
      <c r="E1289" s="48"/>
      <c r="F1289" s="48"/>
      <c r="G1289" s="48"/>
      <c r="H1289" s="48"/>
      <c r="I1289" s="48"/>
    </row>
    <row r="1290" spans="1:9" hidden="1" x14ac:dyDescent="0.2">
      <c r="A1290" s="46"/>
      <c r="B1290" s="46"/>
      <c r="C1290" s="46"/>
      <c r="D1290" s="48"/>
      <c r="E1290" s="48"/>
      <c r="F1290" s="48"/>
      <c r="G1290" s="48"/>
      <c r="H1290" s="48"/>
      <c r="I1290" s="48"/>
    </row>
    <row r="1291" spans="1:9" hidden="1" x14ac:dyDescent="0.2">
      <c r="A1291" s="46"/>
      <c r="B1291" s="46"/>
      <c r="C1291" s="46"/>
      <c r="D1291" s="48"/>
      <c r="E1291" s="48"/>
      <c r="F1291" s="48"/>
      <c r="G1291" s="48"/>
      <c r="H1291" s="48"/>
      <c r="I1291" s="48"/>
    </row>
    <row r="1292" spans="1:9" hidden="1" x14ac:dyDescent="0.2">
      <c r="A1292" s="46"/>
      <c r="B1292" s="46"/>
      <c r="C1292" s="46"/>
      <c r="D1292" s="48"/>
      <c r="E1292" s="48"/>
      <c r="F1292" s="48"/>
      <c r="G1292" s="48"/>
      <c r="H1292" s="48"/>
      <c r="I1292" s="48"/>
    </row>
    <row r="1293" spans="1:9" hidden="1" x14ac:dyDescent="0.2">
      <c r="A1293" s="46"/>
      <c r="B1293" s="46"/>
      <c r="C1293" s="46"/>
      <c r="D1293" s="48"/>
      <c r="E1293" s="48"/>
      <c r="F1293" s="48"/>
      <c r="G1293" s="48"/>
      <c r="H1293" s="48"/>
      <c r="I1293" s="48"/>
    </row>
    <row r="1294" spans="1:9" hidden="1" x14ac:dyDescent="0.2">
      <c r="A1294" s="46"/>
      <c r="B1294" s="46"/>
      <c r="C1294" s="46"/>
      <c r="D1294" s="48"/>
      <c r="E1294" s="48"/>
      <c r="F1294" s="48"/>
      <c r="G1294" s="48"/>
      <c r="H1294" s="48"/>
      <c r="I1294" s="48"/>
    </row>
    <row r="1295" spans="1:9" hidden="1" x14ac:dyDescent="0.2">
      <c r="A1295" s="46"/>
      <c r="B1295" s="46"/>
      <c r="C1295" s="46"/>
      <c r="D1295" s="48"/>
      <c r="E1295" s="48"/>
      <c r="F1295" s="48"/>
      <c r="G1295" s="48"/>
      <c r="H1295" s="48"/>
      <c r="I1295" s="48"/>
    </row>
    <row r="1296" spans="1:9" hidden="1" x14ac:dyDescent="0.2">
      <c r="A1296" s="46"/>
      <c r="B1296" s="46"/>
      <c r="C1296" s="46"/>
      <c r="D1296" s="48"/>
      <c r="E1296" s="48"/>
      <c r="F1296" s="48"/>
      <c r="G1296" s="48"/>
      <c r="H1296" s="48"/>
      <c r="I1296" s="48"/>
    </row>
    <row r="1297" spans="1:9" hidden="1" x14ac:dyDescent="0.2">
      <c r="A1297" s="46"/>
      <c r="B1297" s="46"/>
      <c r="C1297" s="46"/>
      <c r="D1297" s="48"/>
      <c r="E1297" s="48"/>
      <c r="F1297" s="48"/>
      <c r="G1297" s="48"/>
      <c r="H1297" s="48"/>
      <c r="I1297" s="48"/>
    </row>
    <row r="1298" spans="1:9" hidden="1" x14ac:dyDescent="0.2">
      <c r="A1298" s="46"/>
      <c r="B1298" s="46"/>
      <c r="C1298" s="46"/>
      <c r="D1298" s="48"/>
      <c r="E1298" s="48"/>
      <c r="F1298" s="48"/>
      <c r="G1298" s="48"/>
      <c r="H1298" s="48"/>
      <c r="I1298" s="48"/>
    </row>
    <row r="1299" spans="1:9" hidden="1" x14ac:dyDescent="0.2">
      <c r="A1299" s="46"/>
      <c r="B1299" s="46"/>
      <c r="C1299" s="46"/>
      <c r="D1299" s="48"/>
      <c r="E1299" s="48"/>
      <c r="F1299" s="48"/>
      <c r="G1299" s="48"/>
      <c r="H1299" s="48"/>
      <c r="I1299" s="48"/>
    </row>
    <row r="1300" spans="1:9" hidden="1" x14ac:dyDescent="0.2">
      <c r="A1300" s="46"/>
      <c r="B1300" s="46"/>
      <c r="C1300" s="46"/>
      <c r="D1300" s="48"/>
      <c r="E1300" s="48"/>
      <c r="F1300" s="48"/>
      <c r="G1300" s="48"/>
      <c r="H1300" s="48"/>
      <c r="I1300" s="48"/>
    </row>
    <row r="1301" spans="1:9" hidden="1" x14ac:dyDescent="0.2">
      <c r="A1301" s="46"/>
      <c r="B1301" s="46"/>
      <c r="C1301" s="46"/>
      <c r="D1301" s="48"/>
      <c r="E1301" s="48"/>
      <c r="F1301" s="48"/>
      <c r="G1301" s="48"/>
      <c r="H1301" s="48"/>
      <c r="I1301" s="48"/>
    </row>
    <row r="1302" spans="1:9" hidden="1" x14ac:dyDescent="0.2">
      <c r="A1302" s="46"/>
      <c r="B1302" s="46"/>
      <c r="C1302" s="46"/>
      <c r="D1302" s="48"/>
      <c r="E1302" s="48"/>
      <c r="F1302" s="48"/>
      <c r="G1302" s="48"/>
      <c r="H1302" s="48"/>
      <c r="I1302" s="48"/>
    </row>
    <row r="1303" spans="1:9" hidden="1" x14ac:dyDescent="0.2">
      <c r="A1303" s="46"/>
      <c r="B1303" s="46"/>
      <c r="C1303" s="46"/>
      <c r="D1303" s="48"/>
      <c r="E1303" s="48"/>
      <c r="F1303" s="48"/>
      <c r="G1303" s="48"/>
      <c r="H1303" s="48"/>
      <c r="I1303" s="48"/>
    </row>
    <row r="1304" spans="1:9" hidden="1" x14ac:dyDescent="0.2">
      <c r="A1304" s="46"/>
      <c r="B1304" s="46"/>
      <c r="C1304" s="46"/>
      <c r="D1304" s="48"/>
      <c r="E1304" s="48"/>
      <c r="F1304" s="48"/>
      <c r="G1304" s="48"/>
      <c r="H1304" s="48"/>
      <c r="I1304" s="48"/>
    </row>
    <row r="1305" spans="1:9" hidden="1" x14ac:dyDescent="0.2">
      <c r="A1305" s="46"/>
      <c r="B1305" s="46"/>
      <c r="C1305" s="46"/>
      <c r="D1305" s="48"/>
      <c r="E1305" s="48"/>
      <c r="F1305" s="48"/>
      <c r="G1305" s="48"/>
      <c r="H1305" s="48"/>
      <c r="I1305" s="48"/>
    </row>
    <row r="1306" spans="1:9" hidden="1" x14ac:dyDescent="0.2">
      <c r="A1306" s="46"/>
      <c r="B1306" s="46"/>
      <c r="C1306" s="46"/>
      <c r="D1306" s="48"/>
      <c r="E1306" s="48"/>
      <c r="F1306" s="48"/>
      <c r="G1306" s="48"/>
      <c r="H1306" s="48"/>
      <c r="I1306" s="48"/>
    </row>
    <row r="1307" spans="1:9" hidden="1" x14ac:dyDescent="0.2">
      <c r="A1307" s="46"/>
      <c r="B1307" s="46"/>
      <c r="C1307" s="46"/>
      <c r="D1307" s="48"/>
      <c r="E1307" s="48"/>
      <c r="F1307" s="48"/>
      <c r="G1307" s="48"/>
      <c r="H1307" s="48"/>
      <c r="I1307" s="48"/>
    </row>
    <row r="1308" spans="1:9" hidden="1" x14ac:dyDescent="0.2">
      <c r="A1308" s="46"/>
      <c r="B1308" s="46"/>
      <c r="C1308" s="46"/>
      <c r="D1308" s="48"/>
      <c r="E1308" s="48"/>
      <c r="F1308" s="48"/>
      <c r="G1308" s="48"/>
      <c r="H1308" s="48"/>
      <c r="I1308" s="48"/>
    </row>
    <row r="1309" spans="1:9" hidden="1" x14ac:dyDescent="0.2">
      <c r="A1309" s="46"/>
      <c r="B1309" s="46"/>
      <c r="C1309" s="46"/>
      <c r="D1309" s="48"/>
      <c r="E1309" s="48"/>
      <c r="F1309" s="48"/>
      <c r="G1309" s="48"/>
      <c r="H1309" s="48"/>
      <c r="I1309" s="48"/>
    </row>
    <row r="1310" spans="1:9" hidden="1" x14ac:dyDescent="0.2">
      <c r="A1310" s="46"/>
      <c r="B1310" s="46"/>
      <c r="C1310" s="46"/>
      <c r="D1310" s="48"/>
      <c r="E1310" s="48"/>
      <c r="F1310" s="48"/>
      <c r="G1310" s="48"/>
      <c r="H1310" s="48"/>
      <c r="I1310" s="48"/>
    </row>
    <row r="1311" spans="1:9" hidden="1" x14ac:dyDescent="0.2">
      <c r="A1311" s="46"/>
      <c r="B1311" s="46"/>
      <c r="C1311" s="46"/>
      <c r="D1311" s="48"/>
      <c r="E1311" s="48"/>
      <c r="F1311" s="48"/>
      <c r="G1311" s="48"/>
      <c r="H1311" s="48"/>
      <c r="I1311" s="48"/>
    </row>
    <row r="1312" spans="1:9" hidden="1" x14ac:dyDescent="0.2">
      <c r="A1312" s="46"/>
      <c r="B1312" s="46"/>
      <c r="C1312" s="46"/>
      <c r="D1312" s="48"/>
      <c r="E1312" s="48"/>
      <c r="F1312" s="48"/>
      <c r="G1312" s="48"/>
      <c r="H1312" s="48"/>
      <c r="I1312" s="48"/>
    </row>
    <row r="1313" spans="1:9" hidden="1" x14ac:dyDescent="0.2">
      <c r="A1313" s="46"/>
      <c r="B1313" s="46"/>
      <c r="C1313" s="46"/>
      <c r="D1313" s="48"/>
      <c r="E1313" s="48"/>
      <c r="F1313" s="48"/>
      <c r="G1313" s="48"/>
      <c r="H1313" s="48"/>
      <c r="I1313" s="48"/>
    </row>
    <row r="1314" spans="1:9" hidden="1" x14ac:dyDescent="0.2">
      <c r="A1314" s="46"/>
      <c r="B1314" s="46"/>
      <c r="C1314" s="46"/>
      <c r="D1314" s="48"/>
      <c r="E1314" s="48"/>
      <c r="F1314" s="48"/>
      <c r="G1314" s="48"/>
      <c r="H1314" s="48"/>
      <c r="I1314" s="48"/>
    </row>
    <row r="1315" spans="1:9" hidden="1" x14ac:dyDescent="0.2">
      <c r="A1315" s="46"/>
      <c r="B1315" s="46"/>
      <c r="C1315" s="46"/>
      <c r="D1315" s="48"/>
      <c r="E1315" s="48"/>
      <c r="F1315" s="48"/>
      <c r="G1315" s="48"/>
      <c r="H1315" s="48"/>
      <c r="I1315" s="48"/>
    </row>
    <row r="1316" spans="1:9" hidden="1" x14ac:dyDescent="0.2">
      <c r="A1316" s="46"/>
      <c r="B1316" s="46"/>
      <c r="C1316" s="46"/>
      <c r="D1316" s="48"/>
      <c r="E1316" s="48"/>
      <c r="F1316" s="48"/>
      <c r="G1316" s="48"/>
      <c r="H1316" s="48"/>
      <c r="I1316" s="48"/>
    </row>
    <row r="1317" spans="1:9" hidden="1" x14ac:dyDescent="0.2">
      <c r="A1317" s="46"/>
      <c r="B1317" s="46"/>
      <c r="C1317" s="46"/>
      <c r="D1317" s="48"/>
      <c r="E1317" s="48"/>
      <c r="F1317" s="48"/>
      <c r="G1317" s="48"/>
      <c r="H1317" s="48"/>
      <c r="I1317" s="48"/>
    </row>
    <row r="1318" spans="1:9" hidden="1" x14ac:dyDescent="0.2">
      <c r="A1318" s="46"/>
      <c r="B1318" s="46"/>
      <c r="C1318" s="46"/>
      <c r="D1318" s="48"/>
      <c r="E1318" s="48"/>
      <c r="F1318" s="48"/>
      <c r="G1318" s="48"/>
      <c r="H1318" s="48"/>
      <c r="I1318" s="48"/>
    </row>
    <row r="1319" spans="1:9" hidden="1" x14ac:dyDescent="0.2">
      <c r="A1319" s="46"/>
      <c r="B1319" s="46"/>
      <c r="C1319" s="46"/>
      <c r="D1319" s="48"/>
      <c r="E1319" s="48"/>
      <c r="F1319" s="48"/>
      <c r="G1319" s="48"/>
      <c r="H1319" s="48"/>
      <c r="I1319" s="48"/>
    </row>
    <row r="1320" spans="1:9" hidden="1" x14ac:dyDescent="0.2">
      <c r="A1320" s="46"/>
      <c r="B1320" s="46"/>
      <c r="C1320" s="46"/>
      <c r="D1320" s="48"/>
      <c r="E1320" s="48"/>
      <c r="F1320" s="48"/>
      <c r="G1320" s="48"/>
      <c r="H1320" s="48"/>
      <c r="I1320" s="48"/>
    </row>
    <row r="1321" spans="1:9" hidden="1" x14ac:dyDescent="0.2">
      <c r="A1321" s="46"/>
      <c r="B1321" s="46"/>
      <c r="C1321" s="46"/>
      <c r="D1321" s="48"/>
      <c r="E1321" s="48"/>
      <c r="F1321" s="48"/>
      <c r="G1321" s="48"/>
      <c r="H1321" s="48"/>
      <c r="I1321" s="48"/>
    </row>
    <row r="1322" spans="1:9" hidden="1" x14ac:dyDescent="0.2">
      <c r="A1322" s="46"/>
      <c r="B1322" s="46"/>
      <c r="C1322" s="46"/>
      <c r="D1322" s="48"/>
      <c r="E1322" s="48"/>
      <c r="F1322" s="48"/>
      <c r="G1322" s="48"/>
      <c r="H1322" s="48"/>
      <c r="I1322" s="48"/>
    </row>
    <row r="1323" spans="1:9" hidden="1" x14ac:dyDescent="0.2">
      <c r="A1323" s="46"/>
      <c r="B1323" s="46"/>
      <c r="C1323" s="46"/>
      <c r="D1323" s="48"/>
      <c r="E1323" s="48"/>
      <c r="F1323" s="48"/>
      <c r="G1323" s="48"/>
      <c r="H1323" s="48"/>
      <c r="I1323" s="48"/>
    </row>
    <row r="1324" spans="1:9" hidden="1" x14ac:dyDescent="0.2">
      <c r="A1324" s="46"/>
      <c r="B1324" s="46"/>
      <c r="C1324" s="46"/>
      <c r="D1324" s="48"/>
      <c r="E1324" s="48"/>
      <c r="F1324" s="48"/>
      <c r="G1324" s="48"/>
      <c r="H1324" s="48"/>
      <c r="I1324" s="48"/>
    </row>
    <row r="1325" spans="1:9" hidden="1" x14ac:dyDescent="0.2">
      <c r="A1325" s="46"/>
      <c r="B1325" s="46"/>
      <c r="C1325" s="46"/>
      <c r="D1325" s="48"/>
      <c r="E1325" s="48"/>
      <c r="F1325" s="48"/>
      <c r="G1325" s="48"/>
      <c r="H1325" s="48"/>
      <c r="I1325" s="48"/>
    </row>
    <row r="1326" spans="1:9" hidden="1" x14ac:dyDescent="0.2">
      <c r="A1326" s="46"/>
      <c r="B1326" s="46"/>
      <c r="C1326" s="46"/>
      <c r="D1326" s="48"/>
      <c r="E1326" s="48"/>
      <c r="F1326" s="48"/>
      <c r="G1326" s="48"/>
      <c r="H1326" s="48"/>
      <c r="I1326" s="48"/>
    </row>
    <row r="1327" spans="1:9" hidden="1" x14ac:dyDescent="0.2">
      <c r="A1327" s="46"/>
      <c r="B1327" s="46"/>
      <c r="C1327" s="46"/>
      <c r="D1327" s="48"/>
      <c r="E1327" s="48"/>
      <c r="F1327" s="48"/>
      <c r="G1327" s="48"/>
      <c r="H1327" s="48"/>
      <c r="I1327" s="48"/>
    </row>
    <row r="1328" spans="1:9" hidden="1" x14ac:dyDescent="0.2">
      <c r="A1328" s="46"/>
      <c r="B1328" s="46"/>
      <c r="C1328" s="46"/>
      <c r="D1328" s="48"/>
      <c r="E1328" s="48"/>
      <c r="F1328" s="48"/>
      <c r="G1328" s="48"/>
      <c r="H1328" s="48"/>
      <c r="I1328" s="48"/>
    </row>
    <row r="1329" spans="1:9" hidden="1" x14ac:dyDescent="0.2">
      <c r="A1329" s="46"/>
      <c r="B1329" s="46"/>
      <c r="C1329" s="46"/>
      <c r="D1329" s="48"/>
      <c r="E1329" s="48"/>
      <c r="F1329" s="48"/>
      <c r="G1329" s="48"/>
      <c r="H1329" s="48"/>
      <c r="I1329" s="48"/>
    </row>
    <row r="1330" spans="1:9" hidden="1" x14ac:dyDescent="0.2">
      <c r="A1330" s="46"/>
      <c r="B1330" s="46"/>
      <c r="C1330" s="46"/>
      <c r="D1330" s="48"/>
      <c r="E1330" s="48"/>
      <c r="F1330" s="48"/>
      <c r="G1330" s="48"/>
      <c r="H1330" s="48"/>
      <c r="I1330" s="48"/>
    </row>
    <row r="1331" spans="1:9" hidden="1" x14ac:dyDescent="0.2">
      <c r="A1331" s="46"/>
      <c r="B1331" s="46"/>
      <c r="C1331" s="46"/>
      <c r="D1331" s="48"/>
      <c r="E1331" s="48"/>
      <c r="F1331" s="48"/>
      <c r="G1331" s="48"/>
      <c r="H1331" s="48"/>
      <c r="I1331" s="48"/>
    </row>
    <row r="1332" spans="1:9" hidden="1" x14ac:dyDescent="0.2">
      <c r="A1332" s="46"/>
      <c r="B1332" s="46"/>
      <c r="C1332" s="46"/>
      <c r="D1332" s="48"/>
      <c r="E1332" s="48"/>
      <c r="F1332" s="48"/>
      <c r="G1332" s="48"/>
      <c r="H1332" s="48"/>
      <c r="I1332" s="48"/>
    </row>
    <row r="1333" spans="1:9" hidden="1" x14ac:dyDescent="0.2">
      <c r="A1333" s="46"/>
      <c r="B1333" s="46"/>
      <c r="C1333" s="46"/>
      <c r="D1333" s="48"/>
      <c r="E1333" s="48"/>
      <c r="F1333" s="48"/>
      <c r="G1333" s="48"/>
      <c r="H1333" s="48"/>
      <c r="I1333" s="48"/>
    </row>
    <row r="1334" spans="1:9" hidden="1" x14ac:dyDescent="0.2">
      <c r="A1334" s="46"/>
      <c r="B1334" s="46"/>
      <c r="C1334" s="46"/>
      <c r="D1334" s="48"/>
      <c r="E1334" s="48"/>
      <c r="F1334" s="48"/>
      <c r="G1334" s="48"/>
      <c r="H1334" s="48"/>
      <c r="I1334" s="48"/>
    </row>
    <row r="1335" spans="1:9" hidden="1" x14ac:dyDescent="0.2">
      <c r="A1335" s="46"/>
      <c r="B1335" s="46"/>
      <c r="C1335" s="46"/>
      <c r="D1335" s="48"/>
      <c r="E1335" s="48"/>
      <c r="F1335" s="48"/>
      <c r="G1335" s="48"/>
      <c r="H1335" s="48"/>
      <c r="I1335" s="48"/>
    </row>
    <row r="1336" spans="1:9" hidden="1" x14ac:dyDescent="0.2">
      <c r="A1336" s="46"/>
      <c r="B1336" s="46"/>
      <c r="C1336" s="46"/>
      <c r="D1336" s="48"/>
      <c r="E1336" s="48"/>
      <c r="F1336" s="48"/>
      <c r="G1336" s="48"/>
      <c r="H1336" s="48"/>
      <c r="I1336" s="48"/>
    </row>
    <row r="1337" spans="1:9" hidden="1" x14ac:dyDescent="0.2">
      <c r="A1337" s="46"/>
      <c r="B1337" s="46"/>
      <c r="C1337" s="46"/>
      <c r="D1337" s="48"/>
      <c r="E1337" s="48"/>
      <c r="F1337" s="48"/>
      <c r="G1337" s="48"/>
      <c r="H1337" s="48"/>
      <c r="I1337" s="48"/>
    </row>
    <row r="1338" spans="1:9" hidden="1" x14ac:dyDescent="0.2">
      <c r="A1338" s="46"/>
      <c r="B1338" s="46"/>
      <c r="C1338" s="46"/>
      <c r="D1338" s="48"/>
      <c r="E1338" s="48"/>
      <c r="F1338" s="48"/>
      <c r="G1338" s="48"/>
      <c r="H1338" s="48"/>
      <c r="I1338" s="48"/>
    </row>
    <row r="1339" spans="1:9" hidden="1" x14ac:dyDescent="0.2">
      <c r="A1339" s="46"/>
      <c r="B1339" s="46"/>
      <c r="C1339" s="46"/>
      <c r="D1339" s="48"/>
      <c r="E1339" s="48"/>
      <c r="F1339" s="48"/>
      <c r="G1339" s="48"/>
      <c r="H1339" s="48"/>
      <c r="I1339" s="48"/>
    </row>
    <row r="1340" spans="1:9" hidden="1" x14ac:dyDescent="0.2">
      <c r="A1340" s="46"/>
      <c r="B1340" s="46"/>
      <c r="C1340" s="46"/>
      <c r="D1340" s="48"/>
      <c r="E1340" s="48"/>
      <c r="F1340" s="48"/>
      <c r="G1340" s="48"/>
      <c r="H1340" s="48"/>
      <c r="I1340" s="48"/>
    </row>
    <row r="1341" spans="1:9" hidden="1" x14ac:dyDescent="0.2">
      <c r="A1341" s="46"/>
      <c r="B1341" s="46"/>
      <c r="C1341" s="46"/>
      <c r="D1341" s="48"/>
      <c r="E1341" s="48"/>
      <c r="F1341" s="48"/>
      <c r="G1341" s="48"/>
      <c r="H1341" s="48"/>
      <c r="I1341" s="48"/>
    </row>
    <row r="1342" spans="1:9" hidden="1" x14ac:dyDescent="0.2">
      <c r="A1342" s="46"/>
      <c r="B1342" s="46"/>
      <c r="C1342" s="46"/>
      <c r="D1342" s="48"/>
      <c r="E1342" s="48"/>
      <c r="F1342" s="48"/>
      <c r="G1342" s="48"/>
      <c r="H1342" s="48"/>
      <c r="I1342" s="48"/>
    </row>
    <row r="1343" spans="1:9" hidden="1" x14ac:dyDescent="0.2">
      <c r="A1343" s="46"/>
      <c r="B1343" s="46"/>
      <c r="C1343" s="46"/>
      <c r="D1343" s="48"/>
      <c r="E1343" s="48"/>
      <c r="F1343" s="48"/>
      <c r="G1343" s="48"/>
      <c r="H1343" s="48"/>
      <c r="I1343" s="48"/>
    </row>
    <row r="1344" spans="1:9" hidden="1" x14ac:dyDescent="0.2">
      <c r="A1344" s="46"/>
      <c r="B1344" s="46"/>
      <c r="C1344" s="46"/>
      <c r="D1344" s="48"/>
      <c r="E1344" s="48"/>
      <c r="F1344" s="48"/>
      <c r="G1344" s="48"/>
      <c r="H1344" s="48"/>
      <c r="I1344" s="48"/>
    </row>
    <row r="1345" spans="1:9" hidden="1" x14ac:dyDescent="0.2">
      <c r="A1345" s="46"/>
      <c r="B1345" s="46"/>
      <c r="C1345" s="46"/>
      <c r="D1345" s="48"/>
      <c r="E1345" s="48"/>
      <c r="F1345" s="48"/>
      <c r="G1345" s="48"/>
      <c r="H1345" s="48"/>
      <c r="I1345" s="48"/>
    </row>
    <row r="1346" spans="1:9" hidden="1" x14ac:dyDescent="0.2">
      <c r="A1346" s="46"/>
      <c r="B1346" s="46"/>
      <c r="C1346" s="46"/>
      <c r="D1346" s="48"/>
      <c r="E1346" s="48"/>
      <c r="F1346" s="48"/>
      <c r="G1346" s="48"/>
      <c r="H1346" s="48"/>
      <c r="I1346" s="48"/>
    </row>
    <row r="1347" spans="1:9" hidden="1" x14ac:dyDescent="0.2">
      <c r="A1347" s="46"/>
      <c r="B1347" s="46"/>
      <c r="C1347" s="46"/>
      <c r="D1347" s="48"/>
      <c r="E1347" s="48"/>
      <c r="F1347" s="48"/>
      <c r="G1347" s="48"/>
      <c r="H1347" s="48"/>
      <c r="I1347" s="48"/>
    </row>
    <row r="1348" spans="1:9" hidden="1" x14ac:dyDescent="0.2">
      <c r="A1348" s="46"/>
      <c r="B1348" s="46"/>
      <c r="C1348" s="46"/>
      <c r="D1348" s="48"/>
      <c r="E1348" s="48"/>
      <c r="F1348" s="48"/>
      <c r="G1348" s="48"/>
      <c r="H1348" s="48"/>
      <c r="I1348" s="48"/>
    </row>
    <row r="1349" spans="1:9" hidden="1" x14ac:dyDescent="0.2">
      <c r="A1349" s="46"/>
      <c r="B1349" s="46"/>
      <c r="C1349" s="46"/>
      <c r="D1349" s="48"/>
      <c r="E1349" s="48"/>
      <c r="F1349" s="48"/>
      <c r="G1349" s="48"/>
      <c r="H1349" s="48"/>
      <c r="I1349" s="48"/>
    </row>
    <row r="1350" spans="1:9" hidden="1" x14ac:dyDescent="0.2">
      <c r="A1350" s="46"/>
      <c r="B1350" s="46"/>
      <c r="C1350" s="46"/>
      <c r="D1350" s="48"/>
      <c r="E1350" s="48"/>
      <c r="F1350" s="48"/>
      <c r="G1350" s="48"/>
      <c r="H1350" s="48"/>
      <c r="I1350" s="48"/>
    </row>
    <row r="1351" spans="1:9" hidden="1" x14ac:dyDescent="0.2">
      <c r="A1351" s="46"/>
      <c r="B1351" s="46"/>
      <c r="C1351" s="46"/>
      <c r="D1351" s="48"/>
      <c r="E1351" s="48"/>
      <c r="F1351" s="48"/>
      <c r="G1351" s="48"/>
      <c r="H1351" s="48"/>
      <c r="I1351" s="48"/>
    </row>
    <row r="1352" spans="1:9" hidden="1" x14ac:dyDescent="0.2">
      <c r="A1352" s="46"/>
      <c r="B1352" s="46"/>
      <c r="C1352" s="46"/>
      <c r="D1352" s="48"/>
      <c r="E1352" s="48"/>
      <c r="F1352" s="48"/>
      <c r="G1352" s="48"/>
      <c r="H1352" s="48"/>
      <c r="I1352" s="48"/>
    </row>
    <row r="1353" spans="1:9" hidden="1" x14ac:dyDescent="0.2">
      <c r="A1353" s="46"/>
      <c r="B1353" s="46"/>
      <c r="C1353" s="46"/>
      <c r="D1353" s="48"/>
      <c r="E1353" s="48"/>
      <c r="F1353" s="48"/>
      <c r="G1353" s="48"/>
      <c r="H1353" s="48"/>
      <c r="I1353" s="48"/>
    </row>
    <row r="1354" spans="1:9" hidden="1" x14ac:dyDescent="0.2">
      <c r="A1354" s="46"/>
      <c r="B1354" s="46"/>
      <c r="C1354" s="46"/>
      <c r="D1354" s="48"/>
      <c r="E1354" s="48"/>
      <c r="F1354" s="48"/>
      <c r="G1354" s="48"/>
      <c r="H1354" s="48"/>
      <c r="I1354" s="48"/>
    </row>
    <row r="1355" spans="1:9" hidden="1" x14ac:dyDescent="0.2">
      <c r="A1355" s="46"/>
      <c r="B1355" s="46"/>
      <c r="C1355" s="46"/>
      <c r="D1355" s="48"/>
      <c r="E1355" s="48"/>
      <c r="F1355" s="48"/>
      <c r="G1355" s="48"/>
      <c r="H1355" s="48"/>
      <c r="I1355" s="48"/>
    </row>
    <row r="1356" spans="1:9" hidden="1" x14ac:dyDescent="0.2">
      <c r="A1356" s="46"/>
      <c r="B1356" s="46"/>
      <c r="C1356" s="46"/>
      <c r="D1356" s="48"/>
      <c r="E1356" s="48"/>
      <c r="F1356" s="48"/>
      <c r="G1356" s="48"/>
      <c r="H1356" s="48"/>
      <c r="I1356" s="48"/>
    </row>
    <row r="1357" spans="1:9" hidden="1" x14ac:dyDescent="0.2">
      <c r="A1357" s="46"/>
      <c r="B1357" s="46"/>
      <c r="C1357" s="46"/>
      <c r="D1357" s="48"/>
      <c r="E1357" s="48"/>
      <c r="F1357" s="48"/>
      <c r="G1357" s="48"/>
      <c r="H1357" s="48"/>
      <c r="I1357" s="48"/>
    </row>
    <row r="1358" spans="1:9" hidden="1" x14ac:dyDescent="0.2">
      <c r="A1358" s="46"/>
      <c r="B1358" s="46"/>
      <c r="C1358" s="46"/>
      <c r="D1358" s="48"/>
      <c r="E1358" s="48"/>
      <c r="F1358" s="48"/>
      <c r="G1358" s="48"/>
      <c r="H1358" s="48"/>
      <c r="I1358" s="48"/>
    </row>
    <row r="1359" spans="1:9" hidden="1" x14ac:dyDescent="0.2">
      <c r="A1359" s="46"/>
      <c r="B1359" s="46"/>
      <c r="C1359" s="46"/>
      <c r="D1359" s="48"/>
      <c r="E1359" s="48"/>
      <c r="F1359" s="48"/>
      <c r="G1359" s="48"/>
      <c r="H1359" s="48"/>
      <c r="I1359" s="48"/>
    </row>
    <row r="1360" spans="1:9" hidden="1" x14ac:dyDescent="0.2">
      <c r="A1360" s="46"/>
      <c r="B1360" s="46"/>
      <c r="C1360" s="46"/>
      <c r="D1360" s="48"/>
      <c r="E1360" s="48"/>
      <c r="F1360" s="48"/>
      <c r="G1360" s="48"/>
      <c r="H1360" s="48"/>
      <c r="I1360" s="48"/>
    </row>
    <row r="1361" spans="1:9" hidden="1" x14ac:dyDescent="0.2">
      <c r="A1361" s="46"/>
      <c r="B1361" s="46"/>
      <c r="C1361" s="46"/>
      <c r="D1361" s="48"/>
      <c r="E1361" s="48"/>
      <c r="F1361" s="48"/>
      <c r="G1361" s="48"/>
      <c r="H1361" s="48"/>
      <c r="I1361" s="48"/>
    </row>
    <row r="1362" spans="1:9" hidden="1" x14ac:dyDescent="0.2">
      <c r="A1362" s="46"/>
      <c r="B1362" s="46"/>
      <c r="C1362" s="46"/>
      <c r="D1362" s="48"/>
      <c r="E1362" s="48"/>
      <c r="F1362" s="48"/>
      <c r="G1362" s="48"/>
      <c r="H1362" s="48"/>
      <c r="I1362" s="48"/>
    </row>
    <row r="1363" spans="1:9" hidden="1" x14ac:dyDescent="0.2">
      <c r="A1363" s="46"/>
      <c r="B1363" s="46"/>
      <c r="C1363" s="46"/>
      <c r="D1363" s="48"/>
      <c r="E1363" s="48"/>
      <c r="F1363" s="48"/>
      <c r="G1363" s="48"/>
      <c r="H1363" s="48"/>
      <c r="I1363" s="48"/>
    </row>
    <row r="1364" spans="1:9" hidden="1" x14ac:dyDescent="0.2">
      <c r="A1364" s="46"/>
      <c r="B1364" s="46"/>
      <c r="C1364" s="46"/>
      <c r="D1364" s="48"/>
      <c r="E1364" s="48"/>
      <c r="F1364" s="48"/>
      <c r="G1364" s="48"/>
      <c r="H1364" s="48"/>
      <c r="I1364" s="48"/>
    </row>
    <row r="1365" spans="1:9" hidden="1" x14ac:dyDescent="0.2">
      <c r="A1365" s="46"/>
      <c r="B1365" s="46"/>
      <c r="C1365" s="46"/>
      <c r="D1365" s="48"/>
      <c r="E1365" s="48"/>
      <c r="F1365" s="48"/>
      <c r="G1365" s="48"/>
      <c r="H1365" s="48"/>
      <c r="I1365" s="48"/>
    </row>
    <row r="1366" spans="1:9" hidden="1" x14ac:dyDescent="0.2">
      <c r="A1366" s="46"/>
      <c r="B1366" s="46"/>
      <c r="C1366" s="46"/>
      <c r="D1366" s="48"/>
      <c r="E1366" s="48"/>
      <c r="F1366" s="48"/>
      <c r="G1366" s="48"/>
      <c r="H1366" s="48"/>
      <c r="I1366" s="48"/>
    </row>
    <row r="1367" spans="1:9" hidden="1" x14ac:dyDescent="0.2">
      <c r="A1367" s="46"/>
      <c r="B1367" s="46"/>
      <c r="C1367" s="46"/>
      <c r="D1367" s="48"/>
      <c r="E1367" s="48"/>
      <c r="F1367" s="48"/>
      <c r="G1367" s="48"/>
      <c r="H1367" s="48"/>
      <c r="I1367" s="48"/>
    </row>
    <row r="1368" spans="1:9" hidden="1" x14ac:dyDescent="0.2">
      <c r="A1368" s="46"/>
      <c r="B1368" s="46"/>
      <c r="C1368" s="46"/>
      <c r="D1368" s="48"/>
      <c r="E1368" s="48"/>
      <c r="F1368" s="48"/>
      <c r="G1368" s="48"/>
      <c r="H1368" s="48"/>
      <c r="I1368" s="48"/>
    </row>
    <row r="1369" spans="1:9" hidden="1" x14ac:dyDescent="0.2">
      <c r="A1369" s="46"/>
      <c r="B1369" s="46"/>
      <c r="C1369" s="46"/>
      <c r="D1369" s="48"/>
      <c r="E1369" s="48"/>
      <c r="F1369" s="48"/>
      <c r="G1369" s="48"/>
      <c r="H1369" s="48"/>
      <c r="I1369" s="48"/>
    </row>
    <row r="1370" spans="1:9" hidden="1" x14ac:dyDescent="0.2">
      <c r="A1370" s="46"/>
      <c r="B1370" s="46"/>
      <c r="C1370" s="46"/>
      <c r="D1370" s="48"/>
      <c r="E1370" s="48"/>
      <c r="F1370" s="48"/>
      <c r="G1370" s="48"/>
      <c r="H1370" s="48"/>
      <c r="I1370" s="48"/>
    </row>
    <row r="1371" spans="1:9" hidden="1" x14ac:dyDescent="0.2">
      <c r="A1371" s="46"/>
      <c r="B1371" s="46"/>
      <c r="C1371" s="46"/>
      <c r="D1371" s="48"/>
      <c r="E1371" s="48"/>
      <c r="F1371" s="48"/>
      <c r="G1371" s="48"/>
      <c r="H1371" s="48"/>
      <c r="I1371" s="48"/>
    </row>
    <row r="1372" spans="1:9" hidden="1" x14ac:dyDescent="0.2">
      <c r="A1372" s="46"/>
      <c r="B1372" s="46"/>
      <c r="C1372" s="46"/>
      <c r="D1372" s="48"/>
      <c r="E1372" s="48"/>
      <c r="F1372" s="48"/>
      <c r="G1372" s="48"/>
      <c r="H1372" s="48"/>
      <c r="I1372" s="48"/>
    </row>
    <row r="1373" spans="1:9" hidden="1" x14ac:dyDescent="0.2">
      <c r="A1373" s="46"/>
      <c r="B1373" s="46"/>
      <c r="C1373" s="46"/>
      <c r="D1373" s="48"/>
      <c r="E1373" s="48"/>
      <c r="F1373" s="48"/>
      <c r="G1373" s="48"/>
      <c r="H1373" s="48"/>
      <c r="I1373" s="48"/>
    </row>
    <row r="1374" spans="1:9" hidden="1" x14ac:dyDescent="0.2">
      <c r="A1374" s="46"/>
      <c r="B1374" s="46"/>
      <c r="C1374" s="46"/>
      <c r="D1374" s="48"/>
      <c r="E1374" s="48"/>
      <c r="F1374" s="48"/>
      <c r="G1374" s="48"/>
      <c r="H1374" s="48"/>
      <c r="I1374" s="48"/>
    </row>
    <row r="1375" spans="1:9" hidden="1" x14ac:dyDescent="0.2">
      <c r="A1375" s="46"/>
      <c r="B1375" s="46"/>
      <c r="C1375" s="46"/>
      <c r="D1375" s="48"/>
      <c r="E1375" s="48"/>
      <c r="F1375" s="48"/>
      <c r="G1375" s="48"/>
      <c r="H1375" s="48"/>
      <c r="I1375" s="48"/>
    </row>
    <row r="1376" spans="1:9" hidden="1" x14ac:dyDescent="0.2">
      <c r="A1376" s="46"/>
      <c r="B1376" s="46"/>
      <c r="C1376" s="46"/>
      <c r="D1376" s="48"/>
      <c r="E1376" s="48"/>
      <c r="F1376" s="48"/>
      <c r="G1376" s="48"/>
      <c r="H1376" s="48"/>
      <c r="I1376" s="48"/>
    </row>
    <row r="1377" spans="1:9" hidden="1" x14ac:dyDescent="0.2">
      <c r="A1377" s="46"/>
      <c r="B1377" s="46"/>
      <c r="C1377" s="46"/>
      <c r="D1377" s="48"/>
      <c r="E1377" s="48"/>
      <c r="F1377" s="48"/>
      <c r="G1377" s="48"/>
      <c r="H1377" s="48"/>
      <c r="I1377" s="48"/>
    </row>
    <row r="1378" spans="1:9" hidden="1" x14ac:dyDescent="0.2">
      <c r="A1378" s="46"/>
      <c r="B1378" s="46"/>
      <c r="C1378" s="46"/>
      <c r="D1378" s="48"/>
      <c r="E1378" s="48"/>
      <c r="F1378" s="48"/>
      <c r="G1378" s="48"/>
      <c r="H1378" s="48"/>
      <c r="I1378" s="48"/>
    </row>
    <row r="1379" spans="1:9" hidden="1" x14ac:dyDescent="0.2">
      <c r="A1379" s="46"/>
      <c r="B1379" s="46"/>
      <c r="C1379" s="46"/>
      <c r="D1379" s="48"/>
      <c r="E1379" s="48"/>
      <c r="F1379" s="48"/>
      <c r="G1379" s="48"/>
      <c r="H1379" s="48"/>
      <c r="I1379" s="48"/>
    </row>
    <row r="1380" spans="1:9" hidden="1" x14ac:dyDescent="0.2">
      <c r="A1380" s="46"/>
      <c r="B1380" s="46"/>
      <c r="C1380" s="46"/>
      <c r="D1380" s="48"/>
      <c r="E1380" s="48"/>
      <c r="F1380" s="48"/>
      <c r="G1380" s="48"/>
      <c r="H1380" s="48"/>
      <c r="I1380" s="48"/>
    </row>
    <row r="1381" spans="1:9" hidden="1" x14ac:dyDescent="0.2">
      <c r="A1381" s="46"/>
      <c r="B1381" s="46"/>
      <c r="C1381" s="46"/>
      <c r="D1381" s="48"/>
      <c r="E1381" s="48"/>
      <c r="F1381" s="48"/>
      <c r="G1381" s="48"/>
      <c r="H1381" s="48"/>
      <c r="I1381" s="48"/>
    </row>
    <row r="1382" spans="1:9" hidden="1" x14ac:dyDescent="0.2">
      <c r="A1382" s="46"/>
      <c r="B1382" s="46"/>
      <c r="C1382" s="46"/>
      <c r="D1382" s="48"/>
      <c r="E1382" s="48"/>
      <c r="F1382" s="48"/>
      <c r="G1382" s="48"/>
      <c r="H1382" s="48"/>
      <c r="I1382" s="48"/>
    </row>
    <row r="1383" spans="1:9" hidden="1" x14ac:dyDescent="0.2">
      <c r="A1383" s="46"/>
      <c r="B1383" s="46"/>
      <c r="C1383" s="46"/>
      <c r="D1383" s="48"/>
      <c r="E1383" s="48"/>
      <c r="F1383" s="48"/>
      <c r="G1383" s="48"/>
      <c r="H1383" s="48"/>
      <c r="I1383" s="48"/>
    </row>
    <row r="1384" spans="1:9" hidden="1" x14ac:dyDescent="0.2">
      <c r="A1384" s="46"/>
      <c r="B1384" s="46"/>
      <c r="C1384" s="46"/>
      <c r="D1384" s="48"/>
      <c r="E1384" s="48"/>
      <c r="F1384" s="48"/>
      <c r="G1384" s="48"/>
      <c r="H1384" s="48"/>
      <c r="I1384" s="48"/>
    </row>
    <row r="1385" spans="1:9" hidden="1" x14ac:dyDescent="0.2">
      <c r="A1385" s="46"/>
      <c r="B1385" s="46"/>
      <c r="C1385" s="46"/>
      <c r="D1385" s="48"/>
      <c r="E1385" s="48"/>
      <c r="F1385" s="48"/>
      <c r="G1385" s="48"/>
      <c r="H1385" s="48"/>
      <c r="I1385" s="48"/>
    </row>
    <row r="1386" spans="1:9" hidden="1" x14ac:dyDescent="0.2">
      <c r="A1386" s="46"/>
      <c r="B1386" s="46"/>
      <c r="C1386" s="46"/>
      <c r="D1386" s="48"/>
      <c r="E1386" s="48"/>
      <c r="F1386" s="48"/>
      <c r="G1386" s="48"/>
      <c r="H1386" s="48"/>
      <c r="I1386" s="48"/>
    </row>
    <row r="1387" spans="1:9" hidden="1" x14ac:dyDescent="0.2">
      <c r="A1387" s="46"/>
      <c r="B1387" s="46"/>
      <c r="C1387" s="46"/>
      <c r="D1387" s="48"/>
      <c r="E1387" s="48"/>
      <c r="F1387" s="48"/>
      <c r="G1387" s="48"/>
      <c r="H1387" s="48"/>
      <c r="I1387" s="48"/>
    </row>
    <row r="1388" spans="1:9" hidden="1" x14ac:dyDescent="0.2">
      <c r="A1388" s="46"/>
      <c r="B1388" s="46"/>
      <c r="C1388" s="46"/>
      <c r="D1388" s="48"/>
      <c r="E1388" s="48"/>
      <c r="F1388" s="48"/>
      <c r="G1388" s="48"/>
      <c r="H1388" s="48"/>
      <c r="I1388" s="48"/>
    </row>
    <row r="1389" spans="1:9" hidden="1" x14ac:dyDescent="0.2">
      <c r="A1389" s="46"/>
      <c r="B1389" s="46"/>
      <c r="C1389" s="46"/>
      <c r="D1389" s="48"/>
      <c r="E1389" s="48"/>
      <c r="F1389" s="48"/>
      <c r="G1389" s="48"/>
      <c r="H1389" s="48"/>
      <c r="I1389" s="48"/>
    </row>
    <row r="1390" spans="1:9" hidden="1" x14ac:dyDescent="0.2">
      <c r="A1390" s="46"/>
      <c r="B1390" s="46"/>
      <c r="C1390" s="46"/>
      <c r="D1390" s="48"/>
      <c r="E1390" s="48"/>
      <c r="F1390" s="48"/>
      <c r="G1390" s="48"/>
      <c r="H1390" s="48"/>
      <c r="I1390" s="48"/>
    </row>
    <row r="1391" spans="1:9" hidden="1" x14ac:dyDescent="0.2">
      <c r="A1391" s="46"/>
      <c r="B1391" s="46"/>
      <c r="C1391" s="46"/>
      <c r="D1391" s="48"/>
      <c r="E1391" s="48"/>
      <c r="F1391" s="48"/>
      <c r="G1391" s="48"/>
      <c r="H1391" s="48"/>
      <c r="I1391" s="48"/>
    </row>
    <row r="1392" spans="1:9" hidden="1" x14ac:dyDescent="0.2">
      <c r="A1392" s="46"/>
      <c r="B1392" s="46"/>
      <c r="C1392" s="46"/>
      <c r="D1392" s="48"/>
      <c r="E1392" s="48"/>
      <c r="F1392" s="48"/>
      <c r="G1392" s="48"/>
      <c r="H1392" s="48"/>
      <c r="I1392" s="48"/>
    </row>
    <row r="1393" spans="1:9" hidden="1" x14ac:dyDescent="0.2">
      <c r="A1393" s="46"/>
      <c r="B1393" s="46"/>
      <c r="C1393" s="46"/>
      <c r="D1393" s="48"/>
      <c r="E1393" s="48"/>
      <c r="F1393" s="48"/>
      <c r="G1393" s="48"/>
      <c r="H1393" s="48"/>
      <c r="I1393" s="48"/>
    </row>
    <row r="1394" spans="1:9" hidden="1" x14ac:dyDescent="0.2">
      <c r="A1394" s="46"/>
      <c r="B1394" s="46"/>
      <c r="C1394" s="46"/>
      <c r="D1394" s="48"/>
      <c r="E1394" s="48"/>
      <c r="F1394" s="48"/>
      <c r="G1394" s="48"/>
      <c r="H1394" s="48"/>
      <c r="I1394" s="48"/>
    </row>
    <row r="1395" spans="1:9" hidden="1" x14ac:dyDescent="0.2">
      <c r="A1395" s="46"/>
      <c r="B1395" s="46"/>
      <c r="C1395" s="46"/>
      <c r="D1395" s="48"/>
      <c r="E1395" s="48"/>
      <c r="F1395" s="48"/>
      <c r="G1395" s="48"/>
      <c r="H1395" s="48"/>
      <c r="I1395" s="48"/>
    </row>
    <row r="1396" spans="1:9" hidden="1" x14ac:dyDescent="0.2">
      <c r="A1396" s="46"/>
      <c r="B1396" s="46"/>
      <c r="C1396" s="46"/>
      <c r="D1396" s="48"/>
      <c r="E1396" s="48"/>
      <c r="F1396" s="48"/>
      <c r="G1396" s="48"/>
      <c r="H1396" s="48"/>
      <c r="I1396" s="48"/>
    </row>
    <row r="1397" spans="1:9" hidden="1" x14ac:dyDescent="0.2">
      <c r="A1397" s="46"/>
      <c r="B1397" s="46"/>
      <c r="C1397" s="46"/>
      <c r="D1397" s="48"/>
      <c r="E1397" s="48"/>
      <c r="F1397" s="48"/>
      <c r="G1397" s="48"/>
      <c r="H1397" s="48"/>
      <c r="I1397" s="48"/>
    </row>
    <row r="1398" spans="1:9" hidden="1" x14ac:dyDescent="0.2">
      <c r="A1398" s="46"/>
      <c r="B1398" s="46"/>
      <c r="C1398" s="46"/>
      <c r="D1398" s="48"/>
      <c r="E1398" s="48"/>
      <c r="F1398" s="48"/>
      <c r="G1398" s="48"/>
      <c r="H1398" s="48"/>
      <c r="I1398" s="48"/>
    </row>
    <row r="1399" spans="1:9" hidden="1" x14ac:dyDescent="0.2">
      <c r="A1399" s="46"/>
      <c r="B1399" s="46"/>
      <c r="C1399" s="46"/>
      <c r="D1399" s="48"/>
      <c r="E1399" s="48"/>
      <c r="F1399" s="48"/>
      <c r="G1399" s="48"/>
      <c r="H1399" s="48"/>
      <c r="I1399" s="48"/>
    </row>
    <row r="1400" spans="1:9" hidden="1" x14ac:dyDescent="0.2">
      <c r="A1400" s="46"/>
      <c r="B1400" s="46"/>
      <c r="C1400" s="46"/>
      <c r="D1400" s="48"/>
      <c r="E1400" s="48"/>
      <c r="F1400" s="48"/>
      <c r="G1400" s="48"/>
      <c r="H1400" s="48"/>
      <c r="I1400" s="48"/>
    </row>
    <row r="1401" spans="1:9" hidden="1" x14ac:dyDescent="0.2">
      <c r="A1401" s="46"/>
      <c r="B1401" s="46"/>
      <c r="C1401" s="46"/>
      <c r="D1401" s="48"/>
      <c r="E1401" s="48"/>
      <c r="F1401" s="48"/>
      <c r="G1401" s="48"/>
      <c r="H1401" s="48"/>
      <c r="I1401" s="48"/>
    </row>
    <row r="1402" spans="1:9" hidden="1" x14ac:dyDescent="0.2">
      <c r="A1402" s="46"/>
      <c r="B1402" s="46"/>
      <c r="C1402" s="46"/>
      <c r="D1402" s="48"/>
      <c r="E1402" s="48"/>
      <c r="F1402" s="48"/>
      <c r="G1402" s="48"/>
      <c r="H1402" s="48"/>
      <c r="I1402" s="48"/>
    </row>
    <row r="1403" spans="1:9" hidden="1" x14ac:dyDescent="0.2">
      <c r="A1403" s="46"/>
      <c r="B1403" s="46"/>
      <c r="C1403" s="46"/>
      <c r="D1403" s="48"/>
      <c r="E1403" s="48"/>
      <c r="F1403" s="48"/>
      <c r="G1403" s="48"/>
      <c r="H1403" s="48"/>
      <c r="I1403" s="48"/>
    </row>
    <row r="1404" spans="1:9" hidden="1" x14ac:dyDescent="0.2">
      <c r="A1404" s="46"/>
      <c r="B1404" s="46"/>
      <c r="C1404" s="46"/>
      <c r="D1404" s="48"/>
      <c r="E1404" s="48"/>
      <c r="F1404" s="48"/>
      <c r="G1404" s="48"/>
      <c r="H1404" s="48"/>
      <c r="I1404" s="48"/>
    </row>
    <row r="1405" spans="1:9" hidden="1" x14ac:dyDescent="0.2">
      <c r="A1405" s="46"/>
      <c r="B1405" s="46"/>
      <c r="C1405" s="46"/>
      <c r="D1405" s="48"/>
      <c r="E1405" s="48"/>
      <c r="F1405" s="48"/>
      <c r="G1405" s="48"/>
      <c r="H1405" s="48"/>
      <c r="I1405" s="48"/>
    </row>
    <row r="1406" spans="1:9" hidden="1" x14ac:dyDescent="0.2">
      <c r="A1406" s="46"/>
      <c r="B1406" s="46"/>
      <c r="C1406" s="46"/>
      <c r="D1406" s="48"/>
      <c r="E1406" s="48"/>
      <c r="F1406" s="48"/>
      <c r="G1406" s="48"/>
      <c r="H1406" s="48"/>
      <c r="I1406" s="48"/>
    </row>
    <row r="1407" spans="1:9" hidden="1" x14ac:dyDescent="0.2">
      <c r="A1407" s="46"/>
      <c r="B1407" s="46"/>
      <c r="C1407" s="46"/>
      <c r="D1407" s="48"/>
      <c r="E1407" s="48"/>
      <c r="F1407" s="48"/>
      <c r="G1407" s="48"/>
      <c r="H1407" s="48"/>
      <c r="I1407" s="48"/>
    </row>
    <row r="1408" spans="1:9" hidden="1" x14ac:dyDescent="0.2">
      <c r="A1408" s="46"/>
      <c r="B1408" s="46"/>
      <c r="C1408" s="46"/>
      <c r="D1408" s="48"/>
      <c r="E1408" s="48"/>
      <c r="F1408" s="48"/>
      <c r="G1408" s="48"/>
      <c r="H1408" s="48"/>
      <c r="I1408" s="48"/>
    </row>
    <row r="1409" spans="1:9" hidden="1" x14ac:dyDescent="0.2">
      <c r="A1409" s="46"/>
      <c r="B1409" s="46"/>
      <c r="C1409" s="46"/>
      <c r="D1409" s="48"/>
      <c r="E1409" s="48"/>
      <c r="F1409" s="48"/>
      <c r="G1409" s="48"/>
      <c r="H1409" s="48"/>
      <c r="I1409" s="48"/>
    </row>
    <row r="1410" spans="1:9" hidden="1" x14ac:dyDescent="0.2">
      <c r="A1410" s="46"/>
      <c r="B1410" s="46"/>
      <c r="C1410" s="46"/>
      <c r="D1410" s="48"/>
      <c r="E1410" s="48"/>
      <c r="F1410" s="48"/>
      <c r="G1410" s="48"/>
      <c r="H1410" s="48"/>
      <c r="I1410" s="48"/>
    </row>
    <row r="1411" spans="1:9" hidden="1" x14ac:dyDescent="0.2">
      <c r="A1411" s="46"/>
      <c r="B1411" s="46"/>
      <c r="C1411" s="46"/>
      <c r="D1411" s="48"/>
      <c r="E1411" s="48"/>
      <c r="F1411" s="48"/>
      <c r="G1411" s="48"/>
      <c r="H1411" s="48"/>
      <c r="I1411" s="48"/>
    </row>
    <row r="1412" spans="1:9" hidden="1" x14ac:dyDescent="0.2">
      <c r="A1412" s="46"/>
      <c r="B1412" s="46"/>
      <c r="C1412" s="46"/>
      <c r="D1412" s="48"/>
      <c r="E1412" s="48"/>
      <c r="F1412" s="48"/>
      <c r="G1412" s="48"/>
      <c r="H1412" s="48"/>
      <c r="I1412" s="48"/>
    </row>
    <row r="1413" spans="1:9" hidden="1" x14ac:dyDescent="0.2">
      <c r="A1413" s="46"/>
      <c r="B1413" s="46"/>
      <c r="C1413" s="46"/>
      <c r="D1413" s="48"/>
      <c r="E1413" s="48"/>
      <c r="F1413" s="48"/>
      <c r="G1413" s="48"/>
      <c r="H1413" s="48"/>
      <c r="I1413" s="48"/>
    </row>
    <row r="1414" spans="1:9" hidden="1" x14ac:dyDescent="0.2">
      <c r="A1414" s="46"/>
      <c r="B1414" s="46"/>
      <c r="C1414" s="46"/>
      <c r="D1414" s="48"/>
      <c r="E1414" s="48"/>
      <c r="F1414" s="48"/>
      <c r="G1414" s="48"/>
      <c r="H1414" s="48"/>
      <c r="I1414" s="48"/>
    </row>
    <row r="1415" spans="1:9" hidden="1" x14ac:dyDescent="0.2">
      <c r="A1415" s="46"/>
      <c r="B1415" s="46"/>
      <c r="C1415" s="46"/>
      <c r="D1415" s="48"/>
      <c r="E1415" s="48"/>
      <c r="F1415" s="48"/>
      <c r="G1415" s="48"/>
      <c r="H1415" s="48"/>
      <c r="I1415" s="48"/>
    </row>
    <row r="1416" spans="1:9" hidden="1" x14ac:dyDescent="0.2">
      <c r="A1416" s="46"/>
      <c r="B1416" s="46"/>
      <c r="C1416" s="46"/>
      <c r="D1416" s="48"/>
      <c r="E1416" s="48"/>
      <c r="F1416" s="48"/>
      <c r="G1416" s="48"/>
      <c r="H1416" s="48"/>
      <c r="I1416" s="48"/>
    </row>
    <row r="1417" spans="1:9" hidden="1" x14ac:dyDescent="0.2">
      <c r="A1417" s="46"/>
      <c r="B1417" s="46"/>
      <c r="C1417" s="46"/>
      <c r="D1417" s="48"/>
      <c r="E1417" s="48"/>
      <c r="F1417" s="48"/>
      <c r="G1417" s="48"/>
      <c r="H1417" s="48"/>
      <c r="I1417" s="48"/>
    </row>
    <row r="1418" spans="1:9" hidden="1" x14ac:dyDescent="0.2">
      <c r="A1418" s="46"/>
      <c r="B1418" s="46"/>
      <c r="C1418" s="46"/>
      <c r="D1418" s="48"/>
      <c r="E1418" s="48"/>
      <c r="F1418" s="48"/>
      <c r="G1418" s="48"/>
      <c r="H1418" s="48"/>
      <c r="I1418" s="48"/>
    </row>
    <row r="1419" spans="1:9" hidden="1" x14ac:dyDescent="0.2">
      <c r="A1419" s="46"/>
      <c r="B1419" s="46"/>
      <c r="C1419" s="46"/>
      <c r="D1419" s="48"/>
      <c r="E1419" s="48"/>
      <c r="F1419" s="48"/>
      <c r="G1419" s="48"/>
      <c r="H1419" s="48"/>
      <c r="I1419" s="48"/>
    </row>
    <row r="1420" spans="1:9" hidden="1" x14ac:dyDescent="0.2">
      <c r="A1420" s="46"/>
      <c r="B1420" s="46"/>
      <c r="C1420" s="46"/>
      <c r="D1420" s="48"/>
      <c r="E1420" s="48"/>
      <c r="F1420" s="48"/>
      <c r="G1420" s="48"/>
      <c r="H1420" s="48"/>
      <c r="I1420" s="48"/>
    </row>
    <row r="1421" spans="1:9" hidden="1" x14ac:dyDescent="0.2">
      <c r="A1421" s="46"/>
      <c r="B1421" s="46"/>
      <c r="C1421" s="46"/>
      <c r="D1421" s="48"/>
      <c r="E1421" s="48"/>
      <c r="F1421" s="48"/>
      <c r="G1421" s="48"/>
      <c r="H1421" s="48"/>
      <c r="I1421" s="48"/>
    </row>
    <row r="1422" spans="1:9" hidden="1" x14ac:dyDescent="0.2">
      <c r="A1422" s="46"/>
      <c r="B1422" s="46"/>
      <c r="C1422" s="46"/>
      <c r="D1422" s="48"/>
      <c r="E1422" s="48"/>
      <c r="F1422" s="48"/>
      <c r="G1422" s="48"/>
      <c r="H1422" s="48"/>
      <c r="I1422" s="48"/>
    </row>
    <row r="1423" spans="1:9" hidden="1" x14ac:dyDescent="0.2">
      <c r="A1423" s="46"/>
      <c r="B1423" s="46"/>
      <c r="C1423" s="46"/>
      <c r="D1423" s="48"/>
      <c r="E1423" s="48"/>
      <c r="F1423" s="48"/>
      <c r="G1423" s="48"/>
      <c r="H1423" s="48"/>
      <c r="I1423" s="48"/>
    </row>
    <row r="1424" spans="1:9" hidden="1" x14ac:dyDescent="0.2">
      <c r="A1424" s="46"/>
      <c r="B1424" s="46"/>
      <c r="C1424" s="46"/>
      <c r="D1424" s="48"/>
      <c r="E1424" s="48"/>
      <c r="F1424" s="48"/>
      <c r="G1424" s="48"/>
      <c r="H1424" s="48"/>
      <c r="I1424" s="48"/>
    </row>
    <row r="1425" spans="1:9" hidden="1" x14ac:dyDescent="0.2">
      <c r="A1425" s="46"/>
      <c r="B1425" s="46"/>
      <c r="C1425" s="46"/>
      <c r="D1425" s="48"/>
      <c r="E1425" s="48"/>
      <c r="F1425" s="48"/>
      <c r="G1425" s="48"/>
      <c r="H1425" s="48"/>
      <c r="I1425" s="48"/>
    </row>
    <row r="1426" spans="1:9" hidden="1" x14ac:dyDescent="0.2">
      <c r="A1426" s="46"/>
      <c r="B1426" s="46"/>
      <c r="C1426" s="46"/>
      <c r="D1426" s="48"/>
      <c r="E1426" s="48"/>
      <c r="F1426" s="48"/>
      <c r="G1426" s="48"/>
      <c r="H1426" s="48"/>
      <c r="I1426" s="48"/>
    </row>
    <row r="1427" spans="1:9" hidden="1" x14ac:dyDescent="0.2">
      <c r="A1427" s="46"/>
      <c r="B1427" s="46"/>
      <c r="C1427" s="46"/>
      <c r="D1427" s="48"/>
      <c r="E1427" s="48"/>
      <c r="F1427" s="48"/>
      <c r="G1427" s="48"/>
      <c r="H1427" s="48"/>
      <c r="I1427" s="48"/>
    </row>
    <row r="1428" spans="1:9" hidden="1" x14ac:dyDescent="0.2">
      <c r="A1428" s="46"/>
      <c r="B1428" s="46"/>
      <c r="C1428" s="46"/>
      <c r="D1428" s="48"/>
      <c r="E1428" s="48"/>
      <c r="F1428" s="48"/>
      <c r="G1428" s="48"/>
      <c r="H1428" s="48"/>
      <c r="I1428" s="48"/>
    </row>
    <row r="1429" spans="1:9" hidden="1" x14ac:dyDescent="0.2">
      <c r="A1429" s="46"/>
      <c r="B1429" s="46"/>
      <c r="C1429" s="46"/>
      <c r="D1429" s="48"/>
      <c r="E1429" s="48"/>
      <c r="F1429" s="48"/>
      <c r="G1429" s="48"/>
      <c r="H1429" s="48"/>
      <c r="I1429" s="48"/>
    </row>
    <row r="1430" spans="1:9" hidden="1" x14ac:dyDescent="0.2">
      <c r="A1430" s="46"/>
      <c r="B1430" s="46"/>
      <c r="C1430" s="46"/>
      <c r="D1430" s="48"/>
      <c r="E1430" s="48"/>
      <c r="F1430" s="48"/>
      <c r="G1430" s="48"/>
      <c r="H1430" s="48"/>
      <c r="I1430" s="48"/>
    </row>
    <row r="1431" spans="1:9" hidden="1" x14ac:dyDescent="0.2">
      <c r="A1431" s="46"/>
      <c r="B1431" s="46"/>
      <c r="C1431" s="46"/>
      <c r="D1431" s="48"/>
      <c r="E1431" s="48"/>
      <c r="F1431" s="48"/>
      <c r="G1431" s="48"/>
      <c r="H1431" s="48"/>
      <c r="I1431" s="48"/>
    </row>
    <row r="1432" spans="1:9" hidden="1" x14ac:dyDescent="0.2">
      <c r="A1432" s="46"/>
      <c r="B1432" s="46"/>
      <c r="C1432" s="46"/>
      <c r="D1432" s="48"/>
      <c r="E1432" s="48"/>
      <c r="F1432" s="48"/>
      <c r="G1432" s="48"/>
      <c r="H1432" s="48"/>
      <c r="I1432" s="48"/>
    </row>
    <row r="1433" spans="1:9" hidden="1" x14ac:dyDescent="0.2">
      <c r="A1433" s="46"/>
      <c r="B1433" s="46"/>
      <c r="C1433" s="46"/>
      <c r="D1433" s="48"/>
      <c r="E1433" s="48"/>
      <c r="F1433" s="48"/>
      <c r="G1433" s="48"/>
      <c r="H1433" s="48"/>
      <c r="I1433" s="48"/>
    </row>
    <row r="1434" spans="1:9" hidden="1" x14ac:dyDescent="0.2">
      <c r="A1434" s="46"/>
      <c r="B1434" s="46"/>
      <c r="C1434" s="46"/>
      <c r="D1434" s="48"/>
      <c r="E1434" s="48"/>
      <c r="F1434" s="48"/>
      <c r="G1434" s="48"/>
      <c r="H1434" s="48"/>
      <c r="I1434" s="48"/>
    </row>
    <row r="1435" spans="1:9" hidden="1" x14ac:dyDescent="0.2">
      <c r="A1435" s="46"/>
      <c r="B1435" s="46"/>
      <c r="C1435" s="46"/>
      <c r="D1435" s="48"/>
      <c r="E1435" s="48"/>
      <c r="F1435" s="48"/>
      <c r="G1435" s="48"/>
      <c r="H1435" s="48"/>
      <c r="I1435" s="48"/>
    </row>
    <row r="1436" spans="1:9" hidden="1" x14ac:dyDescent="0.2">
      <c r="A1436" s="46"/>
      <c r="B1436" s="46"/>
      <c r="C1436" s="46"/>
      <c r="D1436" s="48"/>
      <c r="E1436" s="48"/>
      <c r="F1436" s="48"/>
      <c r="G1436" s="48"/>
      <c r="H1436" s="48"/>
      <c r="I1436" s="48"/>
    </row>
    <row r="1437" spans="1:9" hidden="1" x14ac:dyDescent="0.2">
      <c r="A1437" s="46"/>
      <c r="B1437" s="46"/>
      <c r="C1437" s="46"/>
      <c r="D1437" s="48"/>
      <c r="E1437" s="48"/>
      <c r="F1437" s="48"/>
      <c r="G1437" s="48"/>
      <c r="H1437" s="48"/>
      <c r="I1437" s="48"/>
    </row>
    <row r="1438" spans="1:9" hidden="1" x14ac:dyDescent="0.2">
      <c r="A1438" s="46"/>
      <c r="B1438" s="46"/>
      <c r="C1438" s="46"/>
      <c r="D1438" s="48"/>
      <c r="E1438" s="48"/>
      <c r="F1438" s="48"/>
      <c r="G1438" s="48"/>
      <c r="H1438" s="48"/>
      <c r="I1438" s="48"/>
    </row>
    <row r="1439" spans="1:9" hidden="1" x14ac:dyDescent="0.2">
      <c r="A1439" s="46"/>
      <c r="B1439" s="46"/>
      <c r="C1439" s="46"/>
      <c r="D1439" s="48"/>
      <c r="E1439" s="48"/>
      <c r="F1439" s="48"/>
      <c r="G1439" s="48"/>
      <c r="H1439" s="48"/>
      <c r="I1439" s="48"/>
    </row>
    <row r="1440" spans="1:9" hidden="1" x14ac:dyDescent="0.2">
      <c r="A1440" s="46"/>
      <c r="B1440" s="46"/>
      <c r="C1440" s="46"/>
      <c r="D1440" s="48"/>
      <c r="E1440" s="48"/>
      <c r="F1440" s="48"/>
      <c r="G1440" s="48"/>
      <c r="H1440" s="48"/>
      <c r="I1440" s="48"/>
    </row>
    <row r="1441" spans="1:9" hidden="1" x14ac:dyDescent="0.2">
      <c r="A1441" s="46"/>
      <c r="B1441" s="46"/>
      <c r="C1441" s="46"/>
      <c r="D1441" s="48"/>
      <c r="E1441" s="48"/>
      <c r="F1441" s="48"/>
      <c r="G1441" s="48"/>
      <c r="H1441" s="48"/>
      <c r="I1441" s="48"/>
    </row>
    <row r="1442" spans="1:9" hidden="1" x14ac:dyDescent="0.2">
      <c r="A1442" s="46"/>
      <c r="B1442" s="46"/>
      <c r="C1442" s="46"/>
      <c r="D1442" s="48"/>
      <c r="E1442" s="48"/>
      <c r="F1442" s="48"/>
      <c r="G1442" s="48"/>
      <c r="H1442" s="48"/>
      <c r="I1442" s="48"/>
    </row>
    <row r="1443" spans="1:9" hidden="1" x14ac:dyDescent="0.2">
      <c r="A1443" s="46"/>
      <c r="B1443" s="46"/>
      <c r="C1443" s="46"/>
      <c r="D1443" s="48"/>
      <c r="E1443" s="48"/>
      <c r="F1443" s="48"/>
      <c r="G1443" s="48"/>
      <c r="H1443" s="48"/>
      <c r="I1443" s="48"/>
    </row>
    <row r="1444" spans="1:9" hidden="1" x14ac:dyDescent="0.2">
      <c r="A1444" s="46"/>
      <c r="B1444" s="46"/>
      <c r="C1444" s="46"/>
      <c r="D1444" s="48"/>
      <c r="E1444" s="48"/>
      <c r="F1444" s="48"/>
      <c r="G1444" s="48"/>
      <c r="H1444" s="48"/>
      <c r="I1444" s="48"/>
    </row>
    <row r="1445" spans="1:9" hidden="1" x14ac:dyDescent="0.2">
      <c r="A1445" s="46"/>
      <c r="B1445" s="46"/>
      <c r="C1445" s="46"/>
      <c r="D1445" s="48"/>
      <c r="E1445" s="48"/>
      <c r="F1445" s="48"/>
      <c r="G1445" s="48"/>
      <c r="H1445" s="48"/>
      <c r="I1445" s="48"/>
    </row>
    <row r="1446" spans="1:9" hidden="1" x14ac:dyDescent="0.2">
      <c r="A1446" s="46"/>
      <c r="B1446" s="46"/>
      <c r="C1446" s="46"/>
      <c r="D1446" s="48"/>
      <c r="E1446" s="48"/>
      <c r="F1446" s="48"/>
      <c r="G1446" s="48"/>
      <c r="H1446" s="48"/>
      <c r="I1446" s="48"/>
    </row>
    <row r="1447" spans="1:9" hidden="1" x14ac:dyDescent="0.2">
      <c r="A1447" s="46"/>
      <c r="B1447" s="46"/>
      <c r="C1447" s="46"/>
      <c r="D1447" s="48"/>
      <c r="E1447" s="48"/>
      <c r="F1447" s="48"/>
      <c r="G1447" s="48"/>
      <c r="H1447" s="48"/>
      <c r="I1447" s="48"/>
    </row>
    <row r="1448" spans="1:9" hidden="1" x14ac:dyDescent="0.2">
      <c r="A1448" s="46"/>
      <c r="B1448" s="46"/>
      <c r="C1448" s="46"/>
      <c r="D1448" s="48"/>
      <c r="E1448" s="48"/>
      <c r="F1448" s="48"/>
      <c r="G1448" s="48"/>
      <c r="H1448" s="48"/>
      <c r="I1448" s="48"/>
    </row>
    <row r="1449" spans="1:9" hidden="1" x14ac:dyDescent="0.2">
      <c r="A1449" s="46"/>
      <c r="B1449" s="46"/>
      <c r="C1449" s="46"/>
      <c r="D1449" s="48"/>
      <c r="E1449" s="48"/>
      <c r="F1449" s="48"/>
      <c r="G1449" s="48"/>
      <c r="H1449" s="48"/>
      <c r="I1449" s="48"/>
    </row>
    <row r="1450" spans="1:9" hidden="1" x14ac:dyDescent="0.2">
      <c r="A1450" s="46"/>
      <c r="B1450" s="46"/>
      <c r="C1450" s="46"/>
      <c r="D1450" s="48"/>
      <c r="E1450" s="48"/>
      <c r="F1450" s="48"/>
      <c r="G1450" s="48"/>
      <c r="H1450" s="48"/>
      <c r="I1450" s="48"/>
    </row>
    <row r="1451" spans="1:9" hidden="1" x14ac:dyDescent="0.2">
      <c r="A1451" s="46"/>
      <c r="B1451" s="46"/>
      <c r="C1451" s="46"/>
      <c r="D1451" s="48"/>
      <c r="E1451" s="48"/>
      <c r="F1451" s="48"/>
      <c r="G1451" s="48"/>
      <c r="H1451" s="48"/>
      <c r="I1451" s="48"/>
    </row>
    <row r="1452" spans="1:9" hidden="1" x14ac:dyDescent="0.2">
      <c r="A1452" s="46"/>
      <c r="B1452" s="46"/>
      <c r="C1452" s="46"/>
      <c r="D1452" s="48"/>
      <c r="E1452" s="48"/>
      <c r="F1452" s="48"/>
      <c r="G1452" s="48"/>
      <c r="H1452" s="48"/>
      <c r="I1452" s="48"/>
    </row>
    <row r="1453" spans="1:9" hidden="1" x14ac:dyDescent="0.2">
      <c r="A1453" s="46"/>
      <c r="B1453" s="46"/>
      <c r="C1453" s="46"/>
      <c r="D1453" s="48"/>
      <c r="E1453" s="48"/>
      <c r="F1453" s="48"/>
      <c r="G1453" s="48"/>
      <c r="H1453" s="48"/>
      <c r="I1453" s="48"/>
    </row>
    <row r="1454" spans="1:9" hidden="1" x14ac:dyDescent="0.2">
      <c r="A1454" s="46"/>
      <c r="B1454" s="46"/>
      <c r="C1454" s="46"/>
      <c r="D1454" s="48"/>
      <c r="E1454" s="48"/>
      <c r="F1454" s="48"/>
      <c r="G1454" s="48"/>
      <c r="H1454" s="48"/>
      <c r="I1454" s="48"/>
    </row>
    <row r="1455" spans="1:9" hidden="1" x14ac:dyDescent="0.2">
      <c r="A1455" s="46"/>
      <c r="B1455" s="46"/>
      <c r="C1455" s="46"/>
      <c r="D1455" s="48"/>
      <c r="E1455" s="48"/>
      <c r="F1455" s="48"/>
      <c r="G1455" s="48"/>
      <c r="H1455" s="48"/>
      <c r="I1455" s="48"/>
    </row>
    <row r="1456" spans="1:9" hidden="1" x14ac:dyDescent="0.2">
      <c r="A1456" s="46"/>
      <c r="B1456" s="46"/>
      <c r="C1456" s="46"/>
      <c r="D1456" s="48"/>
      <c r="E1456" s="48"/>
      <c r="F1456" s="48"/>
      <c r="G1456" s="48"/>
      <c r="H1456" s="48"/>
      <c r="I1456" s="48"/>
    </row>
    <row r="1457" spans="1:9" hidden="1" x14ac:dyDescent="0.2">
      <c r="A1457" s="46"/>
      <c r="B1457" s="46"/>
      <c r="C1457" s="46"/>
      <c r="D1457" s="48"/>
      <c r="E1457" s="48"/>
      <c r="F1457" s="48"/>
      <c r="G1457" s="48"/>
      <c r="H1457" s="48"/>
      <c r="I1457" s="48"/>
    </row>
    <row r="1458" spans="1:9" hidden="1" x14ac:dyDescent="0.2">
      <c r="A1458" s="46"/>
      <c r="B1458" s="46"/>
      <c r="C1458" s="46"/>
      <c r="D1458" s="48"/>
      <c r="E1458" s="48"/>
      <c r="F1458" s="48"/>
      <c r="G1458" s="48"/>
      <c r="H1458" s="48"/>
      <c r="I1458" s="48"/>
    </row>
    <row r="1459" spans="1:9" hidden="1" x14ac:dyDescent="0.2">
      <c r="A1459" s="46"/>
      <c r="B1459" s="46"/>
      <c r="C1459" s="46"/>
      <c r="D1459" s="48"/>
      <c r="E1459" s="48"/>
      <c r="F1459" s="48"/>
      <c r="G1459" s="48"/>
      <c r="H1459" s="48"/>
      <c r="I1459" s="48"/>
    </row>
    <row r="1460" spans="1:9" hidden="1" x14ac:dyDescent="0.2">
      <c r="A1460" s="46"/>
      <c r="B1460" s="46"/>
      <c r="C1460" s="46"/>
      <c r="D1460" s="48"/>
      <c r="E1460" s="48"/>
      <c r="F1460" s="48"/>
      <c r="G1460" s="48"/>
      <c r="H1460" s="48"/>
      <c r="I1460" s="48"/>
    </row>
    <row r="1461" spans="1:9" hidden="1" x14ac:dyDescent="0.2">
      <c r="A1461" s="46"/>
      <c r="B1461" s="46"/>
      <c r="C1461" s="46"/>
      <c r="D1461" s="48"/>
      <c r="E1461" s="48"/>
      <c r="F1461" s="48"/>
      <c r="G1461" s="48"/>
      <c r="H1461" s="48"/>
      <c r="I1461" s="48"/>
    </row>
    <row r="1462" spans="1:9" hidden="1" x14ac:dyDescent="0.2">
      <c r="A1462" s="46"/>
      <c r="B1462" s="46"/>
      <c r="C1462" s="46"/>
      <c r="D1462" s="48"/>
      <c r="E1462" s="48"/>
      <c r="F1462" s="48"/>
      <c r="G1462" s="48"/>
      <c r="H1462" s="48"/>
      <c r="I1462" s="48"/>
    </row>
    <row r="1463" spans="1:9" hidden="1" x14ac:dyDescent="0.2">
      <c r="A1463" s="46"/>
      <c r="B1463" s="46"/>
      <c r="C1463" s="46"/>
      <c r="D1463" s="48"/>
      <c r="E1463" s="48"/>
      <c r="F1463" s="48"/>
      <c r="G1463" s="48"/>
      <c r="H1463" s="48"/>
      <c r="I1463" s="48"/>
    </row>
    <row r="1464" spans="1:9" hidden="1" x14ac:dyDescent="0.2">
      <c r="A1464" s="46"/>
      <c r="B1464" s="46"/>
      <c r="C1464" s="46"/>
      <c r="D1464" s="48"/>
      <c r="E1464" s="48"/>
      <c r="F1464" s="48"/>
      <c r="G1464" s="48"/>
      <c r="H1464" s="48"/>
      <c r="I1464" s="48"/>
    </row>
    <row r="1465" spans="1:9" hidden="1" x14ac:dyDescent="0.2">
      <c r="A1465" s="46"/>
      <c r="B1465" s="46"/>
      <c r="C1465" s="46"/>
      <c r="D1465" s="48"/>
      <c r="E1465" s="48"/>
      <c r="F1465" s="48"/>
      <c r="G1465" s="48"/>
      <c r="H1465" s="48"/>
      <c r="I1465" s="48"/>
    </row>
    <row r="1466" spans="1:9" hidden="1" x14ac:dyDescent="0.2">
      <c r="A1466" s="46"/>
      <c r="B1466" s="46"/>
      <c r="C1466" s="46"/>
      <c r="D1466" s="48"/>
      <c r="E1466" s="48"/>
      <c r="F1466" s="48"/>
      <c r="G1466" s="48"/>
      <c r="H1466" s="48"/>
      <c r="I1466" s="48"/>
    </row>
    <row r="1467" spans="1:9" hidden="1" x14ac:dyDescent="0.2">
      <c r="A1467" s="46"/>
      <c r="B1467" s="46"/>
      <c r="C1467" s="46"/>
      <c r="D1467" s="48"/>
      <c r="E1467" s="48"/>
      <c r="F1467" s="48"/>
      <c r="G1467" s="48"/>
      <c r="H1467" s="48"/>
      <c r="I1467" s="48"/>
    </row>
    <row r="1468" spans="1:9" hidden="1" x14ac:dyDescent="0.2">
      <c r="A1468" s="46"/>
      <c r="B1468" s="46"/>
      <c r="C1468" s="46"/>
      <c r="D1468" s="48"/>
      <c r="E1468" s="48"/>
      <c r="F1468" s="48"/>
      <c r="G1468" s="48"/>
      <c r="H1468" s="48"/>
      <c r="I1468" s="48"/>
    </row>
    <row r="1469" spans="1:9" hidden="1" x14ac:dyDescent="0.2">
      <c r="A1469" s="46"/>
      <c r="B1469" s="46"/>
      <c r="C1469" s="46"/>
      <c r="D1469" s="48"/>
      <c r="E1469" s="48"/>
      <c r="F1469" s="48"/>
      <c r="G1469" s="48"/>
      <c r="H1469" s="48"/>
      <c r="I1469" s="48"/>
    </row>
    <row r="1470" spans="1:9" hidden="1" x14ac:dyDescent="0.2">
      <c r="A1470" s="46"/>
      <c r="B1470" s="46"/>
      <c r="C1470" s="46"/>
      <c r="D1470" s="48"/>
      <c r="E1470" s="48"/>
      <c r="F1470" s="48"/>
      <c r="G1470" s="48"/>
      <c r="H1470" s="48"/>
      <c r="I1470" s="48"/>
    </row>
    <row r="1471" spans="1:9" hidden="1" x14ac:dyDescent="0.2">
      <c r="A1471" s="46"/>
      <c r="B1471" s="46"/>
      <c r="C1471" s="46"/>
      <c r="D1471" s="48"/>
      <c r="E1471" s="48"/>
      <c r="F1471" s="48"/>
      <c r="G1471" s="48"/>
      <c r="H1471" s="48"/>
      <c r="I1471" s="48"/>
    </row>
    <row r="1472" spans="1:9" hidden="1" x14ac:dyDescent="0.2">
      <c r="A1472" s="46"/>
      <c r="B1472" s="46"/>
      <c r="C1472" s="46"/>
      <c r="D1472" s="48"/>
      <c r="E1472" s="48"/>
      <c r="F1472" s="48"/>
      <c r="G1472" s="48"/>
      <c r="H1472" s="48"/>
      <c r="I1472" s="48"/>
    </row>
    <row r="1473" spans="1:9" hidden="1" x14ac:dyDescent="0.2">
      <c r="A1473" s="46"/>
      <c r="B1473" s="46"/>
      <c r="C1473" s="46"/>
      <c r="D1473" s="48"/>
      <c r="E1473" s="48"/>
      <c r="F1473" s="48"/>
      <c r="G1473" s="48"/>
      <c r="H1473" s="48"/>
      <c r="I1473" s="48"/>
    </row>
    <row r="1474" spans="1:9" hidden="1" x14ac:dyDescent="0.2">
      <c r="A1474" s="46"/>
      <c r="B1474" s="46"/>
      <c r="C1474" s="46"/>
      <c r="D1474" s="48"/>
      <c r="E1474" s="48"/>
      <c r="F1474" s="48"/>
      <c r="G1474" s="48"/>
      <c r="H1474" s="48"/>
      <c r="I1474" s="48"/>
    </row>
    <row r="1475" spans="1:9" hidden="1" x14ac:dyDescent="0.2">
      <c r="A1475" s="46"/>
      <c r="B1475" s="46"/>
      <c r="C1475" s="46"/>
      <c r="D1475" s="48"/>
      <c r="E1475" s="48"/>
      <c r="F1475" s="48"/>
      <c r="G1475" s="48"/>
      <c r="H1475" s="48"/>
      <c r="I1475" s="48"/>
    </row>
    <row r="1476" spans="1:9" hidden="1" x14ac:dyDescent="0.2">
      <c r="A1476" s="46"/>
      <c r="B1476" s="46"/>
      <c r="C1476" s="46"/>
      <c r="D1476" s="48"/>
      <c r="E1476" s="48"/>
      <c r="F1476" s="48"/>
      <c r="G1476" s="48"/>
      <c r="H1476" s="48"/>
      <c r="I1476" s="48"/>
    </row>
    <row r="1477" spans="1:9" hidden="1" x14ac:dyDescent="0.2">
      <c r="A1477" s="46"/>
      <c r="B1477" s="46"/>
      <c r="C1477" s="46"/>
      <c r="D1477" s="48"/>
      <c r="E1477" s="48"/>
      <c r="F1477" s="48"/>
      <c r="G1477" s="48"/>
      <c r="H1477" s="48"/>
      <c r="I1477" s="48"/>
    </row>
    <row r="1478" spans="1:9" hidden="1" x14ac:dyDescent="0.2">
      <c r="A1478" s="46"/>
      <c r="B1478" s="46"/>
      <c r="C1478" s="46"/>
      <c r="D1478" s="48"/>
      <c r="E1478" s="48"/>
      <c r="F1478" s="48"/>
      <c r="G1478" s="48"/>
      <c r="H1478" s="48"/>
      <c r="I1478" s="48"/>
    </row>
    <row r="1479" spans="1:9" hidden="1" x14ac:dyDescent="0.2">
      <c r="A1479" s="46"/>
      <c r="B1479" s="46"/>
      <c r="C1479" s="46"/>
      <c r="D1479" s="48"/>
      <c r="E1479" s="48"/>
      <c r="F1479" s="48"/>
      <c r="G1479" s="48"/>
      <c r="H1479" s="48"/>
      <c r="I1479" s="48"/>
    </row>
    <row r="1480" spans="1:9" hidden="1" x14ac:dyDescent="0.2">
      <c r="A1480" s="46"/>
      <c r="B1480" s="46"/>
      <c r="C1480" s="46"/>
      <c r="D1480" s="48"/>
      <c r="E1480" s="48"/>
      <c r="F1480" s="48"/>
      <c r="G1480" s="48"/>
      <c r="H1480" s="48"/>
      <c r="I1480" s="48"/>
    </row>
    <row r="1481" spans="1:9" hidden="1" x14ac:dyDescent="0.2">
      <c r="A1481" s="46"/>
      <c r="B1481" s="46"/>
      <c r="C1481" s="46"/>
      <c r="D1481" s="48"/>
      <c r="E1481" s="48"/>
      <c r="F1481" s="48"/>
      <c r="G1481" s="48"/>
      <c r="H1481" s="48"/>
      <c r="I1481" s="48"/>
    </row>
    <row r="1482" spans="1:9" hidden="1" x14ac:dyDescent="0.2">
      <c r="A1482" s="46"/>
      <c r="B1482" s="46"/>
      <c r="C1482" s="46"/>
      <c r="D1482" s="48"/>
      <c r="E1482" s="48"/>
      <c r="F1482" s="48"/>
      <c r="G1482" s="48"/>
      <c r="H1482" s="48"/>
      <c r="I1482" s="48"/>
    </row>
    <row r="1483" spans="1:9" hidden="1" x14ac:dyDescent="0.2">
      <c r="A1483" s="46"/>
      <c r="B1483" s="46"/>
      <c r="C1483" s="46"/>
      <c r="D1483" s="48"/>
      <c r="E1483" s="48"/>
      <c r="F1483" s="48"/>
      <c r="G1483" s="48"/>
      <c r="H1483" s="48"/>
      <c r="I1483" s="48"/>
    </row>
    <row r="1484" spans="1:9" hidden="1" x14ac:dyDescent="0.2">
      <c r="A1484" s="46"/>
      <c r="B1484" s="46"/>
      <c r="C1484" s="46"/>
      <c r="D1484" s="48"/>
      <c r="E1484" s="48"/>
      <c r="F1484" s="48"/>
      <c r="G1484" s="48"/>
      <c r="H1484" s="48"/>
      <c r="I1484" s="48"/>
    </row>
    <row r="1485" spans="1:9" hidden="1" x14ac:dyDescent="0.2">
      <c r="A1485" s="46"/>
      <c r="B1485" s="46"/>
      <c r="C1485" s="46"/>
      <c r="D1485" s="48"/>
      <c r="E1485" s="48"/>
      <c r="F1485" s="48"/>
      <c r="G1485" s="48"/>
      <c r="H1485" s="48"/>
      <c r="I1485" s="48"/>
    </row>
    <row r="1486" spans="1:9" hidden="1" x14ac:dyDescent="0.2">
      <c r="A1486" s="46"/>
      <c r="B1486" s="46"/>
      <c r="C1486" s="46"/>
      <c r="D1486" s="48"/>
      <c r="E1486" s="48"/>
      <c r="F1486" s="48"/>
      <c r="G1486" s="48"/>
      <c r="H1486" s="48"/>
      <c r="I1486" s="48"/>
    </row>
    <row r="1487" spans="1:9" hidden="1" x14ac:dyDescent="0.2">
      <c r="A1487" s="46"/>
      <c r="B1487" s="46"/>
      <c r="C1487" s="46"/>
      <c r="D1487" s="48"/>
      <c r="E1487" s="48"/>
      <c r="F1487" s="48"/>
      <c r="G1487" s="48"/>
      <c r="H1487" s="48"/>
      <c r="I1487" s="48"/>
    </row>
    <row r="1488" spans="1:9" hidden="1" x14ac:dyDescent="0.2">
      <c r="A1488" s="46"/>
      <c r="B1488" s="46"/>
      <c r="C1488" s="46"/>
      <c r="D1488" s="48"/>
      <c r="E1488" s="48"/>
      <c r="F1488" s="48"/>
      <c r="G1488" s="48"/>
      <c r="H1488" s="48"/>
      <c r="I1488" s="48"/>
    </row>
    <row r="1489" spans="1:9" hidden="1" x14ac:dyDescent="0.2">
      <c r="A1489" s="46"/>
      <c r="B1489" s="46"/>
      <c r="C1489" s="46"/>
      <c r="D1489" s="48"/>
      <c r="E1489" s="48"/>
      <c r="F1489" s="48"/>
      <c r="G1489" s="48"/>
      <c r="H1489" s="48"/>
      <c r="I1489" s="48"/>
    </row>
    <row r="1490" spans="1:9" hidden="1" x14ac:dyDescent="0.2">
      <c r="A1490" s="46"/>
      <c r="B1490" s="46"/>
      <c r="C1490" s="46"/>
      <c r="D1490" s="48"/>
      <c r="E1490" s="48"/>
      <c r="F1490" s="48"/>
      <c r="G1490" s="48"/>
      <c r="H1490" s="48"/>
      <c r="I1490" s="48"/>
    </row>
    <row r="1491" spans="1:9" hidden="1" x14ac:dyDescent="0.2">
      <c r="A1491" s="46"/>
      <c r="B1491" s="46"/>
      <c r="C1491" s="46"/>
      <c r="D1491" s="48"/>
      <c r="E1491" s="48"/>
      <c r="F1491" s="48"/>
      <c r="G1491" s="48"/>
      <c r="H1491" s="48"/>
      <c r="I1491" s="48"/>
    </row>
    <row r="1492" spans="1:9" hidden="1" x14ac:dyDescent="0.2">
      <c r="A1492" s="46"/>
      <c r="B1492" s="46"/>
      <c r="C1492" s="46"/>
      <c r="D1492" s="48"/>
      <c r="E1492" s="48"/>
      <c r="F1492" s="48"/>
      <c r="G1492" s="48"/>
      <c r="H1492" s="48"/>
      <c r="I1492" s="48"/>
    </row>
    <row r="1493" spans="1:9" hidden="1" x14ac:dyDescent="0.2">
      <c r="A1493" s="46"/>
      <c r="B1493" s="46"/>
      <c r="C1493" s="46"/>
      <c r="D1493" s="48"/>
      <c r="E1493" s="48"/>
      <c r="F1493" s="48"/>
      <c r="G1493" s="48"/>
      <c r="H1493" s="48"/>
      <c r="I1493" s="48"/>
    </row>
    <row r="1494" spans="1:9" hidden="1" x14ac:dyDescent="0.2">
      <c r="A1494" s="46"/>
      <c r="B1494" s="46"/>
      <c r="C1494" s="46"/>
      <c r="D1494" s="48"/>
      <c r="E1494" s="48"/>
      <c r="F1494" s="48"/>
      <c r="G1494" s="48"/>
      <c r="H1494" s="48"/>
      <c r="I1494" s="48"/>
    </row>
    <row r="1495" spans="1:9" hidden="1" x14ac:dyDescent="0.2">
      <c r="A1495" s="46"/>
      <c r="B1495" s="46"/>
      <c r="C1495" s="46"/>
      <c r="D1495" s="48"/>
      <c r="E1495" s="48"/>
      <c r="F1495" s="48"/>
      <c r="G1495" s="48"/>
      <c r="H1495" s="48"/>
      <c r="I1495" s="48"/>
    </row>
    <row r="1496" spans="1:9" hidden="1" x14ac:dyDescent="0.2">
      <c r="A1496" s="46"/>
      <c r="B1496" s="46"/>
      <c r="C1496" s="46"/>
      <c r="D1496" s="48"/>
      <c r="E1496" s="48"/>
      <c r="F1496" s="48"/>
      <c r="G1496" s="48"/>
      <c r="H1496" s="48"/>
      <c r="I1496" s="48"/>
    </row>
    <row r="1497" spans="1:9" hidden="1" x14ac:dyDescent="0.2">
      <c r="A1497" s="46"/>
      <c r="B1497" s="46"/>
      <c r="C1497" s="46"/>
      <c r="D1497" s="48"/>
      <c r="E1497" s="48"/>
      <c r="F1497" s="48"/>
      <c r="G1497" s="48"/>
      <c r="H1497" s="48"/>
      <c r="I1497" s="48"/>
    </row>
    <row r="1498" spans="1:9" hidden="1" x14ac:dyDescent="0.2">
      <c r="A1498" s="46"/>
      <c r="B1498" s="46"/>
      <c r="C1498" s="46"/>
      <c r="D1498" s="48"/>
      <c r="E1498" s="48"/>
      <c r="F1498" s="48"/>
      <c r="G1498" s="48"/>
      <c r="H1498" s="48"/>
      <c r="I1498" s="48"/>
    </row>
    <row r="1499" spans="1:9" hidden="1" x14ac:dyDescent="0.2">
      <c r="A1499" s="46"/>
      <c r="B1499" s="46"/>
      <c r="C1499" s="46"/>
      <c r="D1499" s="48"/>
      <c r="E1499" s="48"/>
      <c r="F1499" s="48"/>
      <c r="G1499" s="48"/>
      <c r="H1499" s="48"/>
      <c r="I1499" s="48"/>
    </row>
    <row r="1500" spans="1:9" hidden="1" x14ac:dyDescent="0.2">
      <c r="A1500" s="46"/>
      <c r="B1500" s="46"/>
      <c r="C1500" s="46"/>
      <c r="D1500" s="48"/>
      <c r="E1500" s="48"/>
      <c r="F1500" s="48"/>
      <c r="G1500" s="48"/>
      <c r="H1500" s="48"/>
      <c r="I1500" s="48"/>
    </row>
    <row r="1501" spans="1:9" hidden="1" x14ac:dyDescent="0.2">
      <c r="A1501" s="46"/>
      <c r="B1501" s="46"/>
      <c r="C1501" s="46"/>
      <c r="D1501" s="48"/>
      <c r="E1501" s="48"/>
      <c r="F1501" s="48"/>
      <c r="G1501" s="48"/>
      <c r="H1501" s="48"/>
      <c r="I1501" s="48"/>
    </row>
    <row r="1502" spans="1:9" hidden="1" x14ac:dyDescent="0.2">
      <c r="A1502" s="46"/>
      <c r="B1502" s="46"/>
      <c r="C1502" s="46"/>
      <c r="D1502" s="48"/>
      <c r="E1502" s="48"/>
      <c r="F1502" s="48"/>
      <c r="G1502" s="48"/>
      <c r="H1502" s="48"/>
      <c r="I1502" s="48"/>
    </row>
    <row r="1503" spans="1:9" hidden="1" x14ac:dyDescent="0.2">
      <c r="A1503" s="46"/>
      <c r="B1503" s="46"/>
      <c r="C1503" s="46"/>
      <c r="D1503" s="48"/>
      <c r="E1503" s="48"/>
      <c r="F1503" s="48"/>
      <c r="G1503" s="48"/>
      <c r="H1503" s="48"/>
      <c r="I1503" s="48"/>
    </row>
    <row r="1504" spans="1:9" hidden="1" x14ac:dyDescent="0.2">
      <c r="A1504" s="46"/>
      <c r="B1504" s="46"/>
      <c r="C1504" s="46"/>
      <c r="D1504" s="48"/>
      <c r="E1504" s="48"/>
      <c r="F1504" s="48"/>
      <c r="G1504" s="48"/>
      <c r="H1504" s="48"/>
      <c r="I1504" s="48"/>
    </row>
    <row r="1505" spans="1:9" hidden="1" x14ac:dyDescent="0.2">
      <c r="A1505" s="46"/>
      <c r="B1505" s="46"/>
      <c r="C1505" s="46"/>
      <c r="D1505" s="48"/>
      <c r="E1505" s="48"/>
      <c r="F1505" s="48"/>
      <c r="G1505" s="48"/>
      <c r="H1505" s="48"/>
      <c r="I1505" s="48"/>
    </row>
    <row r="1506" spans="1:9" hidden="1" x14ac:dyDescent="0.2">
      <c r="A1506" s="46"/>
      <c r="B1506" s="46"/>
      <c r="C1506" s="46"/>
      <c r="D1506" s="48"/>
      <c r="E1506" s="48"/>
      <c r="F1506" s="48"/>
      <c r="G1506" s="48"/>
      <c r="H1506" s="48"/>
      <c r="I1506" s="48"/>
    </row>
    <row r="1507" spans="1:9" hidden="1" x14ac:dyDescent="0.2">
      <c r="A1507" s="46"/>
      <c r="B1507" s="46"/>
      <c r="C1507" s="46"/>
      <c r="D1507" s="48"/>
      <c r="E1507" s="48"/>
      <c r="F1507" s="48"/>
      <c r="G1507" s="48"/>
      <c r="H1507" s="48"/>
      <c r="I1507" s="48"/>
    </row>
    <row r="1508" spans="1:9" hidden="1" x14ac:dyDescent="0.2">
      <c r="A1508" s="46"/>
      <c r="B1508" s="46"/>
      <c r="C1508" s="46"/>
      <c r="D1508" s="48"/>
      <c r="E1508" s="48"/>
      <c r="F1508" s="48"/>
      <c r="G1508" s="48"/>
      <c r="H1508" s="48"/>
      <c r="I1508" s="48"/>
    </row>
    <row r="1509" spans="1:9" hidden="1" x14ac:dyDescent="0.2">
      <c r="A1509" s="46"/>
      <c r="B1509" s="46"/>
      <c r="C1509" s="46"/>
      <c r="D1509" s="48"/>
      <c r="E1509" s="48"/>
      <c r="F1509" s="48"/>
      <c r="G1509" s="48"/>
      <c r="H1509" s="48"/>
      <c r="I1509" s="48"/>
    </row>
    <row r="1510" spans="1:9" hidden="1" x14ac:dyDescent="0.2">
      <c r="A1510" s="46"/>
      <c r="B1510" s="46"/>
      <c r="C1510" s="46"/>
      <c r="D1510" s="48"/>
      <c r="E1510" s="48"/>
      <c r="F1510" s="48"/>
      <c r="G1510" s="48"/>
      <c r="H1510" s="48"/>
      <c r="I1510" s="48"/>
    </row>
    <row r="1511" spans="1:9" hidden="1" x14ac:dyDescent="0.2">
      <c r="A1511" s="46"/>
      <c r="B1511" s="46"/>
      <c r="C1511" s="46"/>
      <c r="D1511" s="48"/>
      <c r="E1511" s="48"/>
      <c r="F1511" s="48"/>
      <c r="G1511" s="48"/>
      <c r="H1511" s="48"/>
      <c r="I1511" s="48"/>
    </row>
    <row r="1512" spans="1:9" hidden="1" x14ac:dyDescent="0.2">
      <c r="A1512" s="46"/>
      <c r="B1512" s="46"/>
      <c r="C1512" s="46"/>
      <c r="D1512" s="48"/>
      <c r="E1512" s="48"/>
      <c r="F1512" s="48"/>
      <c r="G1512" s="48"/>
      <c r="H1512" s="48"/>
      <c r="I1512" s="48"/>
    </row>
    <row r="1513" spans="1:9" hidden="1" x14ac:dyDescent="0.2">
      <c r="A1513" s="46"/>
      <c r="B1513" s="46"/>
      <c r="C1513" s="46"/>
      <c r="D1513" s="48"/>
      <c r="E1513" s="48"/>
      <c r="F1513" s="48"/>
      <c r="G1513" s="48"/>
      <c r="H1513" s="48"/>
      <c r="I1513" s="48"/>
    </row>
    <row r="1514" spans="1:9" hidden="1" x14ac:dyDescent="0.2">
      <c r="A1514" s="46"/>
      <c r="B1514" s="46"/>
      <c r="C1514" s="46"/>
      <c r="D1514" s="48"/>
      <c r="E1514" s="48"/>
      <c r="F1514" s="48"/>
      <c r="G1514" s="48"/>
      <c r="H1514" s="48"/>
      <c r="I1514" s="48"/>
    </row>
    <row r="1515" spans="1:9" hidden="1" x14ac:dyDescent="0.2">
      <c r="A1515" s="46"/>
      <c r="B1515" s="46"/>
      <c r="C1515" s="46"/>
      <c r="D1515" s="48"/>
      <c r="E1515" s="48"/>
      <c r="F1515" s="48"/>
      <c r="G1515" s="48"/>
      <c r="H1515" s="48"/>
      <c r="I1515" s="48"/>
    </row>
    <row r="1516" spans="1:9" hidden="1" x14ac:dyDescent="0.2">
      <c r="A1516" s="46"/>
      <c r="B1516" s="46"/>
      <c r="C1516" s="46"/>
      <c r="D1516" s="48"/>
      <c r="E1516" s="48"/>
      <c r="F1516" s="48"/>
      <c r="G1516" s="48"/>
      <c r="H1516" s="48"/>
      <c r="I1516" s="48"/>
    </row>
    <row r="1517" spans="1:9" hidden="1" x14ac:dyDescent="0.2">
      <c r="A1517" s="46"/>
      <c r="B1517" s="46"/>
      <c r="C1517" s="46"/>
      <c r="D1517" s="48"/>
      <c r="E1517" s="48"/>
      <c r="F1517" s="48"/>
      <c r="G1517" s="48"/>
      <c r="H1517" s="48"/>
      <c r="I1517" s="48"/>
    </row>
    <row r="1518" spans="1:9" hidden="1" x14ac:dyDescent="0.2">
      <c r="A1518" s="46"/>
      <c r="B1518" s="46"/>
      <c r="C1518" s="46"/>
      <c r="D1518" s="48"/>
      <c r="E1518" s="48"/>
      <c r="F1518" s="48"/>
      <c r="G1518" s="48"/>
      <c r="H1518" s="48"/>
      <c r="I1518" s="48"/>
    </row>
    <row r="1519" spans="1:9" hidden="1" x14ac:dyDescent="0.2">
      <c r="A1519" s="46"/>
      <c r="B1519" s="46"/>
      <c r="C1519" s="46"/>
      <c r="D1519" s="48"/>
      <c r="E1519" s="48"/>
      <c r="F1519" s="48"/>
      <c r="G1519" s="48"/>
      <c r="H1519" s="48"/>
      <c r="I1519" s="48"/>
    </row>
    <row r="1520" spans="1:9" hidden="1" x14ac:dyDescent="0.2">
      <c r="A1520" s="46"/>
      <c r="B1520" s="46"/>
      <c r="C1520" s="46"/>
      <c r="D1520" s="48"/>
      <c r="E1520" s="48"/>
      <c r="F1520" s="48"/>
      <c r="G1520" s="48"/>
      <c r="H1520" s="48"/>
      <c r="I1520" s="48"/>
    </row>
    <row r="1521" spans="1:9" hidden="1" x14ac:dyDescent="0.2">
      <c r="A1521" s="46"/>
      <c r="B1521" s="46"/>
      <c r="C1521" s="46"/>
      <c r="D1521" s="48"/>
      <c r="E1521" s="48"/>
      <c r="F1521" s="48"/>
      <c r="G1521" s="48"/>
      <c r="H1521" s="48"/>
      <c r="I1521" s="48"/>
    </row>
    <row r="1522" spans="1:9" hidden="1" x14ac:dyDescent="0.2">
      <c r="A1522" s="46"/>
      <c r="B1522" s="46"/>
      <c r="C1522" s="46"/>
      <c r="D1522" s="48"/>
      <c r="E1522" s="48"/>
      <c r="F1522" s="48"/>
      <c r="G1522" s="48"/>
      <c r="H1522" s="48"/>
      <c r="I1522" s="48"/>
    </row>
    <row r="1523" spans="1:9" hidden="1" x14ac:dyDescent="0.2">
      <c r="A1523" s="46"/>
      <c r="B1523" s="46"/>
      <c r="C1523" s="46"/>
      <c r="D1523" s="48"/>
      <c r="E1523" s="48"/>
      <c r="F1523" s="48"/>
      <c r="G1523" s="48"/>
      <c r="H1523" s="48"/>
      <c r="I1523" s="48"/>
    </row>
    <row r="1524" spans="1:9" hidden="1" x14ac:dyDescent="0.2">
      <c r="A1524" s="46"/>
      <c r="B1524" s="46"/>
      <c r="C1524" s="46"/>
      <c r="D1524" s="48"/>
      <c r="E1524" s="48"/>
      <c r="F1524" s="48"/>
      <c r="G1524" s="48"/>
      <c r="H1524" s="48"/>
      <c r="I1524" s="48"/>
    </row>
    <row r="1525" spans="1:9" hidden="1" x14ac:dyDescent="0.2">
      <c r="A1525" s="46"/>
      <c r="B1525" s="46"/>
      <c r="C1525" s="46"/>
      <c r="D1525" s="48"/>
      <c r="E1525" s="48"/>
      <c r="F1525" s="48"/>
      <c r="G1525" s="48"/>
      <c r="H1525" s="48"/>
      <c r="I1525" s="48"/>
    </row>
    <row r="1526" spans="1:9" hidden="1" x14ac:dyDescent="0.2">
      <c r="A1526" s="46"/>
      <c r="B1526" s="46"/>
      <c r="C1526" s="46"/>
      <c r="D1526" s="48"/>
      <c r="E1526" s="48"/>
      <c r="F1526" s="48"/>
      <c r="G1526" s="48"/>
      <c r="H1526" s="48"/>
      <c r="I1526" s="48"/>
    </row>
    <row r="1527" spans="1:9" hidden="1" x14ac:dyDescent="0.2">
      <c r="A1527" s="46"/>
      <c r="B1527" s="46"/>
      <c r="C1527" s="46"/>
      <c r="D1527" s="48"/>
      <c r="E1527" s="48"/>
      <c r="F1527" s="48"/>
      <c r="G1527" s="48"/>
      <c r="H1527" s="48"/>
      <c r="I1527" s="48"/>
    </row>
    <row r="1528" spans="1:9" hidden="1" x14ac:dyDescent="0.2">
      <c r="A1528" s="46"/>
      <c r="B1528" s="46"/>
      <c r="C1528" s="46"/>
      <c r="D1528" s="48"/>
      <c r="E1528" s="48"/>
      <c r="F1528" s="48"/>
      <c r="G1528" s="48"/>
      <c r="H1528" s="48"/>
      <c r="I1528" s="48"/>
    </row>
    <row r="1529" spans="1:9" hidden="1" x14ac:dyDescent="0.2">
      <c r="A1529" s="46"/>
      <c r="B1529" s="46"/>
      <c r="C1529" s="46"/>
      <c r="D1529" s="48"/>
      <c r="E1529" s="48"/>
      <c r="F1529" s="48"/>
      <c r="G1529" s="48"/>
      <c r="H1529" s="48"/>
      <c r="I1529" s="48"/>
    </row>
    <row r="1530" spans="1:9" hidden="1" x14ac:dyDescent="0.2">
      <c r="A1530" s="46"/>
      <c r="B1530" s="46"/>
      <c r="C1530" s="46"/>
      <c r="D1530" s="48"/>
      <c r="E1530" s="48"/>
      <c r="F1530" s="48"/>
      <c r="G1530" s="48"/>
      <c r="H1530" s="48"/>
      <c r="I1530" s="48"/>
    </row>
    <row r="1531" spans="1:9" hidden="1" x14ac:dyDescent="0.2">
      <c r="A1531" s="46"/>
      <c r="B1531" s="46"/>
      <c r="C1531" s="46"/>
      <c r="D1531" s="48"/>
      <c r="E1531" s="48"/>
      <c r="F1531" s="48"/>
      <c r="G1531" s="48"/>
      <c r="H1531" s="48"/>
      <c r="I1531" s="48"/>
    </row>
    <row r="1532" spans="1:9" hidden="1" x14ac:dyDescent="0.2">
      <c r="A1532" s="46"/>
      <c r="B1532" s="46"/>
      <c r="C1532" s="46"/>
      <c r="D1532" s="48"/>
      <c r="E1532" s="48"/>
      <c r="F1532" s="48"/>
      <c r="G1532" s="48"/>
      <c r="H1532" s="48"/>
      <c r="I1532" s="48"/>
    </row>
    <row r="1533" spans="1:9" hidden="1" x14ac:dyDescent="0.2">
      <c r="A1533" s="46"/>
      <c r="B1533" s="46"/>
      <c r="C1533" s="46"/>
      <c r="D1533" s="48"/>
      <c r="E1533" s="48"/>
      <c r="F1533" s="48"/>
      <c r="G1533" s="48"/>
      <c r="H1533" s="48"/>
      <c r="I1533" s="48"/>
    </row>
    <row r="1534" spans="1:9" hidden="1" x14ac:dyDescent="0.2">
      <c r="A1534" s="46"/>
      <c r="B1534" s="46"/>
      <c r="C1534" s="46"/>
      <c r="D1534" s="48"/>
      <c r="E1534" s="48"/>
      <c r="F1534" s="48"/>
      <c r="G1534" s="48"/>
      <c r="H1534" s="48"/>
      <c r="I1534" s="48"/>
    </row>
    <row r="1535" spans="1:9" hidden="1" x14ac:dyDescent="0.2">
      <c r="A1535" s="46"/>
      <c r="B1535" s="46"/>
      <c r="C1535" s="46"/>
      <c r="D1535" s="48"/>
      <c r="E1535" s="48"/>
      <c r="F1535" s="48"/>
      <c r="G1535" s="48"/>
      <c r="H1535" s="48"/>
      <c r="I1535" s="48"/>
    </row>
    <row r="1536" spans="1:9" hidden="1" x14ac:dyDescent="0.2">
      <c r="A1536" s="46"/>
      <c r="B1536" s="46"/>
      <c r="C1536" s="46"/>
      <c r="D1536" s="48"/>
      <c r="E1536" s="48"/>
      <c r="F1536" s="48"/>
      <c r="G1536" s="48"/>
      <c r="H1536" s="48"/>
      <c r="I1536" s="48"/>
    </row>
    <row r="1537" spans="1:9" hidden="1" x14ac:dyDescent="0.2">
      <c r="A1537" s="46"/>
      <c r="B1537" s="46"/>
      <c r="C1537" s="46"/>
      <c r="D1537" s="48"/>
      <c r="E1537" s="48"/>
      <c r="F1537" s="48"/>
      <c r="G1537" s="48"/>
      <c r="H1537" s="48"/>
      <c r="I1537" s="48"/>
    </row>
    <row r="1538" spans="1:9" hidden="1" x14ac:dyDescent="0.2">
      <c r="A1538" s="46"/>
      <c r="B1538" s="46"/>
      <c r="C1538" s="46"/>
      <c r="D1538" s="48"/>
      <c r="E1538" s="48"/>
      <c r="F1538" s="48"/>
      <c r="G1538" s="48"/>
      <c r="H1538" s="48"/>
      <c r="I1538" s="48"/>
    </row>
    <row r="1539" spans="1:9" hidden="1" x14ac:dyDescent="0.2">
      <c r="A1539" s="46"/>
      <c r="B1539" s="46"/>
      <c r="C1539" s="46"/>
      <c r="D1539" s="48"/>
      <c r="E1539" s="48"/>
      <c r="F1539" s="48"/>
      <c r="G1539" s="48"/>
      <c r="H1539" s="48"/>
      <c r="I1539" s="48"/>
    </row>
    <row r="1540" spans="1:9" hidden="1" x14ac:dyDescent="0.2">
      <c r="A1540" s="46"/>
      <c r="B1540" s="46"/>
      <c r="C1540" s="46"/>
      <c r="D1540" s="48"/>
      <c r="E1540" s="48"/>
      <c r="F1540" s="48"/>
      <c r="G1540" s="48"/>
      <c r="H1540" s="48"/>
      <c r="I1540" s="48"/>
    </row>
    <row r="1541" spans="1:9" hidden="1" x14ac:dyDescent="0.2">
      <c r="A1541" s="46"/>
      <c r="B1541" s="46"/>
      <c r="C1541" s="46"/>
      <c r="D1541" s="48"/>
      <c r="E1541" s="48"/>
      <c r="F1541" s="48"/>
      <c r="G1541" s="48"/>
      <c r="H1541" s="48"/>
      <c r="I1541" s="48"/>
    </row>
    <row r="1542" spans="1:9" hidden="1" x14ac:dyDescent="0.2">
      <c r="A1542" s="46"/>
      <c r="B1542" s="46"/>
      <c r="C1542" s="46"/>
      <c r="D1542" s="48"/>
      <c r="E1542" s="48"/>
      <c r="F1542" s="48"/>
      <c r="G1542" s="48"/>
      <c r="H1542" s="48"/>
      <c r="I1542" s="48"/>
    </row>
    <row r="1543" spans="1:9" hidden="1" x14ac:dyDescent="0.2">
      <c r="A1543" s="46"/>
      <c r="B1543" s="46"/>
      <c r="C1543" s="46"/>
      <c r="D1543" s="48"/>
      <c r="E1543" s="48"/>
      <c r="F1543" s="48"/>
      <c r="G1543" s="48"/>
      <c r="H1543" s="48"/>
      <c r="I1543" s="48"/>
    </row>
    <row r="1544" spans="1:9" hidden="1" x14ac:dyDescent="0.2">
      <c r="A1544" s="46"/>
      <c r="B1544" s="46"/>
      <c r="C1544" s="46"/>
      <c r="D1544" s="48"/>
      <c r="E1544" s="48"/>
      <c r="F1544" s="48"/>
      <c r="G1544" s="48"/>
      <c r="H1544" s="48"/>
      <c r="I1544" s="48"/>
    </row>
    <row r="1545" spans="1:9" hidden="1" x14ac:dyDescent="0.2">
      <c r="A1545" s="46"/>
      <c r="B1545" s="46"/>
      <c r="C1545" s="46"/>
      <c r="D1545" s="48"/>
      <c r="E1545" s="48"/>
      <c r="F1545" s="48"/>
      <c r="G1545" s="48"/>
      <c r="H1545" s="48"/>
      <c r="I1545" s="48"/>
    </row>
    <row r="1546" spans="1:9" hidden="1" x14ac:dyDescent="0.2">
      <c r="A1546" s="46"/>
      <c r="B1546" s="46"/>
      <c r="C1546" s="46"/>
      <c r="D1546" s="48"/>
      <c r="E1546" s="48"/>
      <c r="F1546" s="48"/>
      <c r="G1546" s="48"/>
      <c r="H1546" s="48"/>
      <c r="I1546" s="48"/>
    </row>
    <row r="1547" spans="1:9" hidden="1" x14ac:dyDescent="0.2">
      <c r="A1547" s="46"/>
      <c r="B1547" s="46"/>
      <c r="C1547" s="46"/>
      <c r="D1547" s="48"/>
      <c r="E1547" s="48"/>
      <c r="F1547" s="48"/>
      <c r="G1547" s="48"/>
      <c r="H1547" s="48"/>
      <c r="I1547" s="48"/>
    </row>
    <row r="1548" spans="1:9" hidden="1" x14ac:dyDescent="0.2">
      <c r="A1548" s="46"/>
      <c r="B1548" s="46"/>
      <c r="C1548" s="46"/>
      <c r="D1548" s="48"/>
      <c r="E1548" s="48"/>
      <c r="F1548" s="48"/>
      <c r="G1548" s="48"/>
      <c r="H1548" s="48"/>
      <c r="I1548" s="48"/>
    </row>
    <row r="1549" spans="1:9" hidden="1" x14ac:dyDescent="0.2">
      <c r="A1549" s="46"/>
      <c r="B1549" s="46"/>
      <c r="C1549" s="46"/>
      <c r="D1549" s="48"/>
      <c r="E1549" s="48"/>
      <c r="F1549" s="48"/>
      <c r="G1549" s="48"/>
      <c r="H1549" s="48"/>
      <c r="I1549" s="48"/>
    </row>
    <row r="1550" spans="1:9" hidden="1" x14ac:dyDescent="0.2">
      <c r="A1550" s="46"/>
      <c r="B1550" s="46"/>
      <c r="C1550" s="46"/>
      <c r="D1550" s="48"/>
      <c r="E1550" s="48"/>
      <c r="F1550" s="48"/>
      <c r="G1550" s="48"/>
      <c r="H1550" s="48"/>
      <c r="I1550" s="48"/>
    </row>
    <row r="1551" spans="1:9" hidden="1" x14ac:dyDescent="0.2">
      <c r="A1551" s="46"/>
      <c r="B1551" s="46"/>
      <c r="C1551" s="46"/>
      <c r="D1551" s="48"/>
      <c r="E1551" s="48"/>
      <c r="F1551" s="48"/>
      <c r="G1551" s="48"/>
      <c r="H1551" s="48"/>
      <c r="I1551" s="48"/>
    </row>
    <row r="1552" spans="1:9" hidden="1" x14ac:dyDescent="0.2">
      <c r="A1552" s="46"/>
      <c r="B1552" s="46"/>
      <c r="C1552" s="46"/>
      <c r="D1552" s="48"/>
      <c r="E1552" s="48"/>
      <c r="F1552" s="48"/>
      <c r="G1552" s="48"/>
      <c r="H1552" s="48"/>
      <c r="I1552" s="48"/>
    </row>
    <row r="1553" spans="1:9" hidden="1" x14ac:dyDescent="0.2">
      <c r="A1553" s="46"/>
      <c r="B1553" s="46"/>
      <c r="C1553" s="46"/>
      <c r="D1553" s="48"/>
      <c r="E1553" s="48"/>
      <c r="F1553" s="48"/>
      <c r="G1553" s="48"/>
      <c r="H1553" s="48"/>
      <c r="I1553" s="48"/>
    </row>
    <row r="1554" spans="1:9" hidden="1" x14ac:dyDescent="0.2">
      <c r="A1554" s="46"/>
      <c r="B1554" s="46"/>
      <c r="C1554" s="46"/>
      <c r="D1554" s="48"/>
      <c r="E1554" s="48"/>
      <c r="F1554" s="48"/>
      <c r="G1554" s="48"/>
      <c r="H1554" s="48"/>
      <c r="I1554" s="48"/>
    </row>
    <row r="1555" spans="1:9" hidden="1" x14ac:dyDescent="0.2">
      <c r="A1555" s="46"/>
      <c r="B1555" s="46"/>
      <c r="C1555" s="46"/>
      <c r="D1555" s="48"/>
      <c r="E1555" s="48"/>
      <c r="F1555" s="48"/>
      <c r="G1555" s="48"/>
      <c r="H1555" s="48"/>
      <c r="I1555" s="48"/>
    </row>
    <row r="1556" spans="1:9" hidden="1" x14ac:dyDescent="0.2">
      <c r="A1556" s="46"/>
      <c r="B1556" s="46"/>
      <c r="C1556" s="46"/>
      <c r="D1556" s="48"/>
      <c r="E1556" s="48"/>
      <c r="F1556" s="48"/>
      <c r="G1556" s="48"/>
      <c r="H1556" s="48"/>
      <c r="I1556" s="48"/>
    </row>
    <row r="1557" spans="1:9" hidden="1" x14ac:dyDescent="0.2">
      <c r="A1557" s="46"/>
      <c r="B1557" s="46"/>
      <c r="C1557" s="46"/>
      <c r="D1557" s="48"/>
      <c r="E1557" s="48"/>
      <c r="F1557" s="48"/>
      <c r="G1557" s="48"/>
      <c r="H1557" s="48"/>
      <c r="I1557" s="48"/>
    </row>
    <row r="1558" spans="1:9" hidden="1" x14ac:dyDescent="0.2">
      <c r="A1558" s="46"/>
      <c r="B1558" s="46"/>
      <c r="C1558" s="46"/>
      <c r="D1558" s="48"/>
      <c r="E1558" s="48"/>
      <c r="F1558" s="48"/>
      <c r="G1558" s="48"/>
      <c r="H1558" s="48"/>
      <c r="I1558" s="48"/>
    </row>
    <row r="1559" spans="1:9" hidden="1" x14ac:dyDescent="0.2">
      <c r="A1559" s="46"/>
      <c r="B1559" s="46"/>
      <c r="C1559" s="46"/>
      <c r="D1559" s="48"/>
      <c r="E1559" s="48"/>
      <c r="F1559" s="48"/>
      <c r="G1559" s="48"/>
      <c r="H1559" s="48"/>
      <c r="I1559" s="48"/>
    </row>
    <row r="1560" spans="1:9" hidden="1" x14ac:dyDescent="0.2">
      <c r="A1560" s="46"/>
      <c r="B1560" s="46"/>
      <c r="C1560" s="46"/>
      <c r="D1560" s="48"/>
      <c r="E1560" s="48"/>
      <c r="F1560" s="48"/>
      <c r="G1560" s="48"/>
      <c r="H1560" s="48"/>
      <c r="I1560" s="48"/>
    </row>
    <row r="1561" spans="1:9" hidden="1" x14ac:dyDescent="0.2">
      <c r="A1561" s="46"/>
      <c r="B1561" s="46"/>
      <c r="C1561" s="46"/>
      <c r="D1561" s="48"/>
      <c r="E1561" s="48"/>
      <c r="F1561" s="48"/>
      <c r="G1561" s="48"/>
      <c r="H1561" s="48"/>
      <c r="I1561" s="48"/>
    </row>
    <row r="1562" spans="1:9" hidden="1" x14ac:dyDescent="0.2">
      <c r="A1562" s="46"/>
      <c r="B1562" s="46"/>
      <c r="C1562" s="46"/>
      <c r="D1562" s="48"/>
      <c r="E1562" s="48"/>
      <c r="F1562" s="48"/>
      <c r="G1562" s="48"/>
      <c r="H1562" s="48"/>
      <c r="I1562" s="48"/>
    </row>
    <row r="1563" spans="1:9" hidden="1" x14ac:dyDescent="0.2">
      <c r="A1563" s="46"/>
      <c r="B1563" s="46"/>
      <c r="C1563" s="46"/>
      <c r="D1563" s="48"/>
      <c r="E1563" s="48"/>
      <c r="F1563" s="48"/>
      <c r="G1563" s="48"/>
      <c r="H1563" s="48"/>
      <c r="I1563" s="48"/>
    </row>
    <row r="1564" spans="1:9" hidden="1" x14ac:dyDescent="0.2">
      <c r="A1564" s="46"/>
      <c r="B1564" s="46"/>
      <c r="C1564" s="46"/>
      <c r="D1564" s="48"/>
      <c r="E1564" s="48"/>
      <c r="F1564" s="48"/>
      <c r="G1564" s="48"/>
      <c r="H1564" s="48"/>
      <c r="I1564" s="48"/>
    </row>
    <row r="1565" spans="1:9" hidden="1" x14ac:dyDescent="0.2">
      <c r="A1565" s="46"/>
      <c r="B1565" s="46"/>
      <c r="C1565" s="46"/>
      <c r="D1565" s="48"/>
      <c r="E1565" s="48"/>
      <c r="F1565" s="48"/>
      <c r="G1565" s="48"/>
      <c r="H1565" s="48"/>
      <c r="I1565" s="48"/>
    </row>
    <row r="1566" spans="1:9" hidden="1" x14ac:dyDescent="0.2">
      <c r="A1566" s="46"/>
      <c r="B1566" s="46"/>
      <c r="C1566" s="46"/>
      <c r="D1566" s="48"/>
      <c r="E1566" s="48"/>
      <c r="F1566" s="48"/>
      <c r="G1566" s="48"/>
      <c r="H1566" s="48"/>
      <c r="I1566" s="48"/>
    </row>
    <row r="1567" spans="1:9" hidden="1" x14ac:dyDescent="0.2">
      <c r="A1567" s="46"/>
      <c r="B1567" s="46"/>
      <c r="C1567" s="46"/>
      <c r="D1567" s="48"/>
      <c r="E1567" s="48"/>
      <c r="F1567" s="48"/>
      <c r="G1567" s="48"/>
      <c r="H1567" s="48"/>
      <c r="I1567" s="48"/>
    </row>
    <row r="1568" spans="1:9" hidden="1" x14ac:dyDescent="0.2">
      <c r="A1568" s="46"/>
      <c r="B1568" s="46"/>
      <c r="C1568" s="46"/>
      <c r="D1568" s="48"/>
      <c r="E1568" s="48"/>
      <c r="F1568" s="48"/>
      <c r="G1568" s="48"/>
      <c r="H1568" s="48"/>
      <c r="I1568" s="48"/>
    </row>
    <row r="1569" spans="1:9" hidden="1" x14ac:dyDescent="0.2">
      <c r="A1569" s="46"/>
      <c r="B1569" s="46"/>
      <c r="C1569" s="46"/>
      <c r="D1569" s="48"/>
      <c r="E1569" s="48"/>
      <c r="F1569" s="48"/>
      <c r="G1569" s="48"/>
      <c r="H1569" s="48"/>
      <c r="I1569" s="48"/>
    </row>
    <row r="1570" spans="1:9" hidden="1" x14ac:dyDescent="0.2">
      <c r="A1570" s="46"/>
      <c r="B1570" s="46"/>
      <c r="C1570" s="46"/>
      <c r="D1570" s="48"/>
      <c r="E1570" s="48"/>
      <c r="F1570" s="48"/>
      <c r="G1570" s="48"/>
      <c r="H1570" s="48"/>
      <c r="I1570" s="48"/>
    </row>
    <row r="1571" spans="1:9" hidden="1" x14ac:dyDescent="0.2">
      <c r="A1571" s="46"/>
      <c r="B1571" s="46"/>
      <c r="C1571" s="46"/>
      <c r="D1571" s="48"/>
      <c r="E1571" s="48"/>
      <c r="F1571" s="48"/>
      <c r="G1571" s="48"/>
      <c r="H1571" s="48"/>
      <c r="I1571" s="48"/>
    </row>
    <row r="1572" spans="1:9" hidden="1" x14ac:dyDescent="0.2">
      <c r="A1572" s="46"/>
      <c r="B1572" s="46"/>
      <c r="C1572" s="46"/>
      <c r="D1572" s="48"/>
      <c r="E1572" s="48"/>
      <c r="F1572" s="48"/>
      <c r="G1572" s="48"/>
      <c r="H1572" s="48"/>
      <c r="I1572" s="48"/>
    </row>
    <row r="1573" spans="1:9" hidden="1" x14ac:dyDescent="0.2">
      <c r="A1573" s="46"/>
      <c r="B1573" s="46"/>
      <c r="C1573" s="46"/>
      <c r="D1573" s="48"/>
      <c r="E1573" s="48"/>
      <c r="F1573" s="48"/>
      <c r="G1573" s="48"/>
      <c r="H1573" s="48"/>
      <c r="I1573" s="48"/>
    </row>
    <row r="1574" spans="1:9" hidden="1" x14ac:dyDescent="0.2">
      <c r="A1574" s="46"/>
      <c r="B1574" s="46"/>
      <c r="C1574" s="46"/>
      <c r="D1574" s="48"/>
      <c r="E1574" s="48"/>
      <c r="F1574" s="48"/>
      <c r="G1574" s="48"/>
      <c r="H1574" s="48"/>
      <c r="I1574" s="48"/>
    </row>
    <row r="1575" spans="1:9" hidden="1" x14ac:dyDescent="0.2">
      <c r="A1575" s="46"/>
      <c r="B1575" s="46"/>
      <c r="C1575" s="46"/>
      <c r="D1575" s="48"/>
      <c r="E1575" s="48"/>
      <c r="F1575" s="48"/>
      <c r="G1575" s="48"/>
      <c r="H1575" s="48"/>
      <c r="I1575" s="48"/>
    </row>
    <row r="1576" spans="1:9" hidden="1" x14ac:dyDescent="0.2">
      <c r="A1576" s="46"/>
      <c r="B1576" s="46"/>
      <c r="C1576" s="46"/>
      <c r="D1576" s="48"/>
      <c r="E1576" s="48"/>
      <c r="F1576" s="48"/>
      <c r="G1576" s="48"/>
      <c r="H1576" s="48"/>
      <c r="I1576" s="48"/>
    </row>
    <row r="1577" spans="1:9" hidden="1" x14ac:dyDescent="0.2">
      <c r="A1577" s="46"/>
      <c r="B1577" s="46"/>
      <c r="C1577" s="46"/>
      <c r="D1577" s="48"/>
      <c r="E1577" s="48"/>
      <c r="F1577" s="48"/>
      <c r="G1577" s="48"/>
      <c r="H1577" s="48"/>
      <c r="I1577" s="48"/>
    </row>
    <row r="1578" spans="1:9" hidden="1" x14ac:dyDescent="0.2">
      <c r="A1578" s="46"/>
      <c r="B1578" s="46"/>
      <c r="C1578" s="46"/>
      <c r="D1578" s="48"/>
      <c r="E1578" s="48"/>
      <c r="F1578" s="48"/>
      <c r="G1578" s="48"/>
      <c r="H1578" s="48"/>
      <c r="I1578" s="48"/>
    </row>
    <row r="1579" spans="1:9" hidden="1" x14ac:dyDescent="0.2">
      <c r="A1579" s="46"/>
      <c r="B1579" s="46"/>
      <c r="C1579" s="46"/>
      <c r="D1579" s="48"/>
      <c r="E1579" s="48"/>
      <c r="F1579" s="48"/>
      <c r="G1579" s="48"/>
      <c r="H1579" s="48"/>
      <c r="I1579" s="48"/>
    </row>
    <row r="1580" spans="1:9" hidden="1" x14ac:dyDescent="0.2">
      <c r="A1580" s="46"/>
      <c r="B1580" s="46"/>
      <c r="C1580" s="46"/>
      <c r="D1580" s="48"/>
      <c r="E1580" s="48"/>
      <c r="F1580" s="48"/>
      <c r="G1580" s="48"/>
      <c r="H1580" s="48"/>
      <c r="I1580" s="48"/>
    </row>
    <row r="1581" spans="1:9" hidden="1" x14ac:dyDescent="0.2">
      <c r="A1581" s="46"/>
      <c r="B1581" s="46"/>
      <c r="C1581" s="46"/>
      <c r="D1581" s="48"/>
      <c r="E1581" s="48"/>
      <c r="F1581" s="48"/>
      <c r="G1581" s="48"/>
      <c r="H1581" s="48"/>
      <c r="I1581" s="48"/>
    </row>
    <row r="1582" spans="1:9" hidden="1" x14ac:dyDescent="0.2">
      <c r="A1582" s="46"/>
      <c r="B1582" s="46"/>
      <c r="C1582" s="46"/>
      <c r="D1582" s="48"/>
      <c r="E1582" s="48"/>
      <c r="F1582" s="48"/>
      <c r="G1582" s="48"/>
      <c r="H1582" s="48"/>
      <c r="I1582" s="48"/>
    </row>
    <row r="1583" spans="1:9" hidden="1" x14ac:dyDescent="0.2">
      <c r="A1583" s="46"/>
      <c r="B1583" s="46"/>
      <c r="C1583" s="46"/>
      <c r="D1583" s="48"/>
      <c r="E1583" s="48"/>
      <c r="F1583" s="48"/>
      <c r="G1583" s="48"/>
      <c r="H1583" s="48"/>
      <c r="I1583" s="48"/>
    </row>
    <row r="1584" spans="1:9" hidden="1" x14ac:dyDescent="0.2">
      <c r="A1584" s="46"/>
      <c r="B1584" s="46"/>
      <c r="C1584" s="46"/>
      <c r="D1584" s="48"/>
      <c r="E1584" s="48"/>
      <c r="F1584" s="48"/>
      <c r="G1584" s="48"/>
      <c r="H1584" s="48"/>
      <c r="I1584" s="48"/>
    </row>
    <row r="1585" spans="1:9" hidden="1" x14ac:dyDescent="0.2">
      <c r="A1585" s="46"/>
      <c r="B1585" s="46"/>
      <c r="C1585" s="46"/>
      <c r="D1585" s="48"/>
      <c r="E1585" s="48"/>
      <c r="F1585" s="48"/>
      <c r="G1585" s="48"/>
      <c r="H1585" s="48"/>
      <c r="I1585" s="48"/>
    </row>
    <row r="1586" spans="1:9" hidden="1" x14ac:dyDescent="0.2">
      <c r="A1586" s="46"/>
      <c r="B1586" s="46"/>
      <c r="C1586" s="46"/>
      <c r="D1586" s="48"/>
      <c r="E1586" s="48"/>
      <c r="F1586" s="48"/>
      <c r="G1586" s="48"/>
      <c r="H1586" s="48"/>
      <c r="I1586" s="48"/>
    </row>
    <row r="1587" spans="1:9" hidden="1" x14ac:dyDescent="0.2">
      <c r="A1587" s="46"/>
      <c r="B1587" s="46"/>
      <c r="C1587" s="46"/>
      <c r="D1587" s="48"/>
      <c r="E1587" s="48"/>
      <c r="F1587" s="48"/>
      <c r="G1587" s="48"/>
      <c r="H1587" s="48"/>
      <c r="I1587" s="48"/>
    </row>
    <row r="1588" spans="1:9" hidden="1" x14ac:dyDescent="0.2">
      <c r="A1588" s="46"/>
      <c r="B1588" s="46"/>
      <c r="C1588" s="46"/>
      <c r="D1588" s="48"/>
      <c r="E1588" s="48"/>
      <c r="F1588" s="48"/>
      <c r="G1588" s="48"/>
      <c r="H1588" s="48"/>
      <c r="I1588" s="48"/>
    </row>
    <row r="1589" spans="1:9" hidden="1" x14ac:dyDescent="0.2">
      <c r="A1589" s="46"/>
      <c r="B1589" s="46"/>
      <c r="C1589" s="46"/>
      <c r="D1589" s="48"/>
      <c r="E1589" s="48"/>
      <c r="F1589" s="48"/>
      <c r="G1589" s="48"/>
      <c r="H1589" s="48"/>
      <c r="I1589" s="48"/>
    </row>
    <row r="1590" spans="1:9" hidden="1" x14ac:dyDescent="0.2">
      <c r="A1590" s="46"/>
      <c r="B1590" s="46"/>
      <c r="C1590" s="46"/>
      <c r="D1590" s="48"/>
      <c r="E1590" s="48"/>
      <c r="F1590" s="48"/>
      <c r="G1590" s="48"/>
      <c r="H1590" s="48"/>
      <c r="I1590" s="48"/>
    </row>
    <row r="1591" spans="1:9" hidden="1" x14ac:dyDescent="0.2">
      <c r="A1591" s="46"/>
      <c r="B1591" s="46"/>
      <c r="C1591" s="46"/>
      <c r="D1591" s="48"/>
      <c r="E1591" s="48"/>
      <c r="F1591" s="48"/>
      <c r="G1591" s="48"/>
      <c r="H1591" s="48"/>
      <c r="I1591" s="48"/>
    </row>
    <row r="1592" spans="1:9" hidden="1" x14ac:dyDescent="0.2">
      <c r="A1592" s="46"/>
      <c r="B1592" s="46"/>
      <c r="C1592" s="46"/>
      <c r="D1592" s="48"/>
      <c r="E1592" s="48"/>
      <c r="F1592" s="48"/>
      <c r="G1592" s="48"/>
      <c r="H1592" s="48"/>
      <c r="I1592" s="48"/>
    </row>
    <row r="1593" spans="1:9" hidden="1" x14ac:dyDescent="0.2">
      <c r="A1593" s="46"/>
      <c r="B1593" s="46"/>
      <c r="C1593" s="46"/>
      <c r="D1593" s="48"/>
      <c r="E1593" s="48"/>
      <c r="F1593" s="48"/>
      <c r="G1593" s="48"/>
      <c r="H1593" s="48"/>
      <c r="I1593" s="48"/>
    </row>
    <row r="1594" spans="1:9" hidden="1" x14ac:dyDescent="0.2">
      <c r="A1594" s="46"/>
      <c r="B1594" s="46"/>
      <c r="C1594" s="46"/>
      <c r="D1594" s="48"/>
      <c r="E1594" s="48"/>
      <c r="F1594" s="48"/>
      <c r="G1594" s="48"/>
      <c r="H1594" s="48"/>
      <c r="I1594" s="48"/>
    </row>
    <row r="1595" spans="1:9" hidden="1" x14ac:dyDescent="0.2">
      <c r="A1595" s="46"/>
      <c r="B1595" s="46"/>
      <c r="C1595" s="46"/>
      <c r="D1595" s="48"/>
      <c r="E1595" s="48"/>
      <c r="F1595" s="48"/>
      <c r="G1595" s="48"/>
      <c r="H1595" s="48"/>
      <c r="I1595" s="48"/>
    </row>
    <row r="1596" spans="1:9" hidden="1" x14ac:dyDescent="0.2">
      <c r="A1596" s="46"/>
      <c r="B1596" s="46"/>
      <c r="C1596" s="46"/>
      <c r="D1596" s="48"/>
      <c r="E1596" s="48"/>
      <c r="F1596" s="48"/>
      <c r="G1596" s="48"/>
      <c r="H1596" s="48"/>
      <c r="I1596" s="48"/>
    </row>
    <row r="1597" spans="1:9" hidden="1" x14ac:dyDescent="0.2">
      <c r="A1597" s="46"/>
      <c r="B1597" s="46"/>
      <c r="C1597" s="46"/>
      <c r="D1597" s="48"/>
      <c r="E1597" s="48"/>
      <c r="F1597" s="48"/>
      <c r="G1597" s="48"/>
      <c r="H1597" s="48"/>
      <c r="I1597" s="48"/>
    </row>
    <row r="1598" spans="1:9" hidden="1" x14ac:dyDescent="0.2">
      <c r="A1598" s="46"/>
      <c r="B1598" s="46"/>
      <c r="C1598" s="46"/>
      <c r="D1598" s="48"/>
      <c r="E1598" s="48"/>
      <c r="F1598" s="48"/>
      <c r="G1598" s="48"/>
      <c r="H1598" s="48"/>
      <c r="I1598" s="48"/>
    </row>
    <row r="1599" spans="1:9" hidden="1" x14ac:dyDescent="0.2">
      <c r="A1599" s="46"/>
      <c r="B1599" s="46"/>
      <c r="C1599" s="46"/>
      <c r="D1599" s="48"/>
      <c r="E1599" s="48"/>
      <c r="F1599" s="48"/>
      <c r="G1599" s="48"/>
      <c r="H1599" s="48"/>
      <c r="I1599" s="48"/>
    </row>
    <row r="1600" spans="1:9" hidden="1" x14ac:dyDescent="0.2">
      <c r="A1600" s="46"/>
      <c r="B1600" s="46"/>
      <c r="C1600" s="46"/>
      <c r="D1600" s="48"/>
      <c r="E1600" s="48"/>
      <c r="F1600" s="48"/>
      <c r="G1600" s="48"/>
      <c r="H1600" s="48"/>
      <c r="I1600" s="48"/>
    </row>
    <row r="1601" spans="1:9" hidden="1" x14ac:dyDescent="0.2">
      <c r="A1601" s="46"/>
      <c r="B1601" s="46"/>
      <c r="C1601" s="46"/>
      <c r="D1601" s="48"/>
      <c r="E1601" s="48"/>
      <c r="F1601" s="48"/>
      <c r="G1601" s="48"/>
      <c r="H1601" s="48"/>
      <c r="I1601" s="48"/>
    </row>
    <row r="1602" spans="1:9" hidden="1" x14ac:dyDescent="0.2">
      <c r="A1602" s="46"/>
      <c r="B1602" s="46"/>
      <c r="C1602" s="46"/>
      <c r="D1602" s="48"/>
      <c r="E1602" s="48"/>
      <c r="F1602" s="48"/>
      <c r="G1602" s="48"/>
      <c r="H1602" s="48"/>
      <c r="I1602" s="48"/>
    </row>
    <row r="1603" spans="1:9" hidden="1" x14ac:dyDescent="0.2">
      <c r="A1603" s="46"/>
      <c r="B1603" s="46"/>
      <c r="C1603" s="46"/>
      <c r="D1603" s="48"/>
      <c r="E1603" s="48"/>
      <c r="F1603" s="48"/>
      <c r="G1603" s="48"/>
      <c r="H1603" s="48"/>
      <c r="I1603" s="48"/>
    </row>
    <row r="1604" spans="1:9" hidden="1" x14ac:dyDescent="0.2">
      <c r="A1604" s="46"/>
      <c r="B1604" s="46"/>
      <c r="C1604" s="46"/>
      <c r="D1604" s="48"/>
      <c r="E1604" s="48"/>
      <c r="F1604" s="48"/>
      <c r="G1604" s="48"/>
      <c r="H1604" s="48"/>
      <c r="I1604" s="48"/>
    </row>
    <row r="1605" spans="1:9" hidden="1" x14ac:dyDescent="0.2">
      <c r="A1605" s="46"/>
      <c r="B1605" s="46"/>
      <c r="C1605" s="46"/>
      <c r="D1605" s="48"/>
      <c r="E1605" s="48"/>
      <c r="F1605" s="48"/>
      <c r="G1605" s="48"/>
      <c r="H1605" s="48"/>
      <c r="I1605" s="48"/>
    </row>
    <row r="1606" spans="1:9" hidden="1" x14ac:dyDescent="0.2">
      <c r="A1606" s="46"/>
      <c r="B1606" s="46"/>
      <c r="C1606" s="46"/>
      <c r="D1606" s="48"/>
      <c r="E1606" s="48"/>
      <c r="F1606" s="48"/>
      <c r="G1606" s="48"/>
      <c r="H1606" s="48"/>
      <c r="I1606" s="48"/>
    </row>
    <row r="1607" spans="1:9" hidden="1" x14ac:dyDescent="0.2">
      <c r="A1607" s="46"/>
      <c r="B1607" s="46"/>
      <c r="C1607" s="46"/>
      <c r="D1607" s="48"/>
      <c r="E1607" s="48"/>
      <c r="F1607" s="48"/>
      <c r="G1607" s="48"/>
      <c r="H1607" s="48"/>
      <c r="I1607" s="48"/>
    </row>
    <row r="1608" spans="1:9" hidden="1" x14ac:dyDescent="0.2">
      <c r="A1608" s="46"/>
      <c r="B1608" s="46"/>
      <c r="C1608" s="46"/>
      <c r="D1608" s="48"/>
      <c r="E1608" s="48"/>
      <c r="F1608" s="48"/>
      <c r="G1608" s="48"/>
      <c r="H1608" s="48"/>
      <c r="I1608" s="48"/>
    </row>
    <row r="1609" spans="1:9" hidden="1" x14ac:dyDescent="0.2">
      <c r="A1609" s="46"/>
      <c r="B1609" s="46"/>
      <c r="C1609" s="46"/>
      <c r="D1609" s="48"/>
      <c r="E1609" s="48"/>
      <c r="F1609" s="48"/>
      <c r="G1609" s="48"/>
      <c r="H1609" s="48"/>
      <c r="I1609" s="48"/>
    </row>
    <row r="1610" spans="1:9" hidden="1" x14ac:dyDescent="0.2">
      <c r="A1610" s="46"/>
      <c r="B1610" s="46"/>
      <c r="C1610" s="46"/>
      <c r="D1610" s="48"/>
      <c r="E1610" s="48"/>
      <c r="F1610" s="48"/>
      <c r="G1610" s="48"/>
      <c r="H1610" s="48"/>
      <c r="I1610" s="48"/>
    </row>
    <row r="1611" spans="1:9" hidden="1" x14ac:dyDescent="0.2">
      <c r="A1611" s="46"/>
      <c r="B1611" s="46"/>
      <c r="C1611" s="46"/>
      <c r="D1611" s="48"/>
      <c r="E1611" s="48"/>
      <c r="F1611" s="48"/>
      <c r="G1611" s="48"/>
      <c r="H1611" s="48"/>
      <c r="I1611" s="48"/>
    </row>
    <row r="1612" spans="1:9" hidden="1" x14ac:dyDescent="0.2">
      <c r="A1612" s="46"/>
      <c r="B1612" s="46"/>
      <c r="C1612" s="46"/>
      <c r="D1612" s="48"/>
      <c r="E1612" s="48"/>
      <c r="F1612" s="48"/>
      <c r="G1612" s="48"/>
      <c r="H1612" s="48"/>
      <c r="I1612" s="48"/>
    </row>
    <row r="1613" spans="1:9" hidden="1" x14ac:dyDescent="0.2">
      <c r="A1613" s="46"/>
      <c r="B1613" s="46"/>
      <c r="C1613" s="46"/>
      <c r="D1613" s="48"/>
      <c r="E1613" s="48"/>
      <c r="F1613" s="48"/>
      <c r="G1613" s="48"/>
      <c r="H1613" s="48"/>
      <c r="I1613" s="48"/>
    </row>
    <row r="1614" spans="1:9" hidden="1" x14ac:dyDescent="0.2">
      <c r="A1614" s="46"/>
      <c r="B1614" s="46"/>
      <c r="C1614" s="46"/>
      <c r="D1614" s="48"/>
      <c r="E1614" s="48"/>
      <c r="F1614" s="48"/>
      <c r="G1614" s="48"/>
      <c r="H1614" s="48"/>
      <c r="I1614" s="48"/>
    </row>
    <row r="1615" spans="1:9" hidden="1" x14ac:dyDescent="0.2">
      <c r="A1615" s="46"/>
      <c r="B1615" s="46"/>
      <c r="C1615" s="46"/>
      <c r="D1615" s="48"/>
      <c r="E1615" s="48"/>
      <c r="F1615" s="48"/>
      <c r="G1615" s="48"/>
      <c r="H1615" s="48"/>
      <c r="I1615" s="48"/>
    </row>
    <row r="1616" spans="1:9" hidden="1" x14ac:dyDescent="0.2">
      <c r="A1616" s="46"/>
      <c r="B1616" s="46"/>
      <c r="C1616" s="46"/>
      <c r="D1616" s="48"/>
      <c r="E1616" s="48"/>
      <c r="F1616" s="48"/>
      <c r="G1616" s="48"/>
      <c r="H1616" s="48"/>
      <c r="I1616" s="48"/>
    </row>
    <row r="1617" spans="1:9" hidden="1" x14ac:dyDescent="0.2">
      <c r="A1617" s="46"/>
      <c r="B1617" s="46"/>
      <c r="C1617" s="46"/>
      <c r="D1617" s="48"/>
      <c r="E1617" s="48"/>
      <c r="F1617" s="48"/>
      <c r="G1617" s="48"/>
      <c r="H1617" s="48"/>
      <c r="I1617" s="48"/>
    </row>
    <row r="1618" spans="1:9" hidden="1" x14ac:dyDescent="0.2">
      <c r="A1618" s="46"/>
      <c r="B1618" s="46"/>
      <c r="C1618" s="46"/>
      <c r="D1618" s="48"/>
      <c r="E1618" s="48"/>
      <c r="F1618" s="48"/>
      <c r="G1618" s="48"/>
      <c r="H1618" s="48"/>
      <c r="I1618" s="48"/>
    </row>
    <row r="1619" spans="1:9" hidden="1" x14ac:dyDescent="0.2">
      <c r="A1619" s="46"/>
      <c r="B1619" s="46"/>
      <c r="C1619" s="46"/>
      <c r="D1619" s="48"/>
      <c r="E1619" s="48"/>
      <c r="F1619" s="48"/>
      <c r="G1619" s="48"/>
      <c r="H1619" s="48"/>
      <c r="I1619" s="48"/>
    </row>
    <row r="1620" spans="1:9" hidden="1" x14ac:dyDescent="0.2">
      <c r="A1620" s="46"/>
      <c r="B1620" s="46"/>
      <c r="C1620" s="46"/>
      <c r="D1620" s="48"/>
      <c r="E1620" s="48"/>
      <c r="F1620" s="48"/>
      <c r="G1620" s="48"/>
      <c r="H1620" s="48"/>
      <c r="I1620" s="48"/>
    </row>
    <row r="1621" spans="1:9" hidden="1" x14ac:dyDescent="0.2">
      <c r="A1621" s="46"/>
      <c r="B1621" s="46"/>
      <c r="C1621" s="46"/>
      <c r="D1621" s="48"/>
      <c r="E1621" s="48"/>
      <c r="F1621" s="48"/>
      <c r="G1621" s="48"/>
      <c r="H1621" s="48"/>
      <c r="I1621" s="48"/>
    </row>
    <row r="1622" spans="1:9" hidden="1" x14ac:dyDescent="0.2">
      <c r="A1622" s="46"/>
      <c r="B1622" s="46"/>
      <c r="C1622" s="46"/>
      <c r="D1622" s="48"/>
      <c r="E1622" s="48"/>
      <c r="F1622" s="48"/>
      <c r="G1622" s="48"/>
      <c r="H1622" s="48"/>
      <c r="I1622" s="48"/>
    </row>
    <row r="1623" spans="1:9" hidden="1" x14ac:dyDescent="0.2">
      <c r="A1623" s="46"/>
      <c r="B1623" s="46"/>
      <c r="C1623" s="46"/>
      <c r="D1623" s="48"/>
      <c r="E1623" s="48"/>
      <c r="F1623" s="48"/>
      <c r="G1623" s="48"/>
      <c r="H1623" s="48"/>
      <c r="I1623" s="48"/>
    </row>
    <row r="1624" spans="1:9" hidden="1" x14ac:dyDescent="0.2">
      <c r="A1624" s="46"/>
      <c r="B1624" s="46"/>
      <c r="C1624" s="46"/>
      <c r="D1624" s="48"/>
      <c r="E1624" s="48"/>
      <c r="F1624" s="48"/>
      <c r="G1624" s="48"/>
      <c r="H1624" s="48"/>
      <c r="I1624" s="48"/>
    </row>
    <row r="1625" spans="1:9" hidden="1" x14ac:dyDescent="0.2">
      <c r="A1625" s="46"/>
      <c r="B1625" s="46"/>
      <c r="C1625" s="46"/>
      <c r="D1625" s="48"/>
      <c r="E1625" s="48"/>
      <c r="F1625" s="48"/>
      <c r="G1625" s="48"/>
      <c r="H1625" s="48"/>
      <c r="I1625" s="48"/>
    </row>
    <row r="1626" spans="1:9" hidden="1" x14ac:dyDescent="0.2">
      <c r="A1626" s="46"/>
      <c r="B1626" s="46"/>
      <c r="C1626" s="46"/>
      <c r="D1626" s="48"/>
      <c r="E1626" s="48"/>
      <c r="F1626" s="48"/>
      <c r="G1626" s="48"/>
      <c r="H1626" s="48"/>
      <c r="I1626" s="48"/>
    </row>
    <row r="1627" spans="1:9" hidden="1" x14ac:dyDescent="0.2">
      <c r="A1627" s="46"/>
      <c r="B1627" s="46"/>
      <c r="C1627" s="46"/>
      <c r="D1627" s="48"/>
      <c r="E1627" s="48"/>
      <c r="F1627" s="48"/>
      <c r="G1627" s="48"/>
      <c r="H1627" s="48"/>
      <c r="I1627" s="48"/>
    </row>
    <row r="1628" spans="1:9" hidden="1" x14ac:dyDescent="0.2">
      <c r="A1628" s="46"/>
      <c r="B1628" s="46"/>
      <c r="C1628" s="46"/>
      <c r="D1628" s="48"/>
      <c r="E1628" s="48"/>
      <c r="F1628" s="48"/>
      <c r="G1628" s="48"/>
      <c r="H1628" s="48"/>
      <c r="I1628" s="48"/>
    </row>
    <row r="1629" spans="1:9" hidden="1" x14ac:dyDescent="0.2">
      <c r="A1629" s="46"/>
      <c r="B1629" s="46"/>
      <c r="C1629" s="46"/>
      <c r="D1629" s="48"/>
      <c r="E1629" s="48"/>
      <c r="F1629" s="48"/>
      <c r="G1629" s="48"/>
      <c r="H1629" s="48"/>
      <c r="I1629" s="48"/>
    </row>
    <row r="1630" spans="1:9" hidden="1" x14ac:dyDescent="0.2">
      <c r="A1630" s="46"/>
      <c r="B1630" s="46"/>
      <c r="C1630" s="46"/>
      <c r="D1630" s="48"/>
      <c r="E1630" s="48"/>
      <c r="F1630" s="48"/>
      <c r="G1630" s="48"/>
      <c r="H1630" s="48"/>
      <c r="I1630" s="48"/>
    </row>
    <row r="1631" spans="1:9" hidden="1" x14ac:dyDescent="0.2">
      <c r="A1631" s="46"/>
      <c r="B1631" s="46"/>
      <c r="C1631" s="46"/>
      <c r="D1631" s="48"/>
      <c r="E1631" s="48"/>
      <c r="F1631" s="48"/>
      <c r="G1631" s="48"/>
      <c r="H1631" s="48"/>
      <c r="I1631" s="48"/>
    </row>
    <row r="1632" spans="1:9" hidden="1" x14ac:dyDescent="0.2">
      <c r="A1632" s="46"/>
      <c r="B1632" s="46"/>
      <c r="C1632" s="46"/>
      <c r="D1632" s="48"/>
      <c r="E1632" s="48"/>
      <c r="F1632" s="48"/>
      <c r="G1632" s="48"/>
      <c r="H1632" s="48"/>
      <c r="I1632" s="48"/>
    </row>
    <row r="1633" spans="1:9" hidden="1" x14ac:dyDescent="0.2">
      <c r="A1633" s="46"/>
      <c r="B1633" s="46"/>
      <c r="C1633" s="46"/>
      <c r="D1633" s="48"/>
      <c r="E1633" s="48"/>
      <c r="F1633" s="48"/>
      <c r="G1633" s="48"/>
      <c r="H1633" s="48"/>
      <c r="I1633" s="48"/>
    </row>
    <row r="1634" spans="1:9" hidden="1" x14ac:dyDescent="0.2">
      <c r="A1634" s="46"/>
      <c r="B1634" s="46"/>
      <c r="C1634" s="46"/>
      <c r="D1634" s="48"/>
      <c r="E1634" s="48"/>
      <c r="F1634" s="48"/>
      <c r="G1634" s="48"/>
      <c r="H1634" s="48"/>
      <c r="I1634" s="48"/>
    </row>
    <row r="1635" spans="1:9" hidden="1" x14ac:dyDescent="0.2">
      <c r="A1635" s="46"/>
      <c r="B1635" s="46"/>
      <c r="C1635" s="46"/>
      <c r="D1635" s="48"/>
      <c r="E1635" s="48"/>
      <c r="F1635" s="48"/>
      <c r="G1635" s="48"/>
      <c r="H1635" s="48"/>
      <c r="I1635" s="48"/>
    </row>
    <row r="1636" spans="1:9" hidden="1" x14ac:dyDescent="0.2">
      <c r="A1636" s="46"/>
      <c r="B1636" s="46"/>
      <c r="C1636" s="46"/>
      <c r="D1636" s="48"/>
      <c r="E1636" s="48"/>
      <c r="F1636" s="48"/>
      <c r="G1636" s="48"/>
      <c r="H1636" s="48"/>
      <c r="I1636" s="48"/>
    </row>
    <row r="1637" spans="1:9" hidden="1" x14ac:dyDescent="0.2">
      <c r="A1637" s="46"/>
      <c r="B1637" s="46"/>
      <c r="C1637" s="46"/>
      <c r="D1637" s="48"/>
      <c r="E1637" s="48"/>
      <c r="F1637" s="48"/>
      <c r="G1637" s="48"/>
      <c r="H1637" s="48"/>
      <c r="I1637" s="48"/>
    </row>
    <row r="1638" spans="1:9" hidden="1" x14ac:dyDescent="0.2">
      <c r="A1638" s="46"/>
      <c r="B1638" s="46"/>
      <c r="C1638" s="46"/>
      <c r="D1638" s="48"/>
      <c r="E1638" s="48"/>
      <c r="F1638" s="48"/>
      <c r="G1638" s="48"/>
      <c r="H1638" s="48"/>
      <c r="I1638" s="48"/>
    </row>
    <row r="1639" spans="1:9" hidden="1" x14ac:dyDescent="0.2">
      <c r="A1639" s="46"/>
      <c r="B1639" s="46"/>
      <c r="C1639" s="46"/>
      <c r="D1639" s="48"/>
      <c r="E1639" s="48"/>
      <c r="F1639" s="48"/>
      <c r="G1639" s="48"/>
      <c r="H1639" s="48"/>
      <c r="I1639" s="48"/>
    </row>
    <row r="1640" spans="1:9" hidden="1" x14ac:dyDescent="0.2">
      <c r="A1640" s="46"/>
      <c r="B1640" s="46"/>
      <c r="C1640" s="46"/>
      <c r="D1640" s="48"/>
      <c r="E1640" s="48"/>
      <c r="F1640" s="48"/>
      <c r="G1640" s="48"/>
      <c r="H1640" s="48"/>
      <c r="I1640" s="48"/>
    </row>
    <row r="1641" spans="1:9" hidden="1" x14ac:dyDescent="0.2">
      <c r="A1641" s="46"/>
      <c r="B1641" s="46"/>
      <c r="C1641" s="46"/>
      <c r="D1641" s="48"/>
      <c r="E1641" s="48"/>
      <c r="F1641" s="48"/>
      <c r="G1641" s="48"/>
      <c r="H1641" s="48"/>
      <c r="I1641" s="48"/>
    </row>
    <row r="1642" spans="1:9" hidden="1" x14ac:dyDescent="0.2">
      <c r="A1642" s="46"/>
      <c r="B1642" s="46"/>
      <c r="C1642" s="46"/>
      <c r="D1642" s="48"/>
      <c r="E1642" s="48"/>
      <c r="F1642" s="48"/>
      <c r="G1642" s="48"/>
      <c r="H1642" s="48"/>
      <c r="I1642" s="48"/>
    </row>
    <row r="1643" spans="1:9" hidden="1" x14ac:dyDescent="0.2">
      <c r="A1643" s="46"/>
      <c r="B1643" s="46"/>
      <c r="C1643" s="46"/>
      <c r="D1643" s="48"/>
      <c r="E1643" s="48"/>
      <c r="F1643" s="48"/>
      <c r="G1643" s="48"/>
      <c r="H1643" s="48"/>
      <c r="I1643" s="48"/>
    </row>
    <row r="1644" spans="1:9" hidden="1" x14ac:dyDescent="0.2">
      <c r="A1644" s="46"/>
      <c r="B1644" s="46"/>
      <c r="C1644" s="46"/>
      <c r="D1644" s="48"/>
      <c r="E1644" s="48"/>
      <c r="F1644" s="48"/>
      <c r="G1644" s="48"/>
      <c r="H1644" s="48"/>
      <c r="I1644" s="48"/>
    </row>
    <row r="1645" spans="1:9" hidden="1" x14ac:dyDescent="0.2">
      <c r="A1645" s="46"/>
      <c r="B1645" s="46"/>
      <c r="C1645" s="46"/>
      <c r="D1645" s="48"/>
      <c r="E1645" s="48"/>
      <c r="F1645" s="48"/>
      <c r="G1645" s="48"/>
      <c r="H1645" s="48"/>
      <c r="I1645" s="48"/>
    </row>
    <row r="1646" spans="1:9" hidden="1" x14ac:dyDescent="0.2">
      <c r="A1646" s="46"/>
      <c r="B1646" s="46"/>
      <c r="C1646" s="46"/>
      <c r="D1646" s="48"/>
      <c r="E1646" s="48"/>
      <c r="F1646" s="48"/>
      <c r="G1646" s="48"/>
      <c r="H1646" s="48"/>
      <c r="I1646" s="48"/>
    </row>
    <row r="1647" spans="1:9" hidden="1" x14ac:dyDescent="0.2">
      <c r="A1647" s="46"/>
      <c r="B1647" s="46"/>
      <c r="C1647" s="46"/>
      <c r="D1647" s="48"/>
      <c r="E1647" s="48"/>
      <c r="F1647" s="48"/>
      <c r="G1647" s="48"/>
      <c r="H1647" s="48"/>
      <c r="I1647" s="48"/>
    </row>
    <row r="1648" spans="1:9" hidden="1" x14ac:dyDescent="0.2">
      <c r="A1648" s="46"/>
      <c r="B1648" s="46"/>
      <c r="C1648" s="46"/>
      <c r="D1648" s="48"/>
      <c r="E1648" s="48"/>
      <c r="F1648" s="48"/>
      <c r="G1648" s="48"/>
      <c r="H1648" s="48"/>
      <c r="I1648" s="48"/>
    </row>
    <row r="1649" spans="1:9" hidden="1" x14ac:dyDescent="0.2">
      <c r="A1649" s="46"/>
      <c r="B1649" s="46"/>
      <c r="C1649" s="46"/>
      <c r="D1649" s="48"/>
      <c r="E1649" s="48"/>
      <c r="F1649" s="48"/>
      <c r="G1649" s="48"/>
      <c r="H1649" s="48"/>
      <c r="I1649" s="48"/>
    </row>
    <row r="1650" spans="1:9" hidden="1" x14ac:dyDescent="0.2">
      <c r="A1650" s="46"/>
      <c r="B1650" s="46"/>
      <c r="C1650" s="46"/>
      <c r="D1650" s="48"/>
      <c r="E1650" s="48"/>
      <c r="F1650" s="48"/>
      <c r="G1650" s="48"/>
      <c r="H1650" s="48"/>
      <c r="I1650" s="48"/>
    </row>
    <row r="1651" spans="1:9" hidden="1" x14ac:dyDescent="0.2">
      <c r="A1651" s="46"/>
      <c r="B1651" s="46"/>
      <c r="C1651" s="46"/>
      <c r="D1651" s="48"/>
      <c r="E1651" s="48"/>
      <c r="F1651" s="48"/>
      <c r="G1651" s="48"/>
      <c r="H1651" s="48"/>
      <c r="I1651" s="48"/>
    </row>
    <row r="1652" spans="1:9" hidden="1" x14ac:dyDescent="0.2">
      <c r="A1652" s="46"/>
      <c r="B1652" s="46"/>
      <c r="C1652" s="46"/>
      <c r="D1652" s="48"/>
      <c r="E1652" s="48"/>
      <c r="F1652" s="48"/>
      <c r="G1652" s="48"/>
      <c r="H1652" s="48"/>
      <c r="I1652" s="48"/>
    </row>
    <row r="1653" spans="1:9" hidden="1" x14ac:dyDescent="0.2">
      <c r="A1653" s="46"/>
      <c r="B1653" s="46"/>
      <c r="C1653" s="46"/>
      <c r="D1653" s="48"/>
      <c r="E1653" s="48"/>
      <c r="F1653" s="48"/>
      <c r="G1653" s="48"/>
      <c r="H1653" s="48"/>
      <c r="I1653" s="48"/>
    </row>
    <row r="1654" spans="1:9" hidden="1" x14ac:dyDescent="0.2">
      <c r="A1654" s="46"/>
      <c r="B1654" s="46"/>
      <c r="C1654" s="46"/>
      <c r="D1654" s="48"/>
      <c r="E1654" s="48"/>
      <c r="F1654" s="48"/>
      <c r="G1654" s="48"/>
      <c r="H1654" s="48"/>
      <c r="I1654" s="48"/>
    </row>
    <row r="1655" spans="1:9" hidden="1" x14ac:dyDescent="0.2">
      <c r="A1655" s="46"/>
      <c r="B1655" s="46"/>
      <c r="C1655" s="46"/>
      <c r="D1655" s="48"/>
      <c r="E1655" s="48"/>
      <c r="F1655" s="48"/>
      <c r="G1655" s="48"/>
      <c r="H1655" s="48"/>
      <c r="I1655" s="48"/>
    </row>
    <row r="1656" spans="1:9" hidden="1" x14ac:dyDescent="0.2">
      <c r="A1656" s="46"/>
      <c r="B1656" s="46"/>
      <c r="C1656" s="46"/>
      <c r="D1656" s="48"/>
      <c r="E1656" s="48"/>
      <c r="F1656" s="48"/>
      <c r="G1656" s="48"/>
      <c r="H1656" s="48"/>
      <c r="I1656" s="48"/>
    </row>
    <row r="1657" spans="1:9" hidden="1" x14ac:dyDescent="0.2">
      <c r="A1657" s="46"/>
      <c r="B1657" s="46"/>
      <c r="C1657" s="46"/>
      <c r="D1657" s="48"/>
      <c r="E1657" s="48"/>
      <c r="F1657" s="48"/>
      <c r="G1657" s="48"/>
      <c r="H1657" s="48"/>
      <c r="I1657" s="48"/>
    </row>
    <row r="1658" spans="1:9" hidden="1" x14ac:dyDescent="0.2">
      <c r="A1658" s="46"/>
      <c r="B1658" s="46"/>
      <c r="C1658" s="46"/>
      <c r="D1658" s="48"/>
      <c r="E1658" s="48"/>
      <c r="F1658" s="48"/>
      <c r="G1658" s="48"/>
      <c r="H1658" s="48"/>
      <c r="I1658" s="48"/>
    </row>
    <row r="1659" spans="1:9" hidden="1" x14ac:dyDescent="0.2">
      <c r="A1659" s="46"/>
      <c r="B1659" s="46"/>
      <c r="C1659" s="46"/>
      <c r="D1659" s="48"/>
      <c r="E1659" s="48"/>
      <c r="F1659" s="48"/>
      <c r="G1659" s="48"/>
      <c r="H1659" s="48"/>
      <c r="I1659" s="48"/>
    </row>
    <row r="1660" spans="1:9" hidden="1" x14ac:dyDescent="0.2">
      <c r="A1660" s="46"/>
      <c r="B1660" s="46"/>
      <c r="C1660" s="46"/>
      <c r="D1660" s="48"/>
      <c r="E1660" s="48"/>
      <c r="F1660" s="48"/>
      <c r="G1660" s="48"/>
      <c r="H1660" s="48"/>
      <c r="I1660" s="48"/>
    </row>
    <row r="1661" spans="1:9" hidden="1" x14ac:dyDescent="0.2">
      <c r="A1661" s="46"/>
      <c r="B1661" s="46"/>
      <c r="C1661" s="46"/>
      <c r="D1661" s="48"/>
      <c r="E1661" s="48"/>
      <c r="F1661" s="48"/>
      <c r="G1661" s="48"/>
      <c r="H1661" s="48"/>
      <c r="I1661" s="48"/>
    </row>
    <row r="1662" spans="1:9" hidden="1" x14ac:dyDescent="0.2">
      <c r="A1662" s="46"/>
      <c r="B1662" s="46"/>
      <c r="C1662" s="46"/>
      <c r="D1662" s="48"/>
      <c r="E1662" s="48"/>
      <c r="F1662" s="48"/>
      <c r="G1662" s="48"/>
      <c r="H1662" s="48"/>
      <c r="I1662" s="48"/>
    </row>
    <row r="1663" spans="1:9" hidden="1" x14ac:dyDescent="0.2">
      <c r="A1663" s="46"/>
      <c r="B1663" s="46"/>
      <c r="C1663" s="46"/>
      <c r="D1663" s="48"/>
      <c r="E1663" s="48"/>
      <c r="F1663" s="48"/>
      <c r="G1663" s="48"/>
      <c r="H1663" s="48"/>
      <c r="I1663" s="48"/>
    </row>
    <row r="1664" spans="1:9" hidden="1" x14ac:dyDescent="0.2">
      <c r="A1664" s="46"/>
      <c r="B1664" s="46"/>
      <c r="C1664" s="46"/>
      <c r="D1664" s="48"/>
      <c r="E1664" s="48"/>
      <c r="F1664" s="48"/>
      <c r="G1664" s="48"/>
      <c r="H1664" s="48"/>
      <c r="I1664" s="48"/>
    </row>
    <row r="1665" spans="1:9" hidden="1" x14ac:dyDescent="0.2">
      <c r="A1665" s="46"/>
      <c r="B1665" s="46"/>
      <c r="C1665" s="46"/>
      <c r="D1665" s="48"/>
      <c r="E1665" s="48"/>
      <c r="F1665" s="48"/>
      <c r="G1665" s="48"/>
      <c r="H1665" s="48"/>
      <c r="I1665" s="48"/>
    </row>
    <row r="1666" spans="1:9" hidden="1" x14ac:dyDescent="0.2">
      <c r="A1666" s="46"/>
      <c r="B1666" s="46"/>
      <c r="C1666" s="46"/>
      <c r="D1666" s="48"/>
      <c r="E1666" s="48"/>
      <c r="F1666" s="48"/>
      <c r="G1666" s="48"/>
      <c r="H1666" s="48"/>
      <c r="I1666" s="48"/>
    </row>
    <row r="1667" spans="1:9" hidden="1" x14ac:dyDescent="0.2">
      <c r="A1667" s="46"/>
      <c r="B1667" s="46"/>
      <c r="C1667" s="46"/>
      <c r="D1667" s="48"/>
      <c r="E1667" s="48"/>
      <c r="F1667" s="48"/>
      <c r="G1667" s="48"/>
      <c r="H1667" s="48"/>
      <c r="I1667" s="48"/>
    </row>
    <row r="1668" spans="1:9" hidden="1" x14ac:dyDescent="0.2">
      <c r="A1668" s="46"/>
      <c r="B1668" s="46"/>
      <c r="C1668" s="46"/>
      <c r="D1668" s="48"/>
      <c r="E1668" s="48"/>
      <c r="F1668" s="48"/>
      <c r="G1668" s="48"/>
      <c r="H1668" s="48"/>
      <c r="I1668" s="48"/>
    </row>
    <row r="1669" spans="1:9" hidden="1" x14ac:dyDescent="0.2">
      <c r="A1669" s="46"/>
      <c r="B1669" s="46"/>
      <c r="C1669" s="46"/>
      <c r="D1669" s="48"/>
      <c r="E1669" s="48"/>
      <c r="F1669" s="48"/>
      <c r="G1669" s="48"/>
      <c r="H1669" s="48"/>
      <c r="I1669" s="48"/>
    </row>
    <row r="1670" spans="1:9" hidden="1" x14ac:dyDescent="0.2">
      <c r="A1670" s="46"/>
      <c r="B1670" s="46"/>
      <c r="C1670" s="46"/>
      <c r="D1670" s="48"/>
      <c r="E1670" s="48"/>
      <c r="F1670" s="48"/>
      <c r="G1670" s="48"/>
      <c r="H1670" s="48"/>
      <c r="I1670" s="48"/>
    </row>
    <row r="1671" spans="1:9" hidden="1" x14ac:dyDescent="0.2">
      <c r="A1671" s="46"/>
      <c r="B1671" s="46"/>
      <c r="C1671" s="46"/>
      <c r="D1671" s="48"/>
      <c r="E1671" s="48"/>
      <c r="F1671" s="48"/>
      <c r="G1671" s="48"/>
      <c r="H1671" s="48"/>
      <c r="I1671" s="48"/>
    </row>
    <row r="1672" spans="1:9" hidden="1" x14ac:dyDescent="0.2">
      <c r="A1672" s="46"/>
      <c r="B1672" s="46"/>
      <c r="C1672" s="46"/>
      <c r="D1672" s="48"/>
      <c r="E1672" s="48"/>
      <c r="F1672" s="48"/>
      <c r="G1672" s="48"/>
      <c r="H1672" s="48"/>
      <c r="I1672" s="48"/>
    </row>
    <row r="1673" spans="1:9" hidden="1" x14ac:dyDescent="0.2">
      <c r="A1673" s="46"/>
      <c r="B1673" s="46"/>
      <c r="C1673" s="46"/>
      <c r="D1673" s="48"/>
      <c r="E1673" s="48"/>
      <c r="F1673" s="48"/>
      <c r="G1673" s="48"/>
      <c r="H1673" s="48"/>
      <c r="I1673" s="48"/>
    </row>
    <row r="1674" spans="1:9" hidden="1" x14ac:dyDescent="0.2">
      <c r="A1674" s="46"/>
      <c r="B1674" s="46"/>
      <c r="C1674" s="46"/>
      <c r="D1674" s="48"/>
      <c r="E1674" s="48"/>
      <c r="F1674" s="48"/>
      <c r="G1674" s="48"/>
      <c r="H1674" s="48"/>
      <c r="I1674" s="48"/>
    </row>
    <row r="1675" spans="1:9" hidden="1" x14ac:dyDescent="0.2">
      <c r="A1675" s="46"/>
      <c r="B1675" s="46"/>
      <c r="C1675" s="46"/>
      <c r="D1675" s="48"/>
      <c r="E1675" s="48"/>
      <c r="F1675" s="48"/>
      <c r="G1675" s="48"/>
      <c r="H1675" s="48"/>
      <c r="I1675" s="48"/>
    </row>
    <row r="1676" spans="1:9" hidden="1" x14ac:dyDescent="0.2">
      <c r="A1676" s="46"/>
      <c r="B1676" s="46"/>
      <c r="C1676" s="46"/>
      <c r="D1676" s="48"/>
      <c r="E1676" s="48"/>
      <c r="F1676" s="48"/>
      <c r="G1676" s="48"/>
      <c r="H1676" s="48"/>
      <c r="I1676" s="48"/>
    </row>
    <row r="1677" spans="1:9" hidden="1" x14ac:dyDescent="0.2">
      <c r="A1677" s="46"/>
      <c r="B1677" s="46"/>
      <c r="C1677" s="46"/>
      <c r="D1677" s="48"/>
      <c r="E1677" s="48"/>
      <c r="F1677" s="48"/>
      <c r="G1677" s="48"/>
      <c r="H1677" s="48"/>
      <c r="I1677" s="48"/>
    </row>
    <row r="1678" spans="1:9" hidden="1" x14ac:dyDescent="0.2">
      <c r="A1678" s="46"/>
      <c r="B1678" s="46"/>
      <c r="C1678" s="46"/>
      <c r="D1678" s="48"/>
      <c r="E1678" s="48"/>
      <c r="F1678" s="48"/>
      <c r="G1678" s="48"/>
      <c r="H1678" s="48"/>
      <c r="I1678" s="48"/>
    </row>
    <row r="1679" spans="1:9" hidden="1" x14ac:dyDescent="0.2">
      <c r="A1679" s="46"/>
      <c r="B1679" s="46"/>
      <c r="C1679" s="46"/>
      <c r="D1679" s="48"/>
      <c r="E1679" s="48"/>
      <c r="F1679" s="48"/>
      <c r="G1679" s="48"/>
      <c r="H1679" s="48"/>
      <c r="I1679" s="48"/>
    </row>
    <row r="1680" spans="1:9" hidden="1" x14ac:dyDescent="0.2">
      <c r="A1680" s="46"/>
      <c r="B1680" s="46"/>
      <c r="C1680" s="46"/>
      <c r="D1680" s="48"/>
      <c r="E1680" s="48"/>
      <c r="F1680" s="48"/>
      <c r="G1680" s="48"/>
      <c r="H1680" s="48"/>
      <c r="I1680" s="48"/>
    </row>
    <row r="1681" spans="1:9" hidden="1" x14ac:dyDescent="0.2">
      <c r="A1681" s="46"/>
      <c r="B1681" s="46"/>
      <c r="C1681" s="46"/>
      <c r="D1681" s="48"/>
      <c r="E1681" s="48"/>
      <c r="F1681" s="48"/>
      <c r="G1681" s="48"/>
      <c r="H1681" s="48"/>
      <c r="I1681" s="48"/>
    </row>
    <row r="1682" spans="1:9" hidden="1" x14ac:dyDescent="0.2">
      <c r="A1682" s="46"/>
      <c r="B1682" s="46"/>
      <c r="C1682" s="46"/>
      <c r="D1682" s="48"/>
      <c r="E1682" s="48"/>
      <c r="F1682" s="48"/>
      <c r="G1682" s="48"/>
      <c r="H1682" s="48"/>
      <c r="I1682" s="48"/>
    </row>
    <row r="1683" spans="1:9" hidden="1" x14ac:dyDescent="0.2">
      <c r="A1683" s="46"/>
      <c r="B1683" s="46"/>
      <c r="C1683" s="46"/>
      <c r="D1683" s="48"/>
      <c r="E1683" s="48"/>
      <c r="F1683" s="48"/>
      <c r="G1683" s="48"/>
      <c r="H1683" s="48"/>
      <c r="I1683" s="48"/>
    </row>
    <row r="1684" spans="1:9" hidden="1" x14ac:dyDescent="0.2">
      <c r="A1684" s="46"/>
      <c r="B1684" s="46"/>
      <c r="C1684" s="46"/>
      <c r="D1684" s="48"/>
      <c r="E1684" s="48"/>
      <c r="F1684" s="48"/>
      <c r="G1684" s="48"/>
      <c r="H1684" s="48"/>
      <c r="I1684" s="48"/>
    </row>
    <row r="1685" spans="1:9" hidden="1" x14ac:dyDescent="0.2">
      <c r="A1685" s="46"/>
      <c r="B1685" s="46"/>
      <c r="C1685" s="46"/>
      <c r="D1685" s="48"/>
      <c r="E1685" s="48"/>
      <c r="F1685" s="48"/>
      <c r="G1685" s="48"/>
      <c r="H1685" s="48"/>
      <c r="I1685" s="48"/>
    </row>
    <row r="1686" spans="1:9" hidden="1" x14ac:dyDescent="0.2">
      <c r="A1686" s="46"/>
      <c r="B1686" s="46"/>
      <c r="C1686" s="46"/>
      <c r="D1686" s="48"/>
      <c r="E1686" s="48"/>
      <c r="F1686" s="48"/>
      <c r="G1686" s="48"/>
      <c r="H1686" s="48"/>
      <c r="I1686" s="48"/>
    </row>
    <row r="1687" spans="1:9" hidden="1" x14ac:dyDescent="0.2">
      <c r="A1687" s="46"/>
      <c r="B1687" s="46"/>
      <c r="C1687" s="46"/>
      <c r="D1687" s="48"/>
      <c r="E1687" s="48"/>
      <c r="F1687" s="48"/>
      <c r="G1687" s="48"/>
      <c r="H1687" s="48"/>
      <c r="I1687" s="48"/>
    </row>
    <row r="1688" spans="1:9" hidden="1" x14ac:dyDescent="0.2">
      <c r="A1688" s="46"/>
      <c r="B1688" s="46"/>
      <c r="C1688" s="46"/>
      <c r="D1688" s="48"/>
      <c r="E1688" s="48"/>
      <c r="F1688" s="48"/>
      <c r="G1688" s="48"/>
      <c r="H1688" s="48"/>
      <c r="I1688" s="48"/>
    </row>
    <row r="1689" spans="1:9" hidden="1" x14ac:dyDescent="0.2">
      <c r="A1689" s="46"/>
      <c r="B1689" s="46"/>
      <c r="C1689" s="46"/>
      <c r="D1689" s="48"/>
      <c r="E1689" s="48"/>
      <c r="F1689" s="48"/>
      <c r="G1689" s="48"/>
      <c r="H1689" s="48"/>
      <c r="I1689" s="48"/>
    </row>
    <row r="1690" spans="1:9" hidden="1" x14ac:dyDescent="0.2">
      <c r="A1690" s="46"/>
      <c r="B1690" s="46"/>
      <c r="C1690" s="46"/>
      <c r="D1690" s="48"/>
      <c r="E1690" s="48"/>
      <c r="F1690" s="48"/>
      <c r="G1690" s="48"/>
      <c r="H1690" s="48"/>
      <c r="I1690" s="48"/>
    </row>
    <row r="1691" spans="1:9" hidden="1" x14ac:dyDescent="0.2">
      <c r="A1691" s="46"/>
      <c r="B1691" s="46"/>
      <c r="C1691" s="46"/>
      <c r="D1691" s="48"/>
      <c r="E1691" s="48"/>
      <c r="F1691" s="48"/>
      <c r="G1691" s="48"/>
      <c r="H1691" s="48"/>
      <c r="I1691" s="48"/>
    </row>
    <row r="1692" spans="1:9" hidden="1" x14ac:dyDescent="0.2">
      <c r="A1692" s="46"/>
      <c r="B1692" s="46"/>
      <c r="C1692" s="46"/>
      <c r="D1692" s="48"/>
      <c r="E1692" s="48"/>
      <c r="F1692" s="48"/>
      <c r="G1692" s="48"/>
      <c r="H1692" s="48"/>
      <c r="I1692" s="48"/>
    </row>
    <row r="1693" spans="1:9" hidden="1" x14ac:dyDescent="0.2">
      <c r="A1693" s="46"/>
      <c r="B1693" s="46"/>
      <c r="C1693" s="46"/>
      <c r="D1693" s="48"/>
      <c r="E1693" s="48"/>
      <c r="F1693" s="48"/>
      <c r="G1693" s="48"/>
      <c r="H1693" s="48"/>
      <c r="I1693" s="48"/>
    </row>
    <row r="1694" spans="1:9" hidden="1" x14ac:dyDescent="0.2">
      <c r="A1694" s="46"/>
      <c r="B1694" s="46"/>
      <c r="C1694" s="46"/>
      <c r="D1694" s="48"/>
      <c r="E1694" s="48"/>
      <c r="F1694" s="48"/>
      <c r="G1694" s="48"/>
      <c r="H1694" s="48"/>
      <c r="I1694" s="48"/>
    </row>
    <row r="1695" spans="1:9" hidden="1" x14ac:dyDescent="0.2">
      <c r="A1695" s="46"/>
      <c r="B1695" s="46"/>
      <c r="C1695" s="46"/>
      <c r="D1695" s="48"/>
      <c r="E1695" s="48"/>
      <c r="F1695" s="48"/>
      <c r="G1695" s="48"/>
      <c r="H1695" s="48"/>
      <c r="I1695" s="48"/>
    </row>
    <row r="1696" spans="1:9" hidden="1" x14ac:dyDescent="0.2">
      <c r="A1696" s="46"/>
      <c r="B1696" s="46"/>
      <c r="C1696" s="46"/>
      <c r="D1696" s="48"/>
      <c r="E1696" s="48"/>
      <c r="F1696" s="48"/>
      <c r="G1696" s="48"/>
      <c r="H1696" s="48"/>
      <c r="I1696" s="48"/>
    </row>
    <row r="1697" spans="1:9" hidden="1" x14ac:dyDescent="0.2">
      <c r="A1697" s="46"/>
      <c r="B1697" s="46"/>
      <c r="C1697" s="46"/>
      <c r="D1697" s="48"/>
      <c r="E1697" s="48"/>
      <c r="F1697" s="48"/>
      <c r="G1697" s="48"/>
      <c r="H1697" s="48"/>
      <c r="I1697" s="48"/>
    </row>
    <row r="1698" spans="1:9" hidden="1" x14ac:dyDescent="0.2">
      <c r="A1698" s="46"/>
      <c r="B1698" s="46"/>
      <c r="C1698" s="46"/>
      <c r="D1698" s="48"/>
      <c r="E1698" s="48"/>
      <c r="F1698" s="48"/>
      <c r="G1698" s="48"/>
      <c r="H1698" s="48"/>
      <c r="I1698" s="48"/>
    </row>
    <row r="1699" spans="1:9" hidden="1" x14ac:dyDescent="0.2">
      <c r="A1699" s="46"/>
      <c r="B1699" s="46"/>
      <c r="C1699" s="46"/>
      <c r="D1699" s="48"/>
      <c r="E1699" s="48"/>
      <c r="F1699" s="48"/>
      <c r="G1699" s="48"/>
      <c r="H1699" s="48"/>
      <c r="I1699" s="48"/>
    </row>
    <row r="1700" spans="1:9" hidden="1" x14ac:dyDescent="0.2">
      <c r="A1700" s="46"/>
      <c r="B1700" s="46"/>
      <c r="C1700" s="46"/>
      <c r="D1700" s="48"/>
      <c r="E1700" s="48"/>
      <c r="F1700" s="48"/>
      <c r="G1700" s="48"/>
      <c r="H1700" s="48"/>
      <c r="I1700" s="48"/>
    </row>
    <row r="1701" spans="1:9" hidden="1" x14ac:dyDescent="0.2">
      <c r="A1701" s="46"/>
      <c r="B1701" s="46"/>
      <c r="C1701" s="46"/>
      <c r="D1701" s="48"/>
      <c r="E1701" s="48"/>
      <c r="F1701" s="48"/>
      <c r="G1701" s="48"/>
      <c r="H1701" s="48"/>
      <c r="I1701" s="48"/>
    </row>
    <row r="1702" spans="1:9" hidden="1" x14ac:dyDescent="0.2">
      <c r="A1702" s="46"/>
      <c r="B1702" s="46"/>
      <c r="C1702" s="46"/>
      <c r="D1702" s="48"/>
      <c r="E1702" s="48"/>
      <c r="F1702" s="48"/>
      <c r="G1702" s="48"/>
      <c r="H1702" s="48"/>
      <c r="I1702" s="48"/>
    </row>
    <row r="1703" spans="1:9" hidden="1" x14ac:dyDescent="0.2">
      <c r="A1703" s="46"/>
      <c r="B1703" s="46"/>
      <c r="C1703" s="46"/>
      <c r="D1703" s="48"/>
      <c r="E1703" s="48"/>
      <c r="F1703" s="48"/>
      <c r="G1703" s="48"/>
      <c r="H1703" s="48"/>
      <c r="I1703" s="48"/>
    </row>
    <row r="1704" spans="1:9" hidden="1" x14ac:dyDescent="0.2">
      <c r="A1704" s="46"/>
      <c r="B1704" s="46"/>
      <c r="C1704" s="46"/>
      <c r="D1704" s="48"/>
      <c r="E1704" s="48"/>
      <c r="F1704" s="48"/>
      <c r="G1704" s="48"/>
      <c r="H1704" s="48"/>
      <c r="I1704" s="48"/>
    </row>
    <row r="1705" spans="1:9" hidden="1" x14ac:dyDescent="0.2">
      <c r="A1705" s="46"/>
      <c r="B1705" s="46"/>
      <c r="C1705" s="46"/>
      <c r="D1705" s="48"/>
      <c r="E1705" s="48"/>
      <c r="F1705" s="48"/>
      <c r="G1705" s="48"/>
      <c r="H1705" s="48"/>
      <c r="I1705" s="48"/>
    </row>
    <row r="1706" spans="1:9" hidden="1" x14ac:dyDescent="0.2">
      <c r="A1706" s="46"/>
      <c r="B1706" s="46"/>
      <c r="C1706" s="46"/>
      <c r="D1706" s="48"/>
      <c r="E1706" s="48"/>
      <c r="F1706" s="48"/>
      <c r="G1706" s="48"/>
      <c r="H1706" s="48"/>
      <c r="I1706" s="48"/>
    </row>
    <row r="1707" spans="1:9" hidden="1" x14ac:dyDescent="0.2">
      <c r="A1707" s="46"/>
      <c r="B1707" s="46"/>
      <c r="C1707" s="46"/>
      <c r="D1707" s="48"/>
      <c r="E1707" s="48"/>
      <c r="F1707" s="48"/>
      <c r="G1707" s="48"/>
      <c r="H1707" s="48"/>
      <c r="I1707" s="48"/>
    </row>
    <row r="1708" spans="1:9" hidden="1" x14ac:dyDescent="0.2">
      <c r="A1708" s="46"/>
      <c r="B1708" s="46"/>
      <c r="C1708" s="46"/>
      <c r="D1708" s="48"/>
      <c r="E1708" s="48"/>
      <c r="F1708" s="48"/>
      <c r="G1708" s="48"/>
      <c r="H1708" s="48"/>
      <c r="I1708" s="48"/>
    </row>
    <row r="1709" spans="1:9" hidden="1" x14ac:dyDescent="0.2">
      <c r="A1709" s="46"/>
      <c r="B1709" s="46"/>
      <c r="C1709" s="46"/>
      <c r="D1709" s="48"/>
      <c r="E1709" s="48"/>
      <c r="F1709" s="48"/>
      <c r="G1709" s="48"/>
      <c r="H1709" s="48"/>
      <c r="I1709" s="48"/>
    </row>
    <row r="1710" spans="1:9" hidden="1" x14ac:dyDescent="0.2">
      <c r="A1710" s="46"/>
      <c r="B1710" s="46"/>
      <c r="C1710" s="46"/>
      <c r="D1710" s="48"/>
      <c r="E1710" s="48"/>
      <c r="F1710" s="48"/>
      <c r="G1710" s="48"/>
      <c r="H1710" s="48"/>
      <c r="I1710" s="48"/>
    </row>
    <row r="1711" spans="1:9" hidden="1" x14ac:dyDescent="0.2">
      <c r="A1711" s="46"/>
      <c r="B1711" s="46"/>
      <c r="C1711" s="46"/>
      <c r="D1711" s="48"/>
      <c r="E1711" s="48"/>
      <c r="F1711" s="48"/>
      <c r="G1711" s="48"/>
      <c r="H1711" s="48"/>
      <c r="I1711" s="48"/>
    </row>
    <row r="1712" spans="1:9" hidden="1" x14ac:dyDescent="0.2">
      <c r="A1712" s="46"/>
      <c r="B1712" s="46"/>
      <c r="C1712" s="46"/>
      <c r="D1712" s="48"/>
      <c r="E1712" s="48"/>
      <c r="F1712" s="48"/>
      <c r="G1712" s="48"/>
      <c r="H1712" s="48"/>
      <c r="I1712" s="48"/>
    </row>
    <row r="1713" spans="1:9" hidden="1" x14ac:dyDescent="0.2">
      <c r="A1713" s="46"/>
      <c r="B1713" s="46"/>
      <c r="C1713" s="46"/>
      <c r="D1713" s="48"/>
      <c r="E1713" s="48"/>
      <c r="F1713" s="48"/>
      <c r="G1713" s="48"/>
      <c r="H1713" s="48"/>
      <c r="I1713" s="48"/>
    </row>
    <row r="1714" spans="1:9" hidden="1" x14ac:dyDescent="0.2">
      <c r="A1714" s="46"/>
      <c r="B1714" s="46"/>
      <c r="C1714" s="46"/>
      <c r="D1714" s="48"/>
      <c r="E1714" s="48"/>
      <c r="F1714" s="48"/>
      <c r="G1714" s="48"/>
      <c r="H1714" s="48"/>
      <c r="I1714" s="48"/>
    </row>
    <row r="1715" spans="1:9" hidden="1" x14ac:dyDescent="0.2">
      <c r="A1715" s="46"/>
      <c r="B1715" s="46"/>
      <c r="C1715" s="46"/>
      <c r="D1715" s="48"/>
      <c r="E1715" s="48"/>
      <c r="F1715" s="48"/>
      <c r="G1715" s="48"/>
      <c r="H1715" s="48"/>
      <c r="I1715" s="48"/>
    </row>
    <row r="1716" spans="1:9" hidden="1" x14ac:dyDescent="0.2">
      <c r="A1716" s="46"/>
      <c r="B1716" s="46"/>
      <c r="C1716" s="46"/>
      <c r="D1716" s="48"/>
      <c r="E1716" s="48"/>
      <c r="F1716" s="48"/>
      <c r="G1716" s="48"/>
      <c r="H1716" s="48"/>
      <c r="I1716" s="48"/>
    </row>
    <row r="1717" spans="1:9" hidden="1" x14ac:dyDescent="0.2">
      <c r="A1717" s="46"/>
      <c r="B1717" s="46"/>
      <c r="C1717" s="46"/>
      <c r="D1717" s="48"/>
      <c r="E1717" s="48"/>
      <c r="F1717" s="48"/>
      <c r="G1717" s="48"/>
      <c r="H1717" s="48"/>
      <c r="I1717" s="48"/>
    </row>
    <row r="1718" spans="1:9" hidden="1" x14ac:dyDescent="0.2">
      <c r="A1718" s="46"/>
      <c r="B1718" s="46"/>
      <c r="C1718" s="46"/>
      <c r="D1718" s="48"/>
      <c r="E1718" s="48"/>
      <c r="F1718" s="48"/>
      <c r="G1718" s="48"/>
      <c r="H1718" s="48"/>
      <c r="I1718" s="48"/>
    </row>
    <row r="1719" spans="1:9" hidden="1" x14ac:dyDescent="0.2">
      <c r="A1719" s="46"/>
      <c r="B1719" s="46"/>
      <c r="C1719" s="46"/>
      <c r="D1719" s="48"/>
      <c r="E1719" s="48"/>
      <c r="F1719" s="48"/>
      <c r="G1719" s="48"/>
      <c r="H1719" s="48"/>
      <c r="I1719" s="48"/>
    </row>
    <row r="1720" spans="1:9" hidden="1" x14ac:dyDescent="0.2">
      <c r="A1720" s="46"/>
      <c r="B1720" s="46"/>
      <c r="C1720" s="46"/>
      <c r="D1720" s="48"/>
      <c r="E1720" s="48"/>
      <c r="F1720" s="48"/>
      <c r="G1720" s="48"/>
      <c r="H1720" s="48"/>
      <c r="I1720" s="48"/>
    </row>
    <row r="1721" spans="1:9" hidden="1" x14ac:dyDescent="0.2">
      <c r="A1721" s="46"/>
      <c r="B1721" s="46"/>
      <c r="C1721" s="46"/>
      <c r="D1721" s="48"/>
      <c r="E1721" s="48"/>
      <c r="F1721" s="48"/>
      <c r="G1721" s="48"/>
      <c r="H1721" s="48"/>
      <c r="I1721" s="48"/>
    </row>
    <row r="1722" spans="1:9" hidden="1" x14ac:dyDescent="0.2">
      <c r="A1722" s="46"/>
      <c r="B1722" s="46"/>
      <c r="C1722" s="46"/>
      <c r="D1722" s="48"/>
      <c r="E1722" s="48"/>
      <c r="F1722" s="48"/>
      <c r="G1722" s="48"/>
      <c r="H1722" s="48"/>
      <c r="I1722" s="48"/>
    </row>
    <row r="1723" spans="1:9" hidden="1" x14ac:dyDescent="0.2">
      <c r="A1723" s="46"/>
      <c r="B1723" s="46"/>
      <c r="C1723" s="46"/>
      <c r="D1723" s="48"/>
      <c r="E1723" s="48"/>
      <c r="F1723" s="48"/>
      <c r="G1723" s="48"/>
      <c r="H1723" s="48"/>
      <c r="I1723" s="48"/>
    </row>
    <row r="1724" spans="1:9" hidden="1" x14ac:dyDescent="0.2">
      <c r="A1724" s="46"/>
      <c r="B1724" s="46"/>
      <c r="C1724" s="46"/>
      <c r="D1724" s="48"/>
      <c r="E1724" s="48"/>
      <c r="F1724" s="48"/>
      <c r="G1724" s="48"/>
      <c r="H1724" s="48"/>
      <c r="I1724" s="48"/>
    </row>
    <row r="1725" spans="1:9" hidden="1" x14ac:dyDescent="0.2">
      <c r="A1725" s="46"/>
      <c r="B1725" s="46"/>
      <c r="C1725" s="46"/>
      <c r="D1725" s="48"/>
      <c r="E1725" s="48"/>
      <c r="F1725" s="48"/>
      <c r="G1725" s="48"/>
      <c r="H1725" s="48"/>
      <c r="I1725" s="48"/>
    </row>
    <row r="1726" spans="1:9" hidden="1" x14ac:dyDescent="0.2">
      <c r="A1726" s="46"/>
      <c r="B1726" s="46"/>
      <c r="C1726" s="46"/>
      <c r="D1726" s="48"/>
      <c r="E1726" s="48"/>
      <c r="F1726" s="48"/>
      <c r="G1726" s="48"/>
      <c r="H1726" s="48"/>
      <c r="I1726" s="48"/>
    </row>
    <row r="1727" spans="1:9" hidden="1" x14ac:dyDescent="0.2">
      <c r="A1727" s="46"/>
      <c r="B1727" s="46"/>
      <c r="C1727" s="46"/>
      <c r="D1727" s="48"/>
      <c r="E1727" s="48"/>
      <c r="F1727" s="48"/>
      <c r="G1727" s="48"/>
      <c r="H1727" s="48"/>
      <c r="I1727" s="48"/>
    </row>
    <row r="1728" spans="1:9" hidden="1" x14ac:dyDescent="0.2">
      <c r="A1728" s="46"/>
      <c r="B1728" s="46"/>
      <c r="C1728" s="46"/>
      <c r="D1728" s="48"/>
      <c r="E1728" s="48"/>
      <c r="F1728" s="48"/>
      <c r="G1728" s="48"/>
      <c r="H1728" s="48"/>
      <c r="I1728" s="48"/>
    </row>
    <row r="1729" spans="1:9" hidden="1" x14ac:dyDescent="0.2">
      <c r="A1729" s="46"/>
      <c r="B1729" s="46"/>
      <c r="C1729" s="46"/>
      <c r="D1729" s="48"/>
      <c r="E1729" s="48"/>
      <c r="F1729" s="48"/>
      <c r="G1729" s="48"/>
      <c r="H1729" s="48"/>
      <c r="I1729" s="48"/>
    </row>
    <row r="1730" spans="1:9" hidden="1" x14ac:dyDescent="0.2">
      <c r="A1730" s="46"/>
      <c r="B1730" s="46"/>
      <c r="C1730" s="46"/>
      <c r="D1730" s="48"/>
      <c r="E1730" s="48"/>
      <c r="F1730" s="48"/>
      <c r="G1730" s="48"/>
      <c r="H1730" s="48"/>
      <c r="I1730" s="48"/>
    </row>
    <row r="1731" spans="1:9" hidden="1" x14ac:dyDescent="0.2">
      <c r="A1731" s="46"/>
      <c r="B1731" s="46"/>
      <c r="C1731" s="46"/>
      <c r="D1731" s="48"/>
      <c r="E1731" s="48"/>
      <c r="F1731" s="48"/>
      <c r="G1731" s="48"/>
      <c r="H1731" s="48"/>
      <c r="I1731" s="48"/>
    </row>
    <row r="1732" spans="1:9" hidden="1" x14ac:dyDescent="0.2">
      <c r="A1732" s="46"/>
      <c r="B1732" s="46"/>
      <c r="C1732" s="46"/>
      <c r="D1732" s="48"/>
      <c r="E1732" s="48"/>
      <c r="F1732" s="48"/>
      <c r="G1732" s="48"/>
      <c r="H1732" s="48"/>
      <c r="I1732" s="48"/>
    </row>
    <row r="1733" spans="1:9" hidden="1" x14ac:dyDescent="0.2">
      <c r="A1733" s="46"/>
      <c r="B1733" s="46"/>
      <c r="C1733" s="46"/>
      <c r="D1733" s="48"/>
      <c r="E1733" s="48"/>
      <c r="F1733" s="48"/>
      <c r="G1733" s="48"/>
      <c r="H1733" s="48"/>
      <c r="I1733" s="48"/>
    </row>
    <row r="1734" spans="1:9" hidden="1" x14ac:dyDescent="0.2">
      <c r="A1734" s="46"/>
      <c r="B1734" s="46"/>
      <c r="C1734" s="46"/>
      <c r="D1734" s="48"/>
      <c r="E1734" s="48"/>
      <c r="F1734" s="48"/>
      <c r="G1734" s="48"/>
      <c r="H1734" s="48"/>
      <c r="I1734" s="48"/>
    </row>
    <row r="1735" spans="1:9" hidden="1" x14ac:dyDescent="0.2">
      <c r="A1735" s="46"/>
      <c r="B1735" s="46"/>
      <c r="C1735" s="46"/>
      <c r="D1735" s="48"/>
      <c r="E1735" s="48"/>
      <c r="F1735" s="48"/>
      <c r="G1735" s="48"/>
      <c r="H1735" s="48"/>
      <c r="I1735" s="48"/>
    </row>
    <row r="1736" spans="1:9" hidden="1" x14ac:dyDescent="0.2">
      <c r="A1736" s="46"/>
      <c r="B1736" s="46"/>
      <c r="C1736" s="46"/>
      <c r="D1736" s="48"/>
      <c r="E1736" s="48"/>
      <c r="F1736" s="48"/>
      <c r="G1736" s="48"/>
      <c r="H1736" s="48"/>
      <c r="I1736" s="48"/>
    </row>
    <row r="1737" spans="1:9" hidden="1" x14ac:dyDescent="0.2">
      <c r="A1737" s="46"/>
      <c r="B1737" s="46"/>
      <c r="C1737" s="46"/>
      <c r="D1737" s="48"/>
      <c r="E1737" s="48"/>
      <c r="F1737" s="48"/>
      <c r="G1737" s="48"/>
      <c r="H1737" s="48"/>
      <c r="I1737" s="48"/>
    </row>
    <row r="1738" spans="1:9" hidden="1" x14ac:dyDescent="0.2">
      <c r="A1738" s="46"/>
      <c r="B1738" s="46"/>
      <c r="C1738" s="46"/>
      <c r="D1738" s="48"/>
      <c r="E1738" s="48"/>
      <c r="F1738" s="48"/>
      <c r="G1738" s="48"/>
      <c r="H1738" s="48"/>
      <c r="I1738" s="48"/>
    </row>
    <row r="1739" spans="1:9" hidden="1" x14ac:dyDescent="0.2">
      <c r="A1739" s="46"/>
      <c r="B1739" s="46"/>
      <c r="C1739" s="46"/>
      <c r="D1739" s="48"/>
      <c r="E1739" s="48"/>
      <c r="F1739" s="48"/>
      <c r="G1739" s="48"/>
      <c r="H1739" s="48"/>
      <c r="I1739" s="48"/>
    </row>
    <row r="1740" spans="1:9" hidden="1" x14ac:dyDescent="0.2">
      <c r="A1740" s="46"/>
      <c r="B1740" s="46"/>
      <c r="C1740" s="46"/>
      <c r="D1740" s="48"/>
      <c r="E1740" s="48"/>
      <c r="F1740" s="48"/>
      <c r="G1740" s="48"/>
      <c r="H1740" s="48"/>
      <c r="I1740" s="48"/>
    </row>
    <row r="1741" spans="1:9" hidden="1" x14ac:dyDescent="0.2">
      <c r="A1741" s="46"/>
      <c r="B1741" s="46"/>
      <c r="C1741" s="46"/>
      <c r="D1741" s="48"/>
      <c r="E1741" s="48"/>
      <c r="F1741" s="48"/>
      <c r="G1741" s="48"/>
      <c r="H1741" s="48"/>
      <c r="I1741" s="48"/>
    </row>
    <row r="1742" spans="1:9" hidden="1" x14ac:dyDescent="0.2">
      <c r="A1742" s="46"/>
      <c r="B1742" s="46"/>
      <c r="C1742" s="46"/>
      <c r="D1742" s="48"/>
      <c r="E1742" s="48"/>
      <c r="F1742" s="48"/>
      <c r="G1742" s="48"/>
      <c r="H1742" s="48"/>
      <c r="I1742" s="48"/>
    </row>
    <row r="1743" spans="1:9" hidden="1" x14ac:dyDescent="0.2">
      <c r="A1743" s="46"/>
      <c r="B1743" s="46"/>
      <c r="C1743" s="46"/>
      <c r="D1743" s="48"/>
      <c r="E1743" s="48"/>
      <c r="F1743" s="48"/>
      <c r="G1743" s="48"/>
      <c r="H1743" s="48"/>
      <c r="I1743" s="48"/>
    </row>
    <row r="1744" spans="1:9" hidden="1" x14ac:dyDescent="0.2">
      <c r="A1744" s="46"/>
      <c r="B1744" s="46"/>
      <c r="C1744" s="46"/>
      <c r="D1744" s="48"/>
      <c r="E1744" s="48"/>
      <c r="F1744" s="48"/>
      <c r="G1744" s="48"/>
      <c r="H1744" s="48"/>
      <c r="I1744" s="48"/>
    </row>
    <row r="1745" spans="1:9" hidden="1" x14ac:dyDescent="0.2">
      <c r="A1745" s="46"/>
      <c r="B1745" s="46"/>
      <c r="C1745" s="46"/>
      <c r="D1745" s="48"/>
      <c r="E1745" s="48"/>
      <c r="F1745" s="48"/>
      <c r="G1745" s="48"/>
      <c r="H1745" s="48"/>
      <c r="I1745" s="48"/>
    </row>
    <row r="1746" spans="1:9" hidden="1" x14ac:dyDescent="0.2">
      <c r="A1746" s="46"/>
      <c r="B1746" s="46"/>
      <c r="C1746" s="46"/>
      <c r="D1746" s="48"/>
      <c r="E1746" s="48"/>
      <c r="F1746" s="48"/>
      <c r="G1746" s="48"/>
      <c r="H1746" s="48"/>
      <c r="I1746" s="48"/>
    </row>
    <row r="1747" spans="1:9" hidden="1" x14ac:dyDescent="0.2">
      <c r="A1747" s="46"/>
      <c r="B1747" s="46"/>
      <c r="C1747" s="46"/>
      <c r="D1747" s="48"/>
      <c r="E1747" s="48"/>
      <c r="F1747" s="48"/>
      <c r="G1747" s="48"/>
      <c r="H1747" s="48"/>
      <c r="I1747" s="48"/>
    </row>
    <row r="1748" spans="1:9" hidden="1" x14ac:dyDescent="0.2">
      <c r="A1748" s="46"/>
      <c r="B1748" s="46"/>
      <c r="C1748" s="46"/>
      <c r="D1748" s="48"/>
      <c r="E1748" s="48"/>
      <c r="F1748" s="48"/>
      <c r="G1748" s="48"/>
      <c r="H1748" s="48"/>
      <c r="I1748" s="48"/>
    </row>
    <row r="1749" spans="1:9" hidden="1" x14ac:dyDescent="0.2">
      <c r="A1749" s="46"/>
      <c r="B1749" s="46"/>
      <c r="C1749" s="46"/>
      <c r="D1749" s="48"/>
      <c r="E1749" s="48"/>
      <c r="F1749" s="48"/>
      <c r="G1749" s="48"/>
      <c r="H1749" s="48"/>
      <c r="I1749" s="48"/>
    </row>
    <row r="1750" spans="1:9" hidden="1" x14ac:dyDescent="0.2">
      <c r="A1750" s="46"/>
      <c r="B1750" s="46"/>
      <c r="C1750" s="46"/>
      <c r="D1750" s="48"/>
      <c r="E1750" s="48"/>
      <c r="F1750" s="48"/>
      <c r="G1750" s="48"/>
      <c r="H1750" s="48"/>
      <c r="I1750" s="48"/>
    </row>
    <row r="1751" spans="1:9" hidden="1" x14ac:dyDescent="0.2">
      <c r="A1751" s="46"/>
      <c r="B1751" s="46"/>
      <c r="C1751" s="46"/>
      <c r="D1751" s="48"/>
      <c r="E1751" s="48"/>
      <c r="F1751" s="48"/>
      <c r="G1751" s="48"/>
      <c r="H1751" s="48"/>
      <c r="I1751" s="48"/>
    </row>
    <row r="1752" spans="1:9" hidden="1" x14ac:dyDescent="0.2">
      <c r="A1752" s="46"/>
      <c r="B1752" s="46"/>
      <c r="C1752" s="46"/>
      <c r="D1752" s="48"/>
      <c r="E1752" s="48"/>
      <c r="F1752" s="48"/>
      <c r="G1752" s="48"/>
      <c r="H1752" s="48"/>
      <c r="I1752" s="48"/>
    </row>
    <row r="1753" spans="1:9" hidden="1" x14ac:dyDescent="0.2">
      <c r="A1753" s="46"/>
      <c r="B1753" s="46"/>
      <c r="C1753" s="46"/>
      <c r="D1753" s="48"/>
      <c r="E1753" s="48"/>
      <c r="F1753" s="48"/>
      <c r="G1753" s="48"/>
      <c r="H1753" s="48"/>
      <c r="I1753" s="48"/>
    </row>
    <row r="1754" spans="1:9" hidden="1" x14ac:dyDescent="0.2">
      <c r="A1754" s="46"/>
      <c r="B1754" s="46"/>
      <c r="C1754" s="46"/>
      <c r="D1754" s="48"/>
      <c r="E1754" s="48"/>
      <c r="F1754" s="48"/>
      <c r="G1754" s="48"/>
      <c r="H1754" s="48"/>
      <c r="I1754" s="48"/>
    </row>
    <row r="1755" spans="1:9" hidden="1" x14ac:dyDescent="0.2">
      <c r="A1755" s="46"/>
      <c r="B1755" s="46"/>
      <c r="C1755" s="46"/>
      <c r="D1755" s="48"/>
      <c r="E1755" s="48"/>
      <c r="F1755" s="48"/>
      <c r="G1755" s="48"/>
      <c r="H1755" s="48"/>
      <c r="I1755" s="48"/>
    </row>
    <row r="1756" spans="1:9" hidden="1" x14ac:dyDescent="0.2">
      <c r="A1756" s="46"/>
      <c r="B1756" s="46"/>
      <c r="C1756" s="46"/>
      <c r="D1756" s="48"/>
      <c r="E1756" s="48"/>
      <c r="F1756" s="48"/>
      <c r="G1756" s="48"/>
      <c r="H1756" s="48"/>
      <c r="I1756" s="48"/>
    </row>
    <row r="1757" spans="1:9" hidden="1" x14ac:dyDescent="0.2">
      <c r="A1757" s="46"/>
      <c r="B1757" s="46"/>
      <c r="C1757" s="46"/>
      <c r="D1757" s="48"/>
      <c r="E1757" s="48"/>
      <c r="F1757" s="48"/>
      <c r="G1757" s="48"/>
      <c r="H1757" s="48"/>
      <c r="I1757" s="48"/>
    </row>
    <row r="1758" spans="1:9" hidden="1" x14ac:dyDescent="0.2">
      <c r="A1758" s="46"/>
      <c r="B1758" s="46"/>
      <c r="C1758" s="46"/>
      <c r="D1758" s="48"/>
      <c r="E1758" s="48"/>
      <c r="F1758" s="48"/>
      <c r="G1758" s="48"/>
      <c r="H1758" s="48"/>
      <c r="I1758" s="48"/>
    </row>
    <row r="1759" spans="1:9" hidden="1" x14ac:dyDescent="0.2">
      <c r="A1759" s="46"/>
      <c r="B1759" s="46"/>
      <c r="C1759" s="46"/>
      <c r="D1759" s="48"/>
      <c r="E1759" s="48"/>
      <c r="F1759" s="48"/>
      <c r="G1759" s="48"/>
      <c r="H1759" s="48"/>
      <c r="I1759" s="48"/>
    </row>
    <row r="1760" spans="1:9" hidden="1" x14ac:dyDescent="0.2">
      <c r="A1760" s="46"/>
      <c r="B1760" s="46"/>
      <c r="C1760" s="46"/>
      <c r="D1760" s="48"/>
      <c r="E1760" s="48"/>
      <c r="F1760" s="48"/>
      <c r="G1760" s="48"/>
      <c r="H1760" s="48"/>
      <c r="I1760" s="48"/>
    </row>
    <row r="1761" spans="1:9" hidden="1" x14ac:dyDescent="0.2">
      <c r="A1761" s="46"/>
      <c r="B1761" s="46"/>
      <c r="C1761" s="46"/>
      <c r="D1761" s="48"/>
      <c r="E1761" s="48"/>
      <c r="F1761" s="48"/>
      <c r="G1761" s="48"/>
      <c r="H1761" s="48"/>
      <c r="I1761" s="48"/>
    </row>
    <row r="1762" spans="1:9" hidden="1" x14ac:dyDescent="0.2">
      <c r="A1762" s="46"/>
      <c r="B1762" s="46"/>
      <c r="C1762" s="46"/>
      <c r="D1762" s="48"/>
      <c r="E1762" s="48"/>
      <c r="F1762" s="48"/>
      <c r="G1762" s="48"/>
      <c r="H1762" s="48"/>
      <c r="I1762" s="48"/>
    </row>
    <row r="1763" spans="1:9" hidden="1" x14ac:dyDescent="0.2">
      <c r="A1763" s="46"/>
      <c r="B1763" s="46"/>
      <c r="C1763" s="46"/>
      <c r="D1763" s="48"/>
      <c r="E1763" s="48"/>
      <c r="F1763" s="48"/>
      <c r="G1763" s="48"/>
      <c r="H1763" s="48"/>
      <c r="I1763" s="48"/>
    </row>
    <row r="1764" spans="1:9" hidden="1" x14ac:dyDescent="0.2">
      <c r="A1764" s="46"/>
      <c r="B1764" s="46"/>
      <c r="C1764" s="46"/>
      <c r="D1764" s="48"/>
      <c r="E1764" s="48"/>
      <c r="F1764" s="48"/>
      <c r="G1764" s="48"/>
      <c r="H1764" s="48"/>
      <c r="I1764" s="48"/>
    </row>
    <row r="1765" spans="1:9" hidden="1" x14ac:dyDescent="0.2">
      <c r="A1765" s="46"/>
      <c r="B1765" s="46"/>
      <c r="C1765" s="46"/>
      <c r="D1765" s="48"/>
      <c r="E1765" s="48"/>
      <c r="F1765" s="48"/>
      <c r="G1765" s="48"/>
      <c r="H1765" s="48"/>
      <c r="I1765" s="48"/>
    </row>
    <row r="1766" spans="1:9" hidden="1" x14ac:dyDescent="0.2">
      <c r="A1766" s="46"/>
      <c r="B1766" s="46"/>
      <c r="C1766" s="46"/>
      <c r="D1766" s="48"/>
      <c r="E1766" s="48"/>
      <c r="F1766" s="48"/>
      <c r="G1766" s="48"/>
      <c r="H1766" s="48"/>
      <c r="I1766" s="48"/>
    </row>
    <row r="1767" spans="1:9" hidden="1" x14ac:dyDescent="0.2">
      <c r="A1767" s="46"/>
      <c r="B1767" s="46"/>
      <c r="C1767" s="46"/>
      <c r="D1767" s="48"/>
      <c r="E1767" s="48"/>
      <c r="F1767" s="48"/>
      <c r="G1767" s="48"/>
      <c r="H1767" s="48"/>
      <c r="I1767" s="48"/>
    </row>
    <row r="1768" spans="1:9" hidden="1" x14ac:dyDescent="0.2">
      <c r="A1768" s="46"/>
      <c r="B1768" s="46"/>
      <c r="C1768" s="46"/>
      <c r="D1768" s="48"/>
      <c r="E1768" s="48"/>
      <c r="F1768" s="48"/>
      <c r="G1768" s="48"/>
      <c r="H1768" s="48"/>
      <c r="I1768" s="48"/>
    </row>
    <row r="1769" spans="1:9" hidden="1" x14ac:dyDescent="0.2">
      <c r="A1769" s="46"/>
      <c r="B1769" s="46"/>
      <c r="C1769" s="46"/>
      <c r="D1769" s="48"/>
      <c r="E1769" s="48"/>
      <c r="F1769" s="48"/>
      <c r="G1769" s="48"/>
      <c r="H1769" s="48"/>
      <c r="I1769" s="48"/>
    </row>
    <row r="1770" spans="1:9" hidden="1" x14ac:dyDescent="0.2">
      <c r="A1770" s="46"/>
      <c r="B1770" s="46"/>
      <c r="C1770" s="46"/>
      <c r="D1770" s="48"/>
      <c r="E1770" s="48"/>
      <c r="F1770" s="48"/>
      <c r="G1770" s="48"/>
      <c r="H1770" s="48"/>
      <c r="I1770" s="48"/>
    </row>
    <row r="1771" spans="1:9" hidden="1" x14ac:dyDescent="0.2">
      <c r="A1771" s="46"/>
      <c r="B1771" s="46"/>
      <c r="C1771" s="46"/>
      <c r="D1771" s="48"/>
      <c r="E1771" s="48"/>
      <c r="F1771" s="48"/>
      <c r="G1771" s="48"/>
      <c r="H1771" s="48"/>
      <c r="I1771" s="48"/>
    </row>
    <row r="1772" spans="1:9" hidden="1" x14ac:dyDescent="0.2">
      <c r="A1772" s="46"/>
      <c r="B1772" s="46"/>
      <c r="C1772" s="46"/>
      <c r="D1772" s="48"/>
      <c r="E1772" s="48"/>
      <c r="F1772" s="48"/>
      <c r="G1772" s="48"/>
      <c r="H1772" s="48"/>
      <c r="I1772" s="48"/>
    </row>
    <row r="1773" spans="1:9" hidden="1" x14ac:dyDescent="0.2">
      <c r="A1773" s="46"/>
      <c r="B1773" s="46"/>
      <c r="C1773" s="46"/>
      <c r="D1773" s="48"/>
      <c r="E1773" s="48"/>
      <c r="F1773" s="48"/>
      <c r="G1773" s="48"/>
      <c r="H1773" s="48"/>
      <c r="I1773" s="48"/>
    </row>
    <row r="1774" spans="1:9" hidden="1" x14ac:dyDescent="0.2">
      <c r="A1774" s="46"/>
      <c r="B1774" s="46"/>
      <c r="C1774" s="46"/>
      <c r="D1774" s="48"/>
      <c r="E1774" s="48"/>
      <c r="F1774" s="48"/>
      <c r="G1774" s="48"/>
      <c r="H1774" s="48"/>
      <c r="I1774" s="48"/>
    </row>
    <row r="1775" spans="1:9" hidden="1" x14ac:dyDescent="0.2">
      <c r="A1775" s="46"/>
      <c r="B1775" s="46"/>
      <c r="C1775" s="46"/>
      <c r="D1775" s="48"/>
      <c r="E1775" s="48"/>
      <c r="F1775" s="48"/>
      <c r="G1775" s="48"/>
      <c r="H1775" s="48"/>
      <c r="I1775" s="48"/>
    </row>
    <row r="1776" spans="1:9" hidden="1" x14ac:dyDescent="0.2">
      <c r="A1776" s="46"/>
      <c r="B1776" s="46"/>
      <c r="C1776" s="46"/>
      <c r="D1776" s="48"/>
      <c r="E1776" s="48"/>
      <c r="F1776" s="48"/>
      <c r="G1776" s="48"/>
      <c r="H1776" s="48"/>
      <c r="I1776" s="48"/>
    </row>
    <row r="1777" spans="1:9" hidden="1" x14ac:dyDescent="0.2">
      <c r="A1777" s="46"/>
      <c r="B1777" s="46"/>
      <c r="C1777" s="46"/>
      <c r="D1777" s="48"/>
      <c r="E1777" s="48"/>
      <c r="F1777" s="48"/>
      <c r="G1777" s="48"/>
      <c r="H1777" s="48"/>
      <c r="I1777" s="48"/>
    </row>
    <row r="1778" spans="1:9" hidden="1" x14ac:dyDescent="0.2">
      <c r="A1778" s="46"/>
      <c r="B1778" s="46"/>
      <c r="C1778" s="46"/>
      <c r="D1778" s="48"/>
      <c r="E1778" s="48"/>
      <c r="F1778" s="48"/>
      <c r="G1778" s="48"/>
      <c r="H1778" s="48"/>
      <c r="I1778" s="48"/>
    </row>
    <row r="1779" spans="1:9" hidden="1" x14ac:dyDescent="0.2">
      <c r="A1779" s="46"/>
      <c r="B1779" s="46"/>
      <c r="C1779" s="46"/>
      <c r="D1779" s="48"/>
      <c r="E1779" s="48"/>
      <c r="F1779" s="48"/>
      <c r="G1779" s="48"/>
      <c r="H1779" s="48"/>
      <c r="I1779" s="48"/>
    </row>
    <row r="1780" spans="1:9" hidden="1" x14ac:dyDescent="0.2">
      <c r="A1780" s="46"/>
      <c r="B1780" s="46"/>
      <c r="C1780" s="46"/>
      <c r="D1780" s="48"/>
      <c r="E1780" s="48"/>
      <c r="F1780" s="48"/>
      <c r="G1780" s="48"/>
      <c r="H1780" s="48"/>
      <c r="I1780" s="48"/>
    </row>
    <row r="1781" spans="1:9" hidden="1" x14ac:dyDescent="0.2">
      <c r="A1781" s="46"/>
      <c r="B1781" s="46"/>
      <c r="C1781" s="46"/>
      <c r="D1781" s="48"/>
      <c r="E1781" s="48"/>
      <c r="F1781" s="48"/>
      <c r="G1781" s="48"/>
      <c r="H1781" s="48"/>
      <c r="I1781" s="48"/>
    </row>
    <row r="1782" spans="1:9" hidden="1" x14ac:dyDescent="0.2">
      <c r="A1782" s="46"/>
      <c r="B1782" s="46"/>
      <c r="C1782" s="46"/>
      <c r="D1782" s="48"/>
      <c r="E1782" s="48"/>
      <c r="F1782" s="48"/>
      <c r="G1782" s="48"/>
      <c r="H1782" s="48"/>
      <c r="I1782" s="48"/>
    </row>
    <row r="1783" spans="1:9" hidden="1" x14ac:dyDescent="0.2">
      <c r="A1783" s="46"/>
      <c r="B1783" s="46"/>
      <c r="C1783" s="46"/>
      <c r="D1783" s="48"/>
      <c r="E1783" s="48"/>
      <c r="F1783" s="48"/>
      <c r="G1783" s="48"/>
      <c r="H1783" s="48"/>
      <c r="I1783" s="48"/>
    </row>
    <row r="1784" spans="1:9" hidden="1" x14ac:dyDescent="0.2">
      <c r="A1784" s="46"/>
      <c r="B1784" s="46"/>
      <c r="C1784" s="46"/>
      <c r="D1784" s="48"/>
      <c r="E1784" s="48"/>
      <c r="F1784" s="48"/>
      <c r="G1784" s="48"/>
      <c r="H1784" s="48"/>
      <c r="I1784" s="48"/>
    </row>
    <row r="1785" spans="1:9" hidden="1" x14ac:dyDescent="0.2">
      <c r="A1785" s="46"/>
      <c r="B1785" s="46"/>
      <c r="C1785" s="46"/>
      <c r="D1785" s="48"/>
      <c r="E1785" s="48"/>
      <c r="F1785" s="48"/>
      <c r="G1785" s="48"/>
      <c r="H1785" s="48"/>
      <c r="I1785" s="48"/>
    </row>
    <row r="1786" spans="1:9" hidden="1" x14ac:dyDescent="0.2">
      <c r="A1786" s="46"/>
      <c r="B1786" s="46"/>
      <c r="C1786" s="46"/>
      <c r="D1786" s="48"/>
      <c r="E1786" s="48"/>
      <c r="F1786" s="48"/>
      <c r="G1786" s="48"/>
      <c r="H1786" s="48"/>
      <c r="I1786" s="48"/>
    </row>
    <row r="1787" spans="1:9" hidden="1" x14ac:dyDescent="0.2">
      <c r="A1787" s="46"/>
      <c r="B1787" s="46"/>
      <c r="C1787" s="46"/>
      <c r="D1787" s="48"/>
      <c r="E1787" s="48"/>
      <c r="F1787" s="48"/>
      <c r="G1787" s="48"/>
      <c r="H1787" s="48"/>
      <c r="I1787" s="48"/>
    </row>
    <row r="1788" spans="1:9" hidden="1" x14ac:dyDescent="0.2">
      <c r="A1788" s="46"/>
      <c r="B1788" s="46"/>
      <c r="C1788" s="46"/>
      <c r="D1788" s="48"/>
      <c r="E1788" s="48"/>
      <c r="F1788" s="48"/>
      <c r="G1788" s="48"/>
      <c r="H1788" s="48"/>
      <c r="I1788" s="48"/>
    </row>
    <row r="1789" spans="1:9" hidden="1" x14ac:dyDescent="0.2">
      <c r="A1789" s="46"/>
      <c r="B1789" s="46"/>
      <c r="C1789" s="46"/>
      <c r="D1789" s="48"/>
      <c r="E1789" s="48"/>
      <c r="F1789" s="48"/>
      <c r="G1789" s="48"/>
      <c r="H1789" s="48"/>
      <c r="I1789" s="48"/>
    </row>
    <row r="1790" spans="1:9" hidden="1" x14ac:dyDescent="0.2">
      <c r="A1790" s="46"/>
      <c r="B1790" s="46"/>
      <c r="C1790" s="46"/>
      <c r="D1790" s="48"/>
      <c r="E1790" s="48"/>
      <c r="F1790" s="48"/>
      <c r="G1790" s="48"/>
      <c r="H1790" s="48"/>
      <c r="I1790" s="48"/>
    </row>
    <row r="1791" spans="1:9" hidden="1" x14ac:dyDescent="0.2">
      <c r="A1791" s="46"/>
      <c r="B1791" s="46"/>
      <c r="C1791" s="46"/>
      <c r="D1791" s="48"/>
      <c r="E1791" s="48"/>
      <c r="F1791" s="48"/>
      <c r="G1791" s="48"/>
      <c r="H1791" s="48"/>
      <c r="I1791" s="48"/>
    </row>
    <row r="1792" spans="1:9" hidden="1" x14ac:dyDescent="0.2">
      <c r="A1792" s="46"/>
      <c r="B1792" s="46"/>
      <c r="C1792" s="46"/>
      <c r="D1792" s="48"/>
      <c r="E1792" s="48"/>
      <c r="F1792" s="48"/>
      <c r="G1792" s="48"/>
      <c r="H1792" s="48"/>
      <c r="I1792" s="48"/>
    </row>
    <row r="1793" spans="1:9" hidden="1" x14ac:dyDescent="0.2">
      <c r="A1793" s="46"/>
      <c r="B1793" s="46"/>
      <c r="C1793" s="46"/>
      <c r="D1793" s="48"/>
      <c r="E1793" s="48"/>
      <c r="F1793" s="48"/>
      <c r="G1793" s="48"/>
      <c r="H1793" s="48"/>
      <c r="I1793" s="48"/>
    </row>
    <row r="1794" spans="1:9" hidden="1" x14ac:dyDescent="0.2">
      <c r="A1794" s="46"/>
      <c r="B1794" s="46"/>
      <c r="C1794" s="46"/>
      <c r="D1794" s="48"/>
      <c r="E1794" s="48"/>
      <c r="F1794" s="48"/>
      <c r="G1794" s="48"/>
      <c r="H1794" s="48"/>
      <c r="I1794" s="48"/>
    </row>
    <row r="1795" spans="1:9" hidden="1" x14ac:dyDescent="0.2">
      <c r="A1795" s="46"/>
      <c r="B1795" s="46"/>
      <c r="C1795" s="46"/>
      <c r="D1795" s="48"/>
      <c r="E1795" s="48"/>
      <c r="F1795" s="48"/>
      <c r="G1795" s="48"/>
      <c r="H1795" s="48"/>
      <c r="I1795" s="48"/>
    </row>
    <row r="1796" spans="1:9" hidden="1" x14ac:dyDescent="0.2">
      <c r="A1796" s="46"/>
      <c r="B1796" s="46"/>
      <c r="C1796" s="46"/>
      <c r="D1796" s="48"/>
      <c r="E1796" s="48"/>
      <c r="F1796" s="48"/>
      <c r="G1796" s="48"/>
      <c r="H1796" s="48"/>
      <c r="I1796" s="48"/>
    </row>
    <row r="1797" spans="1:9" hidden="1" x14ac:dyDescent="0.2">
      <c r="A1797" s="46"/>
      <c r="B1797" s="46"/>
      <c r="C1797" s="46"/>
      <c r="D1797" s="48"/>
      <c r="E1797" s="48"/>
      <c r="F1797" s="48"/>
      <c r="G1797" s="48"/>
      <c r="H1797" s="48"/>
      <c r="I1797" s="48"/>
    </row>
    <row r="1798" spans="1:9" hidden="1" x14ac:dyDescent="0.2">
      <c r="A1798" s="46"/>
      <c r="B1798" s="46"/>
      <c r="C1798" s="46"/>
      <c r="D1798" s="48"/>
      <c r="E1798" s="48"/>
      <c r="F1798" s="48"/>
      <c r="G1798" s="48"/>
      <c r="H1798" s="48"/>
      <c r="I1798" s="48"/>
    </row>
    <row r="1799" spans="1:9" hidden="1" x14ac:dyDescent="0.2">
      <c r="A1799" s="46"/>
      <c r="B1799" s="46"/>
      <c r="C1799" s="46"/>
      <c r="D1799" s="48"/>
      <c r="E1799" s="48"/>
      <c r="F1799" s="48"/>
      <c r="G1799" s="48"/>
      <c r="H1799" s="48"/>
      <c r="I1799" s="48"/>
    </row>
    <row r="1800" spans="1:9" hidden="1" x14ac:dyDescent="0.2">
      <c r="A1800" s="46"/>
      <c r="B1800" s="46"/>
      <c r="C1800" s="46"/>
      <c r="D1800" s="48"/>
      <c r="E1800" s="48"/>
      <c r="F1800" s="48"/>
      <c r="G1800" s="48"/>
      <c r="H1800" s="48"/>
      <c r="I1800" s="48"/>
    </row>
    <row r="1801" spans="1:9" hidden="1" x14ac:dyDescent="0.2">
      <c r="A1801" s="46"/>
      <c r="B1801" s="46"/>
      <c r="C1801" s="46"/>
      <c r="D1801" s="48"/>
      <c r="E1801" s="48"/>
      <c r="F1801" s="48"/>
      <c r="G1801" s="48"/>
      <c r="H1801" s="48"/>
      <c r="I1801" s="48"/>
    </row>
    <row r="1802" spans="1:9" hidden="1" x14ac:dyDescent="0.2">
      <c r="A1802" s="46"/>
      <c r="B1802" s="46"/>
      <c r="C1802" s="46"/>
      <c r="D1802" s="48"/>
      <c r="E1802" s="48"/>
      <c r="F1802" s="48"/>
      <c r="G1802" s="48"/>
      <c r="H1802" s="48"/>
      <c r="I1802" s="48"/>
    </row>
    <row r="1803" spans="1:9" hidden="1" x14ac:dyDescent="0.2">
      <c r="A1803" s="46"/>
      <c r="B1803" s="46"/>
      <c r="C1803" s="46"/>
      <c r="D1803" s="48"/>
      <c r="E1803" s="48"/>
      <c r="F1803" s="48"/>
      <c r="G1803" s="48"/>
      <c r="H1803" s="48"/>
      <c r="I1803" s="48"/>
    </row>
    <row r="1804" spans="1:9" hidden="1" x14ac:dyDescent="0.2">
      <c r="A1804" s="46"/>
      <c r="B1804" s="46"/>
      <c r="C1804" s="46"/>
      <c r="D1804" s="48"/>
      <c r="E1804" s="48"/>
      <c r="F1804" s="48"/>
      <c r="G1804" s="48"/>
      <c r="H1804" s="48"/>
      <c r="I1804" s="48"/>
    </row>
    <row r="1805" spans="1:9" hidden="1" x14ac:dyDescent="0.2">
      <c r="A1805" s="46"/>
      <c r="B1805" s="46"/>
      <c r="C1805" s="46"/>
      <c r="D1805" s="48"/>
      <c r="E1805" s="48"/>
      <c r="F1805" s="48"/>
      <c r="G1805" s="48"/>
      <c r="H1805" s="48"/>
      <c r="I1805" s="48"/>
    </row>
    <row r="1806" spans="1:9" hidden="1" x14ac:dyDescent="0.2">
      <c r="A1806" s="46"/>
      <c r="B1806" s="46"/>
      <c r="C1806" s="46"/>
      <c r="D1806" s="48"/>
      <c r="E1806" s="48"/>
      <c r="F1806" s="48"/>
      <c r="G1806" s="48"/>
      <c r="H1806" s="48"/>
      <c r="I1806" s="48"/>
    </row>
    <row r="1807" spans="1:9" hidden="1" x14ac:dyDescent="0.2">
      <c r="A1807" s="46"/>
      <c r="B1807" s="46"/>
      <c r="C1807" s="46"/>
      <c r="D1807" s="48"/>
      <c r="E1807" s="48"/>
      <c r="F1807" s="48"/>
      <c r="G1807" s="48"/>
      <c r="H1807" s="48"/>
      <c r="I1807" s="48"/>
    </row>
    <row r="1808" spans="1:9" hidden="1" x14ac:dyDescent="0.2">
      <c r="A1808" s="46"/>
      <c r="B1808" s="46"/>
      <c r="C1808" s="46"/>
      <c r="D1808" s="48"/>
      <c r="E1808" s="48"/>
      <c r="F1808" s="48"/>
      <c r="G1808" s="48"/>
      <c r="H1808" s="48"/>
      <c r="I1808" s="48"/>
    </row>
    <row r="1809" spans="1:9" hidden="1" x14ac:dyDescent="0.2">
      <c r="A1809" s="46"/>
      <c r="B1809" s="46"/>
      <c r="C1809" s="46"/>
      <c r="D1809" s="48"/>
      <c r="E1809" s="48"/>
      <c r="F1809" s="48"/>
      <c r="G1809" s="48"/>
      <c r="H1809" s="48"/>
      <c r="I1809" s="48"/>
    </row>
    <row r="1810" spans="1:9" hidden="1" x14ac:dyDescent="0.2">
      <c r="A1810" s="46"/>
      <c r="B1810" s="46"/>
      <c r="C1810" s="46"/>
      <c r="D1810" s="48"/>
      <c r="E1810" s="48"/>
      <c r="F1810" s="48"/>
      <c r="G1810" s="48"/>
      <c r="H1810" s="48"/>
      <c r="I1810" s="48"/>
    </row>
    <row r="1811" spans="1:9" hidden="1" x14ac:dyDescent="0.2">
      <c r="A1811" s="46"/>
      <c r="B1811" s="46"/>
      <c r="C1811" s="46"/>
      <c r="D1811" s="48"/>
      <c r="E1811" s="48"/>
      <c r="F1811" s="48"/>
      <c r="G1811" s="48"/>
      <c r="H1811" s="48"/>
      <c r="I1811" s="48"/>
    </row>
    <row r="1812" spans="1:9" hidden="1" x14ac:dyDescent="0.2">
      <c r="A1812" s="46"/>
      <c r="B1812" s="46"/>
      <c r="C1812" s="46"/>
      <c r="D1812" s="48"/>
      <c r="E1812" s="48"/>
      <c r="F1812" s="48"/>
      <c r="G1812" s="48"/>
      <c r="H1812" s="48"/>
      <c r="I1812" s="48"/>
    </row>
    <row r="1813" spans="1:9" hidden="1" x14ac:dyDescent="0.2">
      <c r="A1813" s="46"/>
      <c r="B1813" s="46"/>
      <c r="C1813" s="46"/>
      <c r="D1813" s="48"/>
      <c r="E1813" s="48"/>
      <c r="F1813" s="48"/>
      <c r="G1813" s="48"/>
      <c r="H1813" s="48"/>
      <c r="I1813" s="48"/>
    </row>
    <row r="1814" spans="1:9" hidden="1" x14ac:dyDescent="0.2">
      <c r="A1814" s="46"/>
      <c r="B1814" s="46"/>
      <c r="C1814" s="46"/>
      <c r="D1814" s="48"/>
      <c r="E1814" s="48"/>
      <c r="F1814" s="48"/>
      <c r="G1814" s="48"/>
      <c r="H1814" s="48"/>
      <c r="I1814" s="48"/>
    </row>
    <row r="1815" spans="1:9" hidden="1" x14ac:dyDescent="0.2">
      <c r="A1815" s="46"/>
      <c r="B1815" s="46"/>
      <c r="C1815" s="46"/>
      <c r="D1815" s="48"/>
      <c r="E1815" s="48"/>
      <c r="F1815" s="48"/>
      <c r="G1815" s="48"/>
      <c r="H1815" s="48"/>
      <c r="I1815" s="48"/>
    </row>
    <row r="1816" spans="1:9" hidden="1" x14ac:dyDescent="0.2">
      <c r="A1816" s="46"/>
      <c r="B1816" s="46"/>
      <c r="C1816" s="46"/>
      <c r="D1816" s="48"/>
      <c r="E1816" s="48"/>
      <c r="F1816" s="48"/>
      <c r="G1816" s="48"/>
      <c r="H1816" s="48"/>
      <c r="I1816" s="48"/>
    </row>
    <row r="1817" spans="1:9" hidden="1" x14ac:dyDescent="0.2">
      <c r="A1817" s="46"/>
      <c r="B1817" s="46"/>
      <c r="C1817" s="46"/>
      <c r="D1817" s="48"/>
      <c r="E1817" s="48"/>
      <c r="F1817" s="48"/>
      <c r="G1817" s="48"/>
      <c r="H1817" s="48"/>
      <c r="I1817" s="48"/>
    </row>
    <row r="1818" spans="1:9" hidden="1" x14ac:dyDescent="0.2">
      <c r="A1818" s="46"/>
      <c r="B1818" s="46"/>
      <c r="C1818" s="46"/>
      <c r="D1818" s="48"/>
      <c r="E1818" s="48"/>
      <c r="F1818" s="48"/>
      <c r="G1818" s="48"/>
      <c r="H1818" s="48"/>
      <c r="I1818" s="48"/>
    </row>
    <row r="1819" spans="1:9" hidden="1" x14ac:dyDescent="0.2">
      <c r="A1819" s="46"/>
      <c r="B1819" s="46"/>
      <c r="C1819" s="46"/>
      <c r="D1819" s="48"/>
      <c r="E1819" s="48"/>
      <c r="F1819" s="48"/>
      <c r="G1819" s="48"/>
      <c r="H1819" s="48"/>
      <c r="I1819" s="48"/>
    </row>
    <row r="1820" spans="1:9" hidden="1" x14ac:dyDescent="0.2">
      <c r="A1820" s="46"/>
      <c r="B1820" s="46"/>
      <c r="C1820" s="46"/>
      <c r="D1820" s="48"/>
      <c r="E1820" s="48"/>
      <c r="F1820" s="48"/>
      <c r="G1820" s="48"/>
      <c r="H1820" s="48"/>
      <c r="I1820" s="48"/>
    </row>
    <row r="1821" spans="1:9" hidden="1" x14ac:dyDescent="0.2">
      <c r="A1821" s="46"/>
      <c r="B1821" s="46"/>
      <c r="C1821" s="46"/>
      <c r="D1821" s="48"/>
      <c r="E1821" s="48"/>
      <c r="F1821" s="48"/>
      <c r="G1821" s="48"/>
      <c r="H1821" s="48"/>
      <c r="I1821" s="48"/>
    </row>
    <row r="1822" spans="1:9" hidden="1" x14ac:dyDescent="0.2">
      <c r="A1822" s="46"/>
      <c r="B1822" s="46"/>
      <c r="C1822" s="46"/>
      <c r="D1822" s="48"/>
      <c r="E1822" s="48"/>
      <c r="F1822" s="48"/>
      <c r="G1822" s="48"/>
      <c r="H1822" s="48"/>
      <c r="I1822" s="48"/>
    </row>
    <row r="1823" spans="1:9" hidden="1" x14ac:dyDescent="0.2">
      <c r="A1823" s="46"/>
      <c r="B1823" s="46"/>
      <c r="C1823" s="46"/>
      <c r="D1823" s="48"/>
      <c r="E1823" s="48"/>
      <c r="F1823" s="48"/>
      <c r="G1823" s="48"/>
      <c r="H1823" s="48"/>
      <c r="I1823" s="48"/>
    </row>
    <row r="1824" spans="1:9" hidden="1" x14ac:dyDescent="0.2">
      <c r="A1824" s="46"/>
      <c r="B1824" s="46"/>
      <c r="C1824" s="46"/>
      <c r="D1824" s="48"/>
      <c r="E1824" s="48"/>
      <c r="F1824" s="48"/>
      <c r="G1824" s="48"/>
      <c r="H1824" s="48"/>
      <c r="I1824" s="48"/>
    </row>
    <row r="1825" spans="1:9" hidden="1" x14ac:dyDescent="0.2">
      <c r="A1825" s="46"/>
      <c r="B1825" s="46"/>
      <c r="C1825" s="46"/>
      <c r="D1825" s="48"/>
      <c r="E1825" s="48"/>
      <c r="F1825" s="48"/>
      <c r="G1825" s="48"/>
      <c r="H1825" s="48"/>
      <c r="I1825" s="48"/>
    </row>
    <row r="1826" spans="1:9" hidden="1" x14ac:dyDescent="0.2">
      <c r="A1826" s="46"/>
      <c r="B1826" s="46"/>
      <c r="C1826" s="46"/>
      <c r="D1826" s="48"/>
      <c r="E1826" s="48"/>
      <c r="F1826" s="48"/>
      <c r="G1826" s="48"/>
      <c r="H1826" s="48"/>
      <c r="I1826" s="48"/>
    </row>
    <row r="1827" spans="1:9" hidden="1" x14ac:dyDescent="0.2">
      <c r="A1827" s="46"/>
      <c r="B1827" s="46"/>
      <c r="C1827" s="46"/>
      <c r="D1827" s="48"/>
      <c r="E1827" s="48"/>
      <c r="F1827" s="48"/>
      <c r="G1827" s="48"/>
      <c r="H1827" s="48"/>
      <c r="I1827" s="48"/>
    </row>
    <row r="1828" spans="1:9" hidden="1" x14ac:dyDescent="0.2">
      <c r="A1828" s="46"/>
      <c r="B1828" s="46"/>
      <c r="C1828" s="46"/>
      <c r="D1828" s="48"/>
      <c r="E1828" s="48"/>
      <c r="F1828" s="48"/>
      <c r="G1828" s="48"/>
      <c r="H1828" s="48"/>
      <c r="I1828" s="48"/>
    </row>
    <row r="1829" spans="1:9" hidden="1" x14ac:dyDescent="0.2">
      <c r="A1829" s="46"/>
      <c r="B1829" s="46"/>
      <c r="C1829" s="46"/>
      <c r="D1829" s="48"/>
      <c r="E1829" s="48"/>
      <c r="F1829" s="48"/>
      <c r="G1829" s="48"/>
      <c r="H1829" s="48"/>
      <c r="I1829" s="48"/>
    </row>
    <row r="1830" spans="1:9" hidden="1" x14ac:dyDescent="0.2">
      <c r="A1830" s="46"/>
      <c r="B1830" s="46"/>
      <c r="C1830" s="46"/>
      <c r="D1830" s="48"/>
      <c r="E1830" s="48"/>
      <c r="F1830" s="48"/>
      <c r="G1830" s="48"/>
      <c r="H1830" s="48"/>
      <c r="I1830" s="48"/>
    </row>
    <row r="1831" spans="1:9" hidden="1" x14ac:dyDescent="0.2">
      <c r="A1831" s="46"/>
      <c r="B1831" s="46"/>
      <c r="C1831" s="46"/>
      <c r="D1831" s="48"/>
      <c r="E1831" s="48"/>
      <c r="F1831" s="48"/>
      <c r="G1831" s="48"/>
      <c r="H1831" s="48"/>
      <c r="I1831" s="48"/>
    </row>
    <row r="1832" spans="1:9" hidden="1" x14ac:dyDescent="0.2">
      <c r="A1832" s="46"/>
      <c r="B1832" s="46"/>
      <c r="C1832" s="46"/>
      <c r="D1832" s="48"/>
      <c r="E1832" s="48"/>
      <c r="F1832" s="48"/>
      <c r="G1832" s="48"/>
      <c r="H1832" s="48"/>
      <c r="I1832" s="48"/>
    </row>
    <row r="1833" spans="1:9" hidden="1" x14ac:dyDescent="0.2">
      <c r="A1833" s="46"/>
      <c r="B1833" s="46"/>
      <c r="C1833" s="46"/>
      <c r="D1833" s="48"/>
      <c r="E1833" s="48"/>
      <c r="F1833" s="48"/>
      <c r="G1833" s="48"/>
      <c r="H1833" s="48"/>
      <c r="I1833" s="48"/>
    </row>
    <row r="1834" spans="1:9" hidden="1" x14ac:dyDescent="0.2">
      <c r="A1834" s="46"/>
      <c r="B1834" s="46"/>
      <c r="C1834" s="46"/>
      <c r="D1834" s="48"/>
      <c r="E1834" s="48"/>
      <c r="F1834" s="48"/>
      <c r="G1834" s="48"/>
      <c r="H1834" s="48"/>
      <c r="I1834" s="48"/>
    </row>
    <row r="1835" spans="1:9" hidden="1" x14ac:dyDescent="0.2">
      <c r="A1835" s="46"/>
      <c r="B1835" s="46"/>
      <c r="C1835" s="46"/>
      <c r="D1835" s="48"/>
      <c r="E1835" s="48"/>
      <c r="F1835" s="48"/>
      <c r="G1835" s="48"/>
      <c r="H1835" s="48"/>
      <c r="I1835" s="48"/>
    </row>
    <row r="1836" spans="1:9" hidden="1" x14ac:dyDescent="0.2">
      <c r="A1836" s="46"/>
      <c r="B1836" s="46"/>
      <c r="C1836" s="46"/>
      <c r="D1836" s="48"/>
      <c r="E1836" s="48"/>
      <c r="F1836" s="48"/>
      <c r="G1836" s="48"/>
      <c r="H1836" s="48"/>
      <c r="I1836" s="48"/>
    </row>
    <row r="1837" spans="1:9" hidden="1" x14ac:dyDescent="0.2">
      <c r="A1837" s="46"/>
      <c r="B1837" s="46"/>
      <c r="C1837" s="46"/>
      <c r="D1837" s="48"/>
      <c r="E1837" s="48"/>
      <c r="F1837" s="48"/>
      <c r="G1837" s="48"/>
      <c r="H1837" s="48"/>
      <c r="I1837" s="48"/>
    </row>
    <row r="1838" spans="1:9" hidden="1" x14ac:dyDescent="0.2">
      <c r="A1838" s="46"/>
      <c r="B1838" s="46"/>
      <c r="C1838" s="46"/>
      <c r="D1838" s="48"/>
      <c r="E1838" s="48"/>
      <c r="F1838" s="48"/>
      <c r="G1838" s="48"/>
      <c r="H1838" s="48"/>
      <c r="I1838" s="48"/>
    </row>
    <row r="1839" spans="1:9" hidden="1" x14ac:dyDescent="0.2">
      <c r="A1839" s="46"/>
      <c r="B1839" s="46"/>
      <c r="C1839" s="46"/>
      <c r="D1839" s="48"/>
      <c r="E1839" s="48"/>
      <c r="F1839" s="48"/>
      <c r="G1839" s="48"/>
      <c r="H1839" s="48"/>
      <c r="I1839" s="48"/>
    </row>
    <row r="1840" spans="1:9" hidden="1" x14ac:dyDescent="0.2">
      <c r="A1840" s="46"/>
      <c r="B1840" s="46"/>
      <c r="C1840" s="46"/>
      <c r="D1840" s="48"/>
      <c r="E1840" s="48"/>
      <c r="F1840" s="48"/>
      <c r="G1840" s="48"/>
      <c r="H1840" s="48"/>
      <c r="I1840" s="48"/>
    </row>
    <row r="1841" spans="1:9" hidden="1" x14ac:dyDescent="0.2">
      <c r="A1841" s="46"/>
      <c r="B1841" s="46"/>
      <c r="C1841" s="46"/>
      <c r="D1841" s="48"/>
      <c r="E1841" s="48"/>
      <c r="F1841" s="48"/>
      <c r="G1841" s="48"/>
      <c r="H1841" s="48"/>
      <c r="I1841" s="48"/>
    </row>
    <row r="1842" spans="1:9" hidden="1" x14ac:dyDescent="0.2">
      <c r="A1842" s="46"/>
      <c r="B1842" s="46"/>
      <c r="C1842" s="46"/>
      <c r="D1842" s="48"/>
      <c r="E1842" s="48"/>
      <c r="F1842" s="48"/>
      <c r="G1842" s="48"/>
      <c r="H1842" s="48"/>
      <c r="I1842" s="48"/>
    </row>
    <row r="1843" spans="1:9" hidden="1" x14ac:dyDescent="0.2">
      <c r="A1843" s="46"/>
      <c r="B1843" s="46"/>
      <c r="C1843" s="46"/>
      <c r="D1843" s="48"/>
      <c r="E1843" s="48"/>
      <c r="F1843" s="48"/>
      <c r="G1843" s="48"/>
      <c r="H1843" s="48"/>
      <c r="I1843" s="48"/>
    </row>
    <row r="1844" spans="1:9" hidden="1" x14ac:dyDescent="0.2">
      <c r="A1844" s="46"/>
      <c r="B1844" s="46"/>
      <c r="C1844" s="46"/>
      <c r="D1844" s="48"/>
      <c r="E1844" s="48"/>
      <c r="F1844" s="48"/>
      <c r="G1844" s="48"/>
      <c r="H1844" s="48"/>
      <c r="I1844" s="48"/>
    </row>
    <row r="1845" spans="1:9" hidden="1" x14ac:dyDescent="0.2">
      <c r="A1845" s="46"/>
      <c r="B1845" s="46"/>
      <c r="C1845" s="46"/>
      <c r="D1845" s="48"/>
      <c r="E1845" s="48"/>
      <c r="F1845" s="48"/>
      <c r="G1845" s="48"/>
      <c r="H1845" s="48"/>
      <c r="I1845" s="48"/>
    </row>
    <row r="1846" spans="1:9" hidden="1" x14ac:dyDescent="0.2">
      <c r="A1846" s="46"/>
      <c r="B1846" s="46"/>
      <c r="C1846" s="46"/>
      <c r="D1846" s="48"/>
      <c r="E1846" s="48"/>
      <c r="F1846" s="48"/>
      <c r="G1846" s="48"/>
      <c r="H1846" s="48"/>
      <c r="I1846" s="48"/>
    </row>
    <row r="1847" spans="1:9" hidden="1" x14ac:dyDescent="0.2">
      <c r="A1847" s="46"/>
      <c r="B1847" s="46"/>
      <c r="C1847" s="46"/>
      <c r="D1847" s="48"/>
      <c r="E1847" s="48"/>
      <c r="F1847" s="48"/>
      <c r="G1847" s="48"/>
      <c r="H1847" s="48"/>
      <c r="I1847" s="48"/>
    </row>
    <row r="1848" spans="1:9" hidden="1" x14ac:dyDescent="0.2">
      <c r="A1848" s="46"/>
      <c r="B1848" s="46"/>
      <c r="C1848" s="46"/>
      <c r="D1848" s="48"/>
      <c r="E1848" s="48"/>
      <c r="F1848" s="48"/>
      <c r="G1848" s="48"/>
      <c r="H1848" s="48"/>
      <c r="I1848" s="48"/>
    </row>
    <row r="1849" spans="1:9" hidden="1" x14ac:dyDescent="0.2">
      <c r="A1849" s="46"/>
      <c r="B1849" s="46"/>
      <c r="C1849" s="46"/>
      <c r="D1849" s="48"/>
      <c r="E1849" s="48"/>
      <c r="F1849" s="48"/>
      <c r="G1849" s="48"/>
      <c r="H1849" s="48"/>
      <c r="I1849" s="48"/>
    </row>
    <row r="1850" spans="1:9" hidden="1" x14ac:dyDescent="0.2">
      <c r="A1850" s="46"/>
      <c r="B1850" s="46"/>
      <c r="C1850" s="46"/>
      <c r="D1850" s="48"/>
      <c r="E1850" s="48"/>
      <c r="F1850" s="48"/>
      <c r="G1850" s="48"/>
      <c r="H1850" s="48"/>
      <c r="I1850" s="48"/>
    </row>
    <row r="1851" spans="1:9" hidden="1" x14ac:dyDescent="0.2">
      <c r="A1851" s="46"/>
      <c r="B1851" s="46"/>
      <c r="C1851" s="46"/>
      <c r="D1851" s="48"/>
      <c r="E1851" s="48"/>
      <c r="F1851" s="48"/>
      <c r="G1851" s="48"/>
      <c r="H1851" s="48"/>
      <c r="I1851" s="48"/>
    </row>
    <row r="1852" spans="1:9" hidden="1" x14ac:dyDescent="0.2">
      <c r="A1852" s="46"/>
      <c r="B1852" s="46"/>
      <c r="C1852" s="46"/>
      <c r="D1852" s="48"/>
      <c r="E1852" s="48"/>
      <c r="F1852" s="48"/>
      <c r="G1852" s="48"/>
      <c r="H1852" s="48"/>
      <c r="I1852" s="48"/>
    </row>
    <row r="1853" spans="1:9" hidden="1" x14ac:dyDescent="0.2">
      <c r="A1853" s="46"/>
      <c r="B1853" s="46"/>
      <c r="C1853" s="46"/>
      <c r="D1853" s="48"/>
      <c r="E1853" s="48"/>
      <c r="F1853" s="48"/>
      <c r="G1853" s="48"/>
      <c r="H1853" s="48"/>
      <c r="I1853" s="48"/>
    </row>
    <row r="1854" spans="1:9" hidden="1" x14ac:dyDescent="0.2">
      <c r="A1854" s="46"/>
      <c r="B1854" s="46"/>
      <c r="C1854" s="46"/>
      <c r="D1854" s="48"/>
      <c r="E1854" s="48"/>
      <c r="F1854" s="48"/>
      <c r="G1854" s="48"/>
      <c r="H1854" s="48"/>
      <c r="I1854" s="48"/>
    </row>
    <row r="1855" spans="1:9" hidden="1" x14ac:dyDescent="0.2">
      <c r="A1855" s="46"/>
      <c r="B1855" s="46"/>
      <c r="C1855" s="46"/>
      <c r="D1855" s="48"/>
      <c r="E1855" s="48"/>
      <c r="F1855" s="48"/>
      <c r="G1855" s="48"/>
      <c r="H1855" s="48"/>
      <c r="I1855" s="48"/>
    </row>
    <row r="1856" spans="1:9" hidden="1" x14ac:dyDescent="0.2">
      <c r="A1856" s="46"/>
      <c r="B1856" s="46"/>
      <c r="C1856" s="46"/>
      <c r="D1856" s="48"/>
      <c r="E1856" s="48"/>
      <c r="F1856" s="48"/>
      <c r="G1856" s="48"/>
      <c r="H1856" s="48"/>
      <c r="I1856" s="48"/>
    </row>
    <row r="1857" spans="1:9" hidden="1" x14ac:dyDescent="0.2">
      <c r="A1857" s="46"/>
      <c r="B1857" s="46"/>
      <c r="C1857" s="46"/>
      <c r="D1857" s="48"/>
      <c r="E1857" s="48"/>
      <c r="F1857" s="48"/>
      <c r="G1857" s="48"/>
      <c r="H1857" s="48"/>
      <c r="I1857" s="48"/>
    </row>
    <row r="1858" spans="1:9" hidden="1" x14ac:dyDescent="0.2">
      <c r="A1858" s="46"/>
      <c r="B1858" s="46"/>
      <c r="C1858" s="46"/>
      <c r="D1858" s="48"/>
      <c r="E1858" s="48"/>
      <c r="F1858" s="48"/>
      <c r="G1858" s="48"/>
      <c r="H1858" s="48"/>
      <c r="I1858" s="48"/>
    </row>
    <row r="1859" spans="1:9" hidden="1" x14ac:dyDescent="0.2">
      <c r="A1859" s="46"/>
      <c r="B1859" s="46"/>
      <c r="C1859" s="46"/>
      <c r="D1859" s="48"/>
      <c r="E1859" s="48"/>
      <c r="F1859" s="48"/>
      <c r="G1859" s="48"/>
      <c r="H1859" s="48"/>
      <c r="I1859" s="48"/>
    </row>
    <row r="1860" spans="1:9" hidden="1" x14ac:dyDescent="0.2">
      <c r="A1860" s="46"/>
      <c r="B1860" s="46"/>
      <c r="C1860" s="46"/>
      <c r="D1860" s="48"/>
      <c r="E1860" s="48"/>
      <c r="F1860" s="48"/>
      <c r="G1860" s="48"/>
      <c r="H1860" s="48"/>
      <c r="I1860" s="48"/>
    </row>
    <row r="1861" spans="1:9" hidden="1" x14ac:dyDescent="0.2">
      <c r="A1861" s="46"/>
      <c r="B1861" s="46"/>
      <c r="C1861" s="46"/>
      <c r="D1861" s="48"/>
      <c r="E1861" s="48"/>
      <c r="F1861" s="48"/>
      <c r="G1861" s="48"/>
      <c r="H1861" s="48"/>
      <c r="I1861" s="48"/>
    </row>
    <row r="1862" spans="1:9" hidden="1" x14ac:dyDescent="0.2">
      <c r="A1862" s="46"/>
      <c r="B1862" s="46"/>
      <c r="C1862" s="46"/>
      <c r="D1862" s="48"/>
      <c r="E1862" s="48"/>
      <c r="F1862" s="48"/>
      <c r="G1862" s="48"/>
      <c r="H1862" s="48"/>
      <c r="I1862" s="48"/>
    </row>
    <row r="1863" spans="1:9" hidden="1" x14ac:dyDescent="0.2">
      <c r="A1863" s="46"/>
      <c r="B1863" s="46"/>
      <c r="C1863" s="46"/>
      <c r="D1863" s="48"/>
      <c r="E1863" s="48"/>
      <c r="F1863" s="48"/>
      <c r="G1863" s="48"/>
      <c r="H1863" s="48"/>
      <c r="I1863" s="48"/>
    </row>
    <row r="1864" spans="1:9" hidden="1" x14ac:dyDescent="0.2">
      <c r="A1864" s="46"/>
      <c r="B1864" s="46"/>
      <c r="C1864" s="46"/>
      <c r="D1864" s="48"/>
      <c r="E1864" s="48"/>
      <c r="F1864" s="48"/>
      <c r="G1864" s="48"/>
      <c r="H1864" s="48"/>
      <c r="I1864" s="48"/>
    </row>
    <row r="1865" spans="1:9" hidden="1" x14ac:dyDescent="0.2">
      <c r="A1865" s="46"/>
      <c r="B1865" s="46"/>
      <c r="C1865" s="46"/>
      <c r="D1865" s="48"/>
      <c r="E1865" s="48"/>
      <c r="F1865" s="48"/>
      <c r="G1865" s="48"/>
      <c r="H1865" s="48"/>
      <c r="I1865" s="48"/>
    </row>
    <row r="1866" spans="1:9" hidden="1" x14ac:dyDescent="0.2">
      <c r="A1866" s="46"/>
      <c r="B1866" s="46"/>
      <c r="C1866" s="46"/>
      <c r="D1866" s="48"/>
      <c r="E1866" s="48"/>
      <c r="F1866" s="48"/>
      <c r="G1866" s="48"/>
      <c r="H1866" s="48"/>
      <c r="I1866" s="48"/>
    </row>
    <row r="1867" spans="1:9" hidden="1" x14ac:dyDescent="0.2">
      <c r="A1867" s="46"/>
      <c r="B1867" s="46"/>
      <c r="C1867" s="46"/>
      <c r="D1867" s="48"/>
      <c r="E1867" s="48"/>
      <c r="F1867" s="48"/>
      <c r="G1867" s="48"/>
      <c r="H1867" s="48"/>
      <c r="I1867" s="48"/>
    </row>
    <row r="1868" spans="1:9" hidden="1" x14ac:dyDescent="0.2">
      <c r="A1868" s="46"/>
      <c r="B1868" s="46"/>
      <c r="C1868" s="46"/>
      <c r="D1868" s="48"/>
      <c r="E1868" s="48"/>
      <c r="F1868" s="48"/>
      <c r="G1868" s="48"/>
      <c r="H1868" s="48"/>
      <c r="I1868" s="48"/>
    </row>
    <row r="1869" spans="1:9" hidden="1" x14ac:dyDescent="0.2">
      <c r="A1869" s="46"/>
      <c r="B1869" s="46"/>
      <c r="C1869" s="46"/>
      <c r="D1869" s="48"/>
      <c r="E1869" s="48"/>
      <c r="F1869" s="48"/>
      <c r="G1869" s="48"/>
      <c r="H1869" s="48"/>
      <c r="I1869" s="48"/>
    </row>
    <row r="1870" spans="1:9" hidden="1" x14ac:dyDescent="0.2">
      <c r="A1870" s="46"/>
      <c r="B1870" s="46"/>
      <c r="C1870" s="46"/>
      <c r="D1870" s="48"/>
      <c r="E1870" s="48"/>
      <c r="F1870" s="48"/>
      <c r="G1870" s="48"/>
      <c r="H1870" s="48"/>
      <c r="I1870" s="48"/>
    </row>
    <row r="1871" spans="1:9" hidden="1" x14ac:dyDescent="0.2">
      <c r="A1871" s="46"/>
      <c r="B1871" s="46"/>
      <c r="C1871" s="46"/>
      <c r="D1871" s="48"/>
      <c r="E1871" s="48"/>
      <c r="F1871" s="48"/>
      <c r="G1871" s="48"/>
      <c r="H1871" s="48"/>
      <c r="I1871" s="48"/>
    </row>
    <row r="1872" spans="1:9" hidden="1" x14ac:dyDescent="0.2">
      <c r="A1872" s="46"/>
      <c r="B1872" s="46"/>
      <c r="C1872" s="46"/>
      <c r="D1872" s="48"/>
      <c r="E1872" s="48"/>
      <c r="F1872" s="48"/>
      <c r="G1872" s="48"/>
      <c r="H1872" s="48"/>
      <c r="I1872" s="48"/>
    </row>
    <row r="1873" spans="1:9" hidden="1" x14ac:dyDescent="0.2">
      <c r="A1873" s="46"/>
      <c r="B1873" s="46"/>
      <c r="C1873" s="46"/>
      <c r="D1873" s="48"/>
      <c r="E1873" s="48"/>
      <c r="F1873" s="48"/>
      <c r="G1873" s="48"/>
      <c r="H1873" s="48"/>
      <c r="I1873" s="48"/>
    </row>
    <row r="1874" spans="1:9" hidden="1" x14ac:dyDescent="0.2">
      <c r="A1874" s="46"/>
      <c r="B1874" s="46"/>
      <c r="C1874" s="46"/>
      <c r="D1874" s="48"/>
      <c r="E1874" s="48"/>
      <c r="F1874" s="48"/>
      <c r="G1874" s="48"/>
      <c r="H1874" s="48"/>
      <c r="I1874" s="48"/>
    </row>
    <row r="1875" spans="1:9" hidden="1" x14ac:dyDescent="0.2">
      <c r="A1875" s="46"/>
      <c r="B1875" s="46"/>
      <c r="C1875" s="46"/>
      <c r="D1875" s="48"/>
      <c r="E1875" s="48"/>
      <c r="F1875" s="48"/>
      <c r="G1875" s="48"/>
      <c r="H1875" s="48"/>
      <c r="I1875" s="48"/>
    </row>
    <row r="1876" spans="1:9" hidden="1" x14ac:dyDescent="0.2">
      <c r="A1876" s="46"/>
      <c r="B1876" s="46"/>
      <c r="C1876" s="46"/>
      <c r="D1876" s="48"/>
      <c r="E1876" s="48"/>
      <c r="F1876" s="48"/>
      <c r="G1876" s="48"/>
      <c r="H1876" s="48"/>
      <c r="I1876" s="48"/>
    </row>
    <row r="1877" spans="1:9" hidden="1" x14ac:dyDescent="0.2">
      <c r="A1877" s="46"/>
      <c r="B1877" s="46"/>
      <c r="C1877" s="46"/>
      <c r="D1877" s="48"/>
      <c r="E1877" s="48"/>
      <c r="F1877" s="48"/>
      <c r="G1877" s="48"/>
      <c r="H1877" s="48"/>
      <c r="I1877" s="48"/>
    </row>
    <row r="1878" spans="1:9" hidden="1" x14ac:dyDescent="0.2">
      <c r="A1878" s="46"/>
      <c r="B1878" s="46"/>
      <c r="C1878" s="46"/>
      <c r="D1878" s="48"/>
      <c r="E1878" s="48"/>
      <c r="F1878" s="48"/>
      <c r="G1878" s="48"/>
      <c r="H1878" s="48"/>
      <c r="I1878" s="48"/>
    </row>
    <row r="1879" spans="1:9" hidden="1" x14ac:dyDescent="0.2">
      <c r="A1879" s="46"/>
      <c r="B1879" s="46"/>
      <c r="C1879" s="46"/>
      <c r="D1879" s="48"/>
      <c r="E1879" s="48"/>
      <c r="F1879" s="48"/>
      <c r="G1879" s="48"/>
      <c r="H1879" s="48"/>
      <c r="I1879" s="48"/>
    </row>
    <row r="1880" spans="1:9" hidden="1" x14ac:dyDescent="0.2">
      <c r="A1880" s="46"/>
      <c r="B1880" s="46"/>
      <c r="C1880" s="46"/>
      <c r="D1880" s="48"/>
      <c r="E1880" s="48"/>
      <c r="F1880" s="48"/>
      <c r="G1880" s="48"/>
      <c r="H1880" s="48"/>
      <c r="I1880" s="48"/>
    </row>
    <row r="1881" spans="1:9" hidden="1" x14ac:dyDescent="0.2">
      <c r="A1881" s="46"/>
      <c r="B1881" s="46"/>
      <c r="C1881" s="46"/>
      <c r="D1881" s="48"/>
      <c r="E1881" s="48"/>
      <c r="F1881" s="48"/>
      <c r="G1881" s="48"/>
      <c r="H1881" s="48"/>
      <c r="I1881" s="48"/>
    </row>
    <row r="1882" spans="1:9" hidden="1" x14ac:dyDescent="0.2">
      <c r="A1882" s="46"/>
      <c r="B1882" s="46"/>
      <c r="C1882" s="46"/>
      <c r="D1882" s="48"/>
      <c r="E1882" s="48"/>
      <c r="F1882" s="48"/>
      <c r="G1882" s="48"/>
      <c r="H1882" s="48"/>
      <c r="I1882" s="48"/>
    </row>
    <row r="1883" spans="1:9" hidden="1" x14ac:dyDescent="0.2">
      <c r="A1883" s="46"/>
      <c r="B1883" s="46"/>
      <c r="C1883" s="46"/>
      <c r="D1883" s="48"/>
      <c r="E1883" s="48"/>
      <c r="F1883" s="48"/>
      <c r="G1883" s="48"/>
      <c r="H1883" s="48"/>
      <c r="I1883" s="48"/>
    </row>
    <row r="1884" spans="1:9" hidden="1" x14ac:dyDescent="0.2">
      <c r="A1884" s="46"/>
      <c r="B1884" s="46"/>
      <c r="C1884" s="46"/>
      <c r="D1884" s="48"/>
      <c r="E1884" s="48"/>
      <c r="F1884" s="48"/>
      <c r="G1884" s="48"/>
      <c r="H1884" s="48"/>
      <c r="I1884" s="48"/>
    </row>
    <row r="1885" spans="1:9" hidden="1" x14ac:dyDescent="0.2">
      <c r="A1885" s="46"/>
      <c r="B1885" s="46"/>
      <c r="C1885" s="46"/>
      <c r="D1885" s="48"/>
      <c r="E1885" s="48"/>
      <c r="F1885" s="48"/>
      <c r="G1885" s="48"/>
      <c r="H1885" s="48"/>
      <c r="I1885" s="48"/>
    </row>
    <row r="1886" spans="1:9" hidden="1" x14ac:dyDescent="0.2">
      <c r="A1886" s="46"/>
      <c r="B1886" s="46"/>
      <c r="C1886" s="46"/>
      <c r="D1886" s="48"/>
      <c r="E1886" s="48"/>
      <c r="F1886" s="48"/>
      <c r="G1886" s="48"/>
      <c r="H1886" s="48"/>
      <c r="I1886" s="48"/>
    </row>
    <row r="1887" spans="1:9" hidden="1" x14ac:dyDescent="0.2">
      <c r="A1887" s="46"/>
      <c r="B1887" s="46"/>
      <c r="C1887" s="46"/>
      <c r="D1887" s="48"/>
      <c r="E1887" s="48"/>
      <c r="F1887" s="48"/>
      <c r="G1887" s="48"/>
      <c r="H1887" s="48"/>
      <c r="I1887" s="48"/>
    </row>
    <row r="1888" spans="1:9" hidden="1" x14ac:dyDescent="0.2">
      <c r="A1888" s="46"/>
      <c r="B1888" s="46"/>
      <c r="C1888" s="46"/>
      <c r="D1888" s="48"/>
      <c r="E1888" s="48"/>
      <c r="F1888" s="48"/>
      <c r="G1888" s="48"/>
      <c r="H1888" s="48"/>
      <c r="I1888" s="48"/>
    </row>
    <row r="1889" spans="1:9" hidden="1" x14ac:dyDescent="0.2">
      <c r="A1889" s="46"/>
      <c r="B1889" s="46"/>
      <c r="C1889" s="46"/>
      <c r="D1889" s="48"/>
      <c r="E1889" s="48"/>
      <c r="F1889" s="48"/>
      <c r="G1889" s="48"/>
      <c r="H1889" s="48"/>
      <c r="I1889" s="48"/>
    </row>
    <row r="1890" spans="1:9" hidden="1" x14ac:dyDescent="0.2">
      <c r="A1890" s="46"/>
      <c r="B1890" s="46"/>
      <c r="C1890" s="46"/>
      <c r="D1890" s="48"/>
      <c r="E1890" s="48"/>
      <c r="F1890" s="48"/>
      <c r="G1890" s="48"/>
      <c r="H1890" s="48"/>
      <c r="I1890" s="48"/>
    </row>
    <row r="1891" spans="1:9" hidden="1" x14ac:dyDescent="0.2">
      <c r="A1891" s="46"/>
      <c r="B1891" s="46"/>
      <c r="C1891" s="46"/>
      <c r="D1891" s="48"/>
      <c r="E1891" s="48"/>
      <c r="F1891" s="48"/>
      <c r="G1891" s="48"/>
      <c r="H1891" s="48"/>
      <c r="I1891" s="48"/>
    </row>
    <row r="1892" spans="1:9" hidden="1" x14ac:dyDescent="0.2">
      <c r="A1892" s="46"/>
      <c r="B1892" s="46"/>
      <c r="C1892" s="46"/>
      <c r="D1892" s="48"/>
      <c r="E1892" s="48"/>
      <c r="F1892" s="48"/>
      <c r="G1892" s="48"/>
      <c r="H1892" s="48"/>
      <c r="I1892" s="48"/>
    </row>
    <row r="1893" spans="1:9" hidden="1" x14ac:dyDescent="0.2">
      <c r="A1893" s="46"/>
      <c r="B1893" s="46"/>
      <c r="C1893" s="46"/>
      <c r="D1893" s="48"/>
      <c r="E1893" s="48"/>
      <c r="F1893" s="48"/>
      <c r="G1893" s="48"/>
      <c r="H1893" s="48"/>
      <c r="I1893" s="48"/>
    </row>
    <row r="1894" spans="1:9" hidden="1" x14ac:dyDescent="0.2">
      <c r="A1894" s="46"/>
      <c r="B1894" s="46"/>
      <c r="C1894" s="46"/>
      <c r="D1894" s="48"/>
      <c r="E1894" s="48"/>
      <c r="F1894" s="48"/>
      <c r="G1894" s="48"/>
      <c r="H1894" s="48"/>
      <c r="I1894" s="48"/>
    </row>
    <row r="1895" spans="1:9" hidden="1" x14ac:dyDescent="0.2">
      <c r="A1895" s="46"/>
      <c r="B1895" s="46"/>
      <c r="C1895" s="46"/>
      <c r="D1895" s="48"/>
      <c r="E1895" s="48"/>
      <c r="F1895" s="48"/>
      <c r="G1895" s="48"/>
      <c r="H1895" s="48"/>
      <c r="I1895" s="48"/>
    </row>
    <row r="1896" spans="1:9" hidden="1" x14ac:dyDescent="0.2">
      <c r="A1896" s="46"/>
      <c r="B1896" s="46"/>
      <c r="C1896" s="46"/>
      <c r="D1896" s="48"/>
      <c r="E1896" s="48"/>
      <c r="F1896" s="48"/>
      <c r="G1896" s="48"/>
      <c r="H1896" s="48"/>
      <c r="I1896" s="48"/>
    </row>
    <row r="1897" spans="1:9" hidden="1" x14ac:dyDescent="0.2">
      <c r="A1897" s="46"/>
      <c r="B1897" s="46"/>
      <c r="C1897" s="46"/>
      <c r="D1897" s="48"/>
      <c r="E1897" s="48"/>
      <c r="F1897" s="48"/>
      <c r="G1897" s="48"/>
      <c r="H1897" s="48"/>
      <c r="I1897" s="48"/>
    </row>
    <row r="1898" spans="1:9" hidden="1" x14ac:dyDescent="0.2">
      <c r="A1898" s="46"/>
      <c r="B1898" s="46"/>
      <c r="C1898" s="46"/>
      <c r="D1898" s="48"/>
      <c r="E1898" s="48"/>
      <c r="F1898" s="48"/>
      <c r="G1898" s="48"/>
      <c r="H1898" s="48"/>
      <c r="I1898" s="48"/>
    </row>
    <row r="1899" spans="1:9" hidden="1" x14ac:dyDescent="0.2">
      <c r="A1899" s="46"/>
      <c r="B1899" s="46"/>
      <c r="C1899" s="46"/>
      <c r="D1899" s="48"/>
      <c r="E1899" s="48"/>
      <c r="F1899" s="48"/>
      <c r="G1899" s="48"/>
      <c r="H1899" s="48"/>
      <c r="I1899" s="48"/>
    </row>
    <row r="1900" spans="1:9" hidden="1" x14ac:dyDescent="0.2">
      <c r="A1900" s="46"/>
      <c r="B1900" s="46"/>
      <c r="C1900" s="46"/>
      <c r="D1900" s="48"/>
      <c r="E1900" s="48"/>
      <c r="F1900" s="48"/>
      <c r="G1900" s="48"/>
      <c r="H1900" s="48"/>
      <c r="I1900" s="48"/>
    </row>
    <row r="1901" spans="1:9" hidden="1" x14ac:dyDescent="0.2">
      <c r="A1901" s="46"/>
      <c r="B1901" s="46"/>
      <c r="C1901" s="46"/>
      <c r="D1901" s="48"/>
      <c r="E1901" s="48"/>
      <c r="F1901" s="48"/>
      <c r="G1901" s="48"/>
      <c r="H1901" s="48"/>
      <c r="I1901" s="48"/>
    </row>
    <row r="1902" spans="1:9" hidden="1" x14ac:dyDescent="0.2">
      <c r="A1902" s="46"/>
      <c r="B1902" s="46"/>
      <c r="C1902" s="46"/>
      <c r="D1902" s="48"/>
      <c r="E1902" s="48"/>
      <c r="F1902" s="48"/>
      <c r="G1902" s="48"/>
      <c r="H1902" s="48"/>
      <c r="I1902" s="48"/>
    </row>
    <row r="1903" spans="1:9" hidden="1" x14ac:dyDescent="0.2">
      <c r="A1903" s="46"/>
      <c r="B1903" s="46"/>
      <c r="C1903" s="46"/>
      <c r="D1903" s="48"/>
      <c r="E1903" s="48"/>
      <c r="F1903" s="48"/>
      <c r="G1903" s="48"/>
      <c r="H1903" s="48"/>
      <c r="I1903" s="48"/>
    </row>
    <row r="1904" spans="1:9" hidden="1" x14ac:dyDescent="0.2">
      <c r="A1904" s="46"/>
      <c r="B1904" s="46"/>
      <c r="C1904" s="46"/>
      <c r="D1904" s="48"/>
      <c r="E1904" s="48"/>
      <c r="F1904" s="48"/>
      <c r="G1904" s="48"/>
      <c r="H1904" s="48"/>
      <c r="I1904" s="48"/>
    </row>
    <row r="1905" spans="1:9" hidden="1" x14ac:dyDescent="0.2">
      <c r="A1905" s="46"/>
      <c r="B1905" s="46"/>
      <c r="C1905" s="46"/>
      <c r="D1905" s="48"/>
      <c r="E1905" s="48"/>
      <c r="F1905" s="48"/>
      <c r="G1905" s="48"/>
      <c r="H1905" s="48"/>
      <c r="I1905" s="48"/>
    </row>
    <row r="1906" spans="1:9" hidden="1" x14ac:dyDescent="0.2">
      <c r="A1906" s="46"/>
      <c r="B1906" s="46"/>
      <c r="C1906" s="46"/>
      <c r="D1906" s="48"/>
      <c r="E1906" s="48"/>
      <c r="F1906" s="48"/>
      <c r="G1906" s="48"/>
      <c r="H1906" s="48"/>
      <c r="I1906" s="48"/>
    </row>
    <row r="1907" spans="1:9" hidden="1" x14ac:dyDescent="0.2">
      <c r="A1907" s="46"/>
      <c r="B1907" s="46"/>
      <c r="C1907" s="46"/>
      <c r="D1907" s="48"/>
      <c r="E1907" s="48"/>
      <c r="F1907" s="48"/>
      <c r="G1907" s="48"/>
      <c r="H1907" s="48"/>
      <c r="I1907" s="48"/>
    </row>
    <row r="1908" spans="1:9" hidden="1" x14ac:dyDescent="0.2">
      <c r="A1908" s="46"/>
      <c r="B1908" s="46"/>
      <c r="C1908" s="46"/>
      <c r="D1908" s="48"/>
      <c r="E1908" s="48"/>
      <c r="F1908" s="48"/>
      <c r="G1908" s="48"/>
      <c r="H1908" s="48"/>
      <c r="I1908" s="48"/>
    </row>
    <row r="1909" spans="1:9" hidden="1" x14ac:dyDescent="0.2">
      <c r="A1909" s="46"/>
      <c r="B1909" s="46"/>
      <c r="C1909" s="46"/>
      <c r="D1909" s="48"/>
      <c r="E1909" s="48"/>
      <c r="F1909" s="48"/>
      <c r="G1909" s="48"/>
      <c r="H1909" s="48"/>
      <c r="I1909" s="48"/>
    </row>
    <row r="1910" spans="1:9" hidden="1" x14ac:dyDescent="0.2">
      <c r="A1910" s="46"/>
      <c r="B1910" s="46"/>
      <c r="C1910" s="46"/>
      <c r="D1910" s="48"/>
      <c r="E1910" s="48"/>
      <c r="F1910" s="48"/>
      <c r="G1910" s="48"/>
      <c r="H1910" s="48"/>
      <c r="I1910" s="48"/>
    </row>
    <row r="1911" spans="1:9" hidden="1" x14ac:dyDescent="0.2">
      <c r="A1911" s="46"/>
      <c r="B1911" s="46"/>
      <c r="C1911" s="46"/>
      <c r="D1911" s="48"/>
      <c r="E1911" s="48"/>
      <c r="F1911" s="48"/>
      <c r="G1911" s="48"/>
      <c r="H1911" s="48"/>
      <c r="I1911" s="48"/>
    </row>
    <row r="1912" spans="1:9" hidden="1" x14ac:dyDescent="0.2">
      <c r="A1912" s="46"/>
      <c r="B1912" s="46"/>
      <c r="C1912" s="46"/>
      <c r="D1912" s="48"/>
      <c r="E1912" s="48"/>
      <c r="F1912" s="48"/>
      <c r="G1912" s="48"/>
      <c r="H1912" s="48"/>
      <c r="I1912" s="48"/>
    </row>
    <row r="1913" spans="1:9" hidden="1" x14ac:dyDescent="0.2">
      <c r="A1913" s="46"/>
      <c r="B1913" s="46"/>
      <c r="C1913" s="46"/>
      <c r="D1913" s="48"/>
      <c r="E1913" s="48"/>
      <c r="F1913" s="48"/>
      <c r="G1913" s="48"/>
      <c r="H1913" s="48"/>
      <c r="I1913" s="48"/>
    </row>
    <row r="1914" spans="1:9" hidden="1" x14ac:dyDescent="0.2">
      <c r="A1914" s="46"/>
      <c r="B1914" s="46"/>
      <c r="C1914" s="46"/>
      <c r="D1914" s="48"/>
      <c r="E1914" s="48"/>
      <c r="F1914" s="48"/>
      <c r="G1914" s="48"/>
      <c r="H1914" s="48"/>
      <c r="I1914" s="48"/>
    </row>
    <row r="1915" spans="1:9" hidden="1" x14ac:dyDescent="0.2">
      <c r="A1915" s="46"/>
      <c r="B1915" s="46"/>
      <c r="C1915" s="46"/>
      <c r="D1915" s="48"/>
      <c r="E1915" s="48"/>
      <c r="F1915" s="48"/>
      <c r="G1915" s="48"/>
      <c r="H1915" s="48"/>
      <c r="I1915" s="48"/>
    </row>
    <row r="1916" spans="1:9" hidden="1" x14ac:dyDescent="0.2">
      <c r="A1916" s="46"/>
      <c r="B1916" s="46"/>
      <c r="C1916" s="46"/>
      <c r="D1916" s="48"/>
      <c r="E1916" s="48"/>
      <c r="F1916" s="48"/>
      <c r="G1916" s="48"/>
      <c r="H1916" s="48"/>
      <c r="I1916" s="48"/>
    </row>
    <row r="1917" spans="1:9" hidden="1" x14ac:dyDescent="0.2">
      <c r="A1917" s="46"/>
      <c r="B1917" s="46"/>
      <c r="C1917" s="46"/>
      <c r="D1917" s="48"/>
      <c r="E1917" s="48"/>
      <c r="F1917" s="48"/>
      <c r="G1917" s="48"/>
      <c r="H1917" s="48"/>
      <c r="I1917" s="48"/>
    </row>
    <row r="1918" spans="1:9" hidden="1" x14ac:dyDescent="0.2">
      <c r="A1918" s="46"/>
      <c r="B1918" s="46"/>
      <c r="C1918" s="46"/>
      <c r="D1918" s="48"/>
      <c r="E1918" s="48"/>
      <c r="F1918" s="48"/>
      <c r="G1918" s="48"/>
      <c r="H1918" s="48"/>
      <c r="I1918" s="48"/>
    </row>
    <row r="1919" spans="1:9" hidden="1" x14ac:dyDescent="0.2">
      <c r="A1919" s="46"/>
      <c r="B1919" s="46"/>
      <c r="C1919" s="46"/>
      <c r="D1919" s="48"/>
      <c r="E1919" s="48"/>
      <c r="F1919" s="48"/>
      <c r="G1919" s="48"/>
      <c r="H1919" s="48"/>
      <c r="I1919" s="48"/>
    </row>
    <row r="1920" spans="1:9" hidden="1" x14ac:dyDescent="0.2">
      <c r="A1920" s="46"/>
      <c r="B1920" s="46"/>
      <c r="C1920" s="46"/>
      <c r="D1920" s="48"/>
      <c r="E1920" s="48"/>
      <c r="F1920" s="48"/>
      <c r="G1920" s="48"/>
      <c r="H1920" s="48"/>
      <c r="I1920" s="48"/>
    </row>
    <row r="1921" spans="1:9" hidden="1" x14ac:dyDescent="0.2">
      <c r="A1921" s="46"/>
      <c r="B1921" s="46"/>
      <c r="C1921" s="46"/>
      <c r="D1921" s="48"/>
      <c r="E1921" s="48"/>
      <c r="F1921" s="48"/>
      <c r="G1921" s="48"/>
      <c r="H1921" s="48"/>
      <c r="I1921" s="48"/>
    </row>
    <row r="1922" spans="1:9" hidden="1" x14ac:dyDescent="0.2">
      <c r="A1922" s="46"/>
      <c r="B1922" s="46"/>
      <c r="C1922" s="46"/>
      <c r="D1922" s="48"/>
      <c r="E1922" s="48"/>
      <c r="F1922" s="48"/>
      <c r="G1922" s="48"/>
      <c r="H1922" s="48"/>
      <c r="I1922" s="48"/>
    </row>
    <row r="1923" spans="1:9" hidden="1" x14ac:dyDescent="0.2">
      <c r="A1923" s="46"/>
      <c r="B1923" s="46"/>
      <c r="C1923" s="46"/>
      <c r="D1923" s="48"/>
      <c r="E1923" s="48"/>
      <c r="F1923" s="48"/>
      <c r="G1923" s="48"/>
      <c r="H1923" s="48"/>
      <c r="I1923" s="48"/>
    </row>
    <row r="1924" spans="1:9" hidden="1" x14ac:dyDescent="0.2">
      <c r="A1924" s="46"/>
      <c r="B1924" s="46"/>
      <c r="C1924" s="46"/>
      <c r="D1924" s="48"/>
      <c r="E1924" s="48"/>
      <c r="F1924" s="48"/>
      <c r="G1924" s="48"/>
      <c r="H1924" s="48"/>
      <c r="I1924" s="48"/>
    </row>
    <row r="1925" spans="1:9" hidden="1" x14ac:dyDescent="0.2">
      <c r="A1925" s="46"/>
      <c r="B1925" s="46"/>
      <c r="C1925" s="46"/>
      <c r="D1925" s="48"/>
      <c r="E1925" s="48"/>
      <c r="F1925" s="48"/>
      <c r="G1925" s="48"/>
      <c r="H1925" s="48"/>
      <c r="I1925" s="48"/>
    </row>
    <row r="1926" spans="1:9" hidden="1" x14ac:dyDescent="0.2">
      <c r="A1926" s="46"/>
      <c r="B1926" s="46"/>
      <c r="C1926" s="46"/>
      <c r="D1926" s="48"/>
      <c r="E1926" s="48"/>
      <c r="F1926" s="48"/>
      <c r="G1926" s="48"/>
      <c r="H1926" s="48"/>
      <c r="I1926" s="48"/>
    </row>
    <row r="1927" spans="1:9" hidden="1" x14ac:dyDescent="0.2">
      <c r="A1927" s="46"/>
      <c r="B1927" s="46"/>
      <c r="C1927" s="46"/>
      <c r="D1927" s="48"/>
      <c r="E1927" s="48"/>
      <c r="F1927" s="48"/>
      <c r="G1927" s="48"/>
      <c r="H1927" s="48"/>
      <c r="I1927" s="48"/>
    </row>
    <row r="1928" spans="1:9" hidden="1" x14ac:dyDescent="0.2">
      <c r="A1928" s="46"/>
      <c r="B1928" s="46"/>
      <c r="C1928" s="46"/>
      <c r="D1928" s="48"/>
      <c r="E1928" s="48"/>
      <c r="F1928" s="48"/>
      <c r="G1928" s="48"/>
      <c r="H1928" s="48"/>
      <c r="I1928" s="48"/>
    </row>
    <row r="1929" spans="1:9" hidden="1" x14ac:dyDescent="0.2">
      <c r="A1929" s="46"/>
      <c r="B1929" s="46"/>
      <c r="C1929" s="46"/>
      <c r="D1929" s="48"/>
      <c r="E1929" s="48"/>
      <c r="F1929" s="48"/>
      <c r="G1929" s="48"/>
      <c r="H1929" s="48"/>
      <c r="I1929" s="48"/>
    </row>
    <row r="1930" spans="1:9" hidden="1" x14ac:dyDescent="0.2">
      <c r="A1930" s="46"/>
      <c r="B1930" s="46"/>
      <c r="C1930" s="46"/>
      <c r="D1930" s="48"/>
      <c r="E1930" s="48"/>
      <c r="F1930" s="48"/>
      <c r="G1930" s="48"/>
      <c r="H1930" s="48"/>
      <c r="I1930" s="48"/>
    </row>
    <row r="1931" spans="1:9" hidden="1" x14ac:dyDescent="0.2">
      <c r="A1931" s="46"/>
      <c r="B1931" s="46"/>
      <c r="C1931" s="46"/>
      <c r="D1931" s="48"/>
      <c r="E1931" s="48"/>
      <c r="F1931" s="48"/>
      <c r="G1931" s="48"/>
      <c r="H1931" s="48"/>
      <c r="I1931" s="48"/>
    </row>
    <row r="1932" spans="1:9" hidden="1" x14ac:dyDescent="0.2">
      <c r="A1932" s="46"/>
      <c r="B1932" s="46"/>
      <c r="C1932" s="46"/>
      <c r="D1932" s="48"/>
      <c r="E1932" s="48"/>
      <c r="F1932" s="48"/>
      <c r="G1932" s="48"/>
      <c r="H1932" s="48"/>
      <c r="I1932" s="48"/>
    </row>
    <row r="1933" spans="1:9" hidden="1" x14ac:dyDescent="0.2">
      <c r="A1933" s="46"/>
      <c r="B1933" s="46"/>
      <c r="C1933" s="46"/>
      <c r="D1933" s="48"/>
      <c r="E1933" s="48"/>
      <c r="F1933" s="48"/>
      <c r="G1933" s="48"/>
      <c r="H1933" s="48"/>
      <c r="I1933" s="48"/>
    </row>
    <row r="1934" spans="1:9" hidden="1" x14ac:dyDescent="0.2">
      <c r="A1934" s="46"/>
      <c r="B1934" s="46"/>
      <c r="C1934" s="46"/>
      <c r="D1934" s="48"/>
      <c r="E1934" s="48"/>
      <c r="F1934" s="48"/>
      <c r="G1934" s="48"/>
      <c r="H1934" s="48"/>
      <c r="I1934" s="48"/>
    </row>
    <row r="1935" spans="1:9" hidden="1" x14ac:dyDescent="0.2">
      <c r="A1935" s="46"/>
      <c r="B1935" s="46"/>
      <c r="C1935" s="46"/>
      <c r="D1935" s="48"/>
      <c r="E1935" s="48"/>
      <c r="F1935" s="48"/>
      <c r="G1935" s="48"/>
      <c r="H1935" s="48"/>
      <c r="I1935" s="48"/>
    </row>
    <row r="1936" spans="1:9" hidden="1" x14ac:dyDescent="0.2">
      <c r="A1936" s="46"/>
      <c r="B1936" s="46"/>
      <c r="C1936" s="46"/>
      <c r="D1936" s="48"/>
      <c r="E1936" s="48"/>
      <c r="F1936" s="48"/>
      <c r="G1936" s="48"/>
      <c r="H1936" s="48"/>
      <c r="I1936" s="48"/>
    </row>
    <row r="1937" spans="1:9" hidden="1" x14ac:dyDescent="0.2">
      <c r="A1937" s="46"/>
      <c r="B1937" s="46"/>
      <c r="C1937" s="46"/>
      <c r="D1937" s="48"/>
      <c r="E1937" s="48"/>
      <c r="F1937" s="48"/>
      <c r="G1937" s="48"/>
      <c r="H1937" s="48"/>
      <c r="I1937" s="48"/>
    </row>
    <row r="1938" spans="1:9" hidden="1" x14ac:dyDescent="0.2">
      <c r="A1938" s="46"/>
      <c r="B1938" s="46"/>
      <c r="C1938" s="46"/>
      <c r="D1938" s="48"/>
      <c r="E1938" s="48"/>
      <c r="F1938" s="48"/>
      <c r="G1938" s="48"/>
      <c r="H1938" s="48"/>
      <c r="I1938" s="48"/>
    </row>
    <row r="1939" spans="1:9" hidden="1" x14ac:dyDescent="0.2">
      <c r="A1939" s="46"/>
      <c r="B1939" s="46"/>
      <c r="C1939" s="46"/>
      <c r="D1939" s="48"/>
      <c r="E1939" s="48"/>
      <c r="F1939" s="48"/>
      <c r="G1939" s="48"/>
      <c r="H1939" s="48"/>
      <c r="I1939" s="48"/>
    </row>
    <row r="1940" spans="1:9" hidden="1" x14ac:dyDescent="0.2">
      <c r="A1940" s="46"/>
      <c r="B1940" s="46"/>
      <c r="C1940" s="46"/>
      <c r="D1940" s="48"/>
      <c r="E1940" s="48"/>
      <c r="F1940" s="48"/>
      <c r="G1940" s="48"/>
      <c r="H1940" s="48"/>
      <c r="I1940" s="48"/>
    </row>
    <row r="1941" spans="1:9" hidden="1" x14ac:dyDescent="0.2">
      <c r="A1941" s="46"/>
      <c r="B1941" s="46"/>
      <c r="C1941" s="46"/>
      <c r="D1941" s="48"/>
      <c r="E1941" s="48"/>
      <c r="F1941" s="48"/>
      <c r="G1941" s="48"/>
      <c r="H1941" s="48"/>
      <c r="I1941" s="48"/>
    </row>
    <row r="1942" spans="1:9" hidden="1" x14ac:dyDescent="0.2">
      <c r="A1942" s="46"/>
      <c r="B1942" s="46"/>
      <c r="C1942" s="46"/>
      <c r="D1942" s="48"/>
      <c r="E1942" s="48"/>
      <c r="F1942" s="48"/>
      <c r="G1942" s="48"/>
      <c r="H1942" s="48"/>
      <c r="I1942" s="48"/>
    </row>
    <row r="1943" spans="1:9" hidden="1" x14ac:dyDescent="0.2">
      <c r="A1943" s="46"/>
      <c r="B1943" s="46"/>
      <c r="C1943" s="46"/>
      <c r="D1943" s="48"/>
      <c r="E1943" s="48"/>
      <c r="F1943" s="48"/>
      <c r="G1943" s="48"/>
      <c r="H1943" s="48"/>
      <c r="I1943" s="48"/>
    </row>
    <row r="1944" spans="1:9" hidden="1" x14ac:dyDescent="0.2">
      <c r="A1944" s="46"/>
      <c r="B1944" s="46"/>
      <c r="C1944" s="46"/>
      <c r="D1944" s="48"/>
      <c r="E1944" s="48"/>
      <c r="F1944" s="48"/>
      <c r="G1944" s="48"/>
      <c r="H1944" s="48"/>
      <c r="I1944" s="48"/>
    </row>
    <row r="1945" spans="1:9" hidden="1" x14ac:dyDescent="0.2">
      <c r="A1945" s="46"/>
      <c r="B1945" s="46"/>
      <c r="C1945" s="46"/>
      <c r="D1945" s="48"/>
      <c r="E1945" s="48"/>
      <c r="F1945" s="48"/>
      <c r="G1945" s="48"/>
      <c r="H1945" s="48"/>
      <c r="I1945" s="48"/>
    </row>
    <row r="1946" spans="1:9" hidden="1" x14ac:dyDescent="0.2">
      <c r="A1946" s="46"/>
      <c r="B1946" s="46"/>
      <c r="C1946" s="46"/>
      <c r="D1946" s="48"/>
      <c r="E1946" s="48"/>
      <c r="F1946" s="48"/>
      <c r="G1946" s="48"/>
      <c r="H1946" s="48"/>
      <c r="I1946" s="48"/>
    </row>
    <row r="1947" spans="1:9" hidden="1" x14ac:dyDescent="0.2">
      <c r="A1947" s="46"/>
      <c r="B1947" s="46"/>
      <c r="C1947" s="46"/>
      <c r="D1947" s="48"/>
      <c r="E1947" s="48"/>
      <c r="F1947" s="48"/>
      <c r="G1947" s="48"/>
      <c r="H1947" s="48"/>
      <c r="I1947" s="48"/>
    </row>
    <row r="1948" spans="1:9" hidden="1" x14ac:dyDescent="0.2">
      <c r="A1948" s="46"/>
      <c r="B1948" s="46"/>
      <c r="C1948" s="46"/>
      <c r="D1948" s="48"/>
      <c r="E1948" s="48"/>
      <c r="F1948" s="48"/>
      <c r="G1948" s="48"/>
      <c r="H1948" s="48"/>
      <c r="I1948" s="48"/>
    </row>
    <row r="1949" spans="1:9" hidden="1" x14ac:dyDescent="0.2">
      <c r="A1949" s="46"/>
      <c r="B1949" s="46"/>
      <c r="C1949" s="46"/>
      <c r="D1949" s="48"/>
      <c r="E1949" s="48"/>
      <c r="F1949" s="48"/>
      <c r="G1949" s="48"/>
      <c r="H1949" s="48"/>
      <c r="I1949" s="48"/>
    </row>
    <row r="1950" spans="1:9" hidden="1" x14ac:dyDescent="0.2">
      <c r="A1950" s="46"/>
      <c r="B1950" s="46"/>
      <c r="C1950" s="46"/>
      <c r="D1950" s="48"/>
      <c r="E1950" s="48"/>
      <c r="F1950" s="48"/>
      <c r="G1950" s="48"/>
      <c r="H1950" s="48"/>
      <c r="I1950" s="48"/>
    </row>
    <row r="1951" spans="1:9" hidden="1" x14ac:dyDescent="0.2">
      <c r="A1951" s="46"/>
      <c r="B1951" s="46"/>
      <c r="C1951" s="46"/>
      <c r="D1951" s="48"/>
      <c r="E1951" s="48"/>
      <c r="F1951" s="48"/>
      <c r="G1951" s="48"/>
      <c r="H1951" s="48"/>
      <c r="I1951" s="48"/>
    </row>
    <row r="1952" spans="1:9" hidden="1" x14ac:dyDescent="0.2">
      <c r="A1952" s="46"/>
      <c r="B1952" s="46"/>
      <c r="C1952" s="46"/>
      <c r="D1952" s="48"/>
      <c r="E1952" s="48"/>
      <c r="F1952" s="48"/>
      <c r="G1952" s="48"/>
      <c r="H1952" s="48"/>
      <c r="I1952" s="48"/>
    </row>
    <row r="1953" spans="1:9" hidden="1" x14ac:dyDescent="0.2">
      <c r="A1953" s="46"/>
      <c r="B1953" s="46"/>
      <c r="C1953" s="46"/>
      <c r="D1953" s="48"/>
      <c r="E1953" s="48"/>
      <c r="F1953" s="48"/>
      <c r="G1953" s="48"/>
      <c r="H1953" s="48"/>
      <c r="I1953" s="48"/>
    </row>
    <row r="1954" spans="1:9" hidden="1" x14ac:dyDescent="0.2">
      <c r="A1954" s="46"/>
      <c r="B1954" s="46"/>
      <c r="C1954" s="46"/>
      <c r="D1954" s="48"/>
      <c r="E1954" s="48"/>
      <c r="F1954" s="48"/>
      <c r="G1954" s="48"/>
      <c r="H1954" s="48"/>
      <c r="I1954" s="48"/>
    </row>
    <row r="1955" spans="1:9" hidden="1" x14ac:dyDescent="0.2">
      <c r="A1955" s="46"/>
      <c r="B1955" s="46"/>
      <c r="C1955" s="46"/>
      <c r="D1955" s="48"/>
      <c r="E1955" s="48"/>
      <c r="F1955" s="48"/>
      <c r="G1955" s="48"/>
      <c r="H1955" s="48"/>
      <c r="I1955" s="48"/>
    </row>
    <row r="1956" spans="1:9" hidden="1" x14ac:dyDescent="0.2">
      <c r="A1956" s="46"/>
      <c r="B1956" s="46"/>
      <c r="C1956" s="46"/>
      <c r="D1956" s="48"/>
      <c r="E1956" s="48"/>
      <c r="F1956" s="48"/>
      <c r="G1956" s="48"/>
      <c r="H1956" s="48"/>
      <c r="I1956" s="48"/>
    </row>
    <row r="1957" spans="1:9" hidden="1" x14ac:dyDescent="0.2">
      <c r="A1957" s="46"/>
      <c r="B1957" s="46"/>
      <c r="C1957" s="46"/>
      <c r="D1957" s="48"/>
      <c r="E1957" s="48"/>
      <c r="F1957" s="48"/>
      <c r="G1957" s="48"/>
      <c r="H1957" s="48"/>
      <c r="I1957" s="48"/>
    </row>
    <row r="1958" spans="1:9" hidden="1" x14ac:dyDescent="0.2">
      <c r="A1958" s="46"/>
      <c r="B1958" s="46"/>
      <c r="C1958" s="46"/>
      <c r="D1958" s="48"/>
      <c r="E1958" s="48"/>
      <c r="F1958" s="48"/>
      <c r="G1958" s="48"/>
      <c r="H1958" s="48"/>
      <c r="I1958" s="48"/>
    </row>
    <row r="1959" spans="1:9" hidden="1" x14ac:dyDescent="0.2">
      <c r="A1959" s="46"/>
      <c r="B1959" s="46"/>
      <c r="C1959" s="46"/>
      <c r="D1959" s="48"/>
      <c r="E1959" s="48"/>
      <c r="F1959" s="48"/>
      <c r="G1959" s="48"/>
      <c r="H1959" s="48"/>
      <c r="I1959" s="48"/>
    </row>
    <row r="1960" spans="1:9" hidden="1" x14ac:dyDescent="0.2">
      <c r="A1960" s="46"/>
      <c r="B1960" s="46"/>
      <c r="C1960" s="46"/>
      <c r="D1960" s="48"/>
      <c r="E1960" s="48"/>
      <c r="F1960" s="48"/>
      <c r="G1960" s="48"/>
      <c r="H1960" s="48"/>
      <c r="I1960" s="48"/>
    </row>
    <row r="1961" spans="1:9" hidden="1" x14ac:dyDescent="0.2">
      <c r="A1961" s="46"/>
      <c r="B1961" s="46"/>
      <c r="C1961" s="46"/>
      <c r="D1961" s="48"/>
      <c r="E1961" s="48"/>
      <c r="F1961" s="48"/>
      <c r="G1961" s="48"/>
      <c r="H1961" s="48"/>
      <c r="I1961" s="48"/>
    </row>
    <row r="1962" spans="1:9" hidden="1" x14ac:dyDescent="0.2">
      <c r="A1962" s="46"/>
      <c r="B1962" s="46"/>
      <c r="C1962" s="46"/>
      <c r="D1962" s="48"/>
      <c r="E1962" s="48"/>
      <c r="F1962" s="48"/>
      <c r="G1962" s="48"/>
      <c r="H1962" s="48"/>
      <c r="I1962" s="48"/>
    </row>
    <row r="1963" spans="1:9" hidden="1" x14ac:dyDescent="0.2">
      <c r="A1963" s="46"/>
      <c r="B1963" s="46"/>
      <c r="C1963" s="46"/>
      <c r="D1963" s="48"/>
      <c r="E1963" s="48"/>
      <c r="F1963" s="48"/>
      <c r="G1963" s="48"/>
      <c r="H1963" s="48"/>
      <c r="I1963" s="48"/>
    </row>
    <row r="1964" spans="1:9" hidden="1" x14ac:dyDescent="0.2">
      <c r="A1964" s="46"/>
      <c r="B1964" s="46"/>
      <c r="C1964" s="46"/>
      <c r="D1964" s="48"/>
      <c r="E1964" s="48"/>
      <c r="F1964" s="48"/>
      <c r="G1964" s="48"/>
      <c r="H1964" s="48"/>
      <c r="I1964" s="48"/>
    </row>
    <row r="1965" spans="1:9" hidden="1" x14ac:dyDescent="0.2">
      <c r="A1965" s="46"/>
      <c r="B1965" s="46"/>
      <c r="C1965" s="46"/>
      <c r="D1965" s="48"/>
      <c r="E1965" s="48"/>
      <c r="F1965" s="48"/>
      <c r="G1965" s="48"/>
      <c r="H1965" s="48"/>
      <c r="I1965" s="48"/>
    </row>
    <row r="1966" spans="1:9" hidden="1" x14ac:dyDescent="0.2">
      <c r="A1966" s="46"/>
      <c r="B1966" s="46"/>
      <c r="C1966" s="46"/>
      <c r="D1966" s="48"/>
      <c r="E1966" s="48"/>
      <c r="F1966" s="48"/>
      <c r="G1966" s="48"/>
      <c r="H1966" s="48"/>
      <c r="I1966" s="48"/>
    </row>
    <row r="1967" spans="1:9" hidden="1" x14ac:dyDescent="0.2">
      <c r="A1967" s="46"/>
      <c r="B1967" s="46"/>
      <c r="C1967" s="46"/>
      <c r="D1967" s="48"/>
      <c r="E1967" s="48"/>
      <c r="F1967" s="48"/>
      <c r="G1967" s="48"/>
      <c r="H1967" s="48"/>
      <c r="I1967" s="48"/>
    </row>
    <row r="1968" spans="1:9" hidden="1" x14ac:dyDescent="0.2">
      <c r="A1968" s="46"/>
      <c r="B1968" s="46"/>
      <c r="C1968" s="46"/>
      <c r="D1968" s="48"/>
      <c r="E1968" s="48"/>
      <c r="F1968" s="48"/>
      <c r="G1968" s="48"/>
      <c r="H1968" s="48"/>
      <c r="I1968" s="48"/>
    </row>
    <row r="1969" spans="1:9" hidden="1" x14ac:dyDescent="0.2">
      <c r="A1969" s="46"/>
      <c r="B1969" s="46"/>
      <c r="C1969" s="46"/>
      <c r="D1969" s="48"/>
      <c r="E1969" s="48"/>
      <c r="F1969" s="48"/>
      <c r="G1969" s="48"/>
      <c r="H1969" s="48"/>
      <c r="I1969" s="48"/>
    </row>
    <row r="1970" spans="1:9" hidden="1" x14ac:dyDescent="0.2">
      <c r="A1970" s="46"/>
      <c r="B1970" s="46"/>
      <c r="C1970" s="46"/>
      <c r="D1970" s="48"/>
      <c r="E1970" s="48"/>
      <c r="F1970" s="48"/>
      <c r="G1970" s="48"/>
      <c r="H1970" s="48"/>
      <c r="I1970" s="48"/>
    </row>
    <row r="1971" spans="1:9" hidden="1" x14ac:dyDescent="0.2">
      <c r="A1971" s="46"/>
      <c r="B1971" s="46"/>
      <c r="C1971" s="46"/>
      <c r="D1971" s="48"/>
      <c r="E1971" s="48"/>
      <c r="F1971" s="48"/>
      <c r="G1971" s="48"/>
      <c r="H1971" s="48"/>
      <c r="I1971" s="48"/>
    </row>
    <row r="1972" spans="1:9" hidden="1" x14ac:dyDescent="0.2">
      <c r="A1972" s="46"/>
      <c r="B1972" s="46"/>
      <c r="C1972" s="46"/>
      <c r="D1972" s="48"/>
      <c r="E1972" s="48"/>
      <c r="F1972" s="48"/>
      <c r="G1972" s="48"/>
      <c r="H1972" s="48"/>
      <c r="I1972" s="48"/>
    </row>
    <row r="1973" spans="1:9" hidden="1" x14ac:dyDescent="0.2">
      <c r="A1973" s="46"/>
      <c r="B1973" s="46"/>
      <c r="C1973" s="46"/>
      <c r="D1973" s="48"/>
      <c r="E1973" s="48"/>
      <c r="F1973" s="48"/>
      <c r="G1973" s="48"/>
      <c r="H1973" s="48"/>
      <c r="I1973" s="48"/>
    </row>
    <row r="1974" spans="1:9" hidden="1" x14ac:dyDescent="0.2">
      <c r="A1974" s="46"/>
      <c r="B1974" s="46"/>
      <c r="C1974" s="46"/>
      <c r="D1974" s="48"/>
      <c r="E1974" s="48"/>
      <c r="F1974" s="48"/>
      <c r="G1974" s="48"/>
      <c r="H1974" s="48"/>
      <c r="I1974" s="48"/>
    </row>
    <row r="1975" spans="1:9" hidden="1" x14ac:dyDescent="0.2">
      <c r="A1975" s="46"/>
      <c r="B1975" s="46"/>
      <c r="C1975" s="46"/>
      <c r="D1975" s="48"/>
      <c r="E1975" s="48"/>
      <c r="F1975" s="48"/>
      <c r="G1975" s="48"/>
      <c r="H1975" s="48"/>
      <c r="I1975" s="48"/>
    </row>
    <row r="1976" spans="1:9" hidden="1" x14ac:dyDescent="0.2">
      <c r="A1976" s="46"/>
      <c r="B1976" s="46"/>
      <c r="C1976" s="46"/>
      <c r="D1976" s="48"/>
      <c r="E1976" s="48"/>
      <c r="F1976" s="48"/>
      <c r="G1976" s="48"/>
      <c r="H1976" s="48"/>
      <c r="I1976" s="48"/>
    </row>
    <row r="1977" spans="1:9" hidden="1" x14ac:dyDescent="0.2">
      <c r="A1977" s="46"/>
      <c r="B1977" s="46"/>
      <c r="C1977" s="46"/>
      <c r="D1977" s="48"/>
      <c r="E1977" s="48"/>
      <c r="F1977" s="48"/>
      <c r="G1977" s="48"/>
      <c r="H1977" s="48"/>
      <c r="I1977" s="48"/>
    </row>
    <row r="1978" spans="1:9" hidden="1" x14ac:dyDescent="0.2">
      <c r="A1978" s="46"/>
      <c r="B1978" s="46"/>
      <c r="C1978" s="46"/>
      <c r="D1978" s="48"/>
      <c r="E1978" s="48"/>
      <c r="F1978" s="48"/>
      <c r="G1978" s="48"/>
      <c r="H1978" s="48"/>
      <c r="I1978" s="48"/>
    </row>
    <row r="1979" spans="1:9" hidden="1" x14ac:dyDescent="0.2">
      <c r="A1979" s="46"/>
      <c r="B1979" s="46"/>
      <c r="C1979" s="46"/>
      <c r="D1979" s="48"/>
      <c r="E1979" s="48"/>
      <c r="F1979" s="48"/>
      <c r="G1979" s="48"/>
      <c r="H1979" s="48"/>
      <c r="I1979" s="48"/>
    </row>
    <row r="1980" spans="1:9" hidden="1" x14ac:dyDescent="0.2">
      <c r="A1980" s="46"/>
      <c r="B1980" s="46"/>
      <c r="C1980" s="46"/>
      <c r="D1980" s="48"/>
      <c r="E1980" s="48"/>
      <c r="F1980" s="48"/>
      <c r="G1980" s="48"/>
      <c r="H1980" s="48"/>
      <c r="I1980" s="48"/>
    </row>
    <row r="1981" spans="1:9" hidden="1" x14ac:dyDescent="0.2">
      <c r="A1981" s="46"/>
      <c r="B1981" s="46"/>
      <c r="C1981" s="46"/>
      <c r="D1981" s="48"/>
      <c r="E1981" s="48"/>
      <c r="F1981" s="48"/>
      <c r="G1981" s="48"/>
      <c r="H1981" s="48"/>
      <c r="I1981" s="48"/>
    </row>
    <row r="1982" spans="1:9" hidden="1" x14ac:dyDescent="0.2">
      <c r="A1982" s="46"/>
      <c r="B1982" s="46"/>
      <c r="C1982" s="46"/>
      <c r="D1982" s="48"/>
      <c r="E1982" s="48"/>
      <c r="F1982" s="48"/>
      <c r="G1982" s="48"/>
      <c r="H1982" s="48"/>
      <c r="I1982" s="48"/>
    </row>
    <row r="1983" spans="1:9" hidden="1" x14ac:dyDescent="0.2">
      <c r="A1983" s="46"/>
      <c r="B1983" s="46"/>
      <c r="C1983" s="46"/>
      <c r="D1983" s="48"/>
      <c r="E1983" s="48"/>
      <c r="F1983" s="48"/>
      <c r="G1983" s="48"/>
      <c r="H1983" s="48"/>
      <c r="I1983" s="48"/>
    </row>
    <row r="1984" spans="1:9" hidden="1" x14ac:dyDescent="0.2">
      <c r="A1984" s="46"/>
      <c r="B1984" s="46"/>
      <c r="C1984" s="46"/>
      <c r="D1984" s="48"/>
      <c r="E1984" s="48"/>
      <c r="F1984" s="48"/>
      <c r="G1984" s="48"/>
      <c r="H1984" s="48"/>
      <c r="I1984" s="48"/>
    </row>
    <row r="1985" spans="1:9" hidden="1" x14ac:dyDescent="0.2">
      <c r="A1985" s="46"/>
      <c r="B1985" s="46"/>
      <c r="C1985" s="46"/>
      <c r="D1985" s="48"/>
      <c r="E1985" s="48"/>
      <c r="F1985" s="48"/>
      <c r="G1985" s="48"/>
      <c r="H1985" s="48"/>
      <c r="I1985" s="48"/>
    </row>
    <row r="1986" spans="1:9" hidden="1" x14ac:dyDescent="0.2">
      <c r="A1986" s="46"/>
      <c r="B1986" s="46"/>
      <c r="C1986" s="46"/>
      <c r="D1986" s="48"/>
      <c r="E1986" s="48"/>
      <c r="F1986" s="48"/>
      <c r="G1986" s="48"/>
      <c r="H1986" s="48"/>
      <c r="I1986" s="48"/>
    </row>
    <row r="1987" spans="1:9" hidden="1" x14ac:dyDescent="0.2">
      <c r="A1987" s="46"/>
      <c r="B1987" s="46"/>
      <c r="C1987" s="46"/>
      <c r="D1987" s="48"/>
      <c r="E1987" s="48"/>
      <c r="F1987" s="48"/>
      <c r="G1987" s="48"/>
      <c r="H1987" s="48"/>
      <c r="I1987" s="48"/>
    </row>
    <row r="1988" spans="1:9" hidden="1" x14ac:dyDescent="0.2">
      <c r="A1988" s="46"/>
      <c r="B1988" s="46"/>
      <c r="C1988" s="46"/>
      <c r="D1988" s="48"/>
      <c r="E1988" s="48"/>
      <c r="F1988" s="48"/>
      <c r="G1988" s="48"/>
      <c r="H1988" s="48"/>
      <c r="I1988" s="48"/>
    </row>
    <row r="1989" spans="1:9" hidden="1" x14ac:dyDescent="0.2">
      <c r="A1989" s="46"/>
      <c r="B1989" s="46"/>
      <c r="C1989" s="46"/>
      <c r="D1989" s="48"/>
      <c r="E1989" s="48"/>
      <c r="F1989" s="48"/>
      <c r="G1989" s="48"/>
      <c r="H1989" s="48"/>
      <c r="I1989" s="48"/>
    </row>
    <row r="1990" spans="1:9" hidden="1" x14ac:dyDescent="0.2">
      <c r="A1990" s="46"/>
      <c r="B1990" s="46"/>
      <c r="C1990" s="46"/>
      <c r="D1990" s="48"/>
      <c r="E1990" s="48"/>
      <c r="F1990" s="48"/>
      <c r="G1990" s="48"/>
      <c r="H1990" s="48"/>
      <c r="I1990" s="48"/>
    </row>
    <row r="1991" spans="1:9" hidden="1" x14ac:dyDescent="0.2">
      <c r="A1991" s="46"/>
      <c r="B1991" s="46"/>
      <c r="C1991" s="46"/>
      <c r="D1991" s="48"/>
      <c r="E1991" s="48"/>
      <c r="F1991" s="48"/>
      <c r="G1991" s="48"/>
      <c r="H1991" s="48"/>
      <c r="I1991" s="48"/>
    </row>
    <row r="1992" spans="1:9" hidden="1" x14ac:dyDescent="0.2">
      <c r="A1992" s="46"/>
      <c r="B1992" s="46"/>
      <c r="C1992" s="46"/>
      <c r="D1992" s="48"/>
      <c r="E1992" s="48"/>
      <c r="F1992" s="48"/>
      <c r="G1992" s="48"/>
      <c r="H1992" s="48"/>
      <c r="I1992" s="48"/>
    </row>
    <row r="1993" spans="1:9" hidden="1" x14ac:dyDescent="0.2">
      <c r="A1993" s="46"/>
      <c r="B1993" s="46"/>
      <c r="C1993" s="46"/>
      <c r="D1993" s="48"/>
      <c r="E1993" s="48"/>
      <c r="F1993" s="48"/>
      <c r="G1993" s="48"/>
      <c r="H1993" s="48"/>
      <c r="I1993" s="48"/>
    </row>
    <row r="1994" spans="1:9" hidden="1" x14ac:dyDescent="0.2">
      <c r="A1994" s="46"/>
      <c r="B1994" s="46"/>
      <c r="C1994" s="46"/>
      <c r="D1994" s="48"/>
      <c r="E1994" s="48"/>
      <c r="F1994" s="48"/>
      <c r="G1994" s="48"/>
      <c r="H1994" s="48"/>
      <c r="I1994" s="48"/>
    </row>
    <row r="1995" spans="1:9" hidden="1" x14ac:dyDescent="0.2">
      <c r="A1995" s="46"/>
      <c r="B1995" s="46"/>
      <c r="C1995" s="46"/>
      <c r="D1995" s="48"/>
      <c r="E1995" s="48"/>
      <c r="F1995" s="48"/>
      <c r="G1995" s="48"/>
      <c r="H1995" s="48"/>
      <c r="I1995" s="48"/>
    </row>
    <row r="1996" spans="1:9" hidden="1" x14ac:dyDescent="0.2">
      <c r="A1996" s="46"/>
      <c r="B1996" s="46"/>
      <c r="C1996" s="46"/>
      <c r="D1996" s="48"/>
      <c r="E1996" s="48"/>
      <c r="F1996" s="48"/>
      <c r="G1996" s="48"/>
      <c r="H1996" s="48"/>
      <c r="I1996" s="48"/>
    </row>
    <row r="1997" spans="1:9" hidden="1" x14ac:dyDescent="0.2">
      <c r="A1997" s="46"/>
      <c r="B1997" s="46"/>
      <c r="C1997" s="46"/>
      <c r="D1997" s="48"/>
      <c r="E1997" s="48"/>
      <c r="F1997" s="48"/>
      <c r="G1997" s="48"/>
      <c r="H1997" s="48"/>
      <c r="I1997" s="48"/>
    </row>
    <row r="1998" spans="1:9" hidden="1" x14ac:dyDescent="0.2">
      <c r="A1998" s="46"/>
      <c r="B1998" s="46"/>
      <c r="C1998" s="46"/>
      <c r="D1998" s="48"/>
      <c r="E1998" s="48"/>
      <c r="F1998" s="48"/>
      <c r="G1998" s="48"/>
      <c r="H1998" s="48"/>
      <c r="I1998" s="48"/>
    </row>
    <row r="1999" spans="1:9" hidden="1" x14ac:dyDescent="0.2">
      <c r="A1999" s="46"/>
      <c r="B1999" s="46"/>
      <c r="C1999" s="46"/>
      <c r="D1999" s="48"/>
      <c r="E1999" s="48"/>
      <c r="F1999" s="48"/>
      <c r="G1999" s="48"/>
      <c r="H1999" s="48"/>
      <c r="I1999" s="48"/>
    </row>
    <row r="2000" spans="1:9" hidden="1" x14ac:dyDescent="0.2">
      <c r="A2000" s="46"/>
      <c r="B2000" s="46"/>
      <c r="C2000" s="46"/>
      <c r="D2000" s="48"/>
      <c r="E2000" s="48"/>
      <c r="F2000" s="48"/>
      <c r="G2000" s="48"/>
      <c r="H2000" s="48"/>
      <c r="I2000" s="48"/>
    </row>
    <row r="2001" spans="1:9" hidden="1" x14ac:dyDescent="0.2">
      <c r="A2001" s="46"/>
      <c r="B2001" s="46"/>
      <c r="C2001" s="46"/>
      <c r="D2001" s="48"/>
      <c r="E2001" s="48"/>
      <c r="F2001" s="48"/>
      <c r="G2001" s="48"/>
      <c r="H2001" s="48"/>
      <c r="I2001" s="48"/>
    </row>
    <row r="2002" spans="1:9" hidden="1" x14ac:dyDescent="0.2">
      <c r="A2002" s="46"/>
      <c r="B2002" s="46"/>
      <c r="C2002" s="46"/>
      <c r="D2002" s="48"/>
      <c r="E2002" s="48"/>
      <c r="F2002" s="48"/>
      <c r="G2002" s="48"/>
      <c r="H2002" s="48"/>
      <c r="I2002" s="48"/>
    </row>
    <row r="2003" spans="1:9" hidden="1" x14ac:dyDescent="0.2">
      <c r="A2003" s="46"/>
      <c r="B2003" s="46"/>
      <c r="C2003" s="46"/>
      <c r="D2003" s="48"/>
      <c r="E2003" s="48"/>
      <c r="F2003" s="48"/>
      <c r="G2003" s="48"/>
      <c r="H2003" s="48"/>
      <c r="I2003" s="48"/>
    </row>
    <row r="2004" spans="1:9" hidden="1" x14ac:dyDescent="0.2">
      <c r="A2004" s="46"/>
      <c r="B2004" s="46"/>
      <c r="C2004" s="46"/>
      <c r="D2004" s="48"/>
      <c r="E2004" s="48"/>
      <c r="F2004" s="48"/>
      <c r="G2004" s="48"/>
      <c r="H2004" s="48"/>
      <c r="I2004" s="48"/>
    </row>
    <row r="2005" spans="1:9" hidden="1" x14ac:dyDescent="0.2">
      <c r="A2005" s="46"/>
      <c r="B2005" s="46"/>
      <c r="C2005" s="46"/>
      <c r="D2005" s="48"/>
      <c r="E2005" s="48"/>
      <c r="F2005" s="48"/>
      <c r="G2005" s="48"/>
      <c r="H2005" s="48"/>
      <c r="I2005" s="48"/>
    </row>
    <row r="2006" spans="1:9" hidden="1" x14ac:dyDescent="0.2">
      <c r="A2006" s="46"/>
      <c r="B2006" s="46"/>
      <c r="C2006" s="46"/>
      <c r="D2006" s="48"/>
      <c r="E2006" s="48"/>
      <c r="F2006" s="48"/>
      <c r="G2006" s="48"/>
      <c r="H2006" s="48"/>
      <c r="I2006" s="48"/>
    </row>
    <row r="2007" spans="1:9" hidden="1" x14ac:dyDescent="0.2">
      <c r="A2007" s="46"/>
      <c r="B2007" s="46"/>
      <c r="C2007" s="46"/>
      <c r="D2007" s="48"/>
      <c r="E2007" s="48"/>
      <c r="F2007" s="48"/>
      <c r="G2007" s="48"/>
      <c r="H2007" s="48"/>
      <c r="I2007" s="48"/>
    </row>
    <row r="2008" spans="1:9" hidden="1" x14ac:dyDescent="0.2">
      <c r="A2008" s="46"/>
      <c r="B2008" s="46"/>
      <c r="C2008" s="46"/>
      <c r="D2008" s="48"/>
      <c r="E2008" s="48"/>
      <c r="F2008" s="48"/>
      <c r="G2008" s="48"/>
      <c r="H2008" s="48"/>
      <c r="I2008" s="48"/>
    </row>
    <row r="2009" spans="1:9" hidden="1" x14ac:dyDescent="0.2">
      <c r="A2009" s="46"/>
      <c r="B2009" s="46"/>
      <c r="C2009" s="46"/>
      <c r="D2009" s="48"/>
      <c r="E2009" s="48"/>
      <c r="F2009" s="48"/>
      <c r="G2009" s="48"/>
      <c r="H2009" s="48"/>
      <c r="I2009" s="48"/>
    </row>
    <row r="2010" spans="1:9" hidden="1" x14ac:dyDescent="0.2">
      <c r="A2010" s="46"/>
      <c r="B2010" s="46"/>
      <c r="C2010" s="46"/>
      <c r="D2010" s="48"/>
      <c r="E2010" s="48"/>
      <c r="F2010" s="48"/>
      <c r="G2010" s="48"/>
      <c r="H2010" s="48"/>
      <c r="I2010" s="48"/>
    </row>
    <row r="2011" spans="1:9" hidden="1" x14ac:dyDescent="0.2">
      <c r="A2011" s="46"/>
      <c r="B2011" s="46"/>
      <c r="C2011" s="46"/>
      <c r="D2011" s="48"/>
      <c r="E2011" s="48"/>
      <c r="F2011" s="48"/>
      <c r="G2011" s="48"/>
      <c r="H2011" s="48"/>
      <c r="I2011" s="48"/>
    </row>
    <row r="2012" spans="1:9" hidden="1" x14ac:dyDescent="0.2">
      <c r="A2012" s="46"/>
      <c r="B2012" s="46"/>
      <c r="C2012" s="46"/>
      <c r="D2012" s="48"/>
      <c r="E2012" s="48"/>
      <c r="F2012" s="48"/>
      <c r="G2012" s="48"/>
      <c r="H2012" s="48"/>
      <c r="I2012" s="48"/>
    </row>
    <row r="2013" spans="1:9" hidden="1" x14ac:dyDescent="0.2">
      <c r="A2013" s="46"/>
      <c r="B2013" s="46"/>
      <c r="C2013" s="46"/>
      <c r="D2013" s="48"/>
      <c r="E2013" s="48"/>
      <c r="F2013" s="48"/>
      <c r="G2013" s="48"/>
      <c r="H2013" s="48"/>
      <c r="I2013" s="48"/>
    </row>
    <row r="2014" spans="1:9" hidden="1" x14ac:dyDescent="0.2">
      <c r="A2014" s="46"/>
      <c r="B2014" s="46"/>
      <c r="C2014" s="46"/>
      <c r="D2014" s="48"/>
      <c r="E2014" s="48"/>
      <c r="F2014" s="48"/>
      <c r="G2014" s="48"/>
      <c r="H2014" s="48"/>
      <c r="I2014" s="48"/>
    </row>
    <row r="2015" spans="1:9" hidden="1" x14ac:dyDescent="0.2">
      <c r="A2015" s="46"/>
      <c r="B2015" s="46"/>
      <c r="C2015" s="46"/>
      <c r="D2015" s="48"/>
      <c r="E2015" s="48"/>
      <c r="F2015" s="48"/>
      <c r="G2015" s="48"/>
      <c r="H2015" s="48"/>
      <c r="I2015" s="48"/>
    </row>
    <row r="2016" spans="1:9" hidden="1" x14ac:dyDescent="0.2">
      <c r="A2016" s="46"/>
      <c r="B2016" s="46"/>
      <c r="C2016" s="46"/>
      <c r="D2016" s="48"/>
      <c r="E2016" s="48"/>
      <c r="F2016" s="48"/>
      <c r="G2016" s="48"/>
      <c r="H2016" s="48"/>
      <c r="I2016" s="48"/>
    </row>
    <row r="2017" spans="1:9" hidden="1" x14ac:dyDescent="0.2">
      <c r="A2017" s="46"/>
      <c r="B2017" s="46"/>
      <c r="C2017" s="46"/>
      <c r="D2017" s="48"/>
      <c r="E2017" s="48"/>
      <c r="F2017" s="48"/>
      <c r="G2017" s="48"/>
      <c r="H2017" s="48"/>
      <c r="I2017" s="48"/>
    </row>
    <row r="2018" spans="1:9" hidden="1" x14ac:dyDescent="0.2">
      <c r="A2018" s="46"/>
      <c r="B2018" s="46"/>
      <c r="C2018" s="46"/>
      <c r="D2018" s="48"/>
      <c r="E2018" s="48"/>
      <c r="F2018" s="48"/>
      <c r="G2018" s="48"/>
      <c r="H2018" s="48"/>
      <c r="I2018" s="48"/>
    </row>
    <row r="2019" spans="1:9" hidden="1" x14ac:dyDescent="0.2">
      <c r="A2019" s="46"/>
      <c r="B2019" s="46"/>
      <c r="C2019" s="46"/>
      <c r="D2019" s="48"/>
      <c r="E2019" s="48"/>
      <c r="F2019" s="48"/>
      <c r="G2019" s="48"/>
      <c r="H2019" s="48"/>
      <c r="I2019" s="48"/>
    </row>
    <row r="2020" spans="1:9" hidden="1" x14ac:dyDescent="0.2">
      <c r="A2020" s="46"/>
      <c r="B2020" s="46"/>
      <c r="C2020" s="46"/>
      <c r="D2020" s="48"/>
      <c r="E2020" s="48"/>
      <c r="F2020" s="48"/>
      <c r="G2020" s="48"/>
      <c r="H2020" s="48"/>
      <c r="I2020" s="48"/>
    </row>
    <row r="2021" spans="1:9" hidden="1" x14ac:dyDescent="0.2">
      <c r="A2021" s="46"/>
      <c r="B2021" s="46"/>
      <c r="C2021" s="46"/>
      <c r="D2021" s="48"/>
      <c r="E2021" s="48"/>
      <c r="F2021" s="48"/>
      <c r="G2021" s="48"/>
      <c r="H2021" s="48"/>
      <c r="I2021" s="48"/>
    </row>
    <row r="2022" spans="1:9" hidden="1" x14ac:dyDescent="0.2">
      <c r="A2022" s="46"/>
      <c r="B2022" s="46"/>
      <c r="C2022" s="46"/>
      <c r="D2022" s="48"/>
      <c r="E2022" s="48"/>
      <c r="F2022" s="48"/>
      <c r="G2022" s="48"/>
      <c r="H2022" s="48"/>
      <c r="I2022" s="48"/>
    </row>
    <row r="2023" spans="1:9" hidden="1" x14ac:dyDescent="0.2">
      <c r="A2023" s="46"/>
      <c r="B2023" s="46"/>
      <c r="C2023" s="46"/>
      <c r="D2023" s="48"/>
      <c r="E2023" s="48"/>
      <c r="F2023" s="48"/>
      <c r="G2023" s="48"/>
      <c r="H2023" s="48"/>
      <c r="I2023" s="48"/>
    </row>
    <row r="2024" spans="1:9" hidden="1" x14ac:dyDescent="0.2">
      <c r="A2024" s="46"/>
      <c r="B2024" s="46"/>
      <c r="C2024" s="46"/>
      <c r="D2024" s="48"/>
      <c r="E2024" s="48"/>
      <c r="F2024" s="48"/>
      <c r="G2024" s="48"/>
      <c r="H2024" s="48"/>
      <c r="I2024" s="48"/>
    </row>
    <row r="2025" spans="1:9" hidden="1" x14ac:dyDescent="0.2">
      <c r="A2025" s="46"/>
      <c r="B2025" s="46"/>
      <c r="C2025" s="46"/>
      <c r="D2025" s="48"/>
      <c r="E2025" s="48"/>
      <c r="F2025" s="48"/>
      <c r="G2025" s="48"/>
      <c r="H2025" s="48"/>
      <c r="I2025" s="48"/>
    </row>
    <row r="2026" spans="1:9" hidden="1" x14ac:dyDescent="0.2">
      <c r="A2026" s="46"/>
      <c r="B2026" s="46"/>
      <c r="C2026" s="46"/>
      <c r="D2026" s="48"/>
      <c r="E2026" s="48"/>
      <c r="F2026" s="48"/>
      <c r="G2026" s="48"/>
      <c r="H2026" s="48"/>
      <c r="I2026" s="48"/>
    </row>
    <row r="2027" spans="1:9" hidden="1" x14ac:dyDescent="0.2">
      <c r="A2027" s="46"/>
      <c r="B2027" s="46"/>
      <c r="C2027" s="46"/>
      <c r="D2027" s="48"/>
      <c r="E2027" s="48"/>
      <c r="F2027" s="48"/>
      <c r="G2027" s="48"/>
      <c r="H2027" s="48"/>
      <c r="I2027" s="48"/>
    </row>
    <row r="2028" spans="1:9" hidden="1" x14ac:dyDescent="0.2">
      <c r="A2028" s="46"/>
      <c r="B2028" s="46"/>
      <c r="C2028" s="46"/>
      <c r="D2028" s="48"/>
      <c r="E2028" s="48"/>
      <c r="F2028" s="48"/>
      <c r="G2028" s="48"/>
      <c r="H2028" s="48"/>
      <c r="I2028" s="48"/>
    </row>
    <row r="2029" spans="1:9" hidden="1" x14ac:dyDescent="0.2">
      <c r="A2029" s="46"/>
      <c r="B2029" s="46"/>
      <c r="C2029" s="46"/>
      <c r="D2029" s="48"/>
      <c r="E2029" s="48"/>
      <c r="F2029" s="48"/>
      <c r="G2029" s="48"/>
      <c r="H2029" s="48"/>
      <c r="I2029" s="48"/>
    </row>
    <row r="2030" spans="1:9" hidden="1" x14ac:dyDescent="0.2">
      <c r="A2030" s="46"/>
      <c r="B2030" s="46"/>
      <c r="C2030" s="46"/>
      <c r="D2030" s="48"/>
      <c r="E2030" s="48"/>
      <c r="F2030" s="48"/>
      <c r="G2030" s="48"/>
      <c r="H2030" s="48"/>
      <c r="I2030" s="48"/>
    </row>
    <row r="2031" spans="1:9" hidden="1" x14ac:dyDescent="0.2">
      <c r="A2031" s="46"/>
      <c r="B2031" s="46"/>
      <c r="C2031" s="46"/>
      <c r="D2031" s="48"/>
      <c r="E2031" s="48"/>
      <c r="F2031" s="48"/>
      <c r="G2031" s="48"/>
      <c r="H2031" s="48"/>
      <c r="I2031" s="48"/>
    </row>
    <row r="2032" spans="1:9" hidden="1" x14ac:dyDescent="0.2">
      <c r="A2032" s="46"/>
      <c r="B2032" s="46"/>
      <c r="C2032" s="46"/>
      <c r="D2032" s="48"/>
      <c r="E2032" s="48"/>
      <c r="F2032" s="48"/>
      <c r="G2032" s="48"/>
      <c r="H2032" s="48"/>
      <c r="I2032" s="48"/>
    </row>
    <row r="2033" spans="1:9" hidden="1" x14ac:dyDescent="0.2">
      <c r="A2033" s="46"/>
      <c r="B2033" s="46"/>
      <c r="C2033" s="46"/>
      <c r="D2033" s="48"/>
      <c r="E2033" s="48"/>
      <c r="F2033" s="48"/>
      <c r="G2033" s="48"/>
      <c r="H2033" s="48"/>
      <c r="I2033" s="48"/>
    </row>
    <row r="2034" spans="1:9" hidden="1" x14ac:dyDescent="0.2">
      <c r="A2034" s="46"/>
      <c r="B2034" s="46"/>
      <c r="C2034" s="46"/>
      <c r="D2034" s="48"/>
      <c r="E2034" s="48"/>
      <c r="F2034" s="48"/>
      <c r="G2034" s="48"/>
      <c r="H2034" s="48"/>
      <c r="I2034" s="48"/>
    </row>
    <row r="2035" spans="1:9" hidden="1" x14ac:dyDescent="0.2">
      <c r="A2035" s="46"/>
      <c r="B2035" s="46"/>
      <c r="C2035" s="46"/>
      <c r="D2035" s="48"/>
      <c r="E2035" s="48"/>
      <c r="F2035" s="48"/>
      <c r="G2035" s="48"/>
      <c r="H2035" s="48"/>
      <c r="I2035" s="48"/>
    </row>
    <row r="2036" spans="1:9" hidden="1" x14ac:dyDescent="0.2">
      <c r="A2036" s="46"/>
      <c r="B2036" s="46"/>
      <c r="C2036" s="46"/>
      <c r="D2036" s="48"/>
      <c r="E2036" s="48"/>
      <c r="F2036" s="48"/>
      <c r="G2036" s="48"/>
      <c r="H2036" s="48"/>
      <c r="I2036" s="48"/>
    </row>
    <row r="2037" spans="1:9" hidden="1" x14ac:dyDescent="0.2">
      <c r="A2037" s="46"/>
      <c r="B2037" s="46"/>
      <c r="C2037" s="46"/>
      <c r="D2037" s="48"/>
      <c r="E2037" s="48"/>
      <c r="F2037" s="48"/>
      <c r="G2037" s="48"/>
      <c r="H2037" s="48"/>
      <c r="I2037" s="48"/>
    </row>
    <row r="2038" spans="1:9" hidden="1" x14ac:dyDescent="0.2">
      <c r="A2038" s="46"/>
      <c r="B2038" s="46"/>
      <c r="C2038" s="46"/>
      <c r="D2038" s="48"/>
      <c r="E2038" s="48"/>
      <c r="F2038" s="48"/>
      <c r="G2038" s="48"/>
      <c r="H2038" s="48"/>
      <c r="I2038" s="48"/>
    </row>
    <row r="2039" spans="1:9" hidden="1" x14ac:dyDescent="0.2">
      <c r="A2039" s="46"/>
      <c r="B2039" s="46"/>
      <c r="C2039" s="46"/>
      <c r="D2039" s="48"/>
      <c r="E2039" s="48"/>
      <c r="F2039" s="48"/>
      <c r="G2039" s="48"/>
      <c r="H2039" s="48"/>
      <c r="I2039" s="48"/>
    </row>
    <row r="2040" spans="1:9" hidden="1" x14ac:dyDescent="0.2">
      <c r="A2040" s="46"/>
      <c r="B2040" s="46"/>
      <c r="C2040" s="46"/>
      <c r="D2040" s="48"/>
      <c r="E2040" s="48"/>
      <c r="F2040" s="48"/>
      <c r="G2040" s="48"/>
      <c r="H2040" s="48"/>
      <c r="I2040" s="48"/>
    </row>
    <row r="2041" spans="1:9" hidden="1" x14ac:dyDescent="0.2">
      <c r="A2041" s="46"/>
      <c r="B2041" s="46"/>
      <c r="C2041" s="46"/>
      <c r="D2041" s="48"/>
      <c r="E2041" s="48"/>
      <c r="F2041" s="48"/>
      <c r="G2041" s="48"/>
      <c r="H2041" s="48"/>
      <c r="I2041" s="48"/>
    </row>
    <row r="2042" spans="1:9" hidden="1" x14ac:dyDescent="0.2">
      <c r="A2042" s="46"/>
      <c r="B2042" s="46"/>
      <c r="C2042" s="46"/>
      <c r="D2042" s="48"/>
      <c r="E2042" s="48"/>
      <c r="F2042" s="48"/>
      <c r="G2042" s="48"/>
      <c r="H2042" s="48"/>
      <c r="I2042" s="48"/>
    </row>
    <row r="2043" spans="1:9" hidden="1" x14ac:dyDescent="0.2">
      <c r="A2043" s="46"/>
      <c r="B2043" s="46"/>
      <c r="C2043" s="46"/>
      <c r="D2043" s="48"/>
      <c r="E2043" s="48"/>
      <c r="F2043" s="48"/>
      <c r="G2043" s="48"/>
      <c r="H2043" s="48"/>
      <c r="I2043" s="48"/>
    </row>
    <row r="2044" spans="1:9" hidden="1" x14ac:dyDescent="0.2">
      <c r="A2044" s="46"/>
      <c r="B2044" s="46"/>
      <c r="C2044" s="46"/>
      <c r="D2044" s="48"/>
      <c r="E2044" s="48"/>
      <c r="F2044" s="48"/>
      <c r="G2044" s="48"/>
      <c r="H2044" s="48"/>
      <c r="I2044" s="48"/>
    </row>
    <row r="2045" spans="1:9" hidden="1" x14ac:dyDescent="0.2">
      <c r="A2045" s="46"/>
      <c r="B2045" s="46"/>
      <c r="C2045" s="46"/>
      <c r="D2045" s="48"/>
      <c r="E2045" s="48"/>
      <c r="F2045" s="48"/>
      <c r="G2045" s="48"/>
      <c r="H2045" s="48"/>
      <c r="I2045" s="48"/>
    </row>
    <row r="2046" spans="1:9" hidden="1" x14ac:dyDescent="0.2">
      <c r="A2046" s="46"/>
      <c r="B2046" s="46"/>
      <c r="C2046" s="46"/>
      <c r="D2046" s="48"/>
      <c r="E2046" s="48"/>
      <c r="F2046" s="48"/>
      <c r="G2046" s="48"/>
      <c r="H2046" s="48"/>
      <c r="I2046" s="48"/>
    </row>
    <row r="2047" spans="1:9" hidden="1" x14ac:dyDescent="0.2">
      <c r="A2047" s="46"/>
      <c r="B2047" s="46"/>
      <c r="C2047" s="46"/>
      <c r="D2047" s="48"/>
      <c r="E2047" s="48"/>
      <c r="F2047" s="48"/>
      <c r="G2047" s="48"/>
      <c r="H2047" s="48"/>
      <c r="I2047" s="48"/>
    </row>
    <row r="2048" spans="1:9" hidden="1" x14ac:dyDescent="0.2">
      <c r="A2048" s="46"/>
      <c r="B2048" s="46"/>
      <c r="C2048" s="46"/>
      <c r="D2048" s="48"/>
      <c r="E2048" s="48"/>
      <c r="F2048" s="48"/>
      <c r="G2048" s="48"/>
      <c r="H2048" s="48"/>
      <c r="I2048" s="48"/>
    </row>
    <row r="2049" spans="1:9" hidden="1" x14ac:dyDescent="0.2">
      <c r="A2049" s="46"/>
      <c r="B2049" s="46"/>
      <c r="C2049" s="46"/>
      <c r="D2049" s="48"/>
      <c r="E2049" s="48"/>
      <c r="F2049" s="48"/>
      <c r="G2049" s="48"/>
      <c r="H2049" s="48"/>
      <c r="I2049" s="48"/>
    </row>
    <row r="2050" spans="1:9" hidden="1" x14ac:dyDescent="0.2">
      <c r="A2050" s="46"/>
      <c r="B2050" s="46"/>
      <c r="C2050" s="46"/>
      <c r="D2050" s="48"/>
      <c r="E2050" s="48"/>
      <c r="F2050" s="48"/>
      <c r="G2050" s="48"/>
      <c r="H2050" s="48"/>
      <c r="I2050" s="48"/>
    </row>
    <row r="2051" spans="1:9" hidden="1" x14ac:dyDescent="0.2">
      <c r="A2051" s="46"/>
      <c r="B2051" s="46"/>
      <c r="C2051" s="46"/>
      <c r="D2051" s="48"/>
      <c r="E2051" s="48"/>
      <c r="F2051" s="48"/>
      <c r="G2051" s="48"/>
      <c r="H2051" s="48"/>
      <c r="I2051" s="48"/>
    </row>
    <row r="2052" spans="1:9" hidden="1" x14ac:dyDescent="0.2">
      <c r="A2052" s="46"/>
      <c r="B2052" s="46"/>
      <c r="C2052" s="46"/>
      <c r="D2052" s="48"/>
      <c r="E2052" s="48"/>
      <c r="F2052" s="48"/>
      <c r="G2052" s="48"/>
      <c r="H2052" s="48"/>
      <c r="I2052" s="48"/>
    </row>
    <row r="2053" spans="1:9" hidden="1" x14ac:dyDescent="0.2">
      <c r="A2053" s="46"/>
      <c r="B2053" s="46"/>
      <c r="C2053" s="46"/>
      <c r="D2053" s="48"/>
      <c r="E2053" s="48"/>
      <c r="F2053" s="48"/>
      <c r="G2053" s="48"/>
      <c r="H2053" s="48"/>
      <c r="I2053" s="48"/>
    </row>
    <row r="2054" spans="1:9" hidden="1" x14ac:dyDescent="0.2">
      <c r="A2054" s="46"/>
      <c r="B2054" s="46"/>
      <c r="C2054" s="46"/>
      <c r="D2054" s="48"/>
      <c r="E2054" s="48"/>
      <c r="F2054" s="48"/>
      <c r="G2054" s="48"/>
      <c r="H2054" s="48"/>
      <c r="I2054" s="48"/>
    </row>
    <row r="2055" spans="1:9" hidden="1" x14ac:dyDescent="0.2">
      <c r="A2055" s="46"/>
      <c r="B2055" s="46"/>
      <c r="C2055" s="46"/>
      <c r="D2055" s="48"/>
      <c r="E2055" s="48"/>
      <c r="F2055" s="48"/>
      <c r="G2055" s="48"/>
      <c r="H2055" s="48"/>
      <c r="I2055" s="48"/>
    </row>
    <row r="2056" spans="1:9" hidden="1" x14ac:dyDescent="0.2">
      <c r="A2056" s="46"/>
      <c r="B2056" s="46"/>
      <c r="C2056" s="46"/>
      <c r="D2056" s="48"/>
      <c r="E2056" s="48"/>
      <c r="F2056" s="48"/>
      <c r="G2056" s="48"/>
      <c r="H2056" s="48"/>
      <c r="I2056" s="48"/>
    </row>
    <row r="2057" spans="1:9" hidden="1" x14ac:dyDescent="0.2">
      <c r="A2057" s="46"/>
      <c r="B2057" s="46"/>
      <c r="C2057" s="46"/>
      <c r="D2057" s="48"/>
      <c r="E2057" s="48"/>
      <c r="F2057" s="48"/>
      <c r="G2057" s="48"/>
      <c r="H2057" s="48"/>
      <c r="I2057" s="48"/>
    </row>
    <row r="2058" spans="1:9" hidden="1" x14ac:dyDescent="0.2">
      <c r="A2058" s="46"/>
      <c r="B2058" s="46"/>
      <c r="C2058" s="46"/>
      <c r="D2058" s="48"/>
      <c r="E2058" s="48"/>
      <c r="F2058" s="48"/>
      <c r="G2058" s="48"/>
      <c r="H2058" s="48"/>
      <c r="I2058" s="48"/>
    </row>
    <row r="2059" spans="1:9" hidden="1" x14ac:dyDescent="0.2">
      <c r="A2059" s="46"/>
      <c r="B2059" s="46"/>
      <c r="C2059" s="46"/>
      <c r="D2059" s="48"/>
      <c r="E2059" s="48"/>
      <c r="F2059" s="48"/>
      <c r="G2059" s="48"/>
      <c r="H2059" s="48"/>
      <c r="I2059" s="48"/>
    </row>
    <row r="2060" spans="1:9" hidden="1" x14ac:dyDescent="0.2">
      <c r="A2060" s="46"/>
      <c r="B2060" s="46"/>
      <c r="C2060" s="46"/>
      <c r="D2060" s="48"/>
      <c r="E2060" s="48"/>
      <c r="F2060" s="48"/>
      <c r="G2060" s="48"/>
      <c r="H2060" s="48"/>
      <c r="I2060" s="48"/>
    </row>
    <row r="2061" spans="1:9" hidden="1" x14ac:dyDescent="0.2">
      <c r="A2061" s="46"/>
      <c r="B2061" s="46"/>
      <c r="C2061" s="46"/>
      <c r="D2061" s="48"/>
      <c r="E2061" s="48"/>
      <c r="F2061" s="48"/>
      <c r="G2061" s="48"/>
      <c r="H2061" s="48"/>
      <c r="I2061" s="48"/>
    </row>
    <row r="2062" spans="1:9" hidden="1" x14ac:dyDescent="0.2">
      <c r="A2062" s="46"/>
      <c r="B2062" s="46"/>
      <c r="C2062" s="46"/>
      <c r="D2062" s="48"/>
      <c r="E2062" s="48"/>
      <c r="F2062" s="48"/>
      <c r="G2062" s="48"/>
      <c r="H2062" s="48"/>
      <c r="I2062" s="48"/>
    </row>
    <row r="2063" spans="1:9" hidden="1" x14ac:dyDescent="0.2">
      <c r="A2063" s="46"/>
      <c r="B2063" s="46"/>
      <c r="C2063" s="46"/>
      <c r="D2063" s="48"/>
      <c r="E2063" s="48"/>
      <c r="F2063" s="48"/>
      <c r="G2063" s="48"/>
      <c r="H2063" s="48"/>
      <c r="I2063" s="48"/>
    </row>
    <row r="2064" spans="1:9" hidden="1" x14ac:dyDescent="0.2">
      <c r="A2064" s="46"/>
      <c r="B2064" s="46"/>
      <c r="C2064" s="46"/>
      <c r="D2064" s="48"/>
      <c r="E2064" s="48"/>
      <c r="F2064" s="48"/>
      <c r="G2064" s="48"/>
      <c r="H2064" s="48"/>
      <c r="I2064" s="48"/>
    </row>
    <row r="2065" spans="1:9" hidden="1" x14ac:dyDescent="0.2">
      <c r="A2065" s="46"/>
      <c r="B2065" s="46"/>
      <c r="C2065" s="46"/>
      <c r="D2065" s="48"/>
      <c r="E2065" s="48"/>
      <c r="F2065" s="48"/>
      <c r="G2065" s="48"/>
      <c r="H2065" s="48"/>
      <c r="I2065" s="48"/>
    </row>
    <row r="2066" spans="1:9" hidden="1" x14ac:dyDescent="0.2">
      <c r="A2066" s="46"/>
      <c r="B2066" s="46"/>
      <c r="C2066" s="46"/>
      <c r="D2066" s="48"/>
      <c r="E2066" s="48"/>
      <c r="F2066" s="48"/>
      <c r="G2066" s="48"/>
      <c r="H2066" s="48"/>
      <c r="I2066" s="48"/>
    </row>
    <row r="2067" spans="1:9" hidden="1" x14ac:dyDescent="0.2">
      <c r="A2067" s="46"/>
      <c r="B2067" s="46"/>
      <c r="C2067" s="46"/>
      <c r="D2067" s="48"/>
      <c r="E2067" s="48"/>
      <c r="F2067" s="48"/>
      <c r="G2067" s="48"/>
      <c r="H2067" s="48"/>
      <c r="I2067" s="48"/>
    </row>
    <row r="2068" spans="1:9" hidden="1" x14ac:dyDescent="0.2">
      <c r="A2068" s="46"/>
      <c r="B2068" s="46"/>
      <c r="C2068" s="46"/>
      <c r="D2068" s="48"/>
      <c r="E2068" s="48"/>
      <c r="F2068" s="48"/>
      <c r="G2068" s="48"/>
      <c r="H2068" s="48"/>
      <c r="I2068" s="48"/>
    </row>
    <row r="2069" spans="1:9" hidden="1" x14ac:dyDescent="0.2">
      <c r="A2069" s="46"/>
      <c r="B2069" s="46"/>
      <c r="C2069" s="46"/>
      <c r="D2069" s="48"/>
      <c r="E2069" s="48"/>
      <c r="F2069" s="48"/>
      <c r="G2069" s="48"/>
      <c r="H2069" s="48"/>
      <c r="I2069" s="48"/>
    </row>
    <row r="2070" spans="1:9" hidden="1" x14ac:dyDescent="0.2">
      <c r="A2070" s="46"/>
      <c r="B2070" s="46"/>
      <c r="C2070" s="46"/>
      <c r="D2070" s="48"/>
      <c r="E2070" s="48"/>
      <c r="F2070" s="48"/>
      <c r="G2070" s="48"/>
      <c r="H2070" s="48"/>
      <c r="I2070" s="48"/>
    </row>
    <row r="2071" spans="1:9" hidden="1" x14ac:dyDescent="0.2">
      <c r="A2071" s="46"/>
      <c r="B2071" s="46"/>
      <c r="C2071" s="46"/>
      <c r="D2071" s="48"/>
      <c r="E2071" s="48"/>
      <c r="F2071" s="48"/>
      <c r="G2071" s="48"/>
      <c r="H2071" s="48"/>
      <c r="I2071" s="48"/>
    </row>
    <row r="2072" spans="1:9" hidden="1" x14ac:dyDescent="0.2">
      <c r="A2072" s="46"/>
      <c r="B2072" s="46"/>
      <c r="C2072" s="46"/>
      <c r="D2072" s="48"/>
      <c r="E2072" s="48"/>
      <c r="F2072" s="48"/>
      <c r="G2072" s="48"/>
      <c r="H2072" s="48"/>
      <c r="I2072" s="48"/>
    </row>
    <row r="2073" spans="1:9" hidden="1" x14ac:dyDescent="0.2">
      <c r="A2073" s="46"/>
      <c r="B2073" s="46"/>
      <c r="C2073" s="46"/>
      <c r="D2073" s="48"/>
      <c r="E2073" s="48"/>
      <c r="F2073" s="48"/>
      <c r="G2073" s="48"/>
      <c r="H2073" s="48"/>
      <c r="I2073" s="48"/>
    </row>
    <row r="2074" spans="1:9" hidden="1" x14ac:dyDescent="0.2">
      <c r="A2074" s="46"/>
      <c r="B2074" s="46"/>
      <c r="C2074" s="46"/>
      <c r="D2074" s="48"/>
      <c r="E2074" s="48"/>
      <c r="F2074" s="48"/>
      <c r="G2074" s="48"/>
      <c r="H2074" s="48"/>
      <c r="I2074" s="48"/>
    </row>
    <row r="2075" spans="1:9" hidden="1" x14ac:dyDescent="0.2">
      <c r="A2075" s="46"/>
      <c r="B2075" s="46"/>
      <c r="C2075" s="46"/>
      <c r="D2075" s="48"/>
      <c r="E2075" s="48"/>
      <c r="F2075" s="48"/>
      <c r="G2075" s="48"/>
      <c r="H2075" s="48"/>
      <c r="I2075" s="48"/>
    </row>
    <row r="2076" spans="1:9" hidden="1" x14ac:dyDescent="0.2">
      <c r="A2076" s="46"/>
      <c r="B2076" s="46"/>
      <c r="C2076" s="46"/>
      <c r="D2076" s="48"/>
      <c r="E2076" s="48"/>
      <c r="F2076" s="48"/>
      <c r="G2076" s="48"/>
      <c r="H2076" s="48"/>
      <c r="I2076" s="48"/>
    </row>
    <row r="2077" spans="1:9" hidden="1" x14ac:dyDescent="0.2">
      <c r="A2077" s="46"/>
      <c r="B2077" s="46"/>
      <c r="C2077" s="46"/>
      <c r="D2077" s="48"/>
      <c r="E2077" s="48"/>
      <c r="F2077" s="48"/>
      <c r="G2077" s="48"/>
      <c r="H2077" s="48"/>
      <c r="I2077" s="48"/>
    </row>
    <row r="2078" spans="1:9" hidden="1" x14ac:dyDescent="0.2">
      <c r="A2078" s="46"/>
      <c r="B2078" s="46"/>
      <c r="C2078" s="46"/>
      <c r="D2078" s="48"/>
      <c r="E2078" s="48"/>
      <c r="F2078" s="48"/>
      <c r="G2078" s="48"/>
      <c r="H2078" s="48"/>
      <c r="I2078" s="48"/>
    </row>
    <row r="2079" spans="1:9" hidden="1" x14ac:dyDescent="0.2">
      <c r="A2079" s="46"/>
      <c r="B2079" s="46"/>
      <c r="C2079" s="46"/>
      <c r="D2079" s="48"/>
      <c r="E2079" s="48"/>
      <c r="F2079" s="48"/>
      <c r="G2079" s="48"/>
      <c r="H2079" s="48"/>
      <c r="I2079" s="48"/>
    </row>
    <row r="2080" spans="1:9" hidden="1" x14ac:dyDescent="0.2">
      <c r="A2080" s="46"/>
      <c r="B2080" s="46"/>
      <c r="C2080" s="46"/>
      <c r="D2080" s="48"/>
      <c r="E2080" s="48"/>
      <c r="F2080" s="48"/>
      <c r="G2080" s="48"/>
      <c r="H2080" s="48"/>
      <c r="I2080" s="48"/>
    </row>
    <row r="2081" spans="1:9" hidden="1" x14ac:dyDescent="0.2">
      <c r="A2081" s="46"/>
      <c r="B2081" s="46"/>
      <c r="C2081" s="46"/>
      <c r="D2081" s="48"/>
      <c r="E2081" s="48"/>
      <c r="F2081" s="48"/>
      <c r="G2081" s="48"/>
      <c r="H2081" s="48"/>
      <c r="I2081" s="48"/>
    </row>
    <row r="2082" spans="1:9" hidden="1" x14ac:dyDescent="0.2">
      <c r="A2082" s="46"/>
      <c r="B2082" s="46"/>
      <c r="C2082" s="46"/>
      <c r="D2082" s="48"/>
      <c r="E2082" s="48"/>
      <c r="F2082" s="48"/>
      <c r="G2082" s="48"/>
      <c r="H2082" s="48"/>
      <c r="I2082" s="48"/>
    </row>
    <row r="2083" spans="1:9" hidden="1" x14ac:dyDescent="0.2">
      <c r="A2083" s="46"/>
      <c r="B2083" s="46"/>
      <c r="C2083" s="46"/>
      <c r="D2083" s="48"/>
      <c r="E2083" s="48"/>
      <c r="F2083" s="48"/>
      <c r="G2083" s="48"/>
      <c r="H2083" s="48"/>
      <c r="I2083" s="48"/>
    </row>
    <row r="2084" spans="1:9" hidden="1" x14ac:dyDescent="0.2">
      <c r="A2084" s="46"/>
      <c r="B2084" s="46"/>
      <c r="C2084" s="46"/>
      <c r="D2084" s="48"/>
      <c r="E2084" s="48"/>
      <c r="F2084" s="48"/>
      <c r="G2084" s="48"/>
      <c r="H2084" s="48"/>
      <c r="I2084" s="48"/>
    </row>
    <row r="2085" spans="1:9" hidden="1" x14ac:dyDescent="0.2">
      <c r="A2085" s="46"/>
      <c r="B2085" s="46"/>
      <c r="C2085" s="46"/>
      <c r="D2085" s="48"/>
      <c r="E2085" s="48"/>
      <c r="F2085" s="48"/>
      <c r="G2085" s="48"/>
      <c r="H2085" s="48"/>
      <c r="I2085" s="48"/>
    </row>
    <row r="2086" spans="1:9" hidden="1" x14ac:dyDescent="0.2">
      <c r="A2086" s="46"/>
      <c r="B2086" s="46"/>
      <c r="C2086" s="46"/>
      <c r="D2086" s="48"/>
      <c r="E2086" s="48"/>
      <c r="F2086" s="48"/>
      <c r="G2086" s="48"/>
      <c r="H2086" s="48"/>
      <c r="I2086" s="48"/>
    </row>
    <row r="2087" spans="1:9" hidden="1" x14ac:dyDescent="0.2">
      <c r="A2087" s="46"/>
      <c r="B2087" s="46"/>
      <c r="C2087" s="46"/>
      <c r="D2087" s="48"/>
      <c r="E2087" s="48"/>
      <c r="F2087" s="48"/>
      <c r="G2087" s="48"/>
      <c r="H2087" s="48"/>
      <c r="I2087" s="48"/>
    </row>
    <row r="2088" spans="1:9" hidden="1" x14ac:dyDescent="0.2">
      <c r="A2088" s="46"/>
      <c r="B2088" s="46"/>
      <c r="C2088" s="46"/>
      <c r="D2088" s="48"/>
      <c r="E2088" s="48"/>
      <c r="F2088" s="48"/>
      <c r="G2088" s="48"/>
      <c r="H2088" s="48"/>
      <c r="I2088" s="48"/>
    </row>
    <row r="2089" spans="1:9" hidden="1" x14ac:dyDescent="0.2">
      <c r="A2089" s="46"/>
      <c r="B2089" s="46"/>
      <c r="C2089" s="46"/>
      <c r="D2089" s="48"/>
      <c r="E2089" s="48"/>
      <c r="F2089" s="48"/>
      <c r="G2089" s="48"/>
      <c r="H2089" s="48"/>
      <c r="I2089" s="48"/>
    </row>
    <row r="2090" spans="1:9" hidden="1" x14ac:dyDescent="0.2">
      <c r="A2090" s="46"/>
      <c r="B2090" s="46"/>
      <c r="C2090" s="46"/>
      <c r="D2090" s="48"/>
      <c r="E2090" s="48"/>
      <c r="F2090" s="48"/>
      <c r="G2090" s="48"/>
      <c r="H2090" s="48"/>
      <c r="I2090" s="48"/>
    </row>
    <row r="2091" spans="1:9" hidden="1" x14ac:dyDescent="0.2">
      <c r="A2091" s="46"/>
      <c r="B2091" s="46"/>
      <c r="C2091" s="46"/>
      <c r="D2091" s="48"/>
      <c r="E2091" s="48"/>
      <c r="F2091" s="48"/>
      <c r="G2091" s="48"/>
      <c r="H2091" s="48"/>
      <c r="I2091" s="48"/>
    </row>
    <row r="2092" spans="1:9" hidden="1" x14ac:dyDescent="0.2">
      <c r="A2092" s="46"/>
      <c r="B2092" s="46"/>
      <c r="C2092" s="46"/>
      <c r="D2092" s="48"/>
      <c r="E2092" s="48"/>
      <c r="F2092" s="48"/>
      <c r="G2092" s="48"/>
      <c r="H2092" s="48"/>
      <c r="I2092" s="48"/>
    </row>
    <row r="2093" spans="1:9" hidden="1" x14ac:dyDescent="0.2">
      <c r="A2093" s="46"/>
      <c r="B2093" s="46"/>
      <c r="C2093" s="46"/>
      <c r="D2093" s="48"/>
      <c r="E2093" s="48"/>
      <c r="F2093" s="48"/>
      <c r="G2093" s="48"/>
      <c r="H2093" s="48"/>
      <c r="I2093" s="48"/>
    </row>
    <row r="2094" spans="1:9" hidden="1" x14ac:dyDescent="0.2">
      <c r="A2094" s="46"/>
      <c r="B2094" s="46"/>
      <c r="C2094" s="46"/>
      <c r="D2094" s="48"/>
      <c r="E2094" s="48"/>
      <c r="F2094" s="48"/>
      <c r="G2094" s="48"/>
      <c r="H2094" s="48"/>
      <c r="I2094" s="48"/>
    </row>
    <row r="2095" spans="1:9" hidden="1" x14ac:dyDescent="0.2">
      <c r="A2095" s="46"/>
      <c r="B2095" s="46"/>
      <c r="C2095" s="46"/>
      <c r="D2095" s="48"/>
      <c r="E2095" s="48"/>
      <c r="F2095" s="48"/>
      <c r="G2095" s="48"/>
      <c r="H2095" s="48"/>
      <c r="I2095" s="48"/>
    </row>
    <row r="2096" spans="1:9" hidden="1" x14ac:dyDescent="0.2">
      <c r="A2096" s="46"/>
      <c r="B2096" s="46"/>
      <c r="C2096" s="46"/>
      <c r="D2096" s="48"/>
      <c r="E2096" s="48"/>
      <c r="F2096" s="48"/>
      <c r="G2096" s="48"/>
      <c r="H2096" s="48"/>
      <c r="I2096" s="48"/>
    </row>
    <row r="2097" spans="1:9" hidden="1" x14ac:dyDescent="0.2">
      <c r="A2097" s="46"/>
      <c r="B2097" s="46"/>
      <c r="C2097" s="46"/>
      <c r="D2097" s="48"/>
      <c r="E2097" s="48"/>
      <c r="F2097" s="48"/>
      <c r="G2097" s="48"/>
      <c r="H2097" s="48"/>
      <c r="I2097" s="48"/>
    </row>
    <row r="2098" spans="1:9" hidden="1" x14ac:dyDescent="0.2">
      <c r="A2098" s="46"/>
      <c r="B2098" s="46"/>
      <c r="C2098" s="46"/>
      <c r="D2098" s="48"/>
      <c r="E2098" s="48"/>
      <c r="F2098" s="48"/>
      <c r="G2098" s="48"/>
      <c r="H2098" s="48"/>
      <c r="I2098" s="48"/>
    </row>
    <row r="2099" spans="1:9" hidden="1" x14ac:dyDescent="0.2">
      <c r="A2099" s="46"/>
      <c r="B2099" s="46"/>
      <c r="C2099" s="46"/>
      <c r="D2099" s="48"/>
      <c r="E2099" s="48"/>
      <c r="F2099" s="48"/>
      <c r="G2099" s="48"/>
      <c r="H2099" s="48"/>
      <c r="I2099" s="48"/>
    </row>
    <row r="2100" spans="1:9" hidden="1" x14ac:dyDescent="0.2">
      <c r="A2100" s="46"/>
      <c r="B2100" s="46"/>
      <c r="C2100" s="46"/>
      <c r="D2100" s="48"/>
      <c r="E2100" s="48"/>
      <c r="F2100" s="48"/>
      <c r="G2100" s="48"/>
      <c r="H2100" s="48"/>
      <c r="I2100" s="48"/>
    </row>
    <row r="2101" spans="1:9" hidden="1" x14ac:dyDescent="0.2">
      <c r="A2101" s="46"/>
      <c r="B2101" s="46"/>
      <c r="C2101" s="46"/>
      <c r="D2101" s="48"/>
      <c r="E2101" s="48"/>
      <c r="F2101" s="48"/>
      <c r="G2101" s="48"/>
      <c r="H2101" s="48"/>
      <c r="I2101" s="48"/>
    </row>
    <row r="2102" spans="1:9" hidden="1" x14ac:dyDescent="0.2">
      <c r="A2102" s="46"/>
      <c r="B2102" s="46"/>
      <c r="C2102" s="46"/>
      <c r="D2102" s="48"/>
      <c r="E2102" s="48"/>
      <c r="F2102" s="48"/>
      <c r="G2102" s="48"/>
      <c r="H2102" s="48"/>
      <c r="I2102" s="48"/>
    </row>
    <row r="2103" spans="1:9" hidden="1" x14ac:dyDescent="0.2">
      <c r="A2103" s="46"/>
      <c r="B2103" s="46"/>
      <c r="C2103" s="46"/>
      <c r="D2103" s="48"/>
      <c r="E2103" s="48"/>
      <c r="F2103" s="48"/>
      <c r="G2103" s="48"/>
      <c r="H2103" s="48"/>
      <c r="I2103" s="48"/>
    </row>
    <row r="2104" spans="1:9" hidden="1" x14ac:dyDescent="0.2">
      <c r="A2104" s="46"/>
      <c r="B2104" s="46"/>
      <c r="C2104" s="46"/>
      <c r="D2104" s="48"/>
      <c r="E2104" s="48"/>
      <c r="F2104" s="48"/>
      <c r="G2104" s="48"/>
      <c r="H2104" s="48"/>
      <c r="I2104" s="48"/>
    </row>
    <row r="2105" spans="1:9" hidden="1" x14ac:dyDescent="0.2">
      <c r="A2105" s="46"/>
      <c r="B2105" s="46"/>
      <c r="C2105" s="46"/>
      <c r="D2105" s="48"/>
      <c r="E2105" s="48"/>
      <c r="F2105" s="48"/>
      <c r="G2105" s="48"/>
      <c r="H2105" s="48"/>
      <c r="I2105" s="48"/>
    </row>
    <row r="2106" spans="1:9" hidden="1" x14ac:dyDescent="0.2">
      <c r="A2106" s="46"/>
      <c r="B2106" s="46"/>
      <c r="C2106" s="46"/>
      <c r="D2106" s="48"/>
      <c r="E2106" s="48"/>
      <c r="F2106" s="48"/>
      <c r="G2106" s="48"/>
      <c r="H2106" s="48"/>
      <c r="I2106" s="48"/>
    </row>
    <row r="2107" spans="1:9" hidden="1" x14ac:dyDescent="0.2">
      <c r="A2107" s="46"/>
      <c r="B2107" s="46"/>
      <c r="C2107" s="46"/>
      <c r="D2107" s="48"/>
      <c r="E2107" s="48"/>
      <c r="F2107" s="48"/>
      <c r="G2107" s="48"/>
      <c r="H2107" s="48"/>
      <c r="I2107" s="48"/>
    </row>
    <row r="2108" spans="1:9" hidden="1" x14ac:dyDescent="0.2">
      <c r="A2108" s="46"/>
      <c r="B2108" s="46"/>
      <c r="C2108" s="46"/>
      <c r="D2108" s="48"/>
      <c r="E2108" s="48"/>
      <c r="F2108" s="48"/>
      <c r="G2108" s="48"/>
      <c r="H2108" s="48"/>
      <c r="I2108" s="48"/>
    </row>
    <row r="2109" spans="1:9" hidden="1" x14ac:dyDescent="0.2">
      <c r="A2109" s="46"/>
      <c r="B2109" s="46"/>
      <c r="C2109" s="46"/>
      <c r="D2109" s="48"/>
      <c r="E2109" s="48"/>
      <c r="F2109" s="48"/>
      <c r="G2109" s="48"/>
      <c r="H2109" s="48"/>
      <c r="I2109" s="48"/>
    </row>
    <row r="2110" spans="1:9" hidden="1" x14ac:dyDescent="0.2">
      <c r="A2110" s="46"/>
      <c r="B2110" s="46"/>
      <c r="C2110" s="46"/>
      <c r="D2110" s="48"/>
      <c r="E2110" s="48"/>
      <c r="F2110" s="48"/>
      <c r="G2110" s="48"/>
      <c r="H2110" s="48"/>
      <c r="I2110" s="48"/>
    </row>
    <row r="2111" spans="1:9" hidden="1" x14ac:dyDescent="0.2">
      <c r="A2111" s="46"/>
      <c r="B2111" s="46"/>
      <c r="C2111" s="46"/>
      <c r="D2111" s="48"/>
      <c r="E2111" s="48"/>
      <c r="F2111" s="48"/>
      <c r="G2111" s="48"/>
      <c r="H2111" s="48"/>
      <c r="I2111" s="48"/>
    </row>
    <row r="2112" spans="1:9" hidden="1" x14ac:dyDescent="0.2">
      <c r="A2112" s="46"/>
      <c r="B2112" s="46"/>
      <c r="C2112" s="46"/>
      <c r="D2112" s="48"/>
      <c r="E2112" s="48"/>
      <c r="F2112" s="48"/>
      <c r="G2112" s="48"/>
      <c r="H2112" s="48"/>
      <c r="I2112" s="48"/>
    </row>
    <row r="2113" spans="1:9" hidden="1" x14ac:dyDescent="0.2">
      <c r="A2113" s="46"/>
      <c r="B2113" s="46"/>
      <c r="C2113" s="46"/>
      <c r="D2113" s="48"/>
      <c r="E2113" s="48"/>
      <c r="F2113" s="48"/>
      <c r="G2113" s="48"/>
      <c r="H2113" s="48"/>
      <c r="I2113" s="48"/>
    </row>
    <row r="2114" spans="1:9" hidden="1" x14ac:dyDescent="0.2">
      <c r="A2114" s="46"/>
      <c r="B2114" s="46"/>
      <c r="C2114" s="46"/>
      <c r="D2114" s="48"/>
      <c r="E2114" s="48"/>
      <c r="F2114" s="48"/>
      <c r="G2114" s="48"/>
      <c r="H2114" s="48"/>
      <c r="I2114" s="48"/>
    </row>
    <row r="2115" spans="1:9" hidden="1" x14ac:dyDescent="0.2">
      <c r="A2115" s="46"/>
      <c r="B2115" s="46"/>
      <c r="C2115" s="46"/>
      <c r="D2115" s="48"/>
      <c r="E2115" s="48"/>
      <c r="F2115" s="48"/>
      <c r="G2115" s="48"/>
      <c r="H2115" s="48"/>
      <c r="I2115" s="48"/>
    </row>
    <row r="2116" spans="1:9" hidden="1" x14ac:dyDescent="0.2">
      <c r="A2116" s="46"/>
      <c r="B2116" s="46"/>
      <c r="C2116" s="46"/>
      <c r="D2116" s="48"/>
      <c r="E2116" s="48"/>
      <c r="F2116" s="48"/>
      <c r="G2116" s="48"/>
      <c r="H2116" s="48"/>
      <c r="I2116" s="48"/>
    </row>
    <row r="2117" spans="1:9" hidden="1" x14ac:dyDescent="0.2">
      <c r="A2117" s="46"/>
      <c r="B2117" s="46"/>
      <c r="C2117" s="46"/>
      <c r="D2117" s="48"/>
      <c r="E2117" s="48"/>
      <c r="F2117" s="48"/>
      <c r="G2117" s="48"/>
      <c r="H2117" s="48"/>
      <c r="I2117" s="48"/>
    </row>
    <row r="2118" spans="1:9" hidden="1" x14ac:dyDescent="0.2">
      <c r="A2118" s="46"/>
      <c r="B2118" s="46"/>
      <c r="C2118" s="46"/>
      <c r="D2118" s="48"/>
      <c r="E2118" s="48"/>
      <c r="F2118" s="48"/>
      <c r="G2118" s="48"/>
      <c r="H2118" s="48"/>
      <c r="I2118" s="48"/>
    </row>
    <row r="2119" spans="1:9" hidden="1" x14ac:dyDescent="0.2">
      <c r="A2119" s="46"/>
      <c r="B2119" s="46"/>
      <c r="C2119" s="46"/>
      <c r="D2119" s="48"/>
      <c r="E2119" s="48"/>
      <c r="F2119" s="48"/>
      <c r="G2119" s="48"/>
      <c r="H2119" s="48"/>
      <c r="I2119" s="48"/>
    </row>
    <row r="2120" spans="1:9" hidden="1" x14ac:dyDescent="0.2">
      <c r="A2120" s="46"/>
      <c r="B2120" s="46"/>
      <c r="C2120" s="46"/>
      <c r="D2120" s="48"/>
      <c r="E2120" s="48"/>
      <c r="F2120" s="48"/>
      <c r="G2120" s="48"/>
      <c r="H2120" s="48"/>
      <c r="I2120" s="48"/>
    </row>
    <row r="2121" spans="1:9" hidden="1" x14ac:dyDescent="0.2">
      <c r="A2121" s="46"/>
      <c r="B2121" s="46"/>
      <c r="C2121" s="46"/>
      <c r="D2121" s="48"/>
      <c r="E2121" s="48"/>
      <c r="F2121" s="48"/>
      <c r="G2121" s="48"/>
      <c r="H2121" s="48"/>
      <c r="I2121" s="48"/>
    </row>
    <row r="2122" spans="1:9" hidden="1" x14ac:dyDescent="0.2">
      <c r="A2122" s="46"/>
      <c r="B2122" s="46"/>
      <c r="C2122" s="46"/>
      <c r="D2122" s="48"/>
      <c r="E2122" s="48"/>
      <c r="F2122" s="48"/>
      <c r="G2122" s="48"/>
      <c r="H2122" s="48"/>
      <c r="I2122" s="48"/>
    </row>
    <row r="2123" spans="1:9" hidden="1" x14ac:dyDescent="0.2">
      <c r="A2123" s="46"/>
      <c r="B2123" s="46"/>
      <c r="C2123" s="46"/>
      <c r="D2123" s="48"/>
      <c r="E2123" s="48"/>
      <c r="F2123" s="48"/>
      <c r="G2123" s="48"/>
      <c r="H2123" s="48"/>
      <c r="I2123" s="48"/>
    </row>
    <row r="2124" spans="1:9" hidden="1" x14ac:dyDescent="0.2">
      <c r="A2124" s="46"/>
      <c r="B2124" s="46"/>
      <c r="C2124" s="46"/>
      <c r="D2124" s="48"/>
      <c r="E2124" s="48"/>
      <c r="F2124" s="48"/>
      <c r="G2124" s="48"/>
      <c r="H2124" s="48"/>
      <c r="I2124" s="48"/>
    </row>
    <row r="2125" spans="1:9" hidden="1" x14ac:dyDescent="0.2">
      <c r="A2125" s="46"/>
      <c r="B2125" s="46"/>
      <c r="C2125" s="46"/>
      <c r="D2125" s="48"/>
      <c r="E2125" s="48"/>
      <c r="F2125" s="48"/>
      <c r="G2125" s="48"/>
      <c r="H2125" s="48"/>
      <c r="I2125" s="48"/>
    </row>
    <row r="2126" spans="1:9" hidden="1" x14ac:dyDescent="0.2">
      <c r="A2126" s="46"/>
      <c r="B2126" s="46"/>
      <c r="C2126" s="46"/>
      <c r="D2126" s="48"/>
      <c r="E2126" s="48"/>
      <c r="F2126" s="48"/>
      <c r="G2126" s="48"/>
      <c r="H2126" s="48"/>
      <c r="I2126" s="48"/>
    </row>
    <row r="2127" spans="1:9" hidden="1" x14ac:dyDescent="0.2">
      <c r="A2127" s="46"/>
      <c r="B2127" s="46"/>
      <c r="C2127" s="46"/>
      <c r="D2127" s="48"/>
      <c r="E2127" s="48"/>
      <c r="F2127" s="48"/>
      <c r="G2127" s="48"/>
      <c r="H2127" s="48"/>
      <c r="I2127" s="48"/>
    </row>
    <row r="2128" spans="1:9" hidden="1" x14ac:dyDescent="0.2">
      <c r="A2128" s="46"/>
      <c r="B2128" s="46"/>
      <c r="C2128" s="46"/>
      <c r="D2128" s="48"/>
      <c r="E2128" s="48"/>
      <c r="F2128" s="48"/>
      <c r="G2128" s="48"/>
      <c r="H2128" s="48"/>
      <c r="I2128" s="48"/>
    </row>
    <row r="2129" spans="1:9" hidden="1" x14ac:dyDescent="0.2">
      <c r="A2129" s="46"/>
      <c r="B2129" s="46"/>
      <c r="C2129" s="46"/>
      <c r="D2129" s="48"/>
      <c r="E2129" s="48"/>
      <c r="F2129" s="48"/>
      <c r="G2129" s="48"/>
      <c r="H2129" s="48"/>
      <c r="I2129" s="48"/>
    </row>
    <row r="2130" spans="1:9" hidden="1" x14ac:dyDescent="0.2">
      <c r="A2130" s="46"/>
      <c r="B2130" s="46"/>
      <c r="C2130" s="46"/>
      <c r="D2130" s="48"/>
      <c r="E2130" s="48"/>
      <c r="F2130" s="48"/>
      <c r="G2130" s="48"/>
      <c r="H2130" s="48"/>
      <c r="I2130" s="48"/>
    </row>
    <row r="2131" spans="1:9" hidden="1" x14ac:dyDescent="0.2">
      <c r="A2131" s="46"/>
      <c r="B2131" s="46"/>
      <c r="C2131" s="46"/>
      <c r="D2131" s="48"/>
      <c r="E2131" s="48"/>
      <c r="F2131" s="48"/>
      <c r="G2131" s="48"/>
      <c r="H2131" s="48"/>
      <c r="I2131" s="48"/>
    </row>
    <row r="2132" spans="1:9" hidden="1" x14ac:dyDescent="0.2">
      <c r="A2132" s="46"/>
      <c r="B2132" s="46"/>
      <c r="C2132" s="46"/>
      <c r="D2132" s="48"/>
      <c r="E2132" s="48"/>
      <c r="F2132" s="48"/>
      <c r="G2132" s="48"/>
      <c r="H2132" s="48"/>
      <c r="I2132" s="48"/>
    </row>
    <row r="2133" spans="1:9" hidden="1" x14ac:dyDescent="0.2">
      <c r="A2133" s="46"/>
      <c r="B2133" s="46"/>
      <c r="C2133" s="46"/>
      <c r="D2133" s="48"/>
      <c r="E2133" s="48"/>
      <c r="F2133" s="48"/>
      <c r="G2133" s="48"/>
      <c r="H2133" s="48"/>
      <c r="I2133" s="48"/>
    </row>
    <row r="2134" spans="1:9" hidden="1" x14ac:dyDescent="0.2">
      <c r="A2134" s="46"/>
      <c r="B2134" s="46"/>
      <c r="C2134" s="46"/>
      <c r="D2134" s="48"/>
      <c r="E2134" s="48"/>
      <c r="F2134" s="48"/>
      <c r="G2134" s="48"/>
      <c r="H2134" s="48"/>
      <c r="I2134" s="48"/>
    </row>
    <row r="2135" spans="1:9" hidden="1" x14ac:dyDescent="0.2">
      <c r="A2135" s="46"/>
      <c r="B2135" s="46"/>
      <c r="C2135" s="46"/>
      <c r="D2135" s="48"/>
      <c r="E2135" s="48"/>
      <c r="F2135" s="48"/>
      <c r="G2135" s="48"/>
      <c r="H2135" s="48"/>
      <c r="I2135" s="48"/>
    </row>
    <row r="2136" spans="1:9" hidden="1" x14ac:dyDescent="0.2">
      <c r="A2136" s="46"/>
      <c r="B2136" s="46"/>
      <c r="C2136" s="46"/>
      <c r="D2136" s="48"/>
      <c r="E2136" s="48"/>
      <c r="F2136" s="48"/>
      <c r="G2136" s="48"/>
      <c r="H2136" s="48"/>
      <c r="I2136" s="48"/>
    </row>
    <row r="2137" spans="1:9" hidden="1" x14ac:dyDescent="0.2">
      <c r="A2137" s="46"/>
      <c r="B2137" s="46"/>
      <c r="C2137" s="46"/>
      <c r="D2137" s="48"/>
      <c r="E2137" s="48"/>
      <c r="F2137" s="48"/>
      <c r="G2137" s="48"/>
      <c r="H2137" s="48"/>
      <c r="I2137" s="48"/>
    </row>
    <row r="2138" spans="1:9" hidden="1" x14ac:dyDescent="0.2">
      <c r="A2138" s="46"/>
      <c r="B2138" s="46"/>
      <c r="C2138" s="46"/>
      <c r="D2138" s="48"/>
      <c r="E2138" s="48"/>
      <c r="F2138" s="48"/>
      <c r="G2138" s="48"/>
      <c r="H2138" s="48"/>
      <c r="I2138" s="48"/>
    </row>
    <row r="2139" spans="1:9" hidden="1" x14ac:dyDescent="0.2">
      <c r="A2139" s="46"/>
      <c r="B2139" s="46"/>
      <c r="C2139" s="46"/>
      <c r="D2139" s="48"/>
      <c r="E2139" s="48"/>
      <c r="F2139" s="48"/>
      <c r="G2139" s="48"/>
      <c r="H2139" s="48"/>
      <c r="I2139" s="48"/>
    </row>
    <row r="2140" spans="1:9" hidden="1" x14ac:dyDescent="0.2">
      <c r="A2140" s="46"/>
      <c r="B2140" s="46"/>
      <c r="C2140" s="46"/>
      <c r="D2140" s="48"/>
      <c r="E2140" s="48"/>
      <c r="F2140" s="48"/>
      <c r="G2140" s="48"/>
      <c r="H2140" s="48"/>
      <c r="I2140" s="48"/>
    </row>
    <row r="2141" spans="1:9" hidden="1" x14ac:dyDescent="0.2">
      <c r="A2141" s="46"/>
      <c r="B2141" s="46"/>
      <c r="C2141" s="46"/>
      <c r="D2141" s="48"/>
      <c r="E2141" s="48"/>
      <c r="F2141" s="48"/>
      <c r="G2141" s="48"/>
      <c r="H2141" s="48"/>
      <c r="I2141" s="48"/>
    </row>
    <row r="2142" spans="1:9" hidden="1" x14ac:dyDescent="0.2">
      <c r="A2142" s="46"/>
      <c r="B2142" s="46"/>
      <c r="C2142" s="46"/>
      <c r="D2142" s="48"/>
      <c r="E2142" s="48"/>
      <c r="F2142" s="48"/>
      <c r="G2142" s="48"/>
      <c r="H2142" s="48"/>
      <c r="I2142" s="48"/>
    </row>
    <row r="2143" spans="1:9" hidden="1" x14ac:dyDescent="0.2">
      <c r="A2143" s="46"/>
      <c r="B2143" s="46"/>
      <c r="C2143" s="46"/>
      <c r="D2143" s="48"/>
      <c r="E2143" s="48"/>
      <c r="F2143" s="48"/>
      <c r="G2143" s="48"/>
      <c r="H2143" s="48"/>
      <c r="I2143" s="48"/>
    </row>
    <row r="2144" spans="1:9" hidden="1" x14ac:dyDescent="0.2">
      <c r="A2144" s="46"/>
      <c r="B2144" s="46"/>
      <c r="C2144" s="46"/>
      <c r="D2144" s="48"/>
      <c r="E2144" s="48"/>
      <c r="F2144" s="48"/>
      <c r="G2144" s="48"/>
      <c r="H2144" s="48"/>
      <c r="I2144" s="48"/>
    </row>
    <row r="2145" spans="1:9" hidden="1" x14ac:dyDescent="0.2">
      <c r="A2145" s="46"/>
      <c r="B2145" s="46"/>
      <c r="C2145" s="46"/>
      <c r="D2145" s="48"/>
      <c r="E2145" s="48"/>
      <c r="F2145" s="48"/>
      <c r="G2145" s="48"/>
      <c r="H2145" s="48"/>
      <c r="I2145" s="48"/>
    </row>
    <row r="2146" spans="1:9" hidden="1" x14ac:dyDescent="0.2">
      <c r="A2146" s="46"/>
      <c r="B2146" s="46"/>
      <c r="C2146" s="46"/>
      <c r="D2146" s="48"/>
      <c r="E2146" s="48"/>
      <c r="F2146" s="48"/>
      <c r="G2146" s="48"/>
      <c r="H2146" s="48"/>
      <c r="I2146" s="48"/>
    </row>
    <row r="2147" spans="1:9" hidden="1" x14ac:dyDescent="0.2">
      <c r="A2147" s="46"/>
      <c r="B2147" s="46"/>
      <c r="C2147" s="46"/>
      <c r="D2147" s="48"/>
      <c r="E2147" s="48"/>
      <c r="F2147" s="48"/>
      <c r="G2147" s="48"/>
      <c r="H2147" s="48"/>
      <c r="I2147" s="48"/>
    </row>
    <row r="2148" spans="1:9" hidden="1" x14ac:dyDescent="0.2">
      <c r="A2148" s="46"/>
      <c r="B2148" s="46"/>
      <c r="C2148" s="46"/>
      <c r="D2148" s="48"/>
      <c r="E2148" s="48"/>
      <c r="F2148" s="48"/>
      <c r="G2148" s="48"/>
      <c r="H2148" s="48"/>
      <c r="I2148" s="48"/>
    </row>
    <row r="2149" spans="1:9" hidden="1" x14ac:dyDescent="0.2">
      <c r="A2149" s="46"/>
      <c r="B2149" s="46"/>
      <c r="C2149" s="46"/>
      <c r="D2149" s="48"/>
      <c r="E2149" s="48"/>
      <c r="F2149" s="48"/>
      <c r="G2149" s="48"/>
      <c r="H2149" s="48"/>
      <c r="I2149" s="48"/>
    </row>
    <row r="2150" spans="1:9" hidden="1" x14ac:dyDescent="0.2">
      <c r="A2150" s="46"/>
      <c r="B2150" s="46"/>
      <c r="C2150" s="46"/>
      <c r="D2150" s="48"/>
      <c r="E2150" s="48"/>
      <c r="F2150" s="48"/>
      <c r="G2150" s="48"/>
      <c r="H2150" s="48"/>
      <c r="I2150" s="48"/>
    </row>
    <row r="2151" spans="1:9" hidden="1" x14ac:dyDescent="0.2">
      <c r="A2151" s="46"/>
      <c r="B2151" s="46"/>
      <c r="C2151" s="46"/>
      <c r="D2151" s="48"/>
      <c r="E2151" s="48"/>
      <c r="F2151" s="48"/>
      <c r="G2151" s="48"/>
      <c r="H2151" s="48"/>
      <c r="I2151" s="48"/>
    </row>
    <row r="2152" spans="1:9" hidden="1" x14ac:dyDescent="0.2">
      <c r="A2152" s="46"/>
      <c r="B2152" s="46"/>
      <c r="C2152" s="46"/>
      <c r="D2152" s="48"/>
      <c r="E2152" s="48"/>
      <c r="F2152" s="48"/>
      <c r="G2152" s="48"/>
      <c r="H2152" s="48"/>
      <c r="I2152" s="48"/>
    </row>
    <row r="2153" spans="1:9" hidden="1" x14ac:dyDescent="0.2">
      <c r="A2153" s="46"/>
      <c r="B2153" s="46"/>
      <c r="C2153" s="46"/>
      <c r="D2153" s="48"/>
      <c r="E2153" s="48"/>
      <c r="F2153" s="48"/>
      <c r="G2153" s="48"/>
      <c r="H2153" s="48"/>
      <c r="I2153" s="48"/>
    </row>
    <row r="2154" spans="1:9" hidden="1" x14ac:dyDescent="0.2">
      <c r="A2154" s="46"/>
      <c r="B2154" s="46"/>
      <c r="C2154" s="46"/>
      <c r="D2154" s="48"/>
      <c r="E2154" s="48"/>
      <c r="F2154" s="48"/>
      <c r="G2154" s="48"/>
      <c r="H2154" s="48"/>
      <c r="I2154" s="48"/>
    </row>
    <row r="2155" spans="1:9" hidden="1" x14ac:dyDescent="0.2">
      <c r="A2155" s="46"/>
      <c r="B2155" s="46"/>
      <c r="C2155" s="46"/>
      <c r="D2155" s="48"/>
      <c r="E2155" s="48"/>
      <c r="F2155" s="48"/>
      <c r="G2155" s="48"/>
      <c r="H2155" s="48"/>
      <c r="I2155" s="48"/>
    </row>
    <row r="2156" spans="1:9" hidden="1" x14ac:dyDescent="0.2">
      <c r="A2156" s="46"/>
      <c r="B2156" s="46"/>
      <c r="C2156" s="46"/>
      <c r="D2156" s="48"/>
      <c r="E2156" s="48"/>
      <c r="F2156" s="48"/>
      <c r="G2156" s="48"/>
      <c r="H2156" s="48"/>
      <c r="I2156" s="48"/>
    </row>
    <row r="2157" spans="1:9" hidden="1" x14ac:dyDescent="0.2">
      <c r="A2157" s="46"/>
      <c r="B2157" s="46"/>
      <c r="C2157" s="46"/>
      <c r="D2157" s="48"/>
      <c r="E2157" s="48"/>
      <c r="F2157" s="48"/>
      <c r="G2157" s="48"/>
      <c r="H2157" s="48"/>
      <c r="I2157" s="48"/>
    </row>
    <row r="2158" spans="1:9" hidden="1" x14ac:dyDescent="0.2">
      <c r="A2158" s="46"/>
      <c r="B2158" s="46"/>
      <c r="C2158" s="46"/>
      <c r="D2158" s="48"/>
      <c r="E2158" s="48"/>
      <c r="F2158" s="48"/>
      <c r="G2158" s="48"/>
      <c r="H2158" s="48"/>
      <c r="I2158" s="48"/>
    </row>
    <row r="2159" spans="1:9" hidden="1" x14ac:dyDescent="0.2">
      <c r="A2159" s="46"/>
      <c r="B2159" s="46"/>
      <c r="C2159" s="46"/>
      <c r="D2159" s="48"/>
      <c r="E2159" s="48"/>
      <c r="F2159" s="48"/>
      <c r="G2159" s="48"/>
      <c r="H2159" s="48"/>
      <c r="I2159" s="48"/>
    </row>
    <row r="2160" spans="1:9" hidden="1" x14ac:dyDescent="0.2">
      <c r="A2160" s="46"/>
      <c r="B2160" s="46"/>
      <c r="C2160" s="46"/>
      <c r="D2160" s="48"/>
      <c r="E2160" s="48"/>
      <c r="F2160" s="48"/>
      <c r="G2160" s="48"/>
      <c r="H2160" s="48"/>
      <c r="I2160" s="48"/>
    </row>
    <row r="2161" spans="1:9" hidden="1" x14ac:dyDescent="0.2">
      <c r="A2161" s="46"/>
      <c r="B2161" s="46"/>
      <c r="C2161" s="46"/>
      <c r="D2161" s="48"/>
      <c r="E2161" s="48"/>
      <c r="F2161" s="48"/>
      <c r="G2161" s="48"/>
      <c r="H2161" s="48"/>
      <c r="I2161" s="48"/>
    </row>
    <row r="2162" spans="1:9" hidden="1" x14ac:dyDescent="0.2">
      <c r="A2162" s="46"/>
      <c r="B2162" s="46"/>
      <c r="C2162" s="46"/>
      <c r="D2162" s="48"/>
      <c r="E2162" s="48"/>
      <c r="F2162" s="48"/>
      <c r="G2162" s="48"/>
      <c r="H2162" s="48"/>
      <c r="I2162" s="48"/>
    </row>
    <row r="2163" spans="1:9" hidden="1" x14ac:dyDescent="0.2">
      <c r="A2163" s="46"/>
      <c r="B2163" s="46"/>
      <c r="C2163" s="46"/>
      <c r="D2163" s="48"/>
      <c r="E2163" s="48"/>
      <c r="F2163" s="48"/>
      <c r="G2163" s="48"/>
      <c r="H2163" s="48"/>
      <c r="I2163" s="48"/>
    </row>
    <row r="2164" spans="1:9" hidden="1" x14ac:dyDescent="0.2">
      <c r="A2164" s="46"/>
      <c r="B2164" s="46"/>
      <c r="C2164" s="46"/>
      <c r="D2164" s="48"/>
      <c r="E2164" s="48"/>
      <c r="F2164" s="48"/>
      <c r="G2164" s="48"/>
      <c r="H2164" s="48"/>
      <c r="I2164" s="48"/>
    </row>
    <row r="2165" spans="1:9" hidden="1" x14ac:dyDescent="0.2">
      <c r="A2165" s="46"/>
      <c r="B2165" s="46"/>
      <c r="C2165" s="46"/>
      <c r="D2165" s="48"/>
      <c r="E2165" s="48"/>
      <c r="F2165" s="48"/>
      <c r="G2165" s="48"/>
      <c r="H2165" s="48"/>
      <c r="I2165" s="48"/>
    </row>
    <row r="2166" spans="1:9" hidden="1" x14ac:dyDescent="0.2">
      <c r="A2166" s="46"/>
      <c r="B2166" s="46"/>
      <c r="C2166" s="46"/>
      <c r="D2166" s="48"/>
      <c r="E2166" s="48"/>
      <c r="F2166" s="48"/>
      <c r="G2166" s="48"/>
      <c r="H2166" s="48"/>
      <c r="I2166" s="48"/>
    </row>
    <row r="2167" spans="1:9" hidden="1" x14ac:dyDescent="0.2">
      <c r="A2167" s="46"/>
      <c r="B2167" s="46"/>
      <c r="C2167" s="46"/>
      <c r="D2167" s="48"/>
      <c r="E2167" s="48"/>
      <c r="F2167" s="48"/>
      <c r="G2167" s="48"/>
      <c r="H2167" s="48"/>
      <c r="I2167" s="48"/>
    </row>
    <row r="2168" spans="1:9" hidden="1" x14ac:dyDescent="0.2">
      <c r="A2168" s="46"/>
      <c r="B2168" s="46"/>
      <c r="C2168" s="46"/>
      <c r="D2168" s="48"/>
      <c r="E2168" s="48"/>
      <c r="F2168" s="48"/>
      <c r="G2168" s="48"/>
      <c r="H2168" s="48"/>
      <c r="I2168" s="48"/>
    </row>
    <row r="2169" spans="1:9" hidden="1" x14ac:dyDescent="0.2">
      <c r="A2169" s="46"/>
      <c r="B2169" s="46"/>
      <c r="C2169" s="46"/>
      <c r="D2169" s="48"/>
      <c r="E2169" s="48"/>
      <c r="F2169" s="48"/>
      <c r="G2169" s="48"/>
      <c r="H2169" s="48"/>
      <c r="I2169" s="48"/>
    </row>
    <row r="2170" spans="1:9" hidden="1" x14ac:dyDescent="0.2">
      <c r="A2170" s="46"/>
      <c r="B2170" s="46"/>
      <c r="C2170" s="46"/>
      <c r="D2170" s="48"/>
      <c r="E2170" s="48"/>
      <c r="F2170" s="48"/>
      <c r="G2170" s="48"/>
      <c r="H2170" s="48"/>
      <c r="I2170" s="48"/>
    </row>
    <row r="2171" spans="1:9" hidden="1" x14ac:dyDescent="0.2">
      <c r="A2171" s="46"/>
      <c r="B2171" s="46"/>
      <c r="C2171" s="46"/>
      <c r="D2171" s="48"/>
      <c r="E2171" s="48"/>
      <c r="F2171" s="48"/>
      <c r="G2171" s="48"/>
      <c r="H2171" s="48"/>
      <c r="I2171" s="48"/>
    </row>
    <row r="2172" spans="1:9" hidden="1" x14ac:dyDescent="0.2">
      <c r="A2172" s="46"/>
      <c r="B2172" s="46"/>
      <c r="C2172" s="46"/>
      <c r="D2172" s="48"/>
      <c r="E2172" s="48"/>
      <c r="F2172" s="48"/>
      <c r="G2172" s="48"/>
      <c r="H2172" s="48"/>
      <c r="I2172" s="48"/>
    </row>
    <row r="2173" spans="1:9" hidden="1" x14ac:dyDescent="0.2">
      <c r="A2173" s="46"/>
      <c r="B2173" s="46"/>
      <c r="C2173" s="46"/>
      <c r="D2173" s="48"/>
      <c r="E2173" s="48"/>
      <c r="F2173" s="48"/>
      <c r="G2173" s="48"/>
      <c r="H2173" s="48"/>
      <c r="I2173" s="48"/>
    </row>
    <row r="2174" spans="1:9" hidden="1" x14ac:dyDescent="0.2">
      <c r="A2174" s="46"/>
      <c r="B2174" s="46"/>
      <c r="C2174" s="46"/>
      <c r="D2174" s="48"/>
      <c r="E2174" s="48"/>
      <c r="F2174" s="48"/>
      <c r="G2174" s="48"/>
      <c r="H2174" s="48"/>
      <c r="I2174" s="48"/>
    </row>
    <row r="2175" spans="1:9" hidden="1" x14ac:dyDescent="0.2">
      <c r="A2175" s="46"/>
      <c r="B2175" s="46"/>
      <c r="C2175" s="46"/>
      <c r="D2175" s="48"/>
      <c r="E2175" s="48"/>
      <c r="F2175" s="48"/>
      <c r="G2175" s="48"/>
      <c r="H2175" s="48"/>
      <c r="I2175" s="48"/>
    </row>
    <row r="2176" spans="1:9" hidden="1" x14ac:dyDescent="0.2">
      <c r="A2176" s="46"/>
      <c r="B2176" s="46"/>
      <c r="C2176" s="46"/>
      <c r="D2176" s="48"/>
      <c r="E2176" s="48"/>
      <c r="F2176" s="48"/>
      <c r="G2176" s="48"/>
      <c r="H2176" s="48"/>
      <c r="I2176" s="48"/>
    </row>
    <row r="2177" spans="1:9" hidden="1" x14ac:dyDescent="0.2">
      <c r="A2177" s="46"/>
      <c r="B2177" s="46"/>
      <c r="C2177" s="46"/>
      <c r="D2177" s="48"/>
      <c r="E2177" s="48"/>
      <c r="F2177" s="48"/>
      <c r="G2177" s="48"/>
      <c r="H2177" s="48"/>
      <c r="I2177" s="48"/>
    </row>
    <row r="2178" spans="1:9" hidden="1" x14ac:dyDescent="0.2">
      <c r="A2178" s="46"/>
      <c r="B2178" s="46"/>
      <c r="C2178" s="46"/>
      <c r="D2178" s="48"/>
      <c r="E2178" s="48"/>
      <c r="F2178" s="48"/>
      <c r="G2178" s="48"/>
      <c r="H2178" s="48"/>
      <c r="I2178" s="48"/>
    </row>
    <row r="2179" spans="1:9" hidden="1" x14ac:dyDescent="0.2">
      <c r="A2179" s="46"/>
      <c r="B2179" s="46"/>
      <c r="C2179" s="46"/>
      <c r="D2179" s="48"/>
      <c r="E2179" s="48"/>
      <c r="F2179" s="48"/>
      <c r="G2179" s="48"/>
      <c r="H2179" s="48"/>
      <c r="I2179" s="48"/>
    </row>
    <row r="2180" spans="1:9" hidden="1" x14ac:dyDescent="0.2">
      <c r="A2180" s="46"/>
      <c r="B2180" s="46"/>
      <c r="C2180" s="46"/>
      <c r="D2180" s="48"/>
      <c r="E2180" s="48"/>
      <c r="F2180" s="48"/>
      <c r="G2180" s="48"/>
      <c r="H2180" s="48"/>
      <c r="I2180" s="48"/>
    </row>
    <row r="2181" spans="1:9" hidden="1" x14ac:dyDescent="0.2">
      <c r="A2181" s="46"/>
      <c r="B2181" s="46"/>
      <c r="C2181" s="46"/>
      <c r="D2181" s="48"/>
      <c r="E2181" s="48"/>
      <c r="F2181" s="48"/>
      <c r="G2181" s="48"/>
      <c r="H2181" s="48"/>
      <c r="I2181" s="48"/>
    </row>
    <row r="2182" spans="1:9" hidden="1" x14ac:dyDescent="0.2">
      <c r="A2182" s="46"/>
      <c r="B2182" s="46"/>
      <c r="C2182" s="46"/>
      <c r="D2182" s="48"/>
      <c r="E2182" s="48"/>
      <c r="F2182" s="48"/>
      <c r="G2182" s="48"/>
      <c r="H2182" s="48"/>
      <c r="I2182" s="48"/>
    </row>
    <row r="2183" spans="1:9" hidden="1" x14ac:dyDescent="0.2">
      <c r="A2183" s="46"/>
      <c r="B2183" s="46"/>
      <c r="C2183" s="46"/>
      <c r="D2183" s="48"/>
      <c r="E2183" s="48"/>
      <c r="F2183" s="48"/>
      <c r="G2183" s="48"/>
      <c r="H2183" s="48"/>
      <c r="I2183" s="48"/>
    </row>
    <row r="2184" spans="1:9" hidden="1" x14ac:dyDescent="0.2">
      <c r="A2184" s="46"/>
      <c r="B2184" s="46"/>
      <c r="C2184" s="46"/>
      <c r="D2184" s="48"/>
      <c r="E2184" s="48"/>
      <c r="F2184" s="48"/>
      <c r="G2184" s="48"/>
      <c r="H2184" s="48"/>
      <c r="I2184" s="48"/>
    </row>
    <row r="2185" spans="1:9" hidden="1" x14ac:dyDescent="0.2">
      <c r="A2185" s="46"/>
      <c r="B2185" s="46"/>
      <c r="C2185" s="46"/>
      <c r="D2185" s="48"/>
      <c r="E2185" s="48"/>
      <c r="F2185" s="48"/>
      <c r="G2185" s="48"/>
      <c r="H2185" s="48"/>
      <c r="I2185" s="48"/>
    </row>
    <row r="2186" spans="1:9" hidden="1" x14ac:dyDescent="0.2">
      <c r="A2186" s="46"/>
      <c r="B2186" s="46"/>
      <c r="C2186" s="46"/>
      <c r="D2186" s="48"/>
      <c r="E2186" s="48"/>
      <c r="F2186" s="48"/>
      <c r="G2186" s="48"/>
      <c r="H2186" s="48"/>
      <c r="I2186" s="48"/>
    </row>
    <row r="2187" spans="1:9" hidden="1" x14ac:dyDescent="0.2">
      <c r="A2187" s="46"/>
      <c r="B2187" s="46"/>
      <c r="C2187" s="46"/>
      <c r="D2187" s="48"/>
      <c r="E2187" s="48"/>
      <c r="F2187" s="48"/>
      <c r="G2187" s="48"/>
      <c r="H2187" s="48"/>
      <c r="I2187" s="48"/>
    </row>
    <row r="2188" spans="1:9" hidden="1" x14ac:dyDescent="0.2">
      <c r="A2188" s="46"/>
      <c r="B2188" s="46"/>
      <c r="C2188" s="46"/>
      <c r="D2188" s="48"/>
      <c r="E2188" s="48"/>
      <c r="F2188" s="48"/>
      <c r="G2188" s="48"/>
      <c r="H2188" s="48"/>
      <c r="I2188" s="48"/>
    </row>
    <row r="2189" spans="1:9" hidden="1" x14ac:dyDescent="0.2">
      <c r="A2189" s="46"/>
      <c r="B2189" s="46"/>
      <c r="C2189" s="46"/>
      <c r="D2189" s="48"/>
      <c r="E2189" s="48"/>
      <c r="F2189" s="48"/>
      <c r="G2189" s="48"/>
      <c r="H2189" s="48"/>
      <c r="I2189" s="48"/>
    </row>
    <row r="2190" spans="1:9" hidden="1" x14ac:dyDescent="0.2">
      <c r="A2190" s="46"/>
      <c r="B2190" s="46"/>
      <c r="C2190" s="46"/>
      <c r="D2190" s="48"/>
      <c r="E2190" s="48"/>
      <c r="F2190" s="48"/>
      <c r="G2190" s="48"/>
      <c r="H2190" s="48"/>
      <c r="I2190" s="48"/>
    </row>
    <row r="2191" spans="1:9" hidden="1" x14ac:dyDescent="0.2">
      <c r="A2191" s="46"/>
      <c r="B2191" s="46"/>
      <c r="C2191" s="46"/>
      <c r="D2191" s="48"/>
      <c r="E2191" s="48"/>
      <c r="F2191" s="48"/>
      <c r="G2191" s="48"/>
      <c r="H2191" s="48"/>
      <c r="I2191" s="48"/>
    </row>
    <row r="2192" spans="1:9" hidden="1" x14ac:dyDescent="0.2">
      <c r="A2192" s="46"/>
      <c r="B2192" s="46"/>
      <c r="C2192" s="46"/>
      <c r="D2192" s="48"/>
      <c r="E2192" s="48"/>
      <c r="F2192" s="48"/>
      <c r="G2192" s="48"/>
      <c r="H2192" s="48"/>
      <c r="I2192" s="48"/>
    </row>
    <row r="2193" spans="1:9" hidden="1" x14ac:dyDescent="0.2">
      <c r="A2193" s="46"/>
      <c r="B2193" s="46"/>
      <c r="C2193" s="46"/>
      <c r="D2193" s="48"/>
      <c r="E2193" s="48"/>
      <c r="F2193" s="48"/>
      <c r="G2193" s="48"/>
      <c r="H2193" s="48"/>
      <c r="I2193" s="48"/>
    </row>
    <row r="2194" spans="1:9" hidden="1" x14ac:dyDescent="0.2">
      <c r="A2194" s="46"/>
      <c r="B2194" s="46"/>
      <c r="C2194" s="46"/>
      <c r="D2194" s="48"/>
      <c r="E2194" s="48"/>
      <c r="F2194" s="48"/>
      <c r="G2194" s="48"/>
      <c r="H2194" s="48"/>
      <c r="I2194" s="48"/>
    </row>
    <row r="2195" spans="1:9" hidden="1" x14ac:dyDescent="0.2">
      <c r="A2195" s="46"/>
      <c r="B2195" s="46"/>
      <c r="C2195" s="46"/>
      <c r="D2195" s="48"/>
      <c r="E2195" s="48"/>
      <c r="F2195" s="48"/>
      <c r="G2195" s="48"/>
      <c r="H2195" s="48"/>
      <c r="I2195" s="48"/>
    </row>
    <row r="2196" spans="1:9" hidden="1" x14ac:dyDescent="0.2">
      <c r="A2196" s="46"/>
      <c r="B2196" s="46"/>
      <c r="C2196" s="46"/>
      <c r="D2196" s="48"/>
      <c r="E2196" s="48"/>
      <c r="F2196" s="48"/>
      <c r="G2196" s="48"/>
      <c r="H2196" s="48"/>
      <c r="I2196" s="48"/>
    </row>
    <row r="2197" spans="1:9" hidden="1" x14ac:dyDescent="0.2">
      <c r="A2197" s="46"/>
      <c r="B2197" s="46"/>
      <c r="C2197" s="46"/>
      <c r="D2197" s="48"/>
      <c r="E2197" s="48"/>
      <c r="F2197" s="48"/>
      <c r="G2197" s="48"/>
      <c r="H2197" s="48"/>
      <c r="I2197" s="48"/>
    </row>
    <row r="2198" spans="1:9" hidden="1" x14ac:dyDescent="0.2">
      <c r="A2198" s="46"/>
      <c r="B2198" s="46"/>
      <c r="C2198" s="46"/>
      <c r="D2198" s="48"/>
      <c r="E2198" s="48"/>
      <c r="F2198" s="48"/>
      <c r="G2198" s="48"/>
      <c r="H2198" s="48"/>
      <c r="I2198" s="48"/>
    </row>
    <row r="2199" spans="1:9" hidden="1" x14ac:dyDescent="0.2">
      <c r="A2199" s="46"/>
      <c r="B2199" s="46"/>
      <c r="C2199" s="46"/>
      <c r="D2199" s="48"/>
      <c r="E2199" s="48"/>
      <c r="F2199" s="48"/>
      <c r="G2199" s="48"/>
      <c r="H2199" s="48"/>
      <c r="I2199" s="48"/>
    </row>
    <row r="2200" spans="1:9" hidden="1" x14ac:dyDescent="0.2">
      <c r="A2200" s="46"/>
      <c r="B2200" s="46"/>
      <c r="C2200" s="46"/>
      <c r="D2200" s="48"/>
      <c r="E2200" s="48"/>
      <c r="F2200" s="48"/>
      <c r="G2200" s="48"/>
      <c r="H2200" s="48"/>
      <c r="I2200" s="48"/>
    </row>
    <row r="2201" spans="1:9" hidden="1" x14ac:dyDescent="0.2">
      <c r="A2201" s="46"/>
      <c r="B2201" s="46"/>
      <c r="C2201" s="46"/>
      <c r="D2201" s="48"/>
      <c r="E2201" s="48"/>
      <c r="F2201" s="48"/>
      <c r="G2201" s="48"/>
      <c r="H2201" s="48"/>
      <c r="I2201" s="48"/>
    </row>
    <row r="2202" spans="1:9" hidden="1" x14ac:dyDescent="0.2">
      <c r="A2202" s="46"/>
      <c r="B2202" s="46"/>
      <c r="C2202" s="46"/>
      <c r="D2202" s="48"/>
      <c r="E2202" s="48"/>
      <c r="F2202" s="48"/>
      <c r="G2202" s="48"/>
      <c r="H2202" s="48"/>
      <c r="I2202" s="48"/>
    </row>
    <row r="2203" spans="1:9" hidden="1" x14ac:dyDescent="0.2">
      <c r="A2203" s="46"/>
      <c r="B2203" s="46"/>
      <c r="C2203" s="46"/>
      <c r="D2203" s="48"/>
      <c r="E2203" s="48"/>
      <c r="F2203" s="48"/>
      <c r="G2203" s="48"/>
      <c r="H2203" s="48"/>
      <c r="I2203" s="48"/>
    </row>
    <row r="2204" spans="1:9" hidden="1" x14ac:dyDescent="0.2">
      <c r="A2204" s="46"/>
      <c r="B2204" s="46"/>
      <c r="C2204" s="46"/>
      <c r="D2204" s="48"/>
      <c r="E2204" s="48"/>
      <c r="F2204" s="48"/>
      <c r="G2204" s="48"/>
      <c r="H2204" s="48"/>
      <c r="I2204" s="48"/>
    </row>
    <row r="2205" spans="1:9" hidden="1" x14ac:dyDescent="0.2">
      <c r="A2205" s="46"/>
      <c r="B2205" s="46"/>
      <c r="C2205" s="46"/>
      <c r="D2205" s="48"/>
      <c r="E2205" s="48"/>
      <c r="F2205" s="48"/>
      <c r="G2205" s="48"/>
      <c r="H2205" s="48"/>
      <c r="I2205" s="48"/>
    </row>
    <row r="2206" spans="1:9" hidden="1" x14ac:dyDescent="0.2">
      <c r="A2206" s="46"/>
      <c r="B2206" s="46"/>
      <c r="C2206" s="46"/>
      <c r="D2206" s="48"/>
      <c r="E2206" s="48"/>
      <c r="F2206" s="48"/>
      <c r="G2206" s="48"/>
      <c r="H2206" s="48"/>
      <c r="I2206" s="48"/>
    </row>
    <row r="2207" spans="1:9" hidden="1" x14ac:dyDescent="0.2">
      <c r="A2207" s="46"/>
      <c r="B2207" s="46"/>
      <c r="C2207" s="46"/>
      <c r="D2207" s="48"/>
      <c r="E2207" s="48"/>
      <c r="F2207" s="48"/>
      <c r="G2207" s="48"/>
      <c r="H2207" s="48"/>
      <c r="I2207" s="48"/>
    </row>
    <row r="2208" spans="1:9" hidden="1" x14ac:dyDescent="0.2">
      <c r="A2208" s="46"/>
      <c r="B2208" s="46"/>
      <c r="C2208" s="46"/>
      <c r="D2208" s="48"/>
      <c r="E2208" s="48"/>
      <c r="F2208" s="48"/>
      <c r="G2208" s="48"/>
      <c r="H2208" s="48"/>
      <c r="I2208" s="48"/>
    </row>
    <row r="2209" spans="1:9" hidden="1" x14ac:dyDescent="0.2">
      <c r="A2209" s="46"/>
      <c r="B2209" s="46"/>
      <c r="C2209" s="46"/>
      <c r="D2209" s="48"/>
      <c r="E2209" s="48"/>
      <c r="F2209" s="48"/>
      <c r="G2209" s="48"/>
      <c r="H2209" s="48"/>
      <c r="I2209" s="48"/>
    </row>
    <row r="2210" spans="1:9" hidden="1" x14ac:dyDescent="0.2">
      <c r="A2210" s="46"/>
      <c r="B2210" s="46"/>
      <c r="C2210" s="46"/>
      <c r="D2210" s="48"/>
      <c r="E2210" s="48"/>
      <c r="F2210" s="48"/>
      <c r="G2210" s="48"/>
      <c r="H2210" s="48"/>
      <c r="I2210" s="48"/>
    </row>
    <row r="2211" spans="1:9" hidden="1" x14ac:dyDescent="0.2">
      <c r="A2211" s="46"/>
      <c r="B2211" s="46"/>
      <c r="C2211" s="46"/>
      <c r="D2211" s="48"/>
      <c r="E2211" s="48"/>
      <c r="F2211" s="48"/>
      <c r="G2211" s="48"/>
      <c r="H2211" s="48"/>
      <c r="I2211" s="48"/>
    </row>
    <row r="2212" spans="1:9" hidden="1" x14ac:dyDescent="0.2">
      <c r="A2212" s="46"/>
      <c r="B2212" s="46"/>
      <c r="C2212" s="46"/>
      <c r="D2212" s="48"/>
      <c r="E2212" s="48"/>
      <c r="F2212" s="48"/>
      <c r="G2212" s="48"/>
      <c r="H2212" s="48"/>
      <c r="I2212" s="48"/>
    </row>
    <row r="2213" spans="1:9" hidden="1" x14ac:dyDescent="0.2">
      <c r="A2213" s="46"/>
      <c r="B2213" s="46"/>
      <c r="C2213" s="46"/>
      <c r="D2213" s="48"/>
      <c r="E2213" s="48"/>
      <c r="F2213" s="48"/>
      <c r="G2213" s="48"/>
      <c r="H2213" s="48"/>
      <c r="I2213" s="48"/>
    </row>
    <row r="2214" spans="1:9" hidden="1" x14ac:dyDescent="0.2">
      <c r="A2214" s="46"/>
      <c r="B2214" s="46"/>
      <c r="C2214" s="46"/>
      <c r="D2214" s="48"/>
      <c r="E2214" s="48"/>
      <c r="F2214" s="48"/>
      <c r="G2214" s="48"/>
      <c r="H2214" s="48"/>
      <c r="I2214" s="48"/>
    </row>
    <row r="2215" spans="1:9" hidden="1" x14ac:dyDescent="0.2">
      <c r="A2215" s="46"/>
      <c r="B2215" s="46"/>
      <c r="C2215" s="46"/>
      <c r="D2215" s="48"/>
      <c r="E2215" s="48"/>
      <c r="F2215" s="48"/>
      <c r="G2215" s="48"/>
      <c r="H2215" s="48"/>
      <c r="I2215" s="48"/>
    </row>
    <row r="2216" spans="1:9" hidden="1" x14ac:dyDescent="0.2">
      <c r="A2216" s="46"/>
      <c r="B2216" s="46"/>
      <c r="C2216" s="46"/>
      <c r="D2216" s="48"/>
      <c r="E2216" s="48"/>
      <c r="F2216" s="48"/>
      <c r="G2216" s="48"/>
      <c r="H2216" s="48"/>
      <c r="I2216" s="48"/>
    </row>
    <row r="2217" spans="1:9" hidden="1" x14ac:dyDescent="0.2">
      <c r="A2217" s="46"/>
      <c r="B2217" s="46"/>
      <c r="C2217" s="46"/>
      <c r="D2217" s="48"/>
      <c r="E2217" s="48"/>
      <c r="F2217" s="48"/>
      <c r="G2217" s="48"/>
      <c r="H2217" s="48"/>
      <c r="I2217" s="48"/>
    </row>
    <row r="2218" spans="1:9" hidden="1" x14ac:dyDescent="0.2">
      <c r="A2218" s="46"/>
      <c r="B2218" s="46"/>
      <c r="C2218" s="46"/>
      <c r="D2218" s="48"/>
      <c r="E2218" s="48"/>
      <c r="F2218" s="48"/>
      <c r="G2218" s="48"/>
      <c r="H2218" s="48"/>
      <c r="I2218" s="48"/>
    </row>
    <row r="2219" spans="1:9" hidden="1" x14ac:dyDescent="0.2">
      <c r="A2219" s="46"/>
      <c r="B2219" s="46"/>
      <c r="C2219" s="46"/>
      <c r="D2219" s="48"/>
      <c r="E2219" s="48"/>
      <c r="F2219" s="48"/>
      <c r="G2219" s="48"/>
      <c r="H2219" s="48"/>
      <c r="I2219" s="48"/>
    </row>
    <row r="2220" spans="1:9" hidden="1" x14ac:dyDescent="0.2">
      <c r="A2220" s="46"/>
      <c r="B2220" s="46"/>
      <c r="C2220" s="46"/>
      <c r="D2220" s="48"/>
      <c r="E2220" s="48"/>
      <c r="F2220" s="48"/>
      <c r="G2220" s="48"/>
      <c r="H2220" s="48"/>
      <c r="I2220" s="48"/>
    </row>
    <row r="2221" spans="1:9" hidden="1" x14ac:dyDescent="0.2">
      <c r="A2221" s="46"/>
      <c r="B2221" s="46"/>
      <c r="C2221" s="46"/>
      <c r="D2221" s="48"/>
      <c r="E2221" s="48"/>
      <c r="F2221" s="48"/>
      <c r="G2221" s="48"/>
      <c r="H2221" s="48"/>
      <c r="I2221" s="48"/>
    </row>
    <row r="2222" spans="1:9" hidden="1" x14ac:dyDescent="0.2">
      <c r="A2222" s="46"/>
      <c r="B2222" s="46"/>
      <c r="C2222" s="46"/>
      <c r="D2222" s="48"/>
      <c r="E2222" s="48"/>
      <c r="F2222" s="48"/>
      <c r="G2222" s="48"/>
      <c r="H2222" s="48"/>
      <c r="I2222" s="48"/>
    </row>
    <row r="2223" spans="1:9" hidden="1" x14ac:dyDescent="0.2">
      <c r="A2223" s="46"/>
      <c r="B2223" s="46"/>
      <c r="C2223" s="46"/>
      <c r="D2223" s="48"/>
      <c r="E2223" s="48"/>
      <c r="F2223" s="48"/>
      <c r="G2223" s="48"/>
      <c r="H2223" s="48"/>
      <c r="I2223" s="48"/>
    </row>
    <row r="2224" spans="1:9" hidden="1" x14ac:dyDescent="0.2">
      <c r="A2224" s="46"/>
      <c r="B2224" s="46"/>
      <c r="C2224" s="46"/>
      <c r="D2224" s="48"/>
      <c r="E2224" s="48"/>
      <c r="F2224" s="48"/>
      <c r="G2224" s="48"/>
      <c r="H2224" s="48"/>
      <c r="I2224" s="48"/>
    </row>
    <row r="2225" spans="1:9" hidden="1" x14ac:dyDescent="0.2">
      <c r="A2225" s="46"/>
      <c r="B2225" s="46"/>
      <c r="C2225" s="46"/>
      <c r="D2225" s="48"/>
      <c r="E2225" s="48"/>
      <c r="F2225" s="48"/>
      <c r="G2225" s="48"/>
      <c r="H2225" s="48"/>
      <c r="I2225" s="48"/>
    </row>
    <row r="2226" spans="1:9" hidden="1" x14ac:dyDescent="0.2">
      <c r="A2226" s="46"/>
      <c r="B2226" s="46"/>
      <c r="C2226" s="46"/>
      <c r="D2226" s="48"/>
      <c r="E2226" s="48"/>
      <c r="F2226" s="48"/>
      <c r="G2226" s="48"/>
      <c r="H2226" s="48"/>
      <c r="I2226" s="48"/>
    </row>
    <row r="2227" spans="1:9" hidden="1" x14ac:dyDescent="0.2">
      <c r="A2227" s="46"/>
      <c r="B2227" s="46"/>
      <c r="C2227" s="46"/>
      <c r="D2227" s="48"/>
      <c r="E2227" s="48"/>
      <c r="F2227" s="48"/>
      <c r="G2227" s="48"/>
      <c r="H2227" s="48"/>
      <c r="I2227" s="48"/>
    </row>
    <row r="2228" spans="1:9" hidden="1" x14ac:dyDescent="0.2">
      <c r="A2228" s="46"/>
      <c r="B2228" s="46"/>
      <c r="C2228" s="46"/>
      <c r="D2228" s="48"/>
      <c r="E2228" s="48"/>
      <c r="F2228" s="48"/>
      <c r="G2228" s="48"/>
      <c r="H2228" s="48"/>
      <c r="I2228" s="48"/>
    </row>
    <row r="2229" spans="1:9" hidden="1" x14ac:dyDescent="0.2">
      <c r="A2229" s="46"/>
      <c r="B2229" s="46"/>
      <c r="C2229" s="46"/>
      <c r="D2229" s="48"/>
      <c r="E2229" s="48"/>
      <c r="F2229" s="48"/>
      <c r="G2229" s="48"/>
      <c r="H2229" s="48"/>
      <c r="I2229" s="48"/>
    </row>
    <row r="2230" spans="1:9" hidden="1" x14ac:dyDescent="0.2">
      <c r="A2230" s="46"/>
      <c r="B2230" s="46"/>
      <c r="C2230" s="46"/>
      <c r="D2230" s="48"/>
      <c r="E2230" s="48"/>
      <c r="F2230" s="48"/>
      <c r="G2230" s="48"/>
      <c r="H2230" s="48"/>
      <c r="I2230" s="48"/>
    </row>
    <row r="2231" spans="1:9" hidden="1" x14ac:dyDescent="0.2">
      <c r="A2231" s="46"/>
      <c r="B2231" s="46"/>
      <c r="C2231" s="46"/>
      <c r="D2231" s="48"/>
      <c r="E2231" s="48"/>
      <c r="F2231" s="48"/>
      <c r="G2231" s="48"/>
      <c r="H2231" s="48"/>
      <c r="I2231" s="48"/>
    </row>
    <row r="2232" spans="1:9" hidden="1" x14ac:dyDescent="0.2">
      <c r="A2232" s="46"/>
      <c r="B2232" s="46"/>
      <c r="C2232" s="46"/>
      <c r="D2232" s="48"/>
      <c r="E2232" s="48"/>
      <c r="F2232" s="48"/>
      <c r="G2232" s="48"/>
      <c r="H2232" s="48"/>
      <c r="I2232" s="48"/>
    </row>
    <row r="2233" spans="1:9" hidden="1" x14ac:dyDescent="0.2">
      <c r="A2233" s="46"/>
      <c r="B2233" s="46"/>
      <c r="C2233" s="46"/>
      <c r="D2233" s="48"/>
      <c r="E2233" s="48"/>
      <c r="F2233" s="48"/>
      <c r="G2233" s="48"/>
      <c r="H2233" s="48"/>
      <c r="I2233" s="48"/>
    </row>
    <row r="2234" spans="1:9" hidden="1" x14ac:dyDescent="0.2">
      <c r="A2234" s="46"/>
      <c r="B2234" s="46"/>
      <c r="C2234" s="46"/>
      <c r="D2234" s="48"/>
      <c r="E2234" s="48"/>
      <c r="F2234" s="48"/>
      <c r="G2234" s="48"/>
      <c r="H2234" s="48"/>
      <c r="I2234" s="48"/>
    </row>
    <row r="2235" spans="1:9" hidden="1" x14ac:dyDescent="0.2">
      <c r="A2235" s="46"/>
      <c r="B2235" s="46"/>
      <c r="C2235" s="46"/>
      <c r="D2235" s="48"/>
      <c r="E2235" s="48"/>
      <c r="F2235" s="48"/>
      <c r="G2235" s="48"/>
      <c r="H2235" s="48"/>
      <c r="I2235" s="48"/>
    </row>
    <row r="2236" spans="1:9" hidden="1" x14ac:dyDescent="0.2">
      <c r="A2236" s="46"/>
      <c r="B2236" s="46"/>
      <c r="C2236" s="46"/>
      <c r="D2236" s="48"/>
      <c r="E2236" s="48"/>
      <c r="F2236" s="48"/>
      <c r="G2236" s="48"/>
      <c r="H2236" s="48"/>
      <c r="I2236" s="48"/>
    </row>
    <row r="2237" spans="1:9" hidden="1" x14ac:dyDescent="0.2">
      <c r="A2237" s="46"/>
      <c r="B2237" s="46"/>
      <c r="C2237" s="46"/>
      <c r="D2237" s="48"/>
      <c r="E2237" s="48"/>
      <c r="F2237" s="48"/>
      <c r="G2237" s="48"/>
      <c r="H2237" s="48"/>
      <c r="I2237" s="48"/>
    </row>
    <row r="2238" spans="1:9" hidden="1" x14ac:dyDescent="0.2">
      <c r="A2238" s="46"/>
      <c r="B2238" s="46"/>
      <c r="C2238" s="46"/>
      <c r="D2238" s="48"/>
      <c r="E2238" s="48"/>
      <c r="F2238" s="48"/>
      <c r="G2238" s="48"/>
      <c r="H2238" s="48"/>
      <c r="I2238" s="48"/>
    </row>
    <row r="2239" spans="1:9" hidden="1" x14ac:dyDescent="0.2">
      <c r="A2239" s="46"/>
      <c r="B2239" s="46"/>
      <c r="C2239" s="46"/>
      <c r="D2239" s="48"/>
      <c r="E2239" s="48"/>
      <c r="F2239" s="48"/>
      <c r="G2239" s="48"/>
      <c r="H2239" s="48"/>
      <c r="I2239" s="48"/>
    </row>
    <row r="2240" spans="1:9" hidden="1" x14ac:dyDescent="0.2">
      <c r="A2240" s="46"/>
      <c r="B2240" s="46"/>
      <c r="C2240" s="46"/>
      <c r="D2240" s="48"/>
      <c r="E2240" s="48"/>
      <c r="F2240" s="48"/>
      <c r="G2240" s="48"/>
      <c r="H2240" s="48"/>
      <c r="I2240" s="48"/>
    </row>
    <row r="2241" spans="1:9" hidden="1" x14ac:dyDescent="0.2">
      <c r="A2241" s="46"/>
      <c r="B2241" s="46"/>
      <c r="C2241" s="46"/>
      <c r="D2241" s="48"/>
      <c r="E2241" s="48"/>
      <c r="F2241" s="48"/>
      <c r="G2241" s="48"/>
      <c r="H2241" s="48"/>
      <c r="I2241" s="48"/>
    </row>
    <row r="2242" spans="1:9" hidden="1" x14ac:dyDescent="0.2">
      <c r="A2242" s="46"/>
      <c r="B2242" s="46"/>
      <c r="C2242" s="46"/>
      <c r="D2242" s="48"/>
      <c r="E2242" s="48"/>
      <c r="F2242" s="48"/>
      <c r="G2242" s="48"/>
      <c r="H2242" s="48"/>
      <c r="I2242" s="48"/>
    </row>
    <row r="2243" spans="1:9" hidden="1" x14ac:dyDescent="0.2">
      <c r="A2243" s="46"/>
      <c r="B2243" s="46"/>
      <c r="C2243" s="46"/>
      <c r="D2243" s="48"/>
      <c r="E2243" s="48"/>
      <c r="F2243" s="48"/>
      <c r="G2243" s="48"/>
      <c r="H2243" s="48"/>
      <c r="I2243" s="48"/>
    </row>
    <row r="2244" spans="1:9" hidden="1" x14ac:dyDescent="0.2">
      <c r="A2244" s="46"/>
      <c r="B2244" s="46"/>
      <c r="C2244" s="46"/>
      <c r="D2244" s="48"/>
      <c r="E2244" s="48"/>
      <c r="F2244" s="48"/>
      <c r="G2244" s="48"/>
      <c r="H2244" s="48"/>
      <c r="I2244" s="48"/>
    </row>
    <row r="2245" spans="1:9" hidden="1" x14ac:dyDescent="0.2">
      <c r="A2245" s="46"/>
      <c r="B2245" s="46"/>
      <c r="C2245" s="46"/>
      <c r="D2245" s="48"/>
      <c r="E2245" s="48"/>
      <c r="F2245" s="48"/>
      <c r="G2245" s="48"/>
      <c r="H2245" s="48"/>
      <c r="I2245" s="48"/>
    </row>
    <row r="2246" spans="1:9" hidden="1" x14ac:dyDescent="0.2">
      <c r="A2246" s="46"/>
      <c r="B2246" s="46"/>
      <c r="C2246" s="46"/>
      <c r="D2246" s="48"/>
      <c r="E2246" s="48"/>
      <c r="F2246" s="48"/>
      <c r="G2246" s="48"/>
      <c r="H2246" s="48"/>
      <c r="I2246" s="48"/>
    </row>
    <row r="2247" spans="1:9" hidden="1" x14ac:dyDescent="0.2">
      <c r="A2247" s="46"/>
      <c r="B2247" s="46"/>
      <c r="C2247" s="46"/>
      <c r="D2247" s="48"/>
      <c r="E2247" s="48"/>
      <c r="F2247" s="48"/>
      <c r="G2247" s="48"/>
      <c r="H2247" s="48"/>
      <c r="I2247" s="48"/>
    </row>
    <row r="2248" spans="1:9" hidden="1" x14ac:dyDescent="0.2">
      <c r="A2248" s="46"/>
      <c r="B2248" s="46"/>
      <c r="C2248" s="46"/>
      <c r="D2248" s="48"/>
      <c r="E2248" s="48"/>
      <c r="F2248" s="48"/>
      <c r="G2248" s="48"/>
      <c r="H2248" s="48"/>
      <c r="I2248" s="48"/>
    </row>
    <row r="2249" spans="1:9" hidden="1" x14ac:dyDescent="0.2">
      <c r="A2249" s="46"/>
      <c r="B2249" s="46"/>
      <c r="C2249" s="46"/>
      <c r="D2249" s="48"/>
      <c r="E2249" s="48"/>
      <c r="F2249" s="48"/>
      <c r="G2249" s="48"/>
      <c r="H2249" s="48"/>
      <c r="I2249" s="48"/>
    </row>
    <row r="2250" spans="1:9" hidden="1" x14ac:dyDescent="0.2">
      <c r="A2250" s="46"/>
      <c r="B2250" s="46"/>
      <c r="C2250" s="46"/>
      <c r="D2250" s="48"/>
      <c r="E2250" s="48"/>
      <c r="F2250" s="48"/>
      <c r="G2250" s="48"/>
      <c r="H2250" s="48"/>
      <c r="I2250" s="48"/>
    </row>
    <row r="2251" spans="1:9" hidden="1" x14ac:dyDescent="0.2">
      <c r="A2251" s="46"/>
      <c r="B2251" s="46"/>
      <c r="C2251" s="46"/>
      <c r="D2251" s="48"/>
      <c r="E2251" s="48"/>
      <c r="F2251" s="48"/>
      <c r="G2251" s="48"/>
      <c r="H2251" s="48"/>
      <c r="I2251" s="48"/>
    </row>
    <row r="2252" spans="1:9" hidden="1" x14ac:dyDescent="0.2">
      <c r="A2252" s="46"/>
      <c r="B2252" s="46"/>
      <c r="C2252" s="46"/>
      <c r="D2252" s="48"/>
      <c r="E2252" s="48"/>
      <c r="F2252" s="48"/>
      <c r="G2252" s="48"/>
      <c r="H2252" s="48"/>
      <c r="I2252" s="48"/>
    </row>
    <row r="2253" spans="1:9" hidden="1" x14ac:dyDescent="0.2">
      <c r="A2253" s="46"/>
      <c r="B2253" s="46"/>
      <c r="C2253" s="46"/>
      <c r="D2253" s="48"/>
      <c r="E2253" s="48"/>
      <c r="F2253" s="48"/>
      <c r="G2253" s="48"/>
      <c r="H2253" s="48"/>
      <c r="I2253" s="48"/>
    </row>
    <row r="2254" spans="1:9" hidden="1" x14ac:dyDescent="0.2">
      <c r="A2254" s="46"/>
      <c r="B2254" s="46"/>
      <c r="C2254" s="46"/>
      <c r="D2254" s="48"/>
      <c r="E2254" s="48"/>
      <c r="F2254" s="48"/>
      <c r="G2254" s="48"/>
      <c r="H2254" s="48"/>
      <c r="I2254" s="48"/>
    </row>
    <row r="2255" spans="1:9" hidden="1" x14ac:dyDescent="0.2">
      <c r="A2255" s="46"/>
      <c r="B2255" s="46"/>
      <c r="C2255" s="46"/>
      <c r="D2255" s="48"/>
      <c r="E2255" s="48"/>
      <c r="F2255" s="48"/>
      <c r="G2255" s="48"/>
      <c r="H2255" s="48"/>
      <c r="I2255" s="48"/>
    </row>
    <row r="2256" spans="1:9" hidden="1" x14ac:dyDescent="0.2">
      <c r="A2256" s="46"/>
      <c r="B2256" s="46"/>
      <c r="C2256" s="46"/>
      <c r="D2256" s="48"/>
      <c r="E2256" s="48"/>
      <c r="F2256" s="48"/>
      <c r="G2256" s="48"/>
      <c r="H2256" s="48"/>
      <c r="I2256" s="48"/>
    </row>
    <row r="2257" spans="1:9" hidden="1" x14ac:dyDescent="0.2">
      <c r="A2257" s="46"/>
      <c r="B2257" s="46"/>
      <c r="C2257" s="46"/>
      <c r="D2257" s="48"/>
      <c r="E2257" s="48"/>
      <c r="F2257" s="48"/>
      <c r="G2257" s="48"/>
      <c r="H2257" s="48"/>
      <c r="I2257" s="48"/>
    </row>
    <row r="2258" spans="1:9" hidden="1" x14ac:dyDescent="0.2">
      <c r="A2258" s="46"/>
      <c r="B2258" s="46"/>
      <c r="C2258" s="46"/>
      <c r="D2258" s="48"/>
      <c r="E2258" s="48"/>
      <c r="F2258" s="48"/>
      <c r="G2258" s="48"/>
      <c r="H2258" s="48"/>
      <c r="I2258" s="48"/>
    </row>
    <row r="2259" spans="1:9" hidden="1" x14ac:dyDescent="0.2">
      <c r="A2259" s="46"/>
      <c r="B2259" s="46"/>
      <c r="C2259" s="46"/>
      <c r="D2259" s="48"/>
      <c r="E2259" s="48"/>
      <c r="F2259" s="48"/>
      <c r="G2259" s="48"/>
      <c r="H2259" s="48"/>
      <c r="I2259" s="48"/>
    </row>
    <row r="2260" spans="1:9" hidden="1" x14ac:dyDescent="0.2">
      <c r="A2260" s="46"/>
      <c r="B2260" s="46"/>
      <c r="C2260" s="46"/>
      <c r="D2260" s="48"/>
      <c r="E2260" s="48"/>
      <c r="F2260" s="48"/>
      <c r="G2260" s="48"/>
      <c r="H2260" s="48"/>
      <c r="I2260" s="48"/>
    </row>
    <row r="2261" spans="1:9" hidden="1" x14ac:dyDescent="0.2">
      <c r="A2261" s="46"/>
      <c r="B2261" s="46"/>
      <c r="C2261" s="46"/>
      <c r="D2261" s="48"/>
      <c r="E2261" s="48"/>
      <c r="F2261" s="48"/>
      <c r="G2261" s="48"/>
      <c r="H2261" s="48"/>
      <c r="I2261" s="48"/>
    </row>
    <row r="2262" spans="1:9" hidden="1" x14ac:dyDescent="0.2">
      <c r="A2262" s="46"/>
      <c r="B2262" s="46"/>
      <c r="C2262" s="46"/>
      <c r="D2262" s="48"/>
      <c r="E2262" s="48"/>
      <c r="F2262" s="48"/>
      <c r="G2262" s="48"/>
      <c r="H2262" s="48"/>
      <c r="I2262" s="48"/>
    </row>
    <row r="2263" spans="1:9" hidden="1" x14ac:dyDescent="0.2">
      <c r="A2263" s="46"/>
      <c r="B2263" s="46"/>
      <c r="C2263" s="46"/>
      <c r="D2263" s="48"/>
      <c r="E2263" s="48"/>
      <c r="F2263" s="48"/>
      <c r="G2263" s="48"/>
      <c r="H2263" s="48"/>
      <c r="I2263" s="48"/>
    </row>
    <row r="2264" spans="1:9" hidden="1" x14ac:dyDescent="0.2">
      <c r="A2264" s="46"/>
      <c r="B2264" s="46"/>
      <c r="C2264" s="46"/>
      <c r="D2264" s="48"/>
      <c r="E2264" s="48"/>
      <c r="F2264" s="48"/>
      <c r="G2264" s="48"/>
      <c r="H2264" s="48"/>
      <c r="I2264" s="48"/>
    </row>
    <row r="2265" spans="1:9" hidden="1" x14ac:dyDescent="0.2">
      <c r="A2265" s="46"/>
      <c r="B2265" s="46"/>
      <c r="C2265" s="46"/>
      <c r="D2265" s="48"/>
      <c r="E2265" s="48"/>
      <c r="F2265" s="48"/>
      <c r="G2265" s="48"/>
      <c r="H2265" s="48"/>
      <c r="I2265" s="48"/>
    </row>
    <row r="2266" spans="1:9" hidden="1" x14ac:dyDescent="0.2">
      <c r="A2266" s="46"/>
      <c r="B2266" s="46"/>
      <c r="C2266" s="46"/>
      <c r="D2266" s="48"/>
      <c r="E2266" s="48"/>
      <c r="F2266" s="48"/>
      <c r="G2266" s="48"/>
      <c r="H2266" s="48"/>
      <c r="I2266" s="48"/>
    </row>
    <row r="2267" spans="1:9" hidden="1" x14ac:dyDescent="0.2">
      <c r="A2267" s="46"/>
      <c r="B2267" s="46"/>
      <c r="C2267" s="46"/>
      <c r="D2267" s="48"/>
      <c r="E2267" s="48"/>
      <c r="F2267" s="48"/>
      <c r="G2267" s="48"/>
      <c r="H2267" s="48"/>
      <c r="I2267" s="48"/>
    </row>
    <row r="2268" spans="1:9" hidden="1" x14ac:dyDescent="0.2">
      <c r="A2268" s="46"/>
      <c r="B2268" s="46"/>
      <c r="C2268" s="46"/>
      <c r="D2268" s="48"/>
      <c r="E2268" s="48"/>
      <c r="F2268" s="48"/>
      <c r="G2268" s="48"/>
      <c r="H2268" s="48"/>
      <c r="I2268" s="48"/>
    </row>
    <row r="2269" spans="1:9" hidden="1" x14ac:dyDescent="0.2">
      <c r="A2269" s="46"/>
      <c r="B2269" s="46"/>
      <c r="C2269" s="46"/>
      <c r="D2269" s="48"/>
      <c r="E2269" s="48"/>
      <c r="F2269" s="48"/>
      <c r="G2269" s="48"/>
      <c r="H2269" s="48"/>
      <c r="I2269" s="48"/>
    </row>
    <row r="2270" spans="1:9" hidden="1" x14ac:dyDescent="0.2">
      <c r="A2270" s="46"/>
      <c r="B2270" s="46"/>
      <c r="C2270" s="46"/>
      <c r="D2270" s="48"/>
      <c r="E2270" s="48"/>
      <c r="F2270" s="48"/>
      <c r="G2270" s="48"/>
      <c r="H2270" s="48"/>
      <c r="I2270" s="48"/>
    </row>
    <row r="2271" spans="1:9" hidden="1" x14ac:dyDescent="0.2">
      <c r="A2271" s="46"/>
      <c r="B2271" s="46"/>
      <c r="C2271" s="46"/>
      <c r="D2271" s="48"/>
      <c r="E2271" s="48"/>
      <c r="F2271" s="48"/>
      <c r="G2271" s="48"/>
      <c r="H2271" s="48"/>
      <c r="I2271" s="48"/>
    </row>
    <row r="2272" spans="1:9" hidden="1" x14ac:dyDescent="0.2">
      <c r="A2272" s="46"/>
      <c r="B2272" s="46"/>
      <c r="C2272" s="46"/>
      <c r="D2272" s="48"/>
      <c r="E2272" s="48"/>
      <c r="F2272" s="48"/>
      <c r="G2272" s="48"/>
      <c r="H2272" s="48"/>
      <c r="I2272" s="48"/>
    </row>
    <row r="2273" spans="1:9" hidden="1" x14ac:dyDescent="0.2">
      <c r="A2273" s="46"/>
      <c r="B2273" s="46"/>
      <c r="C2273" s="46"/>
      <c r="D2273" s="48"/>
      <c r="E2273" s="48"/>
      <c r="F2273" s="48"/>
      <c r="G2273" s="48"/>
      <c r="H2273" s="48"/>
      <c r="I2273" s="48"/>
    </row>
    <row r="2274" spans="1:9" hidden="1" x14ac:dyDescent="0.2">
      <c r="A2274" s="46"/>
      <c r="B2274" s="46"/>
      <c r="C2274" s="46"/>
      <c r="D2274" s="48"/>
      <c r="E2274" s="48"/>
      <c r="F2274" s="48"/>
      <c r="G2274" s="48"/>
      <c r="H2274" s="48"/>
      <c r="I2274" s="48"/>
    </row>
    <row r="2275" spans="1:9" hidden="1" x14ac:dyDescent="0.2">
      <c r="A2275" s="46"/>
      <c r="B2275" s="46"/>
      <c r="C2275" s="46"/>
      <c r="D2275" s="48"/>
      <c r="E2275" s="48"/>
      <c r="F2275" s="48"/>
      <c r="G2275" s="48"/>
      <c r="H2275" s="48"/>
      <c r="I2275" s="48"/>
    </row>
    <row r="2276" spans="1:9" hidden="1" x14ac:dyDescent="0.2">
      <c r="A2276" s="46"/>
      <c r="B2276" s="46"/>
      <c r="C2276" s="46"/>
      <c r="D2276" s="48"/>
      <c r="E2276" s="48"/>
      <c r="F2276" s="48"/>
      <c r="G2276" s="48"/>
      <c r="H2276" s="48"/>
      <c r="I2276" s="48"/>
    </row>
    <row r="2277" spans="1:9" hidden="1" x14ac:dyDescent="0.2">
      <c r="A2277" s="46"/>
      <c r="B2277" s="46"/>
      <c r="C2277" s="46"/>
      <c r="D2277" s="48"/>
      <c r="E2277" s="48"/>
      <c r="F2277" s="48"/>
      <c r="G2277" s="48"/>
      <c r="H2277" s="48"/>
      <c r="I2277" s="48"/>
    </row>
    <row r="2278" spans="1:9" hidden="1" x14ac:dyDescent="0.2">
      <c r="A2278" s="46"/>
      <c r="B2278" s="46"/>
      <c r="C2278" s="46"/>
      <c r="D2278" s="48"/>
      <c r="E2278" s="48"/>
      <c r="F2278" s="48"/>
      <c r="G2278" s="48"/>
      <c r="H2278" s="48"/>
      <c r="I2278" s="48"/>
    </row>
    <row r="2279" spans="1:9" hidden="1" x14ac:dyDescent="0.2">
      <c r="A2279" s="46"/>
      <c r="B2279" s="46"/>
      <c r="C2279" s="46"/>
      <c r="D2279" s="48"/>
      <c r="E2279" s="48"/>
      <c r="F2279" s="48"/>
      <c r="G2279" s="48"/>
      <c r="H2279" s="48"/>
      <c r="I2279" s="48"/>
    </row>
    <row r="2280" spans="1:9" hidden="1" x14ac:dyDescent="0.2">
      <c r="A2280" s="46"/>
      <c r="B2280" s="46"/>
      <c r="C2280" s="46"/>
      <c r="D2280" s="48"/>
      <c r="E2280" s="48"/>
      <c r="F2280" s="48"/>
      <c r="G2280" s="48"/>
      <c r="H2280" s="48"/>
      <c r="I2280" s="48"/>
    </row>
    <row r="2281" spans="1:9" hidden="1" x14ac:dyDescent="0.2">
      <c r="A2281" s="46"/>
      <c r="B2281" s="46"/>
      <c r="C2281" s="46"/>
      <c r="D2281" s="48"/>
      <c r="E2281" s="48"/>
      <c r="F2281" s="48"/>
      <c r="G2281" s="48"/>
      <c r="H2281" s="48"/>
      <c r="I2281" s="48"/>
    </row>
    <row r="2282" spans="1:9" hidden="1" x14ac:dyDescent="0.2">
      <c r="A2282" s="46"/>
      <c r="B2282" s="46"/>
      <c r="C2282" s="46"/>
      <c r="D2282" s="48"/>
      <c r="E2282" s="48"/>
      <c r="F2282" s="48"/>
      <c r="G2282" s="48"/>
      <c r="H2282" s="48"/>
      <c r="I2282" s="48"/>
    </row>
    <row r="2283" spans="1:9" hidden="1" x14ac:dyDescent="0.2">
      <c r="A2283" s="46"/>
      <c r="B2283" s="46"/>
      <c r="C2283" s="46"/>
      <c r="D2283" s="48"/>
      <c r="E2283" s="48"/>
      <c r="F2283" s="48"/>
      <c r="G2283" s="48"/>
      <c r="H2283" s="48"/>
      <c r="I2283" s="48"/>
    </row>
    <row r="2284" spans="1:9" hidden="1" x14ac:dyDescent="0.2">
      <c r="A2284" s="46"/>
      <c r="B2284" s="46"/>
      <c r="C2284" s="46"/>
      <c r="D2284" s="48"/>
      <c r="E2284" s="48"/>
      <c r="F2284" s="48"/>
      <c r="G2284" s="48"/>
      <c r="H2284" s="48"/>
      <c r="I2284" s="48"/>
    </row>
    <row r="2285" spans="1:9" hidden="1" x14ac:dyDescent="0.2">
      <c r="A2285" s="46"/>
      <c r="B2285" s="46"/>
      <c r="C2285" s="46"/>
      <c r="D2285" s="48"/>
      <c r="E2285" s="48"/>
      <c r="F2285" s="48"/>
      <c r="G2285" s="48"/>
      <c r="H2285" s="48"/>
      <c r="I2285" s="48"/>
    </row>
    <row r="2286" spans="1:9" hidden="1" x14ac:dyDescent="0.2">
      <c r="A2286" s="46"/>
      <c r="B2286" s="46"/>
      <c r="C2286" s="46"/>
      <c r="D2286" s="48"/>
      <c r="E2286" s="48"/>
      <c r="F2286" s="48"/>
      <c r="G2286" s="48"/>
      <c r="H2286" s="48"/>
      <c r="I2286" s="48"/>
    </row>
    <row r="2287" spans="1:9" hidden="1" x14ac:dyDescent="0.2">
      <c r="A2287" s="46"/>
      <c r="B2287" s="46"/>
      <c r="C2287" s="46"/>
      <c r="D2287" s="48"/>
      <c r="E2287" s="48"/>
      <c r="F2287" s="48"/>
      <c r="G2287" s="48"/>
      <c r="H2287" s="48"/>
      <c r="I2287" s="48"/>
    </row>
    <row r="2288" spans="1:9" hidden="1" x14ac:dyDescent="0.2">
      <c r="A2288" s="46"/>
      <c r="B2288" s="46"/>
      <c r="C2288" s="46"/>
      <c r="D2288" s="48"/>
      <c r="E2288" s="48"/>
      <c r="F2288" s="48"/>
      <c r="G2288" s="48"/>
      <c r="H2288" s="48"/>
      <c r="I2288" s="48"/>
    </row>
    <row r="2289" spans="1:9" hidden="1" x14ac:dyDescent="0.2">
      <c r="A2289" s="46"/>
      <c r="B2289" s="46"/>
      <c r="C2289" s="46"/>
      <c r="D2289" s="48"/>
      <c r="E2289" s="48"/>
      <c r="F2289" s="48"/>
      <c r="G2289" s="48"/>
      <c r="H2289" s="48"/>
      <c r="I2289" s="48"/>
    </row>
    <row r="2290" spans="1:9" hidden="1" x14ac:dyDescent="0.2">
      <c r="A2290" s="46"/>
      <c r="B2290" s="46"/>
      <c r="C2290" s="46"/>
      <c r="D2290" s="48"/>
      <c r="E2290" s="48"/>
      <c r="F2290" s="48"/>
      <c r="G2290" s="48"/>
      <c r="H2290" s="48"/>
      <c r="I2290" s="48"/>
    </row>
    <row r="2291" spans="1:9" hidden="1" x14ac:dyDescent="0.2">
      <c r="A2291" s="46"/>
      <c r="B2291" s="46"/>
      <c r="C2291" s="46"/>
      <c r="D2291" s="48"/>
      <c r="E2291" s="48"/>
      <c r="F2291" s="48"/>
      <c r="G2291" s="48"/>
      <c r="H2291" s="48"/>
      <c r="I2291" s="48"/>
    </row>
    <row r="2292" spans="1:9" hidden="1" x14ac:dyDescent="0.2">
      <c r="A2292" s="46"/>
      <c r="B2292" s="46"/>
      <c r="C2292" s="46"/>
      <c r="D2292" s="48"/>
      <c r="E2292" s="48"/>
      <c r="F2292" s="48"/>
      <c r="G2292" s="48"/>
      <c r="H2292" s="48"/>
      <c r="I2292" s="48"/>
    </row>
    <row r="2293" spans="1:9" hidden="1" x14ac:dyDescent="0.2">
      <c r="A2293" s="46"/>
      <c r="B2293" s="46"/>
      <c r="C2293" s="46"/>
      <c r="D2293" s="48"/>
      <c r="E2293" s="48"/>
      <c r="F2293" s="48"/>
      <c r="G2293" s="48"/>
      <c r="H2293" s="48"/>
      <c r="I2293" s="48"/>
    </row>
    <row r="2294" spans="1:9" hidden="1" x14ac:dyDescent="0.2">
      <c r="A2294" s="46"/>
      <c r="B2294" s="46"/>
      <c r="C2294" s="46"/>
      <c r="D2294" s="48"/>
      <c r="E2294" s="48"/>
      <c r="F2294" s="48"/>
      <c r="G2294" s="48"/>
      <c r="H2294" s="48"/>
      <c r="I2294" s="48"/>
    </row>
    <row r="2295" spans="1:9" hidden="1" x14ac:dyDescent="0.2">
      <c r="A2295" s="46"/>
      <c r="B2295" s="46"/>
      <c r="C2295" s="46"/>
      <c r="D2295" s="48"/>
      <c r="E2295" s="48"/>
      <c r="F2295" s="48"/>
      <c r="G2295" s="48"/>
      <c r="H2295" s="48"/>
      <c r="I2295" s="48"/>
    </row>
    <row r="2296" spans="1:9" hidden="1" x14ac:dyDescent="0.2">
      <c r="A2296" s="46"/>
      <c r="B2296" s="46"/>
      <c r="C2296" s="46"/>
      <c r="D2296" s="48"/>
      <c r="E2296" s="48"/>
      <c r="F2296" s="48"/>
      <c r="G2296" s="48"/>
      <c r="H2296" s="48"/>
      <c r="I2296" s="48"/>
    </row>
    <row r="2297" spans="1:9" hidden="1" x14ac:dyDescent="0.2">
      <c r="A2297" s="46"/>
      <c r="B2297" s="46"/>
      <c r="C2297" s="46"/>
      <c r="D2297" s="48"/>
      <c r="E2297" s="48"/>
      <c r="F2297" s="48"/>
      <c r="G2297" s="48"/>
      <c r="H2297" s="48"/>
      <c r="I2297" s="48"/>
    </row>
    <row r="2298" spans="1:9" hidden="1" x14ac:dyDescent="0.2">
      <c r="A2298" s="46"/>
      <c r="B2298" s="46"/>
      <c r="C2298" s="46"/>
      <c r="D2298" s="48"/>
      <c r="E2298" s="48"/>
      <c r="F2298" s="48"/>
      <c r="G2298" s="48"/>
      <c r="H2298" s="48"/>
      <c r="I2298" s="48"/>
    </row>
    <row r="2299" spans="1:9" hidden="1" x14ac:dyDescent="0.2">
      <c r="A2299" s="46"/>
      <c r="B2299" s="46"/>
      <c r="C2299" s="46"/>
      <c r="D2299" s="48"/>
      <c r="E2299" s="48"/>
      <c r="F2299" s="48"/>
      <c r="G2299" s="48"/>
      <c r="H2299" s="48"/>
      <c r="I2299" s="48"/>
    </row>
    <row r="2300" spans="1:9" hidden="1" x14ac:dyDescent="0.2">
      <c r="A2300" s="46"/>
      <c r="B2300" s="46"/>
      <c r="C2300" s="46"/>
      <c r="D2300" s="48"/>
      <c r="E2300" s="48"/>
      <c r="F2300" s="48"/>
      <c r="G2300" s="48"/>
      <c r="H2300" s="48"/>
      <c r="I2300" s="48"/>
    </row>
    <row r="2301" spans="1:9" hidden="1" x14ac:dyDescent="0.2">
      <c r="A2301" s="46"/>
      <c r="B2301" s="46"/>
      <c r="C2301" s="46"/>
      <c r="D2301" s="48"/>
      <c r="E2301" s="48"/>
      <c r="F2301" s="48"/>
      <c r="G2301" s="48"/>
      <c r="H2301" s="48"/>
      <c r="I2301" s="48"/>
    </row>
    <row r="2302" spans="1:9" hidden="1" x14ac:dyDescent="0.2">
      <c r="A2302" s="46"/>
      <c r="B2302" s="46"/>
      <c r="C2302" s="46"/>
      <c r="D2302" s="48"/>
      <c r="E2302" s="48"/>
      <c r="F2302" s="48"/>
      <c r="G2302" s="48"/>
      <c r="H2302" s="48"/>
      <c r="I2302" s="48"/>
    </row>
    <row r="2303" spans="1:9" hidden="1" x14ac:dyDescent="0.2">
      <c r="A2303" s="46"/>
      <c r="B2303" s="46"/>
      <c r="C2303" s="46"/>
      <c r="D2303" s="48"/>
      <c r="E2303" s="48"/>
      <c r="F2303" s="48"/>
      <c r="G2303" s="48"/>
      <c r="H2303" s="48"/>
      <c r="I2303" s="48"/>
    </row>
    <row r="2304" spans="1:9" hidden="1" x14ac:dyDescent="0.2">
      <c r="A2304" s="46"/>
      <c r="B2304" s="46"/>
      <c r="C2304" s="46"/>
      <c r="D2304" s="48"/>
      <c r="E2304" s="48"/>
      <c r="F2304" s="48"/>
      <c r="G2304" s="48"/>
      <c r="H2304" s="48"/>
      <c r="I2304" s="48"/>
    </row>
    <row r="2305" spans="1:9" hidden="1" x14ac:dyDescent="0.2">
      <c r="A2305" s="46"/>
      <c r="B2305" s="46"/>
      <c r="C2305" s="46"/>
      <c r="D2305" s="48"/>
      <c r="E2305" s="48"/>
      <c r="F2305" s="48"/>
      <c r="G2305" s="48"/>
      <c r="H2305" s="48"/>
      <c r="I2305" s="48"/>
    </row>
    <row r="2306" spans="1:9" hidden="1" x14ac:dyDescent="0.2">
      <c r="A2306" s="46"/>
      <c r="B2306" s="46"/>
      <c r="C2306" s="46"/>
      <c r="D2306" s="48"/>
      <c r="E2306" s="48"/>
      <c r="F2306" s="48"/>
      <c r="G2306" s="48"/>
      <c r="H2306" s="48"/>
      <c r="I2306" s="48"/>
    </row>
    <row r="2307" spans="1:9" hidden="1" x14ac:dyDescent="0.2">
      <c r="A2307" s="46"/>
      <c r="B2307" s="46"/>
      <c r="C2307" s="46"/>
      <c r="D2307" s="48"/>
      <c r="E2307" s="48"/>
      <c r="F2307" s="48"/>
      <c r="G2307" s="48"/>
      <c r="H2307" s="48"/>
      <c r="I2307" s="48"/>
    </row>
    <row r="2308" spans="1:9" hidden="1" x14ac:dyDescent="0.2">
      <c r="A2308" s="46"/>
      <c r="B2308" s="46"/>
      <c r="C2308" s="46"/>
      <c r="D2308" s="48"/>
      <c r="E2308" s="48"/>
      <c r="F2308" s="48"/>
      <c r="G2308" s="48"/>
      <c r="H2308" s="48"/>
      <c r="I2308" s="48"/>
    </row>
    <row r="2309" spans="1:9" hidden="1" x14ac:dyDescent="0.2">
      <c r="A2309" s="46"/>
      <c r="B2309" s="46"/>
      <c r="C2309" s="46"/>
      <c r="D2309" s="48"/>
      <c r="E2309" s="48"/>
      <c r="F2309" s="48"/>
      <c r="G2309" s="48"/>
      <c r="H2309" s="48"/>
      <c r="I2309" s="48"/>
    </row>
    <row r="2310" spans="1:9" hidden="1" x14ac:dyDescent="0.2">
      <c r="A2310" s="46"/>
      <c r="B2310" s="46"/>
      <c r="C2310" s="46"/>
      <c r="D2310" s="48"/>
      <c r="E2310" s="48"/>
      <c r="F2310" s="48"/>
      <c r="G2310" s="48"/>
      <c r="H2310" s="48"/>
      <c r="I2310" s="48"/>
    </row>
    <row r="2311" spans="1:9" hidden="1" x14ac:dyDescent="0.2">
      <c r="A2311" s="46"/>
      <c r="B2311" s="46"/>
      <c r="C2311" s="46"/>
      <c r="D2311" s="48"/>
      <c r="E2311" s="48"/>
      <c r="F2311" s="48"/>
      <c r="G2311" s="48"/>
      <c r="H2311" s="48"/>
      <c r="I2311" s="48"/>
    </row>
    <row r="2312" spans="1:9" hidden="1" x14ac:dyDescent="0.2">
      <c r="A2312" s="46"/>
      <c r="B2312" s="46"/>
      <c r="C2312" s="46"/>
      <c r="D2312" s="48"/>
      <c r="E2312" s="48"/>
      <c r="F2312" s="48"/>
      <c r="G2312" s="48"/>
      <c r="H2312" s="48"/>
      <c r="I2312" s="48"/>
    </row>
    <row r="2313" spans="1:9" hidden="1" x14ac:dyDescent="0.2">
      <c r="A2313" s="46"/>
      <c r="B2313" s="46"/>
      <c r="C2313" s="46"/>
      <c r="D2313" s="48"/>
      <c r="E2313" s="48"/>
      <c r="F2313" s="48"/>
      <c r="G2313" s="48"/>
      <c r="H2313" s="48"/>
      <c r="I2313" s="48"/>
    </row>
    <row r="2314" spans="1:9" hidden="1" x14ac:dyDescent="0.2">
      <c r="A2314" s="46"/>
      <c r="B2314" s="46"/>
      <c r="C2314" s="46"/>
      <c r="D2314" s="48"/>
      <c r="E2314" s="48"/>
      <c r="F2314" s="48"/>
      <c r="G2314" s="48"/>
      <c r="H2314" s="48"/>
      <c r="I2314" s="48"/>
    </row>
    <row r="2315" spans="1:9" hidden="1" x14ac:dyDescent="0.2">
      <c r="A2315" s="46"/>
      <c r="B2315" s="46"/>
      <c r="C2315" s="46"/>
      <c r="D2315" s="48"/>
      <c r="E2315" s="48"/>
      <c r="F2315" s="48"/>
      <c r="G2315" s="48"/>
      <c r="H2315" s="48"/>
      <c r="I2315" s="48"/>
    </row>
    <row r="2316" spans="1:9" hidden="1" x14ac:dyDescent="0.2">
      <c r="A2316" s="46"/>
      <c r="B2316" s="46"/>
      <c r="C2316" s="46"/>
      <c r="D2316" s="48"/>
      <c r="E2316" s="48"/>
      <c r="F2316" s="48"/>
      <c r="G2316" s="48"/>
      <c r="H2316" s="48"/>
      <c r="I2316" s="48"/>
    </row>
    <row r="2317" spans="1:9" hidden="1" x14ac:dyDescent="0.2">
      <c r="A2317" s="46"/>
      <c r="B2317" s="46"/>
      <c r="C2317" s="46"/>
      <c r="D2317" s="48"/>
      <c r="E2317" s="48"/>
      <c r="F2317" s="48"/>
      <c r="G2317" s="48"/>
      <c r="H2317" s="48"/>
      <c r="I2317" s="48"/>
    </row>
    <row r="2318" spans="1:9" hidden="1" x14ac:dyDescent="0.2">
      <c r="A2318" s="46"/>
      <c r="B2318" s="46"/>
      <c r="C2318" s="46"/>
      <c r="D2318" s="48"/>
      <c r="E2318" s="48"/>
      <c r="F2318" s="48"/>
      <c r="G2318" s="48"/>
      <c r="H2318" s="48"/>
      <c r="I2318" s="48"/>
    </row>
    <row r="2319" spans="1:9" hidden="1" x14ac:dyDescent="0.2">
      <c r="A2319" s="46"/>
      <c r="B2319" s="46"/>
      <c r="C2319" s="46"/>
      <c r="D2319" s="48"/>
      <c r="E2319" s="48"/>
      <c r="F2319" s="48"/>
      <c r="G2319" s="48"/>
      <c r="H2319" s="48"/>
      <c r="I2319" s="48"/>
    </row>
    <row r="2320" spans="1:9" hidden="1" x14ac:dyDescent="0.2">
      <c r="A2320" s="46"/>
      <c r="B2320" s="46"/>
      <c r="C2320" s="46"/>
      <c r="D2320" s="48"/>
      <c r="E2320" s="48"/>
      <c r="F2320" s="48"/>
      <c r="G2320" s="48"/>
      <c r="H2320" s="48"/>
      <c r="I2320" s="48"/>
    </row>
    <row r="2321" spans="1:9" hidden="1" x14ac:dyDescent="0.2">
      <c r="A2321" s="46"/>
      <c r="B2321" s="46"/>
      <c r="C2321" s="46"/>
      <c r="D2321" s="48"/>
      <c r="E2321" s="48"/>
      <c r="F2321" s="48"/>
      <c r="G2321" s="48"/>
      <c r="H2321" s="48"/>
      <c r="I2321" s="48"/>
    </row>
    <row r="2322" spans="1:9" hidden="1" x14ac:dyDescent="0.2">
      <c r="A2322" s="46"/>
      <c r="B2322" s="46"/>
      <c r="C2322" s="46"/>
      <c r="D2322" s="48"/>
      <c r="E2322" s="48"/>
      <c r="F2322" s="48"/>
      <c r="G2322" s="48"/>
      <c r="H2322" s="48"/>
      <c r="I2322" s="48"/>
    </row>
    <row r="2323" spans="1:9" hidden="1" x14ac:dyDescent="0.2">
      <c r="A2323" s="46"/>
      <c r="B2323" s="46"/>
      <c r="C2323" s="46"/>
      <c r="D2323" s="48"/>
      <c r="E2323" s="48"/>
      <c r="F2323" s="48"/>
      <c r="G2323" s="48"/>
      <c r="H2323" s="48"/>
      <c r="I2323" s="48"/>
    </row>
    <row r="2324" spans="1:9" hidden="1" x14ac:dyDescent="0.2">
      <c r="A2324" s="46"/>
      <c r="B2324" s="46"/>
      <c r="C2324" s="46"/>
      <c r="D2324" s="48"/>
      <c r="E2324" s="48"/>
      <c r="F2324" s="48"/>
      <c r="G2324" s="48"/>
      <c r="H2324" s="48"/>
      <c r="I2324" s="48"/>
    </row>
    <row r="2325" spans="1:9" hidden="1" x14ac:dyDescent="0.2">
      <c r="A2325" s="46"/>
      <c r="B2325" s="46"/>
      <c r="C2325" s="46"/>
      <c r="D2325" s="48"/>
      <c r="E2325" s="48"/>
      <c r="F2325" s="48"/>
      <c r="G2325" s="48"/>
      <c r="H2325" s="48"/>
      <c r="I2325" s="48"/>
    </row>
    <row r="2326" spans="1:9" hidden="1" x14ac:dyDescent="0.2">
      <c r="A2326" s="46"/>
      <c r="B2326" s="46"/>
      <c r="C2326" s="46"/>
      <c r="D2326" s="48"/>
      <c r="E2326" s="48"/>
      <c r="F2326" s="48"/>
      <c r="G2326" s="48"/>
      <c r="H2326" s="48"/>
      <c r="I2326" s="48"/>
    </row>
    <row r="2327" spans="1:9" hidden="1" x14ac:dyDescent="0.2">
      <c r="A2327" s="46"/>
      <c r="B2327" s="46"/>
      <c r="C2327" s="46"/>
      <c r="D2327" s="48"/>
      <c r="E2327" s="48"/>
      <c r="F2327" s="48"/>
      <c r="G2327" s="48"/>
      <c r="H2327" s="48"/>
      <c r="I2327" s="48"/>
    </row>
    <row r="2328" spans="1:9" hidden="1" x14ac:dyDescent="0.2">
      <c r="A2328" s="46"/>
      <c r="B2328" s="46"/>
      <c r="C2328" s="46"/>
      <c r="D2328" s="48"/>
      <c r="E2328" s="48"/>
      <c r="F2328" s="48"/>
      <c r="G2328" s="48"/>
      <c r="H2328" s="48"/>
      <c r="I2328" s="48"/>
    </row>
    <row r="2329" spans="1:9" hidden="1" x14ac:dyDescent="0.2">
      <c r="A2329" s="46"/>
      <c r="B2329" s="46"/>
      <c r="C2329" s="46"/>
      <c r="D2329" s="48"/>
      <c r="E2329" s="48"/>
      <c r="F2329" s="48"/>
      <c r="G2329" s="48"/>
      <c r="H2329" s="48"/>
      <c r="I2329" s="48"/>
    </row>
    <row r="2330" spans="1:9" hidden="1" x14ac:dyDescent="0.2">
      <c r="A2330" s="46"/>
      <c r="B2330" s="46"/>
      <c r="C2330" s="46"/>
      <c r="D2330" s="48"/>
      <c r="E2330" s="48"/>
      <c r="F2330" s="48"/>
      <c r="G2330" s="48"/>
      <c r="H2330" s="48"/>
      <c r="I2330" s="48"/>
    </row>
    <row r="2331" spans="1:9" hidden="1" x14ac:dyDescent="0.2">
      <c r="A2331" s="46"/>
      <c r="B2331" s="46"/>
      <c r="C2331" s="46"/>
      <c r="D2331" s="48"/>
      <c r="E2331" s="48"/>
      <c r="F2331" s="48"/>
      <c r="G2331" s="48"/>
      <c r="H2331" s="48"/>
      <c r="I2331" s="48"/>
    </row>
    <row r="2332" spans="1:9" hidden="1" x14ac:dyDescent="0.2">
      <c r="A2332" s="46"/>
      <c r="B2332" s="46"/>
      <c r="C2332" s="46"/>
      <c r="D2332" s="48"/>
      <c r="E2332" s="48"/>
      <c r="F2332" s="48"/>
      <c r="G2332" s="48"/>
      <c r="H2332" s="48"/>
      <c r="I2332" s="48"/>
    </row>
    <row r="2333" spans="1:9" hidden="1" x14ac:dyDescent="0.2">
      <c r="A2333" s="46"/>
      <c r="B2333" s="46"/>
      <c r="C2333" s="46"/>
      <c r="D2333" s="48"/>
      <c r="E2333" s="48"/>
      <c r="F2333" s="48"/>
      <c r="G2333" s="48"/>
      <c r="H2333" s="48"/>
      <c r="I2333" s="48"/>
    </row>
    <row r="2334" spans="1:9" hidden="1" x14ac:dyDescent="0.2">
      <c r="A2334" s="46"/>
      <c r="B2334" s="46"/>
      <c r="C2334" s="46"/>
      <c r="D2334" s="48"/>
      <c r="E2334" s="48"/>
      <c r="F2334" s="48"/>
      <c r="G2334" s="48"/>
      <c r="H2334" s="48"/>
      <c r="I2334" s="48"/>
    </row>
    <row r="2335" spans="1:9" hidden="1" x14ac:dyDescent="0.2">
      <c r="A2335" s="46"/>
      <c r="B2335" s="46"/>
      <c r="C2335" s="46"/>
      <c r="D2335" s="48"/>
      <c r="E2335" s="48"/>
      <c r="F2335" s="48"/>
      <c r="G2335" s="48"/>
      <c r="H2335" s="48"/>
      <c r="I2335" s="48"/>
    </row>
    <row r="2336" spans="1:9" hidden="1" x14ac:dyDescent="0.2">
      <c r="A2336" s="46"/>
      <c r="B2336" s="46"/>
      <c r="C2336" s="46"/>
      <c r="D2336" s="48"/>
      <c r="E2336" s="48"/>
      <c r="F2336" s="48"/>
      <c r="G2336" s="48"/>
      <c r="H2336" s="48"/>
      <c r="I2336" s="48"/>
    </row>
    <row r="2337" spans="1:9" hidden="1" x14ac:dyDescent="0.2">
      <c r="A2337" s="46"/>
      <c r="B2337" s="46"/>
      <c r="C2337" s="46"/>
      <c r="D2337" s="48"/>
      <c r="E2337" s="48"/>
      <c r="F2337" s="48"/>
      <c r="G2337" s="48"/>
      <c r="H2337" s="48"/>
      <c r="I2337" s="48"/>
    </row>
    <row r="2338" spans="1:9" hidden="1" x14ac:dyDescent="0.2">
      <c r="A2338" s="46"/>
      <c r="B2338" s="46"/>
      <c r="C2338" s="46"/>
      <c r="D2338" s="48"/>
      <c r="E2338" s="48"/>
      <c r="F2338" s="48"/>
      <c r="G2338" s="48"/>
      <c r="H2338" s="48"/>
      <c r="I2338" s="48"/>
    </row>
    <row r="2339" spans="1:9" hidden="1" x14ac:dyDescent="0.2">
      <c r="A2339" s="46"/>
      <c r="B2339" s="46"/>
      <c r="C2339" s="46"/>
      <c r="D2339" s="48"/>
      <c r="E2339" s="48"/>
      <c r="F2339" s="48"/>
      <c r="G2339" s="48"/>
      <c r="H2339" s="48"/>
      <c r="I2339" s="48"/>
    </row>
    <row r="2340" spans="1:9" hidden="1" x14ac:dyDescent="0.2">
      <c r="A2340" s="46"/>
      <c r="B2340" s="46"/>
      <c r="C2340" s="46"/>
      <c r="D2340" s="48"/>
      <c r="E2340" s="48"/>
      <c r="F2340" s="48"/>
      <c r="G2340" s="48"/>
      <c r="H2340" s="48"/>
      <c r="I2340" s="48"/>
    </row>
    <row r="2341" spans="1:9" hidden="1" x14ac:dyDescent="0.2">
      <c r="A2341" s="46"/>
      <c r="B2341" s="46"/>
      <c r="C2341" s="46"/>
      <c r="D2341" s="48"/>
      <c r="E2341" s="48"/>
      <c r="F2341" s="48"/>
      <c r="G2341" s="48"/>
      <c r="H2341" s="48"/>
      <c r="I2341" s="48"/>
    </row>
    <row r="2342" spans="1:9" hidden="1" x14ac:dyDescent="0.2">
      <c r="A2342" s="46"/>
      <c r="B2342" s="46"/>
      <c r="C2342" s="46"/>
      <c r="D2342" s="48"/>
      <c r="E2342" s="48"/>
      <c r="F2342" s="48"/>
      <c r="G2342" s="48"/>
      <c r="H2342" s="48"/>
      <c r="I2342" s="48"/>
    </row>
    <row r="2343" spans="1:9" hidden="1" x14ac:dyDescent="0.2">
      <c r="A2343" s="46"/>
      <c r="B2343" s="46"/>
      <c r="C2343" s="46"/>
      <c r="D2343" s="48"/>
      <c r="E2343" s="48"/>
      <c r="F2343" s="48"/>
      <c r="G2343" s="48"/>
      <c r="H2343" s="48"/>
      <c r="I2343" s="48"/>
    </row>
    <row r="2344" spans="1:9" hidden="1" x14ac:dyDescent="0.2">
      <c r="A2344" s="46"/>
      <c r="B2344" s="46"/>
      <c r="C2344" s="46"/>
      <c r="D2344" s="48"/>
      <c r="E2344" s="48"/>
      <c r="F2344" s="48"/>
      <c r="G2344" s="48"/>
      <c r="H2344" s="48"/>
      <c r="I2344" s="48"/>
    </row>
    <row r="2345" spans="1:9" hidden="1" x14ac:dyDescent="0.2">
      <c r="A2345" s="46"/>
      <c r="B2345" s="46"/>
      <c r="C2345" s="46"/>
      <c r="D2345" s="48"/>
      <c r="E2345" s="48"/>
      <c r="F2345" s="48"/>
      <c r="G2345" s="48"/>
      <c r="H2345" s="48"/>
      <c r="I2345" s="48"/>
    </row>
    <row r="2346" spans="1:9" hidden="1" x14ac:dyDescent="0.2">
      <c r="A2346" s="46"/>
      <c r="B2346" s="46"/>
      <c r="C2346" s="46"/>
      <c r="D2346" s="48"/>
      <c r="E2346" s="48"/>
      <c r="F2346" s="48"/>
      <c r="G2346" s="48"/>
      <c r="H2346" s="48"/>
      <c r="I2346" s="48"/>
    </row>
    <row r="2347" spans="1:9" hidden="1" x14ac:dyDescent="0.2">
      <c r="A2347" s="46"/>
      <c r="B2347" s="46"/>
      <c r="C2347" s="46"/>
      <c r="D2347" s="48"/>
      <c r="E2347" s="48"/>
      <c r="F2347" s="48"/>
      <c r="G2347" s="48"/>
      <c r="H2347" s="48"/>
      <c r="I2347" s="48"/>
    </row>
    <row r="2348" spans="1:9" hidden="1" x14ac:dyDescent="0.2">
      <c r="A2348" s="46"/>
      <c r="B2348" s="46"/>
      <c r="C2348" s="46"/>
      <c r="D2348" s="48"/>
      <c r="E2348" s="48"/>
      <c r="F2348" s="48"/>
      <c r="G2348" s="48"/>
      <c r="H2348" s="48"/>
      <c r="I2348" s="48"/>
    </row>
    <row r="2349" spans="1:9" hidden="1" x14ac:dyDescent="0.2">
      <c r="A2349" s="46"/>
      <c r="B2349" s="46"/>
      <c r="C2349" s="46"/>
      <c r="D2349" s="48"/>
      <c r="E2349" s="48"/>
      <c r="F2349" s="48"/>
      <c r="G2349" s="48"/>
      <c r="H2349" s="48"/>
      <c r="I2349" s="48"/>
    </row>
    <row r="2350" spans="1:9" hidden="1" x14ac:dyDescent="0.2">
      <c r="A2350" s="46"/>
      <c r="B2350" s="46"/>
      <c r="C2350" s="46"/>
      <c r="D2350" s="48"/>
      <c r="E2350" s="48"/>
      <c r="F2350" s="48"/>
      <c r="G2350" s="48"/>
      <c r="H2350" s="48"/>
      <c r="I2350" s="48"/>
    </row>
    <row r="2351" spans="1:9" hidden="1" x14ac:dyDescent="0.2">
      <c r="A2351" s="46"/>
      <c r="B2351" s="46"/>
      <c r="C2351" s="46"/>
      <c r="D2351" s="48"/>
      <c r="E2351" s="48"/>
      <c r="F2351" s="48"/>
      <c r="G2351" s="48"/>
      <c r="H2351" s="48"/>
      <c r="I2351" s="48"/>
    </row>
    <row r="2352" spans="1:9" hidden="1" x14ac:dyDescent="0.2">
      <c r="A2352" s="46"/>
      <c r="B2352" s="46"/>
      <c r="C2352" s="46"/>
      <c r="D2352" s="48"/>
      <c r="E2352" s="48"/>
      <c r="F2352" s="48"/>
      <c r="G2352" s="48"/>
      <c r="H2352" s="48"/>
      <c r="I2352" s="48"/>
    </row>
    <row r="2353" spans="1:9" hidden="1" x14ac:dyDescent="0.2">
      <c r="A2353" s="46"/>
      <c r="B2353" s="46"/>
      <c r="C2353" s="46"/>
      <c r="D2353" s="48"/>
      <c r="E2353" s="48"/>
      <c r="F2353" s="48"/>
      <c r="G2353" s="48"/>
      <c r="H2353" s="48"/>
      <c r="I2353" s="48"/>
    </row>
    <row r="2354" spans="1:9" hidden="1" x14ac:dyDescent="0.2">
      <c r="A2354" s="46"/>
      <c r="B2354" s="46"/>
      <c r="C2354" s="46"/>
      <c r="D2354" s="48"/>
      <c r="E2354" s="48"/>
      <c r="F2354" s="48"/>
      <c r="G2354" s="48"/>
      <c r="H2354" s="48"/>
      <c r="I2354" s="48"/>
    </row>
    <row r="2355" spans="1:9" hidden="1" x14ac:dyDescent="0.2">
      <c r="A2355" s="46"/>
      <c r="B2355" s="46"/>
      <c r="C2355" s="46"/>
      <c r="D2355" s="48"/>
      <c r="E2355" s="48"/>
      <c r="F2355" s="48"/>
      <c r="G2355" s="48"/>
      <c r="H2355" s="48"/>
      <c r="I2355" s="48"/>
    </row>
    <row r="2356" spans="1:9" hidden="1" x14ac:dyDescent="0.2">
      <c r="A2356" s="46"/>
      <c r="B2356" s="46"/>
      <c r="C2356" s="46"/>
      <c r="D2356" s="48"/>
      <c r="E2356" s="48"/>
      <c r="F2356" s="48"/>
      <c r="G2356" s="48"/>
      <c r="H2356" s="48"/>
      <c r="I2356" s="48"/>
    </row>
    <row r="2357" spans="1:9" hidden="1" x14ac:dyDescent="0.2">
      <c r="A2357" s="46"/>
      <c r="B2357" s="46"/>
      <c r="C2357" s="46"/>
      <c r="D2357" s="48"/>
      <c r="E2357" s="48"/>
      <c r="F2357" s="48"/>
      <c r="G2357" s="48"/>
      <c r="H2357" s="48"/>
      <c r="I2357" s="48"/>
    </row>
    <row r="2358" spans="1:9" hidden="1" x14ac:dyDescent="0.2">
      <c r="A2358" s="46"/>
      <c r="B2358" s="46"/>
      <c r="C2358" s="46"/>
      <c r="D2358" s="48"/>
      <c r="E2358" s="48"/>
      <c r="F2358" s="48"/>
      <c r="G2358" s="48"/>
      <c r="H2358" s="48"/>
      <c r="I2358" s="48"/>
    </row>
    <row r="2359" spans="1:9" hidden="1" x14ac:dyDescent="0.2">
      <c r="A2359" s="46"/>
      <c r="B2359" s="46"/>
      <c r="C2359" s="46"/>
      <c r="D2359" s="48"/>
      <c r="E2359" s="48"/>
      <c r="F2359" s="48"/>
      <c r="G2359" s="48"/>
      <c r="H2359" s="48"/>
      <c r="I2359" s="48"/>
    </row>
    <row r="2360" spans="1:9" hidden="1" x14ac:dyDescent="0.2">
      <c r="A2360" s="46"/>
      <c r="B2360" s="46"/>
      <c r="C2360" s="46"/>
      <c r="D2360" s="48"/>
      <c r="E2360" s="48"/>
      <c r="F2360" s="48"/>
      <c r="G2360" s="48"/>
      <c r="H2360" s="48"/>
      <c r="I2360" s="48"/>
    </row>
    <row r="2361" spans="1:9" hidden="1" x14ac:dyDescent="0.2">
      <c r="A2361" s="46"/>
      <c r="B2361" s="46"/>
      <c r="C2361" s="46"/>
      <c r="D2361" s="48"/>
      <c r="E2361" s="48"/>
      <c r="F2361" s="48"/>
      <c r="G2361" s="48"/>
      <c r="H2361" s="48"/>
      <c r="I2361" s="48"/>
    </row>
    <row r="2362" spans="1:9" hidden="1" x14ac:dyDescent="0.2">
      <c r="A2362" s="46"/>
      <c r="B2362" s="46"/>
      <c r="C2362" s="46"/>
      <c r="D2362" s="48"/>
      <c r="E2362" s="48"/>
      <c r="F2362" s="48"/>
      <c r="G2362" s="48"/>
      <c r="H2362" s="48"/>
      <c r="I2362" s="48"/>
    </row>
    <row r="2363" spans="1:9" hidden="1" x14ac:dyDescent="0.2">
      <c r="A2363" s="46"/>
      <c r="B2363" s="46"/>
      <c r="C2363" s="46"/>
      <c r="D2363" s="48"/>
      <c r="E2363" s="48"/>
      <c r="F2363" s="48"/>
      <c r="G2363" s="48"/>
      <c r="H2363" s="48"/>
      <c r="I2363" s="48"/>
    </row>
    <row r="2364" spans="1:9" hidden="1" x14ac:dyDescent="0.2">
      <c r="A2364" s="46"/>
      <c r="B2364" s="46"/>
      <c r="C2364" s="46"/>
      <c r="D2364" s="48"/>
      <c r="E2364" s="48"/>
      <c r="F2364" s="48"/>
      <c r="G2364" s="48"/>
      <c r="H2364" s="48"/>
      <c r="I2364" s="48"/>
    </row>
    <row r="2365" spans="1:9" hidden="1" x14ac:dyDescent="0.2">
      <c r="A2365" s="46"/>
      <c r="B2365" s="46"/>
      <c r="C2365" s="46"/>
      <c r="D2365" s="48"/>
      <c r="E2365" s="48"/>
      <c r="F2365" s="48"/>
      <c r="G2365" s="48"/>
      <c r="H2365" s="48"/>
      <c r="I2365" s="48"/>
    </row>
    <row r="2366" spans="1:9" hidden="1" x14ac:dyDescent="0.2">
      <c r="A2366" s="46"/>
      <c r="B2366" s="46"/>
      <c r="C2366" s="46"/>
      <c r="D2366" s="48"/>
      <c r="E2366" s="48"/>
      <c r="F2366" s="48"/>
      <c r="G2366" s="48"/>
      <c r="H2366" s="48"/>
      <c r="I2366" s="48"/>
    </row>
    <row r="2367" spans="1:9" hidden="1" x14ac:dyDescent="0.2">
      <c r="A2367" s="46"/>
      <c r="B2367" s="46"/>
      <c r="C2367" s="46"/>
      <c r="D2367" s="48"/>
      <c r="E2367" s="48"/>
      <c r="F2367" s="48"/>
      <c r="G2367" s="48"/>
      <c r="H2367" s="48"/>
      <c r="I2367" s="48"/>
    </row>
    <row r="2368" spans="1:9" hidden="1" x14ac:dyDescent="0.2">
      <c r="A2368" s="46"/>
      <c r="B2368" s="46"/>
      <c r="C2368" s="46"/>
      <c r="D2368" s="48"/>
      <c r="E2368" s="48"/>
      <c r="F2368" s="48"/>
      <c r="G2368" s="48"/>
      <c r="H2368" s="48"/>
      <c r="I2368" s="48"/>
    </row>
    <row r="2369" spans="1:9" hidden="1" x14ac:dyDescent="0.2">
      <c r="A2369" s="46"/>
      <c r="B2369" s="46"/>
      <c r="C2369" s="46"/>
      <c r="D2369" s="48"/>
      <c r="E2369" s="48"/>
      <c r="F2369" s="48"/>
      <c r="G2369" s="48"/>
      <c r="H2369" s="48"/>
      <c r="I2369" s="48"/>
    </row>
    <row r="2370" spans="1:9" hidden="1" x14ac:dyDescent="0.2">
      <c r="A2370" s="46"/>
      <c r="B2370" s="46"/>
      <c r="C2370" s="46"/>
      <c r="D2370" s="48"/>
      <c r="E2370" s="48"/>
      <c r="F2370" s="48"/>
      <c r="G2370" s="48"/>
      <c r="H2370" s="48"/>
      <c r="I2370" s="48"/>
    </row>
    <row r="2371" spans="1:9" hidden="1" x14ac:dyDescent="0.2">
      <c r="A2371" s="46"/>
      <c r="B2371" s="46"/>
      <c r="C2371" s="46"/>
      <c r="D2371" s="48"/>
      <c r="E2371" s="48"/>
      <c r="F2371" s="48"/>
      <c r="G2371" s="48"/>
      <c r="H2371" s="48"/>
      <c r="I2371" s="48"/>
    </row>
    <row r="2372" spans="1:9" hidden="1" x14ac:dyDescent="0.2">
      <c r="A2372" s="46"/>
      <c r="B2372" s="46"/>
      <c r="C2372" s="46"/>
      <c r="D2372" s="48"/>
      <c r="E2372" s="48"/>
      <c r="F2372" s="48"/>
      <c r="G2372" s="48"/>
      <c r="H2372" s="48"/>
      <c r="I2372" s="48"/>
    </row>
    <row r="2373" spans="1:9" hidden="1" x14ac:dyDescent="0.2">
      <c r="A2373" s="46"/>
      <c r="B2373" s="46"/>
      <c r="C2373" s="46"/>
      <c r="D2373" s="48"/>
      <c r="E2373" s="48"/>
      <c r="F2373" s="48"/>
      <c r="G2373" s="48"/>
      <c r="H2373" s="48"/>
      <c r="I2373" s="48"/>
    </row>
    <row r="2374" spans="1:9" hidden="1" x14ac:dyDescent="0.2">
      <c r="A2374" s="46"/>
      <c r="B2374" s="46"/>
      <c r="C2374" s="46"/>
      <c r="D2374" s="48"/>
      <c r="E2374" s="48"/>
      <c r="F2374" s="48"/>
      <c r="G2374" s="48"/>
      <c r="H2374" s="48"/>
      <c r="I2374" s="48"/>
    </row>
    <row r="2375" spans="1:9" hidden="1" x14ac:dyDescent="0.2">
      <c r="A2375" s="46"/>
      <c r="B2375" s="46"/>
      <c r="C2375" s="46"/>
      <c r="D2375" s="48"/>
      <c r="E2375" s="48"/>
      <c r="F2375" s="48"/>
      <c r="G2375" s="48"/>
      <c r="H2375" s="48"/>
      <c r="I2375" s="48"/>
    </row>
    <row r="2376" spans="1:9" hidden="1" x14ac:dyDescent="0.2">
      <c r="A2376" s="46"/>
      <c r="B2376" s="46"/>
      <c r="C2376" s="46"/>
      <c r="D2376" s="48"/>
      <c r="E2376" s="48"/>
      <c r="F2376" s="48"/>
      <c r="G2376" s="48"/>
      <c r="H2376" s="48"/>
      <c r="I2376" s="48"/>
    </row>
    <row r="2377" spans="1:9" hidden="1" x14ac:dyDescent="0.2">
      <c r="A2377" s="46"/>
      <c r="B2377" s="46"/>
      <c r="C2377" s="46"/>
      <c r="D2377" s="48"/>
      <c r="E2377" s="48"/>
      <c r="F2377" s="48"/>
      <c r="G2377" s="48"/>
      <c r="H2377" s="48"/>
      <c r="I2377" s="48"/>
    </row>
    <row r="2378" spans="1:9" hidden="1" x14ac:dyDescent="0.2">
      <c r="A2378" s="46"/>
      <c r="B2378" s="46"/>
      <c r="C2378" s="46"/>
      <c r="D2378" s="48"/>
      <c r="E2378" s="48"/>
      <c r="F2378" s="48"/>
      <c r="G2378" s="48"/>
      <c r="H2378" s="48"/>
      <c r="I2378" s="48"/>
    </row>
    <row r="2379" spans="1:9" hidden="1" x14ac:dyDescent="0.2">
      <c r="A2379" s="46"/>
      <c r="B2379" s="46"/>
      <c r="C2379" s="46"/>
      <c r="D2379" s="48"/>
      <c r="E2379" s="48"/>
      <c r="F2379" s="48"/>
      <c r="G2379" s="48"/>
      <c r="H2379" s="48"/>
      <c r="I2379" s="48"/>
    </row>
    <row r="2380" spans="1:9" hidden="1" x14ac:dyDescent="0.2">
      <c r="A2380" s="46"/>
      <c r="B2380" s="46"/>
      <c r="C2380" s="46"/>
      <c r="D2380" s="48"/>
      <c r="E2380" s="48"/>
      <c r="F2380" s="48"/>
      <c r="G2380" s="48"/>
      <c r="H2380" s="48"/>
      <c r="I2380" s="48"/>
    </row>
    <row r="2381" spans="1:9" hidden="1" x14ac:dyDescent="0.2">
      <c r="A2381" s="46"/>
      <c r="B2381" s="46"/>
      <c r="C2381" s="46"/>
      <c r="D2381" s="48"/>
      <c r="E2381" s="48"/>
      <c r="F2381" s="48"/>
      <c r="G2381" s="48"/>
      <c r="H2381" s="48"/>
      <c r="I2381" s="48"/>
    </row>
    <row r="2382" spans="1:9" hidden="1" x14ac:dyDescent="0.2">
      <c r="A2382" s="46"/>
      <c r="B2382" s="46"/>
      <c r="C2382" s="46"/>
      <c r="D2382" s="48"/>
      <c r="E2382" s="48"/>
      <c r="F2382" s="48"/>
      <c r="G2382" s="48"/>
      <c r="H2382" s="48"/>
      <c r="I2382" s="48"/>
    </row>
    <row r="2383" spans="1:9" hidden="1" x14ac:dyDescent="0.2">
      <c r="A2383" s="46"/>
      <c r="B2383" s="46"/>
      <c r="C2383" s="46"/>
      <c r="D2383" s="48"/>
      <c r="E2383" s="48"/>
      <c r="F2383" s="48"/>
      <c r="G2383" s="48"/>
      <c r="H2383" s="48"/>
      <c r="I2383" s="48"/>
    </row>
    <row r="2384" spans="1:9" hidden="1" x14ac:dyDescent="0.2">
      <c r="A2384" s="46"/>
      <c r="B2384" s="46"/>
      <c r="C2384" s="46"/>
      <c r="D2384" s="48"/>
      <c r="E2384" s="48"/>
      <c r="F2384" s="48"/>
      <c r="G2384" s="48"/>
      <c r="H2384" s="48"/>
      <c r="I2384" s="48"/>
    </row>
    <row r="2385" spans="1:9" hidden="1" x14ac:dyDescent="0.2">
      <c r="A2385" s="46"/>
      <c r="B2385" s="46"/>
      <c r="C2385" s="46"/>
      <c r="D2385" s="48"/>
      <c r="E2385" s="48"/>
      <c r="F2385" s="48"/>
      <c r="G2385" s="48"/>
      <c r="H2385" s="48"/>
      <c r="I2385" s="48"/>
    </row>
    <row r="2386" spans="1:9" hidden="1" x14ac:dyDescent="0.2">
      <c r="A2386" s="46"/>
      <c r="B2386" s="46"/>
      <c r="C2386" s="46"/>
      <c r="D2386" s="48"/>
      <c r="E2386" s="48"/>
      <c r="F2386" s="48"/>
      <c r="G2386" s="48"/>
      <c r="H2386" s="48"/>
      <c r="I2386" s="48"/>
    </row>
    <row r="2387" spans="1:9" hidden="1" x14ac:dyDescent="0.2">
      <c r="A2387" s="46"/>
      <c r="B2387" s="46"/>
      <c r="C2387" s="46"/>
      <c r="D2387" s="48"/>
      <c r="E2387" s="48"/>
      <c r="F2387" s="48"/>
      <c r="G2387" s="48"/>
      <c r="H2387" s="48"/>
      <c r="I2387" s="48"/>
    </row>
    <row r="2388" spans="1:9" hidden="1" x14ac:dyDescent="0.2">
      <c r="A2388" s="46"/>
      <c r="B2388" s="46"/>
      <c r="C2388" s="46"/>
      <c r="D2388" s="48"/>
      <c r="E2388" s="48"/>
      <c r="F2388" s="48"/>
      <c r="G2388" s="48"/>
      <c r="H2388" s="48"/>
      <c r="I2388" s="48"/>
    </row>
    <row r="2389" spans="1:9" hidden="1" x14ac:dyDescent="0.2">
      <c r="A2389" s="46"/>
      <c r="B2389" s="46"/>
      <c r="C2389" s="46"/>
      <c r="D2389" s="48"/>
      <c r="E2389" s="48"/>
      <c r="F2389" s="48"/>
      <c r="G2389" s="48"/>
      <c r="H2389" s="48"/>
      <c r="I2389" s="48"/>
    </row>
    <row r="2390" spans="1:9" hidden="1" x14ac:dyDescent="0.2">
      <c r="A2390" s="46"/>
      <c r="B2390" s="46"/>
      <c r="C2390" s="46"/>
      <c r="D2390" s="48"/>
      <c r="E2390" s="48"/>
      <c r="F2390" s="48"/>
      <c r="G2390" s="48"/>
      <c r="H2390" s="48"/>
      <c r="I2390" s="48"/>
    </row>
    <row r="2391" spans="1:9" hidden="1" x14ac:dyDescent="0.2">
      <c r="A2391" s="46"/>
      <c r="B2391" s="46"/>
      <c r="C2391" s="46"/>
      <c r="D2391" s="48"/>
      <c r="E2391" s="48"/>
      <c r="F2391" s="48"/>
      <c r="G2391" s="48"/>
      <c r="H2391" s="48"/>
      <c r="I2391" s="48"/>
    </row>
    <row r="2392" spans="1:9" hidden="1" x14ac:dyDescent="0.2">
      <c r="A2392" s="46"/>
      <c r="B2392" s="46"/>
      <c r="C2392" s="46"/>
      <c r="D2392" s="48"/>
      <c r="E2392" s="48"/>
      <c r="F2392" s="48"/>
      <c r="G2392" s="48"/>
      <c r="H2392" s="48"/>
      <c r="I2392" s="48"/>
    </row>
    <row r="2393" spans="1:9" hidden="1" x14ac:dyDescent="0.2">
      <c r="A2393" s="46"/>
      <c r="B2393" s="46"/>
      <c r="C2393" s="46"/>
      <c r="D2393" s="48"/>
      <c r="E2393" s="48"/>
      <c r="F2393" s="48"/>
      <c r="G2393" s="48"/>
      <c r="H2393" s="48"/>
      <c r="I2393" s="48"/>
    </row>
    <row r="2394" spans="1:9" hidden="1" x14ac:dyDescent="0.2">
      <c r="A2394" s="46"/>
      <c r="B2394" s="46"/>
      <c r="C2394" s="46"/>
      <c r="D2394" s="48"/>
      <c r="E2394" s="48"/>
      <c r="F2394" s="48"/>
      <c r="G2394" s="48"/>
      <c r="H2394" s="48"/>
      <c r="I2394" s="48"/>
    </row>
    <row r="2395" spans="1:9" hidden="1" x14ac:dyDescent="0.2">
      <c r="A2395" s="46"/>
      <c r="B2395" s="46"/>
      <c r="C2395" s="46"/>
      <c r="D2395" s="48"/>
      <c r="E2395" s="48"/>
      <c r="F2395" s="48"/>
      <c r="G2395" s="48"/>
      <c r="H2395" s="48"/>
      <c r="I2395" s="48"/>
    </row>
    <row r="2396" spans="1:9" hidden="1" x14ac:dyDescent="0.2">
      <c r="A2396" s="46"/>
      <c r="B2396" s="46"/>
      <c r="C2396" s="46"/>
      <c r="D2396" s="48"/>
      <c r="E2396" s="48"/>
      <c r="F2396" s="48"/>
      <c r="G2396" s="48"/>
      <c r="H2396" s="48"/>
      <c r="I2396" s="48"/>
    </row>
    <row r="2397" spans="1:9" hidden="1" x14ac:dyDescent="0.2">
      <c r="A2397" s="46"/>
      <c r="B2397" s="46"/>
      <c r="C2397" s="46"/>
      <c r="D2397" s="48"/>
      <c r="E2397" s="48"/>
      <c r="F2397" s="48"/>
      <c r="G2397" s="48"/>
      <c r="H2397" s="48"/>
      <c r="I2397" s="48"/>
    </row>
    <row r="2398" spans="1:9" hidden="1" x14ac:dyDescent="0.2">
      <c r="A2398" s="46"/>
      <c r="B2398" s="46"/>
      <c r="C2398" s="46"/>
      <c r="D2398" s="48"/>
      <c r="E2398" s="48"/>
      <c r="F2398" s="48"/>
      <c r="G2398" s="48"/>
      <c r="H2398" s="48"/>
      <c r="I2398" s="48"/>
    </row>
    <row r="2399" spans="1:9" hidden="1" x14ac:dyDescent="0.2">
      <c r="A2399" s="46"/>
      <c r="B2399" s="46"/>
      <c r="C2399" s="46"/>
      <c r="D2399" s="48"/>
      <c r="E2399" s="48"/>
      <c r="F2399" s="48"/>
      <c r="G2399" s="48"/>
      <c r="H2399" s="48"/>
      <c r="I2399" s="48"/>
    </row>
    <row r="2400" spans="1:9" hidden="1" x14ac:dyDescent="0.2">
      <c r="A2400" s="46"/>
      <c r="B2400" s="46"/>
      <c r="C2400" s="46"/>
      <c r="D2400" s="48"/>
      <c r="E2400" s="48"/>
      <c r="F2400" s="48"/>
      <c r="G2400" s="48"/>
      <c r="H2400" s="48"/>
      <c r="I2400" s="48"/>
    </row>
    <row r="2401" spans="1:9" hidden="1" x14ac:dyDescent="0.2">
      <c r="A2401" s="46"/>
      <c r="B2401" s="46"/>
      <c r="C2401" s="46"/>
      <c r="D2401" s="48"/>
      <c r="E2401" s="48"/>
      <c r="F2401" s="48"/>
      <c r="G2401" s="48"/>
      <c r="H2401" s="48"/>
      <c r="I2401" s="48"/>
    </row>
    <row r="2402" spans="1:9" hidden="1" x14ac:dyDescent="0.2">
      <c r="A2402" s="46"/>
      <c r="B2402" s="46"/>
      <c r="C2402" s="46"/>
      <c r="D2402" s="48"/>
      <c r="E2402" s="48"/>
      <c r="F2402" s="48"/>
      <c r="G2402" s="48"/>
      <c r="H2402" s="48"/>
      <c r="I2402" s="48"/>
    </row>
    <row r="2403" spans="1:9" hidden="1" x14ac:dyDescent="0.2">
      <c r="A2403" s="46"/>
      <c r="B2403" s="46"/>
      <c r="C2403" s="46"/>
      <c r="D2403" s="48"/>
      <c r="E2403" s="48"/>
      <c r="F2403" s="48"/>
      <c r="G2403" s="48"/>
      <c r="H2403" s="48"/>
      <c r="I2403" s="48"/>
    </row>
    <row r="2404" spans="1:9" hidden="1" x14ac:dyDescent="0.2">
      <c r="A2404" s="46"/>
      <c r="B2404" s="46"/>
      <c r="C2404" s="46"/>
      <c r="D2404" s="48"/>
      <c r="E2404" s="48"/>
      <c r="F2404" s="48"/>
      <c r="G2404" s="48"/>
      <c r="H2404" s="48"/>
      <c r="I2404" s="48"/>
    </row>
    <row r="2405" spans="1:9" hidden="1" x14ac:dyDescent="0.2">
      <c r="A2405" s="46"/>
      <c r="B2405" s="46"/>
      <c r="C2405" s="46"/>
      <c r="D2405" s="48"/>
      <c r="E2405" s="48"/>
      <c r="F2405" s="48"/>
      <c r="G2405" s="48"/>
      <c r="H2405" s="48"/>
      <c r="I2405" s="48"/>
    </row>
    <row r="2406" spans="1:9" hidden="1" x14ac:dyDescent="0.2">
      <c r="A2406" s="46"/>
      <c r="B2406" s="46"/>
      <c r="C2406" s="46"/>
      <c r="D2406" s="48"/>
      <c r="E2406" s="48"/>
      <c r="F2406" s="48"/>
      <c r="G2406" s="48"/>
      <c r="H2406" s="48"/>
      <c r="I2406" s="48"/>
    </row>
    <row r="2407" spans="1:9" hidden="1" x14ac:dyDescent="0.2">
      <c r="A2407" s="46"/>
      <c r="B2407" s="46"/>
      <c r="C2407" s="46"/>
      <c r="D2407" s="48"/>
      <c r="E2407" s="48"/>
      <c r="F2407" s="48"/>
      <c r="G2407" s="48"/>
      <c r="H2407" s="48"/>
      <c r="I2407" s="48"/>
    </row>
    <row r="2408" spans="1:9" hidden="1" x14ac:dyDescent="0.2">
      <c r="A2408" s="46"/>
      <c r="B2408" s="46"/>
      <c r="C2408" s="46"/>
      <c r="D2408" s="48"/>
      <c r="E2408" s="48"/>
      <c r="F2408" s="48"/>
      <c r="G2408" s="48"/>
      <c r="H2408" s="48"/>
      <c r="I2408" s="48"/>
    </row>
    <row r="2409" spans="1:9" hidden="1" x14ac:dyDescent="0.2">
      <c r="A2409" s="46"/>
      <c r="B2409" s="46"/>
      <c r="C2409" s="46"/>
      <c r="D2409" s="48"/>
      <c r="E2409" s="48"/>
      <c r="F2409" s="48"/>
      <c r="G2409" s="48"/>
      <c r="H2409" s="48"/>
      <c r="I2409" s="48"/>
    </row>
    <row r="2410" spans="1:9" hidden="1" x14ac:dyDescent="0.2">
      <c r="A2410" s="46"/>
      <c r="B2410" s="46"/>
      <c r="C2410" s="46"/>
      <c r="D2410" s="48"/>
      <c r="E2410" s="48"/>
      <c r="F2410" s="48"/>
      <c r="G2410" s="48"/>
      <c r="H2410" s="48"/>
      <c r="I2410" s="48"/>
    </row>
    <row r="2411" spans="1:9" hidden="1" x14ac:dyDescent="0.2">
      <c r="A2411" s="46"/>
      <c r="B2411" s="46"/>
      <c r="C2411" s="46"/>
      <c r="D2411" s="48"/>
      <c r="E2411" s="48"/>
      <c r="F2411" s="48"/>
      <c r="G2411" s="48"/>
      <c r="H2411" s="48"/>
      <c r="I2411" s="48"/>
    </row>
    <row r="2412" spans="1:9" hidden="1" x14ac:dyDescent="0.2">
      <c r="A2412" s="46"/>
      <c r="B2412" s="46"/>
      <c r="C2412" s="46"/>
      <c r="D2412" s="48"/>
      <c r="E2412" s="48"/>
      <c r="F2412" s="48"/>
      <c r="G2412" s="48"/>
      <c r="H2412" s="48"/>
      <c r="I2412" s="48"/>
    </row>
    <row r="2413" spans="1:9" hidden="1" x14ac:dyDescent="0.2">
      <c r="A2413" s="46"/>
      <c r="B2413" s="46"/>
      <c r="C2413" s="46"/>
      <c r="D2413" s="48"/>
      <c r="E2413" s="48"/>
      <c r="F2413" s="48"/>
      <c r="G2413" s="48"/>
      <c r="H2413" s="48"/>
      <c r="I2413" s="48"/>
    </row>
    <row r="2414" spans="1:9" hidden="1" x14ac:dyDescent="0.2">
      <c r="A2414" s="46"/>
      <c r="B2414" s="46"/>
      <c r="C2414" s="46"/>
      <c r="D2414" s="48"/>
      <c r="E2414" s="48"/>
      <c r="F2414" s="48"/>
      <c r="G2414" s="48"/>
      <c r="H2414" s="48"/>
      <c r="I2414" s="48"/>
    </row>
    <row r="2415" spans="1:9" hidden="1" x14ac:dyDescent="0.2">
      <c r="A2415" s="46"/>
      <c r="B2415" s="46"/>
      <c r="C2415" s="46"/>
      <c r="D2415" s="48"/>
      <c r="E2415" s="48"/>
      <c r="F2415" s="48"/>
      <c r="G2415" s="48"/>
      <c r="H2415" s="48"/>
      <c r="I2415" s="48"/>
    </row>
    <row r="2416" spans="1:9" hidden="1" x14ac:dyDescent="0.2">
      <c r="A2416" s="46"/>
      <c r="B2416" s="46"/>
      <c r="C2416" s="46"/>
      <c r="D2416" s="48"/>
      <c r="E2416" s="48"/>
      <c r="F2416" s="48"/>
      <c r="G2416" s="48"/>
      <c r="H2416" s="48"/>
      <c r="I2416" s="48"/>
    </row>
    <row r="2417" spans="1:9" hidden="1" x14ac:dyDescent="0.2">
      <c r="A2417" s="46"/>
      <c r="B2417" s="46"/>
      <c r="C2417" s="46"/>
      <c r="D2417" s="48"/>
      <c r="E2417" s="48"/>
      <c r="F2417" s="48"/>
      <c r="G2417" s="48"/>
      <c r="H2417" s="48"/>
      <c r="I2417" s="48"/>
    </row>
    <row r="2418" spans="1:9" hidden="1" x14ac:dyDescent="0.2">
      <c r="A2418" s="46"/>
      <c r="B2418" s="46"/>
      <c r="C2418" s="46"/>
      <c r="D2418" s="48"/>
      <c r="E2418" s="48"/>
      <c r="F2418" s="48"/>
      <c r="G2418" s="48"/>
      <c r="H2418" s="48"/>
      <c r="I2418" s="48"/>
    </row>
    <row r="2419" spans="1:9" hidden="1" x14ac:dyDescent="0.2">
      <c r="A2419" s="46"/>
      <c r="B2419" s="46"/>
      <c r="C2419" s="46"/>
      <c r="D2419" s="48"/>
      <c r="E2419" s="48"/>
      <c r="F2419" s="48"/>
      <c r="G2419" s="48"/>
      <c r="H2419" s="48"/>
      <c r="I2419" s="48"/>
    </row>
    <row r="2420" spans="1:9" hidden="1" x14ac:dyDescent="0.2">
      <c r="A2420" s="46"/>
      <c r="B2420" s="46"/>
      <c r="C2420" s="46"/>
      <c r="D2420" s="48"/>
      <c r="E2420" s="48"/>
      <c r="F2420" s="48"/>
      <c r="G2420" s="48"/>
      <c r="H2420" s="48"/>
      <c r="I2420" s="48"/>
    </row>
    <row r="2421" spans="1:9" hidden="1" x14ac:dyDescent="0.2">
      <c r="A2421" s="46"/>
      <c r="B2421" s="46"/>
      <c r="C2421" s="46"/>
      <c r="D2421" s="48"/>
      <c r="E2421" s="48"/>
      <c r="F2421" s="48"/>
      <c r="G2421" s="48"/>
      <c r="H2421" s="48"/>
      <c r="I2421" s="48"/>
    </row>
    <row r="2422" spans="1:9" hidden="1" x14ac:dyDescent="0.2">
      <c r="A2422" s="46"/>
      <c r="B2422" s="46"/>
      <c r="C2422" s="46"/>
      <c r="D2422" s="48"/>
      <c r="E2422" s="48"/>
      <c r="F2422" s="48"/>
      <c r="G2422" s="48"/>
      <c r="H2422" s="48"/>
      <c r="I2422" s="48"/>
    </row>
    <row r="2423" spans="1:9" hidden="1" x14ac:dyDescent="0.2">
      <c r="A2423" s="46"/>
      <c r="B2423" s="46"/>
      <c r="C2423" s="46"/>
      <c r="D2423" s="48"/>
      <c r="E2423" s="48"/>
      <c r="F2423" s="48"/>
      <c r="G2423" s="48"/>
      <c r="H2423" s="48"/>
      <c r="I2423" s="48"/>
    </row>
    <row r="2424" spans="1:9" hidden="1" x14ac:dyDescent="0.2">
      <c r="A2424" s="46"/>
      <c r="B2424" s="46"/>
      <c r="C2424" s="46"/>
      <c r="D2424" s="48"/>
      <c r="E2424" s="48"/>
      <c r="F2424" s="48"/>
      <c r="G2424" s="48"/>
      <c r="H2424" s="48"/>
      <c r="I2424" s="48"/>
    </row>
    <row r="2425" spans="1:9" hidden="1" x14ac:dyDescent="0.2">
      <c r="A2425" s="46"/>
      <c r="B2425" s="46"/>
      <c r="C2425" s="46"/>
      <c r="D2425" s="48"/>
      <c r="E2425" s="48"/>
      <c r="F2425" s="48"/>
      <c r="G2425" s="48"/>
      <c r="H2425" s="48"/>
      <c r="I2425" s="48"/>
    </row>
    <row r="2426" spans="1:9" hidden="1" x14ac:dyDescent="0.2">
      <c r="A2426" s="46"/>
      <c r="B2426" s="46"/>
      <c r="C2426" s="46"/>
      <c r="D2426" s="48"/>
      <c r="E2426" s="48"/>
      <c r="F2426" s="48"/>
      <c r="G2426" s="48"/>
      <c r="H2426" s="48"/>
      <c r="I2426" s="48"/>
    </row>
    <row r="2427" spans="1:9" hidden="1" x14ac:dyDescent="0.2">
      <c r="A2427" s="46"/>
      <c r="B2427" s="46"/>
      <c r="C2427" s="46"/>
      <c r="D2427" s="48"/>
      <c r="E2427" s="48"/>
      <c r="F2427" s="48"/>
      <c r="G2427" s="48"/>
      <c r="H2427" s="48"/>
      <c r="I2427" s="48"/>
    </row>
    <row r="2428" spans="1:9" hidden="1" x14ac:dyDescent="0.2">
      <c r="A2428" s="46"/>
      <c r="B2428" s="46"/>
      <c r="C2428" s="46"/>
      <c r="D2428" s="48"/>
      <c r="E2428" s="48"/>
      <c r="F2428" s="48"/>
      <c r="G2428" s="48"/>
      <c r="H2428" s="48"/>
      <c r="I2428" s="48"/>
    </row>
    <row r="2429" spans="1:9" hidden="1" x14ac:dyDescent="0.2">
      <c r="A2429" s="46"/>
      <c r="B2429" s="46"/>
      <c r="C2429" s="46"/>
      <c r="D2429" s="48"/>
      <c r="E2429" s="48"/>
      <c r="F2429" s="48"/>
      <c r="G2429" s="48"/>
      <c r="H2429" s="48"/>
      <c r="I2429" s="48"/>
    </row>
    <row r="2430" spans="1:9" hidden="1" x14ac:dyDescent="0.2">
      <c r="A2430" s="46"/>
      <c r="B2430" s="46"/>
      <c r="C2430" s="46"/>
      <c r="D2430" s="48"/>
      <c r="E2430" s="48"/>
      <c r="F2430" s="48"/>
      <c r="G2430" s="48"/>
      <c r="H2430" s="48"/>
      <c r="I2430" s="48"/>
    </row>
    <row r="2431" spans="1:9" hidden="1" x14ac:dyDescent="0.2">
      <c r="A2431" s="46"/>
      <c r="B2431" s="46"/>
      <c r="C2431" s="46"/>
      <c r="D2431" s="48"/>
      <c r="E2431" s="48"/>
      <c r="F2431" s="48"/>
      <c r="G2431" s="48"/>
      <c r="H2431" s="48"/>
      <c r="I2431" s="48"/>
    </row>
    <row r="2432" spans="1:9" hidden="1" x14ac:dyDescent="0.2">
      <c r="A2432" s="46"/>
      <c r="B2432" s="46"/>
      <c r="C2432" s="46"/>
      <c r="D2432" s="48"/>
      <c r="E2432" s="48"/>
      <c r="F2432" s="48"/>
      <c r="G2432" s="48"/>
      <c r="H2432" s="48"/>
      <c r="I2432" s="48"/>
    </row>
    <row r="2433" spans="1:9" hidden="1" x14ac:dyDescent="0.2">
      <c r="A2433" s="46"/>
      <c r="B2433" s="46"/>
      <c r="C2433" s="46"/>
      <c r="D2433" s="48"/>
      <c r="E2433" s="48"/>
      <c r="F2433" s="48"/>
      <c r="G2433" s="48"/>
      <c r="H2433" s="48"/>
      <c r="I2433" s="48"/>
    </row>
    <row r="2434" spans="1:9" hidden="1" x14ac:dyDescent="0.2">
      <c r="A2434" s="46"/>
      <c r="B2434" s="46"/>
      <c r="C2434" s="46"/>
      <c r="D2434" s="48"/>
      <c r="E2434" s="48"/>
      <c r="F2434" s="48"/>
      <c r="G2434" s="48"/>
      <c r="H2434" s="48"/>
      <c r="I2434" s="48"/>
    </row>
    <row r="2435" spans="1:9" hidden="1" x14ac:dyDescent="0.2">
      <c r="A2435" s="46"/>
      <c r="B2435" s="46"/>
      <c r="C2435" s="46"/>
      <c r="D2435" s="48"/>
      <c r="E2435" s="48"/>
      <c r="F2435" s="48"/>
      <c r="G2435" s="48"/>
      <c r="H2435" s="48"/>
      <c r="I2435" s="48"/>
    </row>
    <row r="2436" spans="1:9" hidden="1" x14ac:dyDescent="0.2">
      <c r="A2436" s="46"/>
      <c r="B2436" s="46"/>
      <c r="C2436" s="46"/>
      <c r="D2436" s="48"/>
      <c r="E2436" s="48"/>
      <c r="F2436" s="48"/>
      <c r="G2436" s="48"/>
      <c r="H2436" s="48"/>
      <c r="I2436" s="48"/>
    </row>
    <row r="2437" spans="1:9" hidden="1" x14ac:dyDescent="0.2">
      <c r="A2437" s="46"/>
      <c r="B2437" s="46"/>
      <c r="C2437" s="46"/>
      <c r="D2437" s="48"/>
      <c r="E2437" s="48"/>
      <c r="F2437" s="48"/>
      <c r="G2437" s="48"/>
      <c r="H2437" s="48"/>
      <c r="I2437" s="48"/>
    </row>
    <row r="2438" spans="1:9" hidden="1" x14ac:dyDescent="0.2">
      <c r="A2438" s="46"/>
      <c r="B2438" s="46"/>
      <c r="C2438" s="46"/>
      <c r="D2438" s="48"/>
      <c r="E2438" s="48"/>
      <c r="F2438" s="48"/>
      <c r="G2438" s="48"/>
      <c r="H2438" s="48"/>
      <c r="I2438" s="48"/>
    </row>
    <row r="2439" spans="1:9" hidden="1" x14ac:dyDescent="0.2">
      <c r="A2439" s="46"/>
      <c r="B2439" s="46"/>
      <c r="C2439" s="46"/>
      <c r="D2439" s="48"/>
      <c r="E2439" s="48"/>
      <c r="F2439" s="48"/>
      <c r="G2439" s="48"/>
      <c r="H2439" s="48"/>
      <c r="I2439" s="48"/>
    </row>
    <row r="2440" spans="1:9" hidden="1" x14ac:dyDescent="0.2">
      <c r="A2440" s="46"/>
      <c r="B2440" s="46"/>
      <c r="C2440" s="46"/>
      <c r="D2440" s="48"/>
      <c r="E2440" s="48"/>
      <c r="F2440" s="48"/>
      <c r="G2440" s="48"/>
      <c r="H2440" s="48"/>
      <c r="I2440" s="48"/>
    </row>
    <row r="2441" spans="1:9" hidden="1" x14ac:dyDescent="0.2">
      <c r="A2441" s="46"/>
      <c r="B2441" s="46"/>
      <c r="C2441" s="46"/>
      <c r="D2441" s="48"/>
      <c r="E2441" s="48"/>
      <c r="F2441" s="48"/>
      <c r="G2441" s="48"/>
      <c r="H2441" s="48"/>
      <c r="I2441" s="48"/>
    </row>
    <row r="2442" spans="1:9" hidden="1" x14ac:dyDescent="0.2">
      <c r="A2442" s="46"/>
      <c r="B2442" s="46"/>
      <c r="C2442" s="46"/>
      <c r="D2442" s="48"/>
      <c r="E2442" s="48"/>
      <c r="F2442" s="48"/>
      <c r="G2442" s="48"/>
      <c r="H2442" s="48"/>
      <c r="I2442" s="48"/>
    </row>
    <row r="2443" spans="1:9" hidden="1" x14ac:dyDescent="0.2">
      <c r="A2443" s="46"/>
      <c r="B2443" s="46"/>
      <c r="C2443" s="46"/>
      <c r="D2443" s="48"/>
      <c r="E2443" s="48"/>
      <c r="F2443" s="48"/>
      <c r="G2443" s="48"/>
      <c r="H2443" s="48"/>
      <c r="I2443" s="48"/>
    </row>
    <row r="2444" spans="1:9" hidden="1" x14ac:dyDescent="0.2">
      <c r="A2444" s="46"/>
      <c r="B2444" s="46"/>
      <c r="C2444" s="46"/>
      <c r="D2444" s="48"/>
      <c r="E2444" s="48"/>
      <c r="F2444" s="48"/>
      <c r="G2444" s="48"/>
      <c r="H2444" s="48"/>
      <c r="I2444" s="48"/>
    </row>
    <row r="2445" spans="1:9" hidden="1" x14ac:dyDescent="0.2">
      <c r="A2445" s="46"/>
      <c r="B2445" s="46"/>
      <c r="C2445" s="46"/>
      <c r="D2445" s="48"/>
      <c r="E2445" s="48"/>
      <c r="F2445" s="48"/>
      <c r="G2445" s="48"/>
      <c r="H2445" s="48"/>
      <c r="I2445" s="48"/>
    </row>
    <row r="2446" spans="1:9" hidden="1" x14ac:dyDescent="0.2">
      <c r="A2446" s="46"/>
      <c r="B2446" s="46"/>
      <c r="C2446" s="46"/>
      <c r="D2446" s="48"/>
      <c r="E2446" s="48"/>
      <c r="F2446" s="48"/>
      <c r="G2446" s="48"/>
      <c r="H2446" s="48"/>
      <c r="I2446" s="48"/>
    </row>
    <row r="2447" spans="1:9" hidden="1" x14ac:dyDescent="0.2">
      <c r="A2447" s="46"/>
      <c r="B2447" s="46"/>
      <c r="C2447" s="46"/>
      <c r="D2447" s="48"/>
      <c r="E2447" s="48"/>
      <c r="F2447" s="48"/>
      <c r="G2447" s="48"/>
      <c r="H2447" s="48"/>
      <c r="I2447" s="48"/>
    </row>
    <row r="2448" spans="1:9" hidden="1" x14ac:dyDescent="0.2">
      <c r="A2448" s="46"/>
      <c r="B2448" s="46"/>
      <c r="C2448" s="46"/>
      <c r="D2448" s="48"/>
      <c r="E2448" s="48"/>
      <c r="F2448" s="48"/>
      <c r="G2448" s="48"/>
      <c r="H2448" s="48"/>
      <c r="I2448" s="48"/>
    </row>
    <row r="2449" spans="1:9" hidden="1" x14ac:dyDescent="0.2">
      <c r="A2449" s="46"/>
      <c r="B2449" s="46"/>
      <c r="C2449" s="46"/>
      <c r="D2449" s="48"/>
      <c r="E2449" s="48"/>
      <c r="F2449" s="48"/>
      <c r="G2449" s="48"/>
      <c r="H2449" s="48"/>
      <c r="I2449" s="48"/>
    </row>
    <row r="2450" spans="1:9" hidden="1" x14ac:dyDescent="0.2">
      <c r="A2450" s="46"/>
      <c r="B2450" s="46"/>
      <c r="C2450" s="46"/>
      <c r="D2450" s="48"/>
      <c r="E2450" s="48"/>
      <c r="F2450" s="48"/>
      <c r="G2450" s="48"/>
      <c r="H2450" s="48"/>
      <c r="I2450" s="48"/>
    </row>
    <row r="2451" spans="1:9" hidden="1" x14ac:dyDescent="0.2">
      <c r="A2451" s="46"/>
      <c r="B2451" s="46"/>
      <c r="C2451" s="46"/>
      <c r="D2451" s="48"/>
      <c r="E2451" s="48"/>
      <c r="F2451" s="48"/>
      <c r="G2451" s="48"/>
      <c r="H2451" s="48"/>
      <c r="I2451" s="48"/>
    </row>
    <row r="2452" spans="1:9" hidden="1" x14ac:dyDescent="0.2">
      <c r="A2452" s="46"/>
      <c r="B2452" s="46"/>
      <c r="C2452" s="46"/>
      <c r="D2452" s="48"/>
      <c r="E2452" s="48"/>
      <c r="F2452" s="48"/>
      <c r="G2452" s="48"/>
      <c r="H2452" s="48"/>
      <c r="I2452" s="48"/>
    </row>
    <row r="2453" spans="1:9" hidden="1" x14ac:dyDescent="0.2">
      <c r="A2453" s="46"/>
      <c r="B2453" s="46"/>
      <c r="C2453" s="46"/>
      <c r="D2453" s="48"/>
      <c r="E2453" s="48"/>
      <c r="F2453" s="48"/>
      <c r="G2453" s="48"/>
      <c r="H2453" s="48"/>
      <c r="I2453" s="48"/>
    </row>
    <row r="2454" spans="1:9" hidden="1" x14ac:dyDescent="0.2">
      <c r="A2454" s="46"/>
      <c r="B2454" s="46"/>
      <c r="C2454" s="46"/>
      <c r="D2454" s="48"/>
      <c r="E2454" s="48"/>
      <c r="F2454" s="48"/>
      <c r="G2454" s="48"/>
      <c r="H2454" s="48"/>
      <c r="I2454" s="48"/>
    </row>
    <row r="2455" spans="1:9" hidden="1" x14ac:dyDescent="0.2">
      <c r="A2455" s="46"/>
      <c r="B2455" s="46"/>
      <c r="C2455" s="46"/>
      <c r="D2455" s="48"/>
      <c r="E2455" s="48"/>
      <c r="F2455" s="48"/>
      <c r="G2455" s="48"/>
      <c r="H2455" s="48"/>
      <c r="I2455" s="48"/>
    </row>
    <row r="2456" spans="1:9" hidden="1" x14ac:dyDescent="0.2">
      <c r="A2456" s="46"/>
      <c r="B2456" s="46"/>
      <c r="C2456" s="46"/>
      <c r="D2456" s="48"/>
      <c r="E2456" s="48"/>
      <c r="F2456" s="48"/>
      <c r="G2456" s="48"/>
      <c r="H2456" s="48"/>
      <c r="I2456" s="48"/>
    </row>
    <row r="2457" spans="1:9" hidden="1" x14ac:dyDescent="0.2">
      <c r="A2457" s="46"/>
      <c r="B2457" s="46"/>
      <c r="C2457" s="46"/>
      <c r="D2457" s="48"/>
      <c r="E2457" s="48"/>
      <c r="F2457" s="48"/>
      <c r="G2457" s="48"/>
      <c r="H2457" s="48"/>
      <c r="I2457" s="48"/>
    </row>
    <row r="2458" spans="1:9" hidden="1" x14ac:dyDescent="0.2">
      <c r="A2458" s="46"/>
      <c r="B2458" s="46"/>
      <c r="C2458" s="46"/>
      <c r="D2458" s="48"/>
      <c r="E2458" s="48"/>
      <c r="F2458" s="48"/>
      <c r="G2458" s="48"/>
      <c r="H2458" s="48"/>
      <c r="I2458" s="48"/>
    </row>
    <row r="2459" spans="1:9" hidden="1" x14ac:dyDescent="0.2">
      <c r="A2459" s="46"/>
      <c r="B2459" s="46"/>
      <c r="C2459" s="46"/>
      <c r="D2459" s="48"/>
      <c r="E2459" s="48"/>
      <c r="F2459" s="48"/>
      <c r="G2459" s="48"/>
      <c r="H2459" s="48"/>
      <c r="I2459" s="48"/>
    </row>
    <row r="2460" spans="1:9" hidden="1" x14ac:dyDescent="0.2">
      <c r="A2460" s="46"/>
      <c r="B2460" s="46"/>
      <c r="C2460" s="46"/>
      <c r="D2460" s="48"/>
      <c r="E2460" s="48"/>
      <c r="F2460" s="48"/>
      <c r="G2460" s="48"/>
      <c r="H2460" s="48"/>
      <c r="I2460" s="48"/>
    </row>
    <row r="2461" spans="1:9" hidden="1" x14ac:dyDescent="0.2">
      <c r="A2461" s="46"/>
      <c r="B2461" s="46"/>
      <c r="C2461" s="46"/>
      <c r="D2461" s="48"/>
      <c r="E2461" s="48"/>
      <c r="F2461" s="48"/>
      <c r="G2461" s="48"/>
      <c r="H2461" s="48"/>
      <c r="I2461" s="48"/>
    </row>
    <row r="2462" spans="1:9" hidden="1" x14ac:dyDescent="0.2">
      <c r="A2462" s="46"/>
      <c r="B2462" s="46"/>
      <c r="C2462" s="46"/>
      <c r="D2462" s="48"/>
      <c r="E2462" s="48"/>
      <c r="F2462" s="48"/>
      <c r="G2462" s="48"/>
      <c r="H2462" s="48"/>
      <c r="I2462" s="48"/>
    </row>
    <row r="2463" spans="1:9" hidden="1" x14ac:dyDescent="0.2">
      <c r="A2463" s="46"/>
      <c r="B2463" s="46"/>
      <c r="C2463" s="46"/>
      <c r="D2463" s="48"/>
      <c r="E2463" s="48"/>
      <c r="F2463" s="48"/>
      <c r="G2463" s="48"/>
      <c r="H2463" s="48"/>
      <c r="I2463" s="48"/>
    </row>
    <row r="2464" spans="1:9" hidden="1" x14ac:dyDescent="0.2">
      <c r="A2464" s="46"/>
      <c r="B2464" s="46"/>
      <c r="C2464" s="46"/>
      <c r="D2464" s="48"/>
      <c r="E2464" s="48"/>
      <c r="F2464" s="48"/>
      <c r="G2464" s="48"/>
      <c r="H2464" s="48"/>
      <c r="I2464" s="48"/>
    </row>
    <row r="2465" spans="1:9" hidden="1" x14ac:dyDescent="0.2">
      <c r="A2465" s="46"/>
      <c r="B2465" s="46"/>
      <c r="C2465" s="46"/>
      <c r="D2465" s="48"/>
      <c r="E2465" s="48"/>
      <c r="F2465" s="48"/>
      <c r="G2465" s="48"/>
      <c r="H2465" s="48"/>
      <c r="I2465" s="48"/>
    </row>
    <row r="2466" spans="1:9" hidden="1" x14ac:dyDescent="0.2">
      <c r="A2466" s="46"/>
      <c r="B2466" s="46"/>
      <c r="C2466" s="46"/>
      <c r="D2466" s="48"/>
      <c r="E2466" s="48"/>
      <c r="F2466" s="48"/>
      <c r="G2466" s="48"/>
      <c r="H2466" s="48"/>
      <c r="I2466" s="48"/>
    </row>
    <row r="2467" spans="1:9" hidden="1" x14ac:dyDescent="0.2">
      <c r="A2467" s="46"/>
      <c r="B2467" s="46"/>
      <c r="C2467" s="46"/>
      <c r="D2467" s="48"/>
      <c r="E2467" s="48"/>
      <c r="F2467" s="48"/>
      <c r="G2467" s="48"/>
      <c r="H2467" s="48"/>
      <c r="I2467" s="48"/>
    </row>
    <row r="2468" spans="1:9" hidden="1" x14ac:dyDescent="0.2">
      <c r="A2468" s="46"/>
      <c r="B2468" s="46"/>
      <c r="C2468" s="46"/>
      <c r="D2468" s="48"/>
      <c r="E2468" s="48"/>
      <c r="F2468" s="48"/>
      <c r="G2468" s="48"/>
      <c r="H2468" s="48"/>
      <c r="I2468" s="48"/>
    </row>
    <row r="2469" spans="1:9" hidden="1" x14ac:dyDescent="0.2">
      <c r="A2469" s="46"/>
      <c r="B2469" s="46"/>
      <c r="C2469" s="46"/>
      <c r="D2469" s="48"/>
      <c r="E2469" s="48"/>
      <c r="F2469" s="48"/>
      <c r="G2469" s="48"/>
      <c r="H2469" s="48"/>
      <c r="I2469" s="48"/>
    </row>
    <row r="2470" spans="1:9" hidden="1" x14ac:dyDescent="0.2">
      <c r="A2470" s="46"/>
      <c r="B2470" s="46"/>
      <c r="C2470" s="46"/>
      <c r="D2470" s="48"/>
      <c r="E2470" s="48"/>
      <c r="F2470" s="48"/>
      <c r="G2470" s="48"/>
      <c r="H2470" s="48"/>
      <c r="I2470" s="48"/>
    </row>
    <row r="2471" spans="1:9" hidden="1" x14ac:dyDescent="0.2">
      <c r="A2471" s="46"/>
      <c r="B2471" s="46"/>
      <c r="C2471" s="46"/>
      <c r="D2471" s="48"/>
      <c r="E2471" s="48"/>
      <c r="F2471" s="48"/>
      <c r="G2471" s="48"/>
      <c r="H2471" s="48"/>
      <c r="I2471" s="48"/>
    </row>
    <row r="2472" spans="1:9" hidden="1" x14ac:dyDescent="0.2">
      <c r="A2472" s="46"/>
      <c r="B2472" s="46"/>
      <c r="C2472" s="46"/>
      <c r="D2472" s="48"/>
      <c r="E2472" s="48"/>
      <c r="F2472" s="48"/>
      <c r="G2472" s="48"/>
      <c r="H2472" s="48"/>
      <c r="I2472" s="48"/>
    </row>
    <row r="2473" spans="1:9" hidden="1" x14ac:dyDescent="0.2">
      <c r="A2473" s="46"/>
      <c r="B2473" s="46"/>
      <c r="C2473" s="46"/>
      <c r="D2473" s="48"/>
      <c r="E2473" s="48"/>
      <c r="F2473" s="48"/>
      <c r="G2473" s="48"/>
      <c r="H2473" s="48"/>
      <c r="I2473" s="48"/>
    </row>
    <row r="2474" spans="1:9" hidden="1" x14ac:dyDescent="0.2">
      <c r="A2474" s="46"/>
      <c r="B2474" s="46"/>
      <c r="C2474" s="46"/>
      <c r="D2474" s="48"/>
      <c r="E2474" s="48"/>
      <c r="F2474" s="48"/>
      <c r="G2474" s="48"/>
      <c r="H2474" s="48"/>
      <c r="I2474" s="48"/>
    </row>
    <row r="2475" spans="1:9" hidden="1" x14ac:dyDescent="0.2">
      <c r="A2475" s="46"/>
      <c r="B2475" s="46"/>
      <c r="C2475" s="46"/>
      <c r="D2475" s="48"/>
      <c r="E2475" s="48"/>
      <c r="F2475" s="48"/>
      <c r="G2475" s="48"/>
      <c r="H2475" s="48"/>
      <c r="I2475" s="48"/>
    </row>
    <row r="2476" spans="1:9" hidden="1" x14ac:dyDescent="0.2">
      <c r="A2476" s="46"/>
      <c r="B2476" s="46"/>
      <c r="C2476" s="46"/>
      <c r="D2476" s="48"/>
      <c r="E2476" s="48"/>
      <c r="F2476" s="48"/>
      <c r="G2476" s="48"/>
      <c r="H2476" s="48"/>
      <c r="I2476" s="48"/>
    </row>
    <row r="2477" spans="1:9" hidden="1" x14ac:dyDescent="0.2">
      <c r="A2477" s="46"/>
      <c r="B2477" s="46"/>
      <c r="C2477" s="46"/>
      <c r="D2477" s="48"/>
      <c r="E2477" s="48"/>
      <c r="F2477" s="48"/>
      <c r="G2477" s="48"/>
      <c r="H2477" s="48"/>
      <c r="I2477" s="48"/>
    </row>
    <row r="2478" spans="1:9" hidden="1" x14ac:dyDescent="0.2">
      <c r="A2478" s="46"/>
      <c r="B2478" s="46"/>
      <c r="C2478" s="46"/>
      <c r="D2478" s="48"/>
      <c r="E2478" s="48"/>
      <c r="F2478" s="48"/>
      <c r="G2478" s="48"/>
      <c r="H2478" s="48"/>
      <c r="I2478" s="48"/>
    </row>
    <row r="2479" spans="1:9" hidden="1" x14ac:dyDescent="0.2">
      <c r="A2479" s="46"/>
      <c r="B2479" s="46"/>
      <c r="C2479" s="46"/>
      <c r="D2479" s="48"/>
      <c r="E2479" s="48"/>
      <c r="F2479" s="48"/>
      <c r="G2479" s="48"/>
      <c r="H2479" s="48"/>
      <c r="I2479" s="48"/>
    </row>
    <row r="2480" spans="1:9" hidden="1" x14ac:dyDescent="0.2">
      <c r="A2480" s="46"/>
      <c r="B2480" s="46"/>
      <c r="C2480" s="46"/>
      <c r="D2480" s="48"/>
      <c r="E2480" s="48"/>
      <c r="F2480" s="48"/>
      <c r="G2480" s="48"/>
      <c r="H2480" s="48"/>
      <c r="I2480" s="48"/>
    </row>
    <row r="2481" spans="1:9" hidden="1" x14ac:dyDescent="0.2">
      <c r="A2481" s="46"/>
      <c r="B2481" s="46"/>
      <c r="C2481" s="46"/>
      <c r="D2481" s="48"/>
      <c r="E2481" s="48"/>
      <c r="F2481" s="48"/>
      <c r="G2481" s="48"/>
      <c r="H2481" s="48"/>
      <c r="I2481" s="48"/>
    </row>
    <row r="2482" spans="1:9" hidden="1" x14ac:dyDescent="0.2">
      <c r="A2482" s="46"/>
      <c r="B2482" s="46"/>
      <c r="C2482" s="46"/>
      <c r="D2482" s="48"/>
      <c r="E2482" s="48"/>
      <c r="F2482" s="48"/>
      <c r="G2482" s="48"/>
      <c r="H2482" s="48"/>
      <c r="I2482" s="48"/>
    </row>
    <row r="2483" spans="1:9" hidden="1" x14ac:dyDescent="0.2">
      <c r="A2483" s="46"/>
      <c r="B2483" s="46"/>
      <c r="C2483" s="46"/>
      <c r="D2483" s="48"/>
      <c r="E2483" s="48"/>
      <c r="F2483" s="48"/>
      <c r="G2483" s="48"/>
      <c r="H2483" s="48"/>
      <c r="I2483" s="48"/>
    </row>
    <row r="2484" spans="1:9" hidden="1" x14ac:dyDescent="0.2">
      <c r="A2484" s="46"/>
      <c r="B2484" s="46"/>
      <c r="C2484" s="46"/>
      <c r="D2484" s="48"/>
      <c r="E2484" s="48"/>
      <c r="F2484" s="48"/>
      <c r="G2484" s="48"/>
      <c r="H2484" s="48"/>
      <c r="I2484" s="48"/>
    </row>
    <row r="2485" spans="1:9" hidden="1" x14ac:dyDescent="0.2">
      <c r="A2485" s="46"/>
      <c r="B2485" s="46"/>
      <c r="C2485" s="46"/>
      <c r="D2485" s="48"/>
      <c r="E2485" s="48"/>
      <c r="F2485" s="48"/>
      <c r="G2485" s="48"/>
      <c r="H2485" s="48"/>
      <c r="I2485" s="48"/>
    </row>
    <row r="2486" spans="1:9" hidden="1" x14ac:dyDescent="0.2">
      <c r="A2486" s="46"/>
      <c r="B2486" s="46"/>
      <c r="C2486" s="46"/>
      <c r="D2486" s="48"/>
      <c r="E2486" s="48"/>
      <c r="F2486" s="48"/>
      <c r="G2486" s="48"/>
      <c r="H2486" s="48"/>
      <c r="I2486" s="48"/>
    </row>
    <row r="2487" spans="1:9" hidden="1" x14ac:dyDescent="0.2">
      <c r="A2487" s="46"/>
      <c r="B2487" s="46"/>
      <c r="C2487" s="46"/>
      <c r="D2487" s="48"/>
      <c r="E2487" s="48"/>
      <c r="F2487" s="48"/>
      <c r="G2487" s="48"/>
      <c r="H2487" s="48"/>
      <c r="I2487" s="48"/>
    </row>
    <row r="2488" spans="1:9" hidden="1" x14ac:dyDescent="0.2">
      <c r="A2488" s="46"/>
      <c r="B2488" s="46"/>
      <c r="C2488" s="46"/>
      <c r="D2488" s="48"/>
      <c r="E2488" s="48"/>
      <c r="F2488" s="48"/>
      <c r="G2488" s="48"/>
      <c r="H2488" s="48"/>
      <c r="I2488" s="48"/>
    </row>
    <row r="2489" spans="1:9" hidden="1" x14ac:dyDescent="0.2">
      <c r="A2489" s="46"/>
      <c r="B2489" s="46"/>
      <c r="C2489" s="46"/>
      <c r="D2489" s="48"/>
      <c r="E2489" s="48"/>
      <c r="F2489" s="48"/>
      <c r="G2489" s="48"/>
      <c r="H2489" s="48"/>
      <c r="I2489" s="48"/>
    </row>
    <row r="2490" spans="1:9" hidden="1" x14ac:dyDescent="0.2">
      <c r="A2490" s="46"/>
      <c r="B2490" s="46"/>
      <c r="C2490" s="46"/>
      <c r="D2490" s="48"/>
      <c r="E2490" s="48"/>
      <c r="F2490" s="48"/>
      <c r="G2490" s="48"/>
      <c r="H2490" s="48"/>
      <c r="I2490" s="48"/>
    </row>
    <row r="2491" spans="1:9" hidden="1" x14ac:dyDescent="0.2">
      <c r="A2491" s="46"/>
      <c r="B2491" s="46"/>
      <c r="C2491" s="46"/>
      <c r="D2491" s="48"/>
      <c r="E2491" s="48"/>
      <c r="F2491" s="48"/>
      <c r="G2491" s="48"/>
      <c r="H2491" s="48"/>
      <c r="I2491" s="48"/>
    </row>
    <row r="2492" spans="1:9" hidden="1" x14ac:dyDescent="0.2">
      <c r="A2492" s="46"/>
      <c r="B2492" s="46"/>
      <c r="C2492" s="46"/>
      <c r="D2492" s="48"/>
      <c r="E2492" s="48"/>
      <c r="F2492" s="48"/>
      <c r="G2492" s="48"/>
      <c r="H2492" s="48"/>
      <c r="I2492" s="48"/>
    </row>
    <row r="2493" spans="1:9" hidden="1" x14ac:dyDescent="0.2">
      <c r="A2493" s="46"/>
      <c r="B2493" s="46"/>
      <c r="C2493" s="46"/>
      <c r="D2493" s="48"/>
      <c r="E2493" s="48"/>
      <c r="F2493" s="48"/>
      <c r="G2493" s="48"/>
      <c r="H2493" s="48"/>
      <c r="I2493" s="48"/>
    </row>
    <row r="2494" spans="1:9" hidden="1" x14ac:dyDescent="0.2">
      <c r="A2494" s="46"/>
      <c r="B2494" s="46"/>
      <c r="C2494" s="46"/>
      <c r="D2494" s="48"/>
      <c r="E2494" s="48"/>
      <c r="F2494" s="48"/>
      <c r="G2494" s="48"/>
      <c r="H2494" s="48"/>
      <c r="I2494" s="48"/>
    </row>
    <row r="2495" spans="1:9" hidden="1" x14ac:dyDescent="0.2">
      <c r="A2495" s="46"/>
      <c r="B2495" s="46"/>
      <c r="C2495" s="46"/>
      <c r="D2495" s="48"/>
      <c r="E2495" s="48"/>
      <c r="F2495" s="48"/>
      <c r="G2495" s="48"/>
      <c r="H2495" s="48"/>
      <c r="I2495" s="48"/>
    </row>
    <row r="2496" spans="1:9" hidden="1" x14ac:dyDescent="0.2">
      <c r="A2496" s="46"/>
      <c r="B2496" s="46"/>
      <c r="C2496" s="46"/>
      <c r="D2496" s="48"/>
      <c r="E2496" s="48"/>
      <c r="F2496" s="48"/>
      <c r="G2496" s="48"/>
      <c r="H2496" s="48"/>
      <c r="I2496" s="48"/>
    </row>
    <row r="2497" spans="1:9" hidden="1" x14ac:dyDescent="0.2">
      <c r="A2497" s="46"/>
      <c r="B2497" s="46"/>
      <c r="C2497" s="46"/>
      <c r="D2497" s="48"/>
      <c r="E2497" s="48"/>
      <c r="F2497" s="48"/>
      <c r="G2497" s="48"/>
      <c r="H2497" s="48"/>
      <c r="I2497" s="48"/>
    </row>
    <row r="2498" spans="1:9" hidden="1" x14ac:dyDescent="0.2">
      <c r="A2498" s="46"/>
      <c r="B2498" s="46"/>
      <c r="C2498" s="46"/>
      <c r="D2498" s="48"/>
      <c r="E2498" s="48"/>
      <c r="F2498" s="48"/>
      <c r="G2498" s="48"/>
      <c r="H2498" s="48"/>
      <c r="I2498" s="48"/>
    </row>
    <row r="2499" spans="1:9" hidden="1" x14ac:dyDescent="0.2">
      <c r="A2499" s="46"/>
      <c r="B2499" s="46"/>
      <c r="C2499" s="46"/>
      <c r="D2499" s="48"/>
      <c r="E2499" s="48"/>
      <c r="F2499" s="48"/>
      <c r="G2499" s="48"/>
      <c r="H2499" s="48"/>
      <c r="I2499" s="48"/>
    </row>
    <row r="2500" spans="1:9" hidden="1" x14ac:dyDescent="0.2">
      <c r="A2500" s="46"/>
      <c r="B2500" s="46"/>
      <c r="C2500" s="46"/>
      <c r="D2500" s="48"/>
      <c r="E2500" s="48"/>
      <c r="F2500" s="48"/>
      <c r="G2500" s="48"/>
      <c r="H2500" s="48"/>
      <c r="I2500" s="48"/>
    </row>
    <row r="2501" spans="1:9" hidden="1" x14ac:dyDescent="0.2">
      <c r="A2501" s="46"/>
      <c r="B2501" s="46"/>
      <c r="C2501" s="46"/>
      <c r="D2501" s="48"/>
      <c r="E2501" s="48"/>
      <c r="F2501" s="48"/>
      <c r="G2501" s="48"/>
      <c r="H2501" s="48"/>
      <c r="I2501" s="48"/>
    </row>
    <row r="2502" spans="1:9" hidden="1" x14ac:dyDescent="0.2">
      <c r="A2502" s="46"/>
      <c r="B2502" s="46"/>
      <c r="C2502" s="46"/>
      <c r="D2502" s="48"/>
      <c r="E2502" s="48"/>
      <c r="F2502" s="48"/>
      <c r="G2502" s="48"/>
      <c r="H2502" s="48"/>
      <c r="I2502" s="48"/>
    </row>
    <row r="2503" spans="1:9" hidden="1" x14ac:dyDescent="0.2">
      <c r="A2503" s="46"/>
      <c r="B2503" s="46"/>
      <c r="C2503" s="46"/>
      <c r="D2503" s="48"/>
      <c r="E2503" s="48"/>
      <c r="F2503" s="48"/>
      <c r="G2503" s="48"/>
      <c r="H2503" s="48"/>
      <c r="I2503" s="48"/>
    </row>
    <row r="2504" spans="1:9" hidden="1" x14ac:dyDescent="0.2">
      <c r="A2504" s="46"/>
      <c r="B2504" s="46"/>
      <c r="C2504" s="46"/>
      <c r="D2504" s="48"/>
      <c r="E2504" s="48"/>
      <c r="F2504" s="48"/>
      <c r="G2504" s="48"/>
      <c r="H2504" s="48"/>
      <c r="I2504" s="48"/>
    </row>
    <row r="2505" spans="1:9" hidden="1" x14ac:dyDescent="0.2">
      <c r="A2505" s="46"/>
      <c r="B2505" s="46"/>
      <c r="C2505" s="46"/>
      <c r="D2505" s="48"/>
      <c r="E2505" s="48"/>
      <c r="F2505" s="48"/>
      <c r="G2505" s="48"/>
      <c r="H2505" s="48"/>
      <c r="I2505" s="48"/>
    </row>
    <row r="2506" spans="1:9" hidden="1" x14ac:dyDescent="0.2">
      <c r="A2506" s="46"/>
      <c r="B2506" s="46"/>
      <c r="C2506" s="46"/>
      <c r="D2506" s="48"/>
      <c r="E2506" s="48"/>
      <c r="F2506" s="48"/>
      <c r="G2506" s="48"/>
      <c r="H2506" s="48"/>
      <c r="I2506" s="48"/>
    </row>
    <row r="2507" spans="1:9" hidden="1" x14ac:dyDescent="0.2">
      <c r="A2507" s="46"/>
      <c r="B2507" s="46"/>
      <c r="C2507" s="46"/>
      <c r="D2507" s="48"/>
      <c r="E2507" s="48"/>
      <c r="F2507" s="48"/>
      <c r="G2507" s="48"/>
      <c r="H2507" s="48"/>
      <c r="I2507" s="48"/>
    </row>
    <row r="2508" spans="1:9" hidden="1" x14ac:dyDescent="0.2">
      <c r="A2508" s="46"/>
      <c r="B2508" s="46"/>
      <c r="C2508" s="46"/>
      <c r="D2508" s="48"/>
      <c r="E2508" s="48"/>
      <c r="F2508" s="48"/>
      <c r="G2508" s="48"/>
      <c r="H2508" s="48"/>
      <c r="I2508" s="48"/>
    </row>
    <row r="2509" spans="1:9" hidden="1" x14ac:dyDescent="0.2">
      <c r="A2509" s="46"/>
      <c r="B2509" s="46"/>
      <c r="C2509" s="46"/>
      <c r="D2509" s="48"/>
      <c r="E2509" s="48"/>
      <c r="F2509" s="48"/>
      <c r="G2509" s="48"/>
      <c r="H2509" s="48"/>
      <c r="I2509" s="48"/>
    </row>
    <row r="2510" spans="1:9" hidden="1" x14ac:dyDescent="0.2">
      <c r="A2510" s="46"/>
      <c r="B2510" s="46"/>
      <c r="C2510" s="46"/>
      <c r="D2510" s="48"/>
      <c r="E2510" s="48"/>
      <c r="F2510" s="48"/>
      <c r="G2510" s="48"/>
      <c r="H2510" s="48"/>
      <c r="I2510" s="48"/>
    </row>
    <row r="2511" spans="1:9" hidden="1" x14ac:dyDescent="0.2">
      <c r="A2511" s="46"/>
      <c r="B2511" s="46"/>
      <c r="C2511" s="46"/>
      <c r="D2511" s="48"/>
      <c r="E2511" s="48"/>
      <c r="F2511" s="48"/>
      <c r="G2511" s="48"/>
      <c r="H2511" s="48"/>
      <c r="I2511" s="48"/>
    </row>
    <row r="2512" spans="1:9" hidden="1" x14ac:dyDescent="0.2">
      <c r="A2512" s="46"/>
      <c r="B2512" s="46"/>
      <c r="C2512" s="46"/>
      <c r="D2512" s="48"/>
      <c r="E2512" s="48"/>
      <c r="F2512" s="48"/>
      <c r="G2512" s="48"/>
      <c r="H2512" s="48"/>
      <c r="I2512" s="48"/>
    </row>
    <row r="2513" spans="1:9" hidden="1" x14ac:dyDescent="0.2">
      <c r="A2513" s="46"/>
      <c r="B2513" s="46"/>
      <c r="C2513" s="46"/>
      <c r="D2513" s="48"/>
      <c r="E2513" s="48"/>
      <c r="F2513" s="48"/>
      <c r="G2513" s="48"/>
      <c r="H2513" s="48"/>
      <c r="I2513" s="48"/>
    </row>
    <row r="2514" spans="1:9" hidden="1" x14ac:dyDescent="0.2">
      <c r="A2514" s="46"/>
      <c r="B2514" s="46"/>
      <c r="C2514" s="46"/>
      <c r="D2514" s="48"/>
      <c r="E2514" s="48"/>
      <c r="F2514" s="48"/>
      <c r="G2514" s="48"/>
      <c r="H2514" s="48"/>
      <c r="I2514" s="48"/>
    </row>
    <row r="2515" spans="1:9" hidden="1" x14ac:dyDescent="0.2">
      <c r="A2515" s="46"/>
      <c r="B2515" s="46"/>
      <c r="C2515" s="46"/>
      <c r="D2515" s="48"/>
      <c r="E2515" s="48"/>
      <c r="F2515" s="48"/>
      <c r="G2515" s="48"/>
      <c r="H2515" s="48"/>
      <c r="I2515" s="48"/>
    </row>
    <row r="2516" spans="1:9" hidden="1" x14ac:dyDescent="0.2">
      <c r="A2516" s="46"/>
      <c r="B2516" s="46"/>
      <c r="C2516" s="46"/>
      <c r="D2516" s="48"/>
      <c r="E2516" s="48"/>
      <c r="F2516" s="48"/>
      <c r="G2516" s="48"/>
      <c r="H2516" s="48"/>
      <c r="I2516" s="48"/>
    </row>
    <row r="2517" spans="1:9" hidden="1" x14ac:dyDescent="0.2">
      <c r="A2517" s="46"/>
      <c r="B2517" s="46"/>
      <c r="C2517" s="46"/>
      <c r="D2517" s="48"/>
      <c r="E2517" s="48"/>
      <c r="F2517" s="48"/>
      <c r="G2517" s="48"/>
      <c r="H2517" s="48"/>
      <c r="I2517" s="48"/>
    </row>
    <row r="2518" spans="1:9" hidden="1" x14ac:dyDescent="0.2">
      <c r="A2518" s="46"/>
      <c r="B2518" s="46"/>
      <c r="C2518" s="46"/>
      <c r="D2518" s="48"/>
      <c r="E2518" s="48"/>
      <c r="F2518" s="48"/>
      <c r="G2518" s="48"/>
      <c r="H2518" s="48"/>
      <c r="I2518" s="48"/>
    </row>
    <row r="2519" spans="1:9" hidden="1" x14ac:dyDescent="0.2">
      <c r="A2519" s="46"/>
      <c r="B2519" s="46"/>
      <c r="C2519" s="46"/>
      <c r="D2519" s="48"/>
      <c r="E2519" s="48"/>
      <c r="F2519" s="48"/>
      <c r="G2519" s="48"/>
      <c r="H2519" s="48"/>
      <c r="I2519" s="48"/>
    </row>
    <row r="2520" spans="1:9" hidden="1" x14ac:dyDescent="0.2">
      <c r="A2520" s="46"/>
      <c r="B2520" s="46"/>
      <c r="C2520" s="46"/>
      <c r="D2520" s="48"/>
      <c r="E2520" s="48"/>
      <c r="F2520" s="48"/>
      <c r="G2520" s="48"/>
      <c r="H2520" s="48"/>
      <c r="I2520" s="48"/>
    </row>
    <row r="2521" spans="1:9" hidden="1" x14ac:dyDescent="0.2">
      <c r="A2521" s="46"/>
      <c r="B2521" s="46"/>
      <c r="C2521" s="46"/>
      <c r="D2521" s="48"/>
      <c r="E2521" s="48"/>
      <c r="F2521" s="48"/>
      <c r="G2521" s="48"/>
      <c r="H2521" s="48"/>
      <c r="I2521" s="48"/>
    </row>
    <row r="2522" spans="1:9" hidden="1" x14ac:dyDescent="0.2">
      <c r="A2522" s="46"/>
      <c r="B2522" s="46"/>
      <c r="C2522" s="46"/>
      <c r="D2522" s="48"/>
      <c r="E2522" s="48"/>
      <c r="F2522" s="48"/>
      <c r="G2522" s="48"/>
      <c r="H2522" s="48"/>
      <c r="I2522" s="48"/>
    </row>
    <row r="2523" spans="1:9" hidden="1" x14ac:dyDescent="0.2">
      <c r="A2523" s="46"/>
      <c r="B2523" s="46"/>
      <c r="C2523" s="46"/>
      <c r="D2523" s="48"/>
      <c r="E2523" s="48"/>
      <c r="F2523" s="48"/>
      <c r="G2523" s="48"/>
      <c r="H2523" s="48"/>
      <c r="I2523" s="48"/>
    </row>
    <row r="2524" spans="1:9" hidden="1" x14ac:dyDescent="0.2">
      <c r="A2524" s="46"/>
      <c r="B2524" s="46"/>
      <c r="C2524" s="46"/>
      <c r="D2524" s="48"/>
      <c r="E2524" s="48"/>
      <c r="F2524" s="48"/>
      <c r="G2524" s="48"/>
      <c r="H2524" s="48"/>
      <c r="I2524" s="48"/>
    </row>
    <row r="2525" spans="1:9" hidden="1" x14ac:dyDescent="0.2">
      <c r="A2525" s="46"/>
      <c r="B2525" s="46"/>
      <c r="C2525" s="46"/>
      <c r="D2525" s="48"/>
      <c r="E2525" s="48"/>
      <c r="F2525" s="48"/>
      <c r="G2525" s="48"/>
      <c r="H2525" s="48"/>
      <c r="I2525" s="48"/>
    </row>
    <row r="2526" spans="1:9" hidden="1" x14ac:dyDescent="0.2">
      <c r="A2526" s="46"/>
      <c r="B2526" s="46"/>
      <c r="C2526" s="46"/>
      <c r="D2526" s="48"/>
      <c r="E2526" s="48"/>
      <c r="F2526" s="48"/>
      <c r="G2526" s="48"/>
      <c r="H2526" s="48"/>
      <c r="I2526" s="48"/>
    </row>
    <row r="2527" spans="1:9" hidden="1" x14ac:dyDescent="0.2">
      <c r="A2527" s="46"/>
      <c r="B2527" s="46"/>
      <c r="C2527" s="46"/>
      <c r="D2527" s="48"/>
      <c r="E2527" s="48"/>
      <c r="F2527" s="48"/>
      <c r="G2527" s="48"/>
      <c r="H2527" s="48"/>
      <c r="I2527" s="48"/>
    </row>
    <row r="2528" spans="1:9" hidden="1" x14ac:dyDescent="0.2">
      <c r="A2528" s="46"/>
      <c r="B2528" s="46"/>
      <c r="C2528" s="46"/>
      <c r="D2528" s="48"/>
      <c r="E2528" s="48"/>
      <c r="F2528" s="48"/>
      <c r="G2528" s="48"/>
      <c r="H2528" s="48"/>
      <c r="I2528" s="48"/>
    </row>
    <row r="2529" spans="1:9" hidden="1" x14ac:dyDescent="0.2">
      <c r="A2529" s="46"/>
      <c r="B2529" s="46"/>
      <c r="C2529" s="46"/>
      <c r="D2529" s="48"/>
      <c r="E2529" s="48"/>
      <c r="F2529" s="48"/>
      <c r="G2529" s="48"/>
      <c r="H2529" s="48"/>
      <c r="I2529" s="48"/>
    </row>
    <row r="2530" spans="1:9" hidden="1" x14ac:dyDescent="0.2">
      <c r="A2530" s="46"/>
      <c r="B2530" s="46"/>
      <c r="C2530" s="46"/>
      <c r="D2530" s="48"/>
      <c r="E2530" s="48"/>
      <c r="F2530" s="48"/>
      <c r="G2530" s="48"/>
      <c r="H2530" s="48"/>
      <c r="I2530" s="48"/>
    </row>
    <row r="2531" spans="1:9" hidden="1" x14ac:dyDescent="0.2">
      <c r="A2531" s="46"/>
      <c r="B2531" s="46"/>
      <c r="C2531" s="46"/>
      <c r="D2531" s="48"/>
      <c r="E2531" s="48"/>
      <c r="F2531" s="48"/>
      <c r="G2531" s="48"/>
      <c r="H2531" s="48"/>
      <c r="I2531" s="48"/>
    </row>
    <row r="2532" spans="1:9" hidden="1" x14ac:dyDescent="0.2">
      <c r="A2532" s="46"/>
      <c r="B2532" s="46"/>
      <c r="C2532" s="46"/>
      <c r="D2532" s="48"/>
      <c r="E2532" s="48"/>
      <c r="F2532" s="48"/>
      <c r="G2532" s="48"/>
      <c r="H2532" s="48"/>
      <c r="I2532" s="48"/>
    </row>
    <row r="2533" spans="1:9" hidden="1" x14ac:dyDescent="0.2">
      <c r="A2533" s="46"/>
      <c r="B2533" s="46"/>
      <c r="C2533" s="46"/>
      <c r="D2533" s="48"/>
      <c r="E2533" s="48"/>
      <c r="F2533" s="48"/>
      <c r="G2533" s="48"/>
      <c r="H2533" s="48"/>
      <c r="I2533" s="48"/>
    </row>
    <row r="2534" spans="1:9" hidden="1" x14ac:dyDescent="0.2">
      <c r="A2534" s="46"/>
      <c r="B2534" s="46"/>
      <c r="C2534" s="46"/>
      <c r="D2534" s="48"/>
      <c r="E2534" s="48"/>
      <c r="F2534" s="48"/>
      <c r="G2534" s="48"/>
      <c r="H2534" s="48"/>
      <c r="I2534" s="48"/>
    </row>
    <row r="2535" spans="1:9" hidden="1" x14ac:dyDescent="0.2">
      <c r="A2535" s="46"/>
      <c r="B2535" s="46"/>
      <c r="C2535" s="46"/>
      <c r="D2535" s="48"/>
      <c r="E2535" s="48"/>
      <c r="F2535" s="48"/>
      <c r="G2535" s="48"/>
      <c r="H2535" s="48"/>
      <c r="I2535" s="48"/>
    </row>
    <row r="2536" spans="1:9" hidden="1" x14ac:dyDescent="0.2">
      <c r="A2536" s="46"/>
      <c r="B2536" s="46"/>
      <c r="C2536" s="46"/>
      <c r="D2536" s="48"/>
      <c r="E2536" s="48"/>
      <c r="F2536" s="48"/>
      <c r="G2536" s="48"/>
      <c r="H2536" s="48"/>
      <c r="I2536" s="48"/>
    </row>
    <row r="2537" spans="1:9" hidden="1" x14ac:dyDescent="0.2">
      <c r="A2537" s="46"/>
      <c r="B2537" s="46"/>
      <c r="C2537" s="46"/>
      <c r="D2537" s="48"/>
      <c r="E2537" s="48"/>
      <c r="F2537" s="48"/>
      <c r="G2537" s="48"/>
      <c r="H2537" s="48"/>
      <c r="I2537" s="48"/>
    </row>
    <row r="2538" spans="1:9" hidden="1" x14ac:dyDescent="0.2">
      <c r="A2538" s="46"/>
      <c r="B2538" s="46"/>
      <c r="C2538" s="46"/>
      <c r="D2538" s="48"/>
      <c r="E2538" s="48"/>
      <c r="F2538" s="48"/>
      <c r="G2538" s="48"/>
      <c r="H2538" s="48"/>
      <c r="I2538" s="48"/>
    </row>
    <row r="2539" spans="1:9" hidden="1" x14ac:dyDescent="0.2">
      <c r="A2539" s="46"/>
      <c r="B2539" s="46"/>
      <c r="C2539" s="46"/>
      <c r="D2539" s="48"/>
      <c r="E2539" s="48"/>
      <c r="F2539" s="48"/>
      <c r="G2539" s="48"/>
      <c r="H2539" s="48"/>
      <c r="I2539" s="48"/>
    </row>
    <row r="2540" spans="1:9" hidden="1" x14ac:dyDescent="0.2">
      <c r="A2540" s="46"/>
      <c r="B2540" s="46"/>
      <c r="C2540" s="46"/>
      <c r="D2540" s="48"/>
      <c r="E2540" s="48"/>
      <c r="F2540" s="48"/>
      <c r="G2540" s="48"/>
      <c r="H2540" s="48"/>
      <c r="I2540" s="48"/>
    </row>
    <row r="2541" spans="1:9" hidden="1" x14ac:dyDescent="0.2">
      <c r="A2541" s="46"/>
      <c r="B2541" s="46"/>
      <c r="C2541" s="46"/>
      <c r="D2541" s="48"/>
      <c r="E2541" s="48"/>
      <c r="F2541" s="48"/>
      <c r="G2541" s="48"/>
      <c r="H2541" s="48"/>
      <c r="I2541" s="48"/>
    </row>
    <row r="2542" spans="1:9" hidden="1" x14ac:dyDescent="0.2">
      <c r="A2542" s="46"/>
      <c r="B2542" s="46"/>
      <c r="C2542" s="46"/>
      <c r="D2542" s="48"/>
      <c r="E2542" s="48"/>
      <c r="F2542" s="48"/>
      <c r="G2542" s="48"/>
      <c r="H2542" s="48"/>
      <c r="I2542" s="48"/>
    </row>
    <row r="2543" spans="1:9" hidden="1" x14ac:dyDescent="0.2">
      <c r="A2543" s="46"/>
      <c r="B2543" s="46"/>
      <c r="C2543" s="46"/>
      <c r="D2543" s="48"/>
      <c r="E2543" s="48"/>
      <c r="F2543" s="48"/>
      <c r="G2543" s="48"/>
      <c r="H2543" s="48"/>
      <c r="I2543" s="48"/>
    </row>
    <row r="2544" spans="1:9" hidden="1" x14ac:dyDescent="0.2">
      <c r="A2544" s="46"/>
      <c r="B2544" s="46"/>
      <c r="C2544" s="46"/>
      <c r="D2544" s="48"/>
      <c r="E2544" s="48"/>
      <c r="F2544" s="48"/>
      <c r="G2544" s="48"/>
      <c r="H2544" s="48"/>
      <c r="I2544" s="48"/>
    </row>
    <row r="2545" spans="1:9" hidden="1" x14ac:dyDescent="0.2">
      <c r="A2545" s="46"/>
      <c r="B2545" s="46"/>
      <c r="C2545" s="46"/>
      <c r="D2545" s="48"/>
      <c r="E2545" s="48"/>
      <c r="F2545" s="48"/>
      <c r="G2545" s="48"/>
      <c r="H2545" s="48"/>
      <c r="I2545" s="48"/>
    </row>
    <row r="2546" spans="1:9" hidden="1" x14ac:dyDescent="0.2">
      <c r="A2546" s="46"/>
      <c r="B2546" s="46"/>
      <c r="C2546" s="46"/>
      <c r="D2546" s="48"/>
      <c r="E2546" s="48"/>
      <c r="F2546" s="48"/>
      <c r="G2546" s="48"/>
      <c r="H2546" s="48"/>
      <c r="I2546" s="48"/>
    </row>
    <row r="2547" spans="1:9" hidden="1" x14ac:dyDescent="0.2">
      <c r="A2547" s="46"/>
      <c r="B2547" s="46"/>
      <c r="C2547" s="46"/>
      <c r="D2547" s="48"/>
      <c r="E2547" s="48"/>
      <c r="F2547" s="48"/>
      <c r="G2547" s="48"/>
      <c r="H2547" s="48"/>
      <c r="I2547" s="48"/>
    </row>
    <row r="2548" spans="1:9" hidden="1" x14ac:dyDescent="0.2">
      <c r="A2548" s="46"/>
      <c r="B2548" s="46"/>
      <c r="C2548" s="46"/>
      <c r="D2548" s="48"/>
      <c r="E2548" s="48"/>
      <c r="F2548" s="48"/>
      <c r="G2548" s="48"/>
      <c r="H2548" s="48"/>
      <c r="I2548" s="48"/>
    </row>
    <row r="2549" spans="1:9" hidden="1" x14ac:dyDescent="0.2">
      <c r="A2549" s="46"/>
      <c r="B2549" s="46"/>
      <c r="C2549" s="46"/>
      <c r="D2549" s="48"/>
      <c r="E2549" s="48"/>
      <c r="F2549" s="48"/>
      <c r="G2549" s="48"/>
      <c r="H2549" s="48"/>
      <c r="I2549" s="48"/>
    </row>
    <row r="2550" spans="1:9" hidden="1" x14ac:dyDescent="0.2">
      <c r="A2550" s="46"/>
      <c r="B2550" s="46"/>
      <c r="C2550" s="46"/>
      <c r="D2550" s="48"/>
      <c r="E2550" s="48"/>
      <c r="F2550" s="48"/>
      <c r="G2550" s="48"/>
      <c r="H2550" s="48"/>
      <c r="I2550" s="48"/>
    </row>
    <row r="2551" spans="1:9" hidden="1" x14ac:dyDescent="0.2">
      <c r="A2551" s="46"/>
      <c r="B2551" s="46"/>
      <c r="C2551" s="46"/>
      <c r="D2551" s="48"/>
      <c r="E2551" s="48"/>
      <c r="F2551" s="48"/>
      <c r="G2551" s="48"/>
      <c r="H2551" s="48"/>
      <c r="I2551" s="48"/>
    </row>
    <row r="2552" spans="1:9" hidden="1" x14ac:dyDescent="0.2">
      <c r="A2552" s="46"/>
      <c r="B2552" s="46"/>
      <c r="C2552" s="46"/>
      <c r="D2552" s="48"/>
      <c r="E2552" s="48"/>
      <c r="F2552" s="48"/>
      <c r="G2552" s="48"/>
      <c r="H2552" s="48"/>
      <c r="I2552" s="48"/>
    </row>
    <row r="2553" spans="1:9" hidden="1" x14ac:dyDescent="0.2">
      <c r="A2553" s="46"/>
      <c r="B2553" s="46"/>
      <c r="C2553" s="46"/>
      <c r="D2553" s="48"/>
      <c r="E2553" s="48"/>
      <c r="F2553" s="48"/>
      <c r="G2553" s="48"/>
      <c r="H2553" s="48"/>
      <c r="I2553" s="48"/>
    </row>
    <row r="2554" spans="1:9" hidden="1" x14ac:dyDescent="0.2">
      <c r="A2554" s="46"/>
      <c r="B2554" s="46"/>
      <c r="C2554" s="46"/>
      <c r="D2554" s="48"/>
      <c r="E2554" s="48"/>
      <c r="F2554" s="48"/>
      <c r="G2554" s="48"/>
      <c r="H2554" s="48"/>
      <c r="I2554" s="48"/>
    </row>
    <row r="2555" spans="1:9" hidden="1" x14ac:dyDescent="0.2">
      <c r="A2555" s="46"/>
      <c r="B2555" s="46"/>
      <c r="C2555" s="46"/>
      <c r="D2555" s="48"/>
      <c r="E2555" s="48"/>
      <c r="F2555" s="48"/>
      <c r="G2555" s="48"/>
      <c r="H2555" s="48"/>
      <c r="I2555" s="48"/>
    </row>
    <row r="2556" spans="1:9" hidden="1" x14ac:dyDescent="0.2">
      <c r="A2556" s="46"/>
      <c r="B2556" s="46"/>
      <c r="C2556" s="46"/>
      <c r="D2556" s="48"/>
      <c r="E2556" s="48"/>
      <c r="F2556" s="48"/>
      <c r="G2556" s="48"/>
      <c r="H2556" s="48"/>
      <c r="I2556" s="48"/>
    </row>
    <row r="2557" spans="1:9" hidden="1" x14ac:dyDescent="0.2">
      <c r="A2557" s="46"/>
      <c r="B2557" s="46"/>
      <c r="C2557" s="46"/>
      <c r="D2557" s="48"/>
      <c r="E2557" s="48"/>
      <c r="F2557" s="48"/>
      <c r="G2557" s="48"/>
      <c r="H2557" s="48"/>
      <c r="I2557" s="48"/>
    </row>
    <row r="2558" spans="1:9" hidden="1" x14ac:dyDescent="0.2">
      <c r="A2558" s="46"/>
      <c r="B2558" s="46"/>
      <c r="C2558" s="46"/>
      <c r="D2558" s="48"/>
      <c r="E2558" s="48"/>
      <c r="F2558" s="48"/>
      <c r="G2558" s="48"/>
      <c r="H2558" s="48"/>
      <c r="I2558" s="48"/>
    </row>
    <row r="2559" spans="1:9" hidden="1" x14ac:dyDescent="0.2">
      <c r="A2559" s="46"/>
      <c r="B2559" s="46"/>
      <c r="C2559" s="46"/>
      <c r="D2559" s="48"/>
      <c r="E2559" s="48"/>
      <c r="F2559" s="48"/>
      <c r="G2559" s="48"/>
      <c r="H2559" s="48"/>
      <c r="I2559" s="48"/>
    </row>
    <row r="2560" spans="1:9" hidden="1" x14ac:dyDescent="0.2">
      <c r="A2560" s="46"/>
      <c r="B2560" s="46"/>
      <c r="C2560" s="46"/>
      <c r="D2560" s="48"/>
      <c r="E2560" s="48"/>
      <c r="F2560" s="48"/>
      <c r="G2560" s="48"/>
      <c r="H2560" s="48"/>
      <c r="I2560" s="48"/>
    </row>
    <row r="2561" spans="1:9" hidden="1" x14ac:dyDescent="0.2">
      <c r="A2561" s="46"/>
      <c r="B2561" s="46"/>
      <c r="C2561" s="46"/>
      <c r="D2561" s="48"/>
      <c r="E2561" s="48"/>
      <c r="F2561" s="48"/>
      <c r="G2561" s="48"/>
      <c r="H2561" s="48"/>
      <c r="I2561" s="48"/>
    </row>
    <row r="2562" spans="1:9" hidden="1" x14ac:dyDescent="0.2">
      <c r="A2562" s="46"/>
      <c r="B2562" s="46"/>
      <c r="C2562" s="46"/>
      <c r="D2562" s="48"/>
      <c r="E2562" s="48"/>
      <c r="F2562" s="48"/>
      <c r="G2562" s="48"/>
      <c r="H2562" s="48"/>
      <c r="I2562" s="48"/>
    </row>
    <row r="2563" spans="1:9" hidden="1" x14ac:dyDescent="0.2">
      <c r="A2563" s="46"/>
      <c r="B2563" s="46"/>
      <c r="C2563" s="46"/>
      <c r="D2563" s="48"/>
      <c r="E2563" s="48"/>
      <c r="F2563" s="48"/>
      <c r="G2563" s="48"/>
      <c r="H2563" s="48"/>
      <c r="I2563" s="48"/>
    </row>
    <row r="2564" spans="1:9" hidden="1" x14ac:dyDescent="0.2">
      <c r="A2564" s="46"/>
      <c r="B2564" s="46"/>
      <c r="C2564" s="46"/>
      <c r="D2564" s="48"/>
      <c r="E2564" s="48"/>
      <c r="F2564" s="48"/>
      <c r="G2564" s="48"/>
      <c r="H2564" s="48"/>
      <c r="I2564" s="48"/>
    </row>
    <row r="2565" spans="1:9" hidden="1" x14ac:dyDescent="0.2">
      <c r="A2565" s="46"/>
      <c r="B2565" s="46"/>
      <c r="C2565" s="46"/>
      <c r="D2565" s="48"/>
      <c r="E2565" s="48"/>
      <c r="F2565" s="48"/>
      <c r="G2565" s="48"/>
      <c r="H2565" s="48"/>
      <c r="I2565" s="48"/>
    </row>
    <row r="2566" spans="1:9" hidden="1" x14ac:dyDescent="0.2">
      <c r="A2566" s="46"/>
      <c r="B2566" s="46"/>
      <c r="C2566" s="46"/>
      <c r="D2566" s="48"/>
      <c r="E2566" s="48"/>
      <c r="F2566" s="48"/>
      <c r="G2566" s="48"/>
      <c r="H2566" s="48"/>
      <c r="I2566" s="48"/>
    </row>
    <row r="2567" spans="1:9" hidden="1" x14ac:dyDescent="0.2">
      <c r="A2567" s="46"/>
      <c r="B2567" s="46"/>
      <c r="C2567" s="46"/>
      <c r="D2567" s="48"/>
      <c r="E2567" s="48"/>
      <c r="F2567" s="48"/>
      <c r="G2567" s="48"/>
      <c r="H2567" s="48"/>
      <c r="I2567" s="48"/>
    </row>
    <row r="2568" spans="1:9" hidden="1" x14ac:dyDescent="0.2">
      <c r="A2568" s="46"/>
      <c r="B2568" s="46"/>
      <c r="C2568" s="46"/>
      <c r="D2568" s="48"/>
      <c r="E2568" s="48"/>
      <c r="F2568" s="48"/>
      <c r="G2568" s="48"/>
      <c r="H2568" s="48"/>
      <c r="I2568" s="48"/>
    </row>
    <row r="2569" spans="1:9" hidden="1" x14ac:dyDescent="0.2">
      <c r="A2569" s="46"/>
      <c r="B2569" s="46"/>
      <c r="C2569" s="46"/>
      <c r="D2569" s="48"/>
      <c r="E2569" s="48"/>
      <c r="F2569" s="48"/>
      <c r="G2569" s="48"/>
      <c r="H2569" s="48"/>
      <c r="I2569" s="48"/>
    </row>
    <row r="2570" spans="1:9" hidden="1" x14ac:dyDescent="0.2">
      <c r="A2570" s="46"/>
      <c r="B2570" s="46"/>
      <c r="C2570" s="46"/>
      <c r="D2570" s="48"/>
      <c r="E2570" s="48"/>
      <c r="F2570" s="48"/>
      <c r="G2570" s="48"/>
      <c r="H2570" s="48"/>
      <c r="I2570" s="48"/>
    </row>
    <row r="2571" spans="1:9" hidden="1" x14ac:dyDescent="0.2">
      <c r="A2571" s="46"/>
      <c r="B2571" s="46"/>
      <c r="C2571" s="46"/>
      <c r="D2571" s="48"/>
      <c r="E2571" s="48"/>
      <c r="F2571" s="48"/>
      <c r="G2571" s="48"/>
      <c r="H2571" s="48"/>
      <c r="I2571" s="48"/>
    </row>
    <row r="2572" spans="1:9" hidden="1" x14ac:dyDescent="0.2">
      <c r="A2572" s="46"/>
      <c r="B2572" s="46"/>
      <c r="C2572" s="46"/>
      <c r="D2572" s="48"/>
      <c r="E2572" s="48"/>
      <c r="F2572" s="48"/>
      <c r="G2572" s="48"/>
      <c r="H2572" s="48"/>
      <c r="I2572" s="48"/>
    </row>
    <row r="2573" spans="1:9" hidden="1" x14ac:dyDescent="0.2">
      <c r="A2573" s="46"/>
      <c r="B2573" s="46"/>
      <c r="C2573" s="46"/>
      <c r="D2573" s="48"/>
      <c r="E2573" s="48"/>
      <c r="F2573" s="48"/>
      <c r="G2573" s="48"/>
      <c r="H2573" s="48"/>
      <c r="I2573" s="48"/>
    </row>
    <row r="2574" spans="1:9" hidden="1" x14ac:dyDescent="0.2">
      <c r="A2574" s="46"/>
      <c r="B2574" s="46"/>
      <c r="C2574" s="46"/>
      <c r="D2574" s="48"/>
      <c r="E2574" s="48"/>
      <c r="F2574" s="48"/>
      <c r="G2574" s="48"/>
      <c r="H2574" s="48"/>
      <c r="I2574" s="48"/>
    </row>
    <row r="2575" spans="1:9" hidden="1" x14ac:dyDescent="0.2">
      <c r="A2575" s="46"/>
      <c r="B2575" s="46"/>
      <c r="C2575" s="46"/>
      <c r="D2575" s="48"/>
      <c r="E2575" s="48"/>
      <c r="F2575" s="48"/>
      <c r="G2575" s="48"/>
      <c r="H2575" s="48"/>
      <c r="I2575" s="48"/>
    </row>
    <row r="2576" spans="1:9" hidden="1" x14ac:dyDescent="0.2">
      <c r="A2576" s="46"/>
      <c r="B2576" s="46"/>
      <c r="C2576" s="46"/>
      <c r="D2576" s="48"/>
      <c r="E2576" s="48"/>
      <c r="F2576" s="48"/>
      <c r="G2576" s="48"/>
      <c r="H2576" s="48"/>
      <c r="I2576" s="48"/>
    </row>
    <row r="2577" spans="1:9" hidden="1" x14ac:dyDescent="0.2">
      <c r="A2577" s="46"/>
      <c r="B2577" s="46"/>
      <c r="C2577" s="46"/>
      <c r="D2577" s="48"/>
      <c r="E2577" s="48"/>
      <c r="F2577" s="48"/>
      <c r="G2577" s="48"/>
      <c r="H2577" s="48"/>
      <c r="I2577" s="48"/>
    </row>
    <row r="2578" spans="1:9" hidden="1" x14ac:dyDescent="0.2">
      <c r="A2578" s="46"/>
      <c r="B2578" s="46"/>
      <c r="C2578" s="46"/>
      <c r="D2578" s="48"/>
      <c r="E2578" s="48"/>
      <c r="F2578" s="48"/>
      <c r="G2578" s="48"/>
      <c r="H2578" s="48"/>
      <c r="I2578" s="48"/>
    </row>
    <row r="2579" spans="1:9" hidden="1" x14ac:dyDescent="0.2">
      <c r="A2579" s="46"/>
      <c r="B2579" s="46"/>
      <c r="C2579" s="46"/>
      <c r="D2579" s="48"/>
      <c r="E2579" s="48"/>
      <c r="F2579" s="48"/>
      <c r="G2579" s="48"/>
      <c r="H2579" s="48"/>
      <c r="I2579" s="48"/>
    </row>
    <row r="2580" spans="1:9" hidden="1" x14ac:dyDescent="0.2">
      <c r="A2580" s="46"/>
      <c r="B2580" s="46"/>
      <c r="C2580" s="46"/>
      <c r="D2580" s="48"/>
      <c r="E2580" s="48"/>
      <c r="F2580" s="48"/>
      <c r="G2580" s="48"/>
      <c r="H2580" s="48"/>
      <c r="I2580" s="48"/>
    </row>
    <row r="2581" spans="1:9" hidden="1" x14ac:dyDescent="0.2">
      <c r="A2581" s="46"/>
      <c r="B2581" s="46"/>
      <c r="C2581" s="46"/>
      <c r="D2581" s="48"/>
      <c r="E2581" s="48"/>
      <c r="F2581" s="48"/>
      <c r="G2581" s="48"/>
      <c r="H2581" s="48"/>
      <c r="I2581" s="48"/>
    </row>
    <row r="2582" spans="1:9" hidden="1" x14ac:dyDescent="0.2">
      <c r="A2582" s="46"/>
      <c r="B2582" s="46"/>
      <c r="C2582" s="46"/>
      <c r="D2582" s="48"/>
      <c r="E2582" s="48"/>
      <c r="F2582" s="48"/>
      <c r="G2582" s="48"/>
      <c r="H2582" s="48"/>
      <c r="I2582" s="48"/>
    </row>
    <row r="2583" spans="1:9" hidden="1" x14ac:dyDescent="0.2">
      <c r="A2583" s="46"/>
      <c r="B2583" s="46"/>
      <c r="C2583" s="46"/>
      <c r="D2583" s="48"/>
      <c r="E2583" s="48"/>
      <c r="F2583" s="48"/>
      <c r="G2583" s="48"/>
      <c r="H2583" s="48"/>
      <c r="I2583" s="48"/>
    </row>
    <row r="2584" spans="1:9" hidden="1" x14ac:dyDescent="0.2">
      <c r="A2584" s="46"/>
      <c r="B2584" s="46"/>
      <c r="C2584" s="46"/>
      <c r="D2584" s="48"/>
      <c r="E2584" s="48"/>
      <c r="F2584" s="48"/>
      <c r="G2584" s="48"/>
      <c r="H2584" s="48"/>
      <c r="I2584" s="48"/>
    </row>
    <row r="2585" spans="1:9" hidden="1" x14ac:dyDescent="0.2">
      <c r="A2585" s="46"/>
      <c r="B2585" s="46"/>
      <c r="C2585" s="46"/>
      <c r="D2585" s="48"/>
      <c r="E2585" s="48"/>
      <c r="F2585" s="48"/>
      <c r="G2585" s="48"/>
      <c r="H2585" s="48"/>
      <c r="I2585" s="48"/>
    </row>
    <row r="2586" spans="1:9" hidden="1" x14ac:dyDescent="0.2">
      <c r="A2586" s="46"/>
      <c r="B2586" s="46"/>
      <c r="C2586" s="46"/>
      <c r="D2586" s="48"/>
      <c r="E2586" s="48"/>
      <c r="F2586" s="48"/>
      <c r="G2586" s="48"/>
      <c r="H2586" s="48"/>
      <c r="I2586" s="48"/>
    </row>
    <row r="2587" spans="1:9" hidden="1" x14ac:dyDescent="0.2">
      <c r="A2587" s="46"/>
      <c r="B2587" s="46"/>
      <c r="C2587" s="46"/>
      <c r="D2587" s="48"/>
      <c r="E2587" s="48"/>
      <c r="F2587" s="48"/>
      <c r="G2587" s="48"/>
      <c r="H2587" s="48"/>
      <c r="I2587" s="48"/>
    </row>
    <row r="2588" spans="1:9" hidden="1" x14ac:dyDescent="0.2">
      <c r="A2588" s="46"/>
      <c r="B2588" s="46"/>
      <c r="C2588" s="46"/>
      <c r="D2588" s="48"/>
      <c r="E2588" s="48"/>
      <c r="F2588" s="48"/>
      <c r="G2588" s="48"/>
      <c r="H2588" s="48"/>
      <c r="I2588" s="48"/>
    </row>
    <row r="2589" spans="1:9" hidden="1" x14ac:dyDescent="0.2">
      <c r="A2589" s="46"/>
      <c r="B2589" s="46"/>
      <c r="C2589" s="46"/>
      <c r="D2589" s="48"/>
      <c r="E2589" s="48"/>
      <c r="F2589" s="48"/>
      <c r="G2589" s="48"/>
      <c r="H2589" s="48"/>
      <c r="I2589" s="48"/>
    </row>
    <row r="2590" spans="1:9" hidden="1" x14ac:dyDescent="0.2">
      <c r="A2590" s="46"/>
      <c r="B2590" s="46"/>
      <c r="C2590" s="46"/>
      <c r="D2590" s="48"/>
      <c r="E2590" s="48"/>
      <c r="F2590" s="48"/>
      <c r="G2590" s="48"/>
      <c r="H2590" s="48"/>
      <c r="I2590" s="48"/>
    </row>
    <row r="2591" spans="1:9" hidden="1" x14ac:dyDescent="0.2">
      <c r="A2591" s="46"/>
      <c r="B2591" s="46"/>
      <c r="C2591" s="46"/>
      <c r="D2591" s="48"/>
      <c r="E2591" s="48"/>
      <c r="F2591" s="48"/>
      <c r="G2591" s="48"/>
      <c r="H2591" s="48"/>
      <c r="I2591" s="48"/>
    </row>
    <row r="2592" spans="1:9" hidden="1" x14ac:dyDescent="0.2">
      <c r="A2592" s="46"/>
      <c r="B2592" s="46"/>
      <c r="C2592" s="46"/>
      <c r="D2592" s="48"/>
      <c r="E2592" s="48"/>
      <c r="F2592" s="48"/>
      <c r="G2592" s="48"/>
      <c r="H2592" s="48"/>
      <c r="I2592" s="48"/>
    </row>
    <row r="2593" spans="1:9" hidden="1" x14ac:dyDescent="0.2">
      <c r="A2593" s="46"/>
      <c r="B2593" s="46"/>
      <c r="C2593" s="46"/>
      <c r="D2593" s="48"/>
      <c r="E2593" s="48"/>
      <c r="F2593" s="48"/>
      <c r="G2593" s="48"/>
      <c r="H2593" s="48"/>
      <c r="I2593" s="48"/>
    </row>
    <row r="2594" spans="1:9" hidden="1" x14ac:dyDescent="0.2">
      <c r="A2594" s="46"/>
      <c r="B2594" s="46"/>
      <c r="C2594" s="46"/>
      <c r="D2594" s="48"/>
      <c r="E2594" s="48"/>
      <c r="F2594" s="48"/>
      <c r="G2594" s="48"/>
      <c r="H2594" s="48"/>
      <c r="I2594" s="48"/>
    </row>
    <row r="2595" spans="1:9" hidden="1" x14ac:dyDescent="0.2">
      <c r="A2595" s="46"/>
      <c r="B2595" s="46"/>
      <c r="C2595" s="46"/>
      <c r="D2595" s="48"/>
      <c r="E2595" s="48"/>
      <c r="F2595" s="48"/>
      <c r="G2595" s="48"/>
      <c r="H2595" s="48"/>
      <c r="I2595" s="48"/>
    </row>
    <row r="2596" spans="1:9" hidden="1" x14ac:dyDescent="0.2">
      <c r="A2596" s="46"/>
      <c r="B2596" s="46"/>
      <c r="C2596" s="46"/>
      <c r="D2596" s="48"/>
      <c r="E2596" s="48"/>
      <c r="F2596" s="48"/>
      <c r="G2596" s="48"/>
      <c r="H2596" s="48"/>
      <c r="I2596" s="48"/>
    </row>
    <row r="2597" spans="1:9" hidden="1" x14ac:dyDescent="0.2">
      <c r="A2597" s="46"/>
      <c r="B2597" s="46"/>
      <c r="C2597" s="46"/>
      <c r="D2597" s="48"/>
      <c r="E2597" s="48"/>
      <c r="F2597" s="48"/>
      <c r="G2597" s="48"/>
      <c r="H2597" s="48"/>
      <c r="I2597" s="48"/>
    </row>
    <row r="2598" spans="1:9" hidden="1" x14ac:dyDescent="0.2">
      <c r="A2598" s="46"/>
      <c r="B2598" s="46"/>
      <c r="C2598" s="46"/>
      <c r="D2598" s="48"/>
      <c r="E2598" s="48"/>
      <c r="F2598" s="48"/>
      <c r="G2598" s="48"/>
      <c r="H2598" s="48"/>
      <c r="I2598" s="48"/>
    </row>
    <row r="2599" spans="1:9" hidden="1" x14ac:dyDescent="0.2">
      <c r="A2599" s="46"/>
      <c r="B2599" s="46"/>
      <c r="C2599" s="46"/>
      <c r="D2599" s="48"/>
      <c r="E2599" s="48"/>
      <c r="F2599" s="48"/>
      <c r="G2599" s="48"/>
      <c r="H2599" s="48"/>
      <c r="I2599" s="48"/>
    </row>
    <row r="2600" spans="1:9" hidden="1" x14ac:dyDescent="0.2">
      <c r="A2600" s="46"/>
      <c r="B2600" s="46"/>
      <c r="C2600" s="46"/>
      <c r="D2600" s="48"/>
      <c r="E2600" s="48"/>
      <c r="F2600" s="48"/>
      <c r="G2600" s="48"/>
      <c r="H2600" s="48"/>
      <c r="I2600" s="48"/>
    </row>
    <row r="2601" spans="1:9" hidden="1" x14ac:dyDescent="0.2">
      <c r="A2601" s="46"/>
      <c r="B2601" s="46"/>
      <c r="C2601" s="46"/>
      <c r="D2601" s="48"/>
      <c r="E2601" s="48"/>
      <c r="F2601" s="48"/>
      <c r="G2601" s="48"/>
      <c r="H2601" s="48"/>
      <c r="I2601" s="48"/>
    </row>
    <row r="2602" spans="1:9" hidden="1" x14ac:dyDescent="0.2">
      <c r="A2602" s="46"/>
      <c r="B2602" s="46"/>
      <c r="C2602" s="46"/>
      <c r="D2602" s="48"/>
      <c r="E2602" s="48"/>
      <c r="F2602" s="48"/>
      <c r="G2602" s="48"/>
      <c r="H2602" s="48"/>
      <c r="I2602" s="48"/>
    </row>
    <row r="2603" spans="1:9" hidden="1" x14ac:dyDescent="0.2">
      <c r="A2603" s="46"/>
      <c r="B2603" s="46"/>
      <c r="C2603" s="46"/>
      <c r="D2603" s="48"/>
      <c r="E2603" s="48"/>
      <c r="F2603" s="48"/>
      <c r="G2603" s="48"/>
      <c r="H2603" s="48"/>
      <c r="I2603" s="48"/>
    </row>
    <row r="2604" spans="1:9" hidden="1" x14ac:dyDescent="0.2">
      <c r="A2604" s="46"/>
      <c r="B2604" s="46"/>
      <c r="C2604" s="46"/>
      <c r="D2604" s="48"/>
      <c r="E2604" s="48"/>
      <c r="F2604" s="48"/>
      <c r="G2604" s="48"/>
      <c r="H2604" s="48"/>
      <c r="I2604" s="48"/>
    </row>
    <row r="2605" spans="1:9" hidden="1" x14ac:dyDescent="0.2">
      <c r="A2605" s="46"/>
      <c r="B2605" s="46"/>
      <c r="C2605" s="46"/>
      <c r="D2605" s="48"/>
      <c r="E2605" s="48"/>
      <c r="F2605" s="48"/>
      <c r="G2605" s="48"/>
      <c r="H2605" s="48"/>
      <c r="I2605" s="48"/>
    </row>
    <row r="2606" spans="1:9" hidden="1" x14ac:dyDescent="0.2">
      <c r="A2606" s="46"/>
      <c r="B2606" s="46"/>
      <c r="C2606" s="46"/>
      <c r="D2606" s="48"/>
      <c r="E2606" s="48"/>
      <c r="F2606" s="48"/>
      <c r="G2606" s="48"/>
      <c r="H2606" s="48"/>
      <c r="I2606" s="48"/>
    </row>
    <row r="2607" spans="1:9" hidden="1" x14ac:dyDescent="0.2">
      <c r="A2607" s="46"/>
      <c r="B2607" s="46"/>
      <c r="C2607" s="46"/>
      <c r="D2607" s="48"/>
      <c r="E2607" s="48"/>
      <c r="F2607" s="48"/>
      <c r="G2607" s="48"/>
      <c r="H2607" s="48"/>
      <c r="I2607" s="48"/>
    </row>
    <row r="2608" spans="1:9" hidden="1" x14ac:dyDescent="0.2">
      <c r="A2608" s="46"/>
      <c r="B2608" s="46"/>
      <c r="C2608" s="46"/>
      <c r="D2608" s="48"/>
      <c r="E2608" s="48"/>
      <c r="F2608" s="48"/>
      <c r="G2608" s="48"/>
      <c r="H2608" s="48"/>
      <c r="I2608" s="48"/>
    </row>
    <row r="2609" spans="1:9" hidden="1" x14ac:dyDescent="0.2">
      <c r="A2609" s="46"/>
      <c r="B2609" s="46"/>
      <c r="C2609" s="46"/>
      <c r="D2609" s="48"/>
      <c r="E2609" s="48"/>
      <c r="F2609" s="48"/>
      <c r="G2609" s="48"/>
      <c r="H2609" s="48"/>
      <c r="I2609" s="48"/>
    </row>
    <row r="2610" spans="1:9" hidden="1" x14ac:dyDescent="0.2">
      <c r="A2610" s="46"/>
      <c r="B2610" s="46"/>
      <c r="C2610" s="46"/>
      <c r="D2610" s="48"/>
      <c r="E2610" s="48"/>
      <c r="F2610" s="48"/>
      <c r="G2610" s="48"/>
      <c r="H2610" s="48"/>
      <c r="I2610" s="48"/>
    </row>
    <row r="2611" spans="1:9" hidden="1" x14ac:dyDescent="0.2">
      <c r="A2611" s="46"/>
      <c r="B2611" s="46"/>
      <c r="C2611" s="46"/>
      <c r="D2611" s="48"/>
      <c r="E2611" s="48"/>
      <c r="F2611" s="48"/>
      <c r="G2611" s="48"/>
      <c r="H2611" s="48"/>
      <c r="I2611" s="48"/>
    </row>
    <row r="2612" spans="1:9" hidden="1" x14ac:dyDescent="0.2">
      <c r="A2612" s="46"/>
      <c r="B2612" s="46"/>
      <c r="C2612" s="46"/>
      <c r="D2612" s="48"/>
      <c r="E2612" s="48"/>
      <c r="F2612" s="48"/>
      <c r="G2612" s="48"/>
      <c r="H2612" s="48"/>
      <c r="I2612" s="48"/>
    </row>
    <row r="2613" spans="1:9" hidden="1" x14ac:dyDescent="0.2">
      <c r="A2613" s="46"/>
      <c r="B2613" s="46"/>
      <c r="C2613" s="46"/>
      <c r="D2613" s="48"/>
      <c r="E2613" s="48"/>
      <c r="F2613" s="48"/>
      <c r="G2613" s="48"/>
      <c r="H2613" s="48"/>
      <c r="I2613" s="48"/>
    </row>
    <row r="2614" spans="1:9" hidden="1" x14ac:dyDescent="0.2">
      <c r="A2614" s="46"/>
      <c r="B2614" s="46"/>
      <c r="C2614" s="46"/>
      <c r="D2614" s="48"/>
      <c r="E2614" s="48"/>
      <c r="F2614" s="48"/>
      <c r="G2614" s="48"/>
      <c r="H2614" s="48"/>
      <c r="I2614" s="48"/>
    </row>
    <row r="2615" spans="1:9" hidden="1" x14ac:dyDescent="0.2">
      <c r="A2615" s="46"/>
      <c r="B2615" s="46"/>
      <c r="C2615" s="46"/>
      <c r="D2615" s="48"/>
      <c r="E2615" s="48"/>
      <c r="F2615" s="48"/>
      <c r="G2615" s="48"/>
      <c r="H2615" s="48"/>
      <c r="I2615" s="48"/>
    </row>
    <row r="2616" spans="1:9" hidden="1" x14ac:dyDescent="0.2">
      <c r="A2616" s="46"/>
      <c r="B2616" s="46"/>
      <c r="C2616" s="46"/>
      <c r="D2616" s="48"/>
      <c r="E2616" s="48"/>
      <c r="F2616" s="48"/>
      <c r="G2616" s="48"/>
      <c r="H2616" s="48"/>
      <c r="I2616" s="48"/>
    </row>
    <row r="2617" spans="1:9" hidden="1" x14ac:dyDescent="0.2">
      <c r="A2617" s="46"/>
      <c r="B2617" s="46"/>
      <c r="C2617" s="46"/>
      <c r="D2617" s="48"/>
      <c r="E2617" s="48"/>
      <c r="F2617" s="48"/>
      <c r="G2617" s="48"/>
      <c r="H2617" s="48"/>
      <c r="I2617" s="48"/>
    </row>
    <row r="2618" spans="1:9" hidden="1" x14ac:dyDescent="0.2">
      <c r="A2618" s="46"/>
      <c r="B2618" s="46"/>
      <c r="C2618" s="46"/>
      <c r="D2618" s="48"/>
      <c r="E2618" s="48"/>
      <c r="F2618" s="48"/>
      <c r="G2618" s="48"/>
      <c r="H2618" s="48"/>
      <c r="I2618" s="48"/>
    </row>
    <row r="2619" spans="1:9" hidden="1" x14ac:dyDescent="0.2">
      <c r="A2619" s="46"/>
      <c r="B2619" s="46"/>
      <c r="C2619" s="46"/>
      <c r="D2619" s="48"/>
      <c r="E2619" s="48"/>
      <c r="F2619" s="48"/>
      <c r="G2619" s="48"/>
      <c r="H2619" s="48"/>
      <c r="I2619" s="48"/>
    </row>
    <row r="2620" spans="1:9" hidden="1" x14ac:dyDescent="0.2">
      <c r="A2620" s="46"/>
      <c r="B2620" s="46"/>
      <c r="C2620" s="46"/>
      <c r="D2620" s="48"/>
      <c r="E2620" s="48"/>
      <c r="F2620" s="48"/>
      <c r="G2620" s="48"/>
      <c r="H2620" s="48"/>
      <c r="I2620" s="48"/>
    </row>
    <row r="2621" spans="1:9" hidden="1" x14ac:dyDescent="0.2">
      <c r="A2621" s="46"/>
      <c r="B2621" s="46"/>
      <c r="C2621" s="46"/>
      <c r="D2621" s="48"/>
      <c r="E2621" s="48"/>
      <c r="F2621" s="48"/>
      <c r="G2621" s="48"/>
      <c r="H2621" s="48"/>
      <c r="I2621" s="48"/>
    </row>
    <row r="2622" spans="1:9" hidden="1" x14ac:dyDescent="0.2">
      <c r="A2622" s="46"/>
      <c r="B2622" s="46"/>
      <c r="C2622" s="46"/>
      <c r="D2622" s="48"/>
      <c r="E2622" s="48"/>
      <c r="F2622" s="48"/>
      <c r="G2622" s="48"/>
      <c r="H2622" s="48"/>
      <c r="I2622" s="48"/>
    </row>
    <row r="2623" spans="1:9" hidden="1" x14ac:dyDescent="0.2">
      <c r="A2623" s="46"/>
      <c r="B2623" s="46"/>
      <c r="C2623" s="46"/>
      <c r="D2623" s="48"/>
      <c r="E2623" s="48"/>
      <c r="F2623" s="48"/>
      <c r="G2623" s="48"/>
      <c r="H2623" s="48"/>
      <c r="I2623" s="48"/>
    </row>
    <row r="2624" spans="1:9" hidden="1" x14ac:dyDescent="0.2">
      <c r="A2624" s="46"/>
      <c r="B2624" s="46"/>
      <c r="C2624" s="46"/>
      <c r="D2624" s="48"/>
      <c r="E2624" s="48"/>
      <c r="F2624" s="48"/>
      <c r="G2624" s="48"/>
      <c r="H2624" s="48"/>
      <c r="I2624" s="48"/>
    </row>
    <row r="2625" spans="1:9" hidden="1" x14ac:dyDescent="0.2">
      <c r="A2625" s="46"/>
      <c r="B2625" s="46"/>
      <c r="C2625" s="46"/>
      <c r="D2625" s="48"/>
      <c r="E2625" s="48"/>
      <c r="F2625" s="48"/>
      <c r="G2625" s="48"/>
      <c r="H2625" s="48"/>
      <c r="I2625" s="48"/>
    </row>
    <row r="2626" spans="1:9" hidden="1" x14ac:dyDescent="0.2">
      <c r="A2626" s="46"/>
      <c r="B2626" s="46"/>
      <c r="C2626" s="46"/>
      <c r="D2626" s="48"/>
      <c r="E2626" s="48"/>
      <c r="F2626" s="48"/>
      <c r="G2626" s="48"/>
      <c r="H2626" s="48"/>
      <c r="I2626" s="48"/>
    </row>
    <row r="2627" spans="1:9" hidden="1" x14ac:dyDescent="0.2">
      <c r="A2627" s="46"/>
      <c r="B2627" s="46"/>
      <c r="C2627" s="46"/>
      <c r="D2627" s="48"/>
      <c r="E2627" s="48"/>
      <c r="F2627" s="48"/>
      <c r="G2627" s="48"/>
      <c r="H2627" s="48"/>
      <c r="I2627" s="48"/>
    </row>
    <row r="2628" spans="1:9" hidden="1" x14ac:dyDescent="0.2">
      <c r="A2628" s="46"/>
      <c r="B2628" s="46"/>
      <c r="C2628" s="46"/>
      <c r="D2628" s="48"/>
      <c r="E2628" s="48"/>
      <c r="F2628" s="48"/>
      <c r="G2628" s="48"/>
      <c r="H2628" s="48"/>
      <c r="I2628" s="48"/>
    </row>
    <row r="2629" spans="1:9" hidden="1" x14ac:dyDescent="0.2">
      <c r="A2629" s="46"/>
      <c r="B2629" s="46"/>
      <c r="C2629" s="46"/>
      <c r="D2629" s="48"/>
      <c r="E2629" s="48"/>
      <c r="F2629" s="48"/>
      <c r="G2629" s="48"/>
      <c r="H2629" s="48"/>
      <c r="I2629" s="48"/>
    </row>
    <row r="2630" spans="1:9" hidden="1" x14ac:dyDescent="0.2">
      <c r="A2630" s="46"/>
      <c r="B2630" s="46"/>
      <c r="C2630" s="46"/>
      <c r="D2630" s="48"/>
      <c r="E2630" s="48"/>
      <c r="F2630" s="48"/>
      <c r="G2630" s="48"/>
      <c r="H2630" s="48"/>
      <c r="I2630" s="48"/>
    </row>
    <row r="2631" spans="1:9" hidden="1" x14ac:dyDescent="0.2">
      <c r="A2631" s="46"/>
      <c r="B2631" s="46"/>
      <c r="C2631" s="46"/>
      <c r="D2631" s="48"/>
      <c r="E2631" s="48"/>
      <c r="F2631" s="48"/>
      <c r="G2631" s="48"/>
      <c r="H2631" s="48"/>
      <c r="I2631" s="48"/>
    </row>
    <row r="2632" spans="1:9" hidden="1" x14ac:dyDescent="0.2">
      <c r="A2632" s="46"/>
      <c r="B2632" s="46"/>
      <c r="C2632" s="46"/>
      <c r="D2632" s="48"/>
      <c r="E2632" s="48"/>
      <c r="F2632" s="48"/>
      <c r="G2632" s="48"/>
      <c r="H2632" s="48"/>
      <c r="I2632" s="48"/>
    </row>
    <row r="2633" spans="1:9" hidden="1" x14ac:dyDescent="0.2">
      <c r="A2633" s="46"/>
      <c r="B2633" s="46"/>
      <c r="C2633" s="46"/>
      <c r="D2633" s="48"/>
      <c r="E2633" s="48"/>
      <c r="F2633" s="48"/>
      <c r="G2633" s="48"/>
      <c r="H2633" s="48"/>
      <c r="I2633" s="48"/>
    </row>
    <row r="2634" spans="1:9" hidden="1" x14ac:dyDescent="0.2">
      <c r="A2634" s="46"/>
      <c r="B2634" s="46"/>
      <c r="C2634" s="46"/>
      <c r="D2634" s="48"/>
      <c r="E2634" s="48"/>
      <c r="F2634" s="48"/>
      <c r="G2634" s="48"/>
      <c r="H2634" s="48"/>
      <c r="I2634" s="48"/>
    </row>
    <row r="2635" spans="1:9" hidden="1" x14ac:dyDescent="0.2">
      <c r="A2635" s="46"/>
      <c r="B2635" s="46"/>
      <c r="C2635" s="46"/>
      <c r="D2635" s="48"/>
      <c r="E2635" s="48"/>
      <c r="F2635" s="48"/>
      <c r="G2635" s="48"/>
      <c r="H2635" s="48"/>
      <c r="I2635" s="48"/>
    </row>
    <row r="2636" spans="1:9" hidden="1" x14ac:dyDescent="0.2">
      <c r="A2636" s="46"/>
      <c r="B2636" s="46"/>
      <c r="C2636" s="46"/>
      <c r="D2636" s="48"/>
      <c r="E2636" s="48"/>
      <c r="F2636" s="48"/>
      <c r="G2636" s="48"/>
      <c r="H2636" s="48"/>
      <c r="I2636" s="48"/>
    </row>
    <row r="2637" spans="1:9" hidden="1" x14ac:dyDescent="0.2">
      <c r="A2637" s="46"/>
      <c r="B2637" s="46"/>
      <c r="C2637" s="46"/>
      <c r="D2637" s="48"/>
      <c r="E2637" s="48"/>
      <c r="F2637" s="48"/>
      <c r="G2637" s="48"/>
      <c r="H2637" s="48"/>
      <c r="I2637" s="48"/>
    </row>
    <row r="2638" spans="1:9" hidden="1" x14ac:dyDescent="0.2">
      <c r="A2638" s="46"/>
      <c r="B2638" s="46"/>
      <c r="C2638" s="46"/>
      <c r="D2638" s="48"/>
      <c r="E2638" s="48"/>
      <c r="F2638" s="48"/>
      <c r="G2638" s="48"/>
      <c r="H2638" s="48"/>
      <c r="I2638" s="48"/>
    </row>
    <row r="2639" spans="1:9" hidden="1" x14ac:dyDescent="0.2">
      <c r="A2639" s="46"/>
      <c r="B2639" s="46"/>
      <c r="C2639" s="46"/>
      <c r="D2639" s="48"/>
      <c r="E2639" s="48"/>
      <c r="F2639" s="48"/>
      <c r="G2639" s="48"/>
      <c r="H2639" s="48"/>
      <c r="I2639" s="48"/>
    </row>
    <row r="2640" spans="1:9" hidden="1" x14ac:dyDescent="0.2">
      <c r="A2640" s="46"/>
      <c r="B2640" s="46"/>
      <c r="C2640" s="46"/>
      <c r="D2640" s="48"/>
      <c r="E2640" s="48"/>
      <c r="F2640" s="48"/>
      <c r="G2640" s="48"/>
      <c r="H2640" s="48"/>
      <c r="I2640" s="48"/>
    </row>
    <row r="2641" spans="1:9" hidden="1" x14ac:dyDescent="0.2">
      <c r="A2641" s="46"/>
      <c r="B2641" s="46"/>
      <c r="C2641" s="46"/>
      <c r="D2641" s="48"/>
      <c r="E2641" s="48"/>
      <c r="F2641" s="48"/>
      <c r="G2641" s="48"/>
      <c r="H2641" s="48"/>
      <c r="I2641" s="48"/>
    </row>
    <row r="2642" spans="1:9" hidden="1" x14ac:dyDescent="0.2">
      <c r="A2642" s="46"/>
      <c r="B2642" s="46"/>
      <c r="C2642" s="46"/>
      <c r="D2642" s="48"/>
      <c r="E2642" s="48"/>
      <c r="F2642" s="48"/>
      <c r="G2642" s="48"/>
      <c r="H2642" s="48"/>
      <c r="I2642" s="48"/>
    </row>
    <row r="2643" spans="1:9" hidden="1" x14ac:dyDescent="0.2">
      <c r="A2643" s="46"/>
      <c r="B2643" s="46"/>
      <c r="C2643" s="46"/>
      <c r="D2643" s="48"/>
      <c r="E2643" s="48"/>
      <c r="F2643" s="48"/>
      <c r="G2643" s="48"/>
      <c r="H2643" s="48"/>
      <c r="I2643" s="48"/>
    </row>
    <row r="2644" spans="1:9" hidden="1" x14ac:dyDescent="0.2">
      <c r="A2644" s="46"/>
      <c r="B2644" s="46"/>
      <c r="C2644" s="46"/>
      <c r="D2644" s="48"/>
      <c r="E2644" s="48"/>
      <c r="F2644" s="48"/>
      <c r="G2644" s="48"/>
      <c r="H2644" s="48"/>
      <c r="I2644" s="48"/>
    </row>
    <row r="2645" spans="1:9" hidden="1" x14ac:dyDescent="0.2">
      <c r="A2645" s="46"/>
      <c r="B2645" s="46"/>
      <c r="C2645" s="46"/>
      <c r="D2645" s="48"/>
      <c r="E2645" s="48"/>
      <c r="F2645" s="48"/>
      <c r="G2645" s="48"/>
      <c r="H2645" s="48"/>
      <c r="I2645" s="48"/>
    </row>
    <row r="2646" spans="1:9" hidden="1" x14ac:dyDescent="0.2">
      <c r="A2646" s="46"/>
      <c r="B2646" s="46"/>
      <c r="C2646" s="46"/>
      <c r="D2646" s="48"/>
      <c r="E2646" s="48"/>
      <c r="F2646" s="48"/>
      <c r="G2646" s="48"/>
      <c r="H2646" s="48"/>
      <c r="I2646" s="48"/>
    </row>
    <row r="2647" spans="1:9" hidden="1" x14ac:dyDescent="0.2">
      <c r="A2647" s="46"/>
      <c r="B2647" s="46"/>
      <c r="C2647" s="46"/>
      <c r="D2647" s="48"/>
      <c r="E2647" s="48"/>
      <c r="F2647" s="48"/>
      <c r="G2647" s="48"/>
      <c r="H2647" s="48"/>
      <c r="I2647" s="48"/>
    </row>
    <row r="2648" spans="1:9" hidden="1" x14ac:dyDescent="0.2">
      <c r="A2648" s="46"/>
      <c r="B2648" s="46"/>
      <c r="C2648" s="46"/>
      <c r="D2648" s="48"/>
      <c r="E2648" s="48"/>
      <c r="F2648" s="48"/>
      <c r="G2648" s="48"/>
      <c r="H2648" s="48"/>
      <c r="I2648" s="48"/>
    </row>
    <row r="2649" spans="1:9" hidden="1" x14ac:dyDescent="0.2">
      <c r="A2649" s="46"/>
      <c r="B2649" s="46"/>
      <c r="C2649" s="46"/>
      <c r="D2649" s="48"/>
      <c r="E2649" s="48"/>
      <c r="F2649" s="48"/>
      <c r="G2649" s="48"/>
      <c r="H2649" s="48"/>
      <c r="I2649" s="48"/>
    </row>
    <row r="2650" spans="1:9" hidden="1" x14ac:dyDescent="0.2">
      <c r="A2650" s="46"/>
      <c r="B2650" s="46"/>
      <c r="C2650" s="46"/>
      <c r="D2650" s="48"/>
      <c r="E2650" s="48"/>
      <c r="F2650" s="48"/>
      <c r="G2650" s="48"/>
      <c r="H2650" s="48"/>
      <c r="I2650" s="48"/>
    </row>
    <row r="2651" spans="1:9" hidden="1" x14ac:dyDescent="0.2">
      <c r="A2651" s="46"/>
      <c r="B2651" s="46"/>
      <c r="C2651" s="46"/>
      <c r="D2651" s="48"/>
      <c r="E2651" s="48"/>
      <c r="F2651" s="48"/>
      <c r="G2651" s="48"/>
      <c r="H2651" s="48"/>
      <c r="I2651" s="48"/>
    </row>
    <row r="2652" spans="1:9" hidden="1" x14ac:dyDescent="0.2">
      <c r="A2652" s="46"/>
      <c r="B2652" s="46"/>
      <c r="C2652" s="46"/>
      <c r="D2652" s="48"/>
      <c r="E2652" s="48"/>
      <c r="F2652" s="48"/>
      <c r="G2652" s="48"/>
      <c r="H2652" s="48"/>
      <c r="I2652" s="48"/>
    </row>
    <row r="2653" spans="1:9" hidden="1" x14ac:dyDescent="0.2">
      <c r="A2653" s="46"/>
      <c r="B2653" s="46"/>
      <c r="C2653" s="46"/>
      <c r="D2653" s="48"/>
      <c r="E2653" s="48"/>
      <c r="F2653" s="48"/>
      <c r="G2653" s="48"/>
      <c r="H2653" s="48"/>
      <c r="I2653" s="48"/>
    </row>
    <row r="2654" spans="1:9" hidden="1" x14ac:dyDescent="0.2">
      <c r="A2654" s="46"/>
      <c r="B2654" s="46"/>
      <c r="C2654" s="46"/>
      <c r="D2654" s="48"/>
      <c r="E2654" s="48"/>
      <c r="F2654" s="48"/>
      <c r="G2654" s="48"/>
      <c r="H2654" s="48"/>
      <c r="I2654" s="48"/>
    </row>
    <row r="2655" spans="1:9" hidden="1" x14ac:dyDescent="0.2">
      <c r="A2655" s="46"/>
      <c r="B2655" s="46"/>
      <c r="C2655" s="46"/>
      <c r="D2655" s="48"/>
      <c r="E2655" s="48"/>
      <c r="F2655" s="48"/>
      <c r="G2655" s="48"/>
      <c r="H2655" s="48"/>
      <c r="I2655" s="48"/>
    </row>
    <row r="2656" spans="1:9" hidden="1" x14ac:dyDescent="0.2">
      <c r="A2656" s="46"/>
      <c r="B2656" s="46"/>
      <c r="C2656" s="46"/>
      <c r="D2656" s="48"/>
      <c r="E2656" s="48"/>
      <c r="F2656" s="48"/>
      <c r="G2656" s="48"/>
      <c r="H2656" s="48"/>
      <c r="I2656" s="48"/>
    </row>
    <row r="2657" spans="1:9" hidden="1" x14ac:dyDescent="0.2">
      <c r="A2657" s="46"/>
      <c r="B2657" s="46"/>
      <c r="C2657" s="46"/>
      <c r="D2657" s="48"/>
      <c r="E2657" s="48"/>
      <c r="F2657" s="48"/>
      <c r="G2657" s="48"/>
      <c r="H2657" s="48"/>
      <c r="I2657" s="48"/>
    </row>
    <row r="2658" spans="1:9" hidden="1" x14ac:dyDescent="0.2">
      <c r="A2658" s="46"/>
      <c r="B2658" s="46"/>
      <c r="C2658" s="46"/>
      <c r="D2658" s="48"/>
      <c r="E2658" s="48"/>
      <c r="F2658" s="48"/>
      <c r="G2658" s="48"/>
      <c r="H2658" s="48"/>
      <c r="I2658" s="48"/>
    </row>
    <row r="2659" spans="1:9" hidden="1" x14ac:dyDescent="0.2">
      <c r="A2659" s="46"/>
      <c r="B2659" s="46"/>
      <c r="C2659" s="46"/>
      <c r="D2659" s="48"/>
      <c r="E2659" s="48"/>
      <c r="F2659" s="48"/>
      <c r="G2659" s="48"/>
      <c r="H2659" s="48"/>
      <c r="I2659" s="48"/>
    </row>
    <row r="2660" spans="1:9" hidden="1" x14ac:dyDescent="0.2">
      <c r="A2660" s="46"/>
      <c r="B2660" s="46"/>
      <c r="C2660" s="46"/>
      <c r="D2660" s="48"/>
      <c r="E2660" s="48"/>
      <c r="F2660" s="48"/>
      <c r="G2660" s="48"/>
      <c r="H2660" s="48"/>
      <c r="I2660" s="48"/>
    </row>
    <row r="2661" spans="1:9" hidden="1" x14ac:dyDescent="0.2">
      <c r="A2661" s="46"/>
      <c r="B2661" s="46"/>
      <c r="C2661" s="46"/>
      <c r="D2661" s="48"/>
      <c r="E2661" s="48"/>
      <c r="F2661" s="48"/>
      <c r="G2661" s="48"/>
      <c r="H2661" s="48"/>
      <c r="I2661" s="48"/>
    </row>
    <row r="2662" spans="1:9" hidden="1" x14ac:dyDescent="0.2">
      <c r="A2662" s="46"/>
      <c r="B2662" s="46"/>
      <c r="C2662" s="46"/>
      <c r="D2662" s="48"/>
      <c r="E2662" s="48"/>
      <c r="F2662" s="48"/>
      <c r="G2662" s="48"/>
      <c r="H2662" s="48"/>
      <c r="I2662" s="48"/>
    </row>
    <row r="2663" spans="1:9" hidden="1" x14ac:dyDescent="0.2">
      <c r="A2663" s="46"/>
      <c r="B2663" s="46"/>
      <c r="C2663" s="46"/>
      <c r="D2663" s="48"/>
      <c r="E2663" s="48"/>
      <c r="F2663" s="48"/>
      <c r="G2663" s="48"/>
      <c r="H2663" s="48"/>
      <c r="I2663" s="48"/>
    </row>
    <row r="2664" spans="1:9" hidden="1" x14ac:dyDescent="0.2">
      <c r="A2664" s="46"/>
      <c r="B2664" s="46"/>
      <c r="C2664" s="46"/>
      <c r="D2664" s="48"/>
      <c r="E2664" s="48"/>
      <c r="F2664" s="48"/>
      <c r="G2664" s="48"/>
      <c r="H2664" s="48"/>
      <c r="I2664" s="48"/>
    </row>
    <row r="2665" spans="1:9" hidden="1" x14ac:dyDescent="0.2">
      <c r="A2665" s="46"/>
      <c r="B2665" s="46"/>
      <c r="C2665" s="46"/>
      <c r="D2665" s="48"/>
      <c r="E2665" s="48"/>
      <c r="F2665" s="48"/>
      <c r="G2665" s="48"/>
      <c r="H2665" s="48"/>
      <c r="I2665" s="48"/>
    </row>
    <row r="2666" spans="1:9" hidden="1" x14ac:dyDescent="0.2">
      <c r="A2666" s="46"/>
      <c r="B2666" s="46"/>
      <c r="C2666" s="46"/>
      <c r="D2666" s="48"/>
      <c r="E2666" s="48"/>
      <c r="F2666" s="48"/>
      <c r="G2666" s="48"/>
      <c r="H2666" s="48"/>
      <c r="I2666" s="48"/>
    </row>
    <row r="2667" spans="1:9" hidden="1" x14ac:dyDescent="0.2">
      <c r="A2667" s="46"/>
      <c r="B2667" s="46"/>
      <c r="C2667" s="46"/>
      <c r="D2667" s="48"/>
      <c r="E2667" s="48"/>
      <c r="F2667" s="48"/>
      <c r="G2667" s="48"/>
      <c r="H2667" s="48"/>
      <c r="I2667" s="48"/>
    </row>
    <row r="2668" spans="1:9" hidden="1" x14ac:dyDescent="0.2">
      <c r="A2668" s="46"/>
      <c r="B2668" s="46"/>
      <c r="C2668" s="46"/>
      <c r="D2668" s="48"/>
      <c r="E2668" s="48"/>
      <c r="F2668" s="48"/>
      <c r="G2668" s="48"/>
      <c r="H2668" s="48"/>
      <c r="I2668" s="48"/>
    </row>
    <row r="2669" spans="1:9" hidden="1" x14ac:dyDescent="0.2">
      <c r="A2669" s="46"/>
      <c r="B2669" s="46"/>
      <c r="C2669" s="46"/>
      <c r="D2669" s="48"/>
      <c r="E2669" s="48"/>
      <c r="F2669" s="48"/>
      <c r="G2669" s="48"/>
      <c r="H2669" s="48"/>
      <c r="I2669" s="48"/>
    </row>
    <row r="2670" spans="1:9" hidden="1" x14ac:dyDescent="0.2">
      <c r="A2670" s="46"/>
      <c r="B2670" s="46"/>
      <c r="C2670" s="46"/>
      <c r="D2670" s="48"/>
      <c r="E2670" s="48"/>
      <c r="F2670" s="48"/>
      <c r="G2670" s="48"/>
      <c r="H2670" s="48"/>
      <c r="I2670" s="48"/>
    </row>
    <row r="2671" spans="1:9" hidden="1" x14ac:dyDescent="0.2">
      <c r="A2671" s="46"/>
      <c r="B2671" s="46"/>
      <c r="C2671" s="46"/>
      <c r="D2671" s="48"/>
      <c r="E2671" s="48"/>
      <c r="F2671" s="48"/>
      <c r="G2671" s="48"/>
      <c r="H2671" s="48"/>
      <c r="I2671" s="48"/>
    </row>
    <row r="2672" spans="1:9" hidden="1" x14ac:dyDescent="0.2">
      <c r="A2672" s="46"/>
      <c r="B2672" s="46"/>
      <c r="C2672" s="46"/>
      <c r="D2672" s="48"/>
      <c r="E2672" s="48"/>
      <c r="F2672" s="48"/>
      <c r="G2672" s="48"/>
      <c r="H2672" s="48"/>
      <c r="I2672" s="48"/>
    </row>
    <row r="2673" spans="1:9" hidden="1" x14ac:dyDescent="0.2">
      <c r="A2673" s="46"/>
      <c r="B2673" s="46"/>
      <c r="C2673" s="46"/>
      <c r="D2673" s="48"/>
      <c r="E2673" s="48"/>
      <c r="F2673" s="48"/>
      <c r="G2673" s="48"/>
      <c r="H2673" s="48"/>
      <c r="I2673" s="48"/>
    </row>
    <row r="2674" spans="1:9" hidden="1" x14ac:dyDescent="0.2">
      <c r="A2674" s="46"/>
      <c r="B2674" s="46"/>
      <c r="C2674" s="46"/>
      <c r="D2674" s="48"/>
      <c r="E2674" s="48"/>
      <c r="F2674" s="48"/>
      <c r="G2674" s="48"/>
      <c r="H2674" s="48"/>
      <c r="I2674" s="48"/>
    </row>
    <row r="2675" spans="1:9" hidden="1" x14ac:dyDescent="0.2">
      <c r="A2675" s="46"/>
      <c r="B2675" s="46"/>
      <c r="C2675" s="46"/>
      <c r="D2675" s="48"/>
      <c r="E2675" s="48"/>
      <c r="F2675" s="48"/>
      <c r="G2675" s="48"/>
      <c r="H2675" s="48"/>
      <c r="I2675" s="48"/>
    </row>
    <row r="2676" spans="1:9" hidden="1" x14ac:dyDescent="0.2">
      <c r="A2676" s="46"/>
      <c r="B2676" s="46"/>
      <c r="C2676" s="46"/>
      <c r="D2676" s="48"/>
      <c r="E2676" s="48"/>
      <c r="F2676" s="48"/>
      <c r="G2676" s="48"/>
      <c r="H2676" s="48"/>
      <c r="I2676" s="48"/>
    </row>
    <row r="2677" spans="1:9" hidden="1" x14ac:dyDescent="0.2">
      <c r="A2677" s="46"/>
      <c r="B2677" s="46"/>
      <c r="C2677" s="46"/>
      <c r="D2677" s="48"/>
      <c r="E2677" s="48"/>
      <c r="F2677" s="48"/>
      <c r="G2677" s="48"/>
      <c r="H2677" s="48"/>
      <c r="I2677" s="48"/>
    </row>
    <row r="2678" spans="1:9" hidden="1" x14ac:dyDescent="0.2">
      <c r="A2678" s="46"/>
      <c r="B2678" s="46"/>
      <c r="C2678" s="46"/>
      <c r="D2678" s="48"/>
      <c r="E2678" s="48"/>
      <c r="F2678" s="48"/>
      <c r="G2678" s="48"/>
      <c r="H2678" s="48"/>
      <c r="I2678" s="48"/>
    </row>
    <row r="2679" spans="1:9" hidden="1" x14ac:dyDescent="0.2">
      <c r="A2679" s="46"/>
      <c r="B2679" s="46"/>
      <c r="C2679" s="46"/>
      <c r="D2679" s="48"/>
      <c r="E2679" s="48"/>
      <c r="F2679" s="48"/>
      <c r="G2679" s="48"/>
      <c r="H2679" s="48"/>
      <c r="I2679" s="48"/>
    </row>
    <row r="2680" spans="1:9" hidden="1" x14ac:dyDescent="0.2">
      <c r="A2680" s="46"/>
      <c r="B2680" s="46"/>
      <c r="C2680" s="46"/>
      <c r="D2680" s="48"/>
      <c r="E2680" s="48"/>
      <c r="F2680" s="48"/>
      <c r="G2680" s="48"/>
      <c r="H2680" s="48"/>
      <c r="I2680" s="48"/>
    </row>
    <row r="2681" spans="1:9" hidden="1" x14ac:dyDescent="0.2">
      <c r="A2681" s="46"/>
      <c r="B2681" s="46"/>
      <c r="C2681" s="46"/>
      <c r="D2681" s="48"/>
      <c r="E2681" s="48"/>
      <c r="F2681" s="48"/>
      <c r="G2681" s="48"/>
      <c r="H2681" s="48"/>
      <c r="I2681" s="48"/>
    </row>
    <row r="2682" spans="1:9" hidden="1" x14ac:dyDescent="0.2">
      <c r="A2682" s="46"/>
      <c r="B2682" s="46"/>
      <c r="C2682" s="46"/>
      <c r="D2682" s="48"/>
      <c r="E2682" s="48"/>
      <c r="F2682" s="48"/>
      <c r="G2682" s="48"/>
      <c r="H2682" s="48"/>
      <c r="I2682" s="48"/>
    </row>
    <row r="2683" spans="1:9" hidden="1" x14ac:dyDescent="0.2">
      <c r="A2683" s="46"/>
      <c r="B2683" s="46"/>
      <c r="C2683" s="46"/>
      <c r="D2683" s="48"/>
      <c r="E2683" s="48"/>
      <c r="F2683" s="48"/>
      <c r="G2683" s="48"/>
      <c r="H2683" s="48"/>
      <c r="I2683" s="48"/>
    </row>
    <row r="2684" spans="1:9" hidden="1" x14ac:dyDescent="0.2">
      <c r="A2684" s="46"/>
      <c r="B2684" s="46"/>
      <c r="C2684" s="46"/>
      <c r="D2684" s="48"/>
      <c r="E2684" s="48"/>
      <c r="F2684" s="48"/>
      <c r="G2684" s="48"/>
      <c r="H2684" s="48"/>
      <c r="I2684" s="48"/>
    </row>
    <row r="2685" spans="1:9" hidden="1" x14ac:dyDescent="0.2">
      <c r="A2685" s="46"/>
      <c r="B2685" s="46"/>
      <c r="C2685" s="46"/>
      <c r="D2685" s="48"/>
      <c r="E2685" s="48"/>
      <c r="F2685" s="48"/>
      <c r="G2685" s="48"/>
      <c r="H2685" s="48"/>
      <c r="I2685" s="48"/>
    </row>
    <row r="2686" spans="1:9" hidden="1" x14ac:dyDescent="0.2">
      <c r="A2686" s="46"/>
      <c r="B2686" s="46"/>
      <c r="C2686" s="46"/>
      <c r="D2686" s="48"/>
      <c r="E2686" s="48"/>
      <c r="F2686" s="48"/>
      <c r="G2686" s="48"/>
      <c r="H2686" s="48"/>
      <c r="I2686" s="48"/>
    </row>
    <row r="2687" spans="1:9" hidden="1" x14ac:dyDescent="0.2">
      <c r="A2687" s="46"/>
      <c r="B2687" s="46"/>
      <c r="C2687" s="46"/>
      <c r="D2687" s="48"/>
      <c r="E2687" s="48"/>
      <c r="F2687" s="48"/>
      <c r="G2687" s="48"/>
      <c r="H2687" s="48"/>
      <c r="I2687" s="48"/>
    </row>
    <row r="2688" spans="1:9" hidden="1" x14ac:dyDescent="0.2">
      <c r="A2688" s="46"/>
      <c r="B2688" s="46"/>
      <c r="C2688" s="46"/>
      <c r="D2688" s="48"/>
      <c r="E2688" s="48"/>
      <c r="F2688" s="48"/>
      <c r="G2688" s="48"/>
      <c r="H2688" s="48"/>
      <c r="I2688" s="48"/>
    </row>
    <row r="2689" spans="1:9" hidden="1" x14ac:dyDescent="0.2">
      <c r="A2689" s="46"/>
      <c r="B2689" s="46"/>
      <c r="C2689" s="46"/>
      <c r="D2689" s="48"/>
      <c r="E2689" s="48"/>
      <c r="F2689" s="48"/>
      <c r="G2689" s="48"/>
      <c r="H2689" s="48"/>
      <c r="I2689" s="48"/>
    </row>
    <row r="2690" spans="1:9" hidden="1" x14ac:dyDescent="0.2">
      <c r="A2690" s="46"/>
      <c r="B2690" s="46"/>
      <c r="C2690" s="46"/>
      <c r="D2690" s="48"/>
      <c r="E2690" s="48"/>
      <c r="F2690" s="48"/>
      <c r="G2690" s="48"/>
      <c r="H2690" s="48"/>
      <c r="I2690" s="48"/>
    </row>
    <row r="2691" spans="1:9" hidden="1" x14ac:dyDescent="0.2">
      <c r="A2691" s="46"/>
      <c r="B2691" s="46"/>
      <c r="C2691" s="46"/>
      <c r="D2691" s="48"/>
      <c r="E2691" s="48"/>
      <c r="F2691" s="48"/>
      <c r="G2691" s="48"/>
      <c r="H2691" s="48"/>
      <c r="I2691" s="48"/>
    </row>
    <row r="2692" spans="1:9" hidden="1" x14ac:dyDescent="0.2">
      <c r="A2692" s="46"/>
      <c r="B2692" s="46"/>
      <c r="C2692" s="46"/>
      <c r="D2692" s="48"/>
      <c r="E2692" s="48"/>
      <c r="F2692" s="48"/>
      <c r="G2692" s="48"/>
      <c r="H2692" s="48"/>
      <c r="I2692" s="48"/>
    </row>
    <row r="2693" spans="1:9" hidden="1" x14ac:dyDescent="0.2">
      <c r="A2693" s="46"/>
      <c r="B2693" s="46"/>
      <c r="C2693" s="46"/>
      <c r="D2693" s="48"/>
      <c r="E2693" s="48"/>
      <c r="F2693" s="48"/>
      <c r="G2693" s="48"/>
      <c r="H2693" s="48"/>
      <c r="I2693" s="48"/>
    </row>
    <row r="2694" spans="1:9" hidden="1" x14ac:dyDescent="0.2">
      <c r="A2694" s="46"/>
      <c r="B2694" s="46"/>
      <c r="C2694" s="46"/>
      <c r="D2694" s="48"/>
      <c r="E2694" s="48"/>
      <c r="F2694" s="48"/>
      <c r="G2694" s="48"/>
      <c r="H2694" s="48"/>
      <c r="I2694" s="48"/>
    </row>
    <row r="2695" spans="1:9" hidden="1" x14ac:dyDescent="0.2">
      <c r="A2695" s="46"/>
      <c r="B2695" s="46"/>
      <c r="C2695" s="46"/>
      <c r="D2695" s="48"/>
      <c r="E2695" s="48"/>
      <c r="F2695" s="48"/>
      <c r="G2695" s="48"/>
      <c r="H2695" s="48"/>
      <c r="I2695" s="48"/>
    </row>
    <row r="2696" spans="1:9" hidden="1" x14ac:dyDescent="0.2">
      <c r="A2696" s="46"/>
      <c r="B2696" s="46"/>
      <c r="C2696" s="46"/>
      <c r="D2696" s="48"/>
      <c r="E2696" s="48"/>
      <c r="F2696" s="48"/>
      <c r="G2696" s="48"/>
      <c r="H2696" s="48"/>
      <c r="I2696" s="48"/>
    </row>
    <row r="2697" spans="1:9" hidden="1" x14ac:dyDescent="0.2">
      <c r="A2697" s="46"/>
      <c r="B2697" s="46"/>
      <c r="C2697" s="46"/>
      <c r="D2697" s="48"/>
      <c r="E2697" s="48"/>
      <c r="F2697" s="48"/>
      <c r="G2697" s="48"/>
      <c r="H2697" s="48"/>
      <c r="I2697" s="48"/>
    </row>
    <row r="2698" spans="1:9" hidden="1" x14ac:dyDescent="0.2">
      <c r="A2698" s="46"/>
      <c r="B2698" s="46"/>
      <c r="C2698" s="46"/>
      <c r="D2698" s="48"/>
      <c r="E2698" s="48"/>
      <c r="F2698" s="48"/>
      <c r="G2698" s="48"/>
      <c r="H2698" s="48"/>
      <c r="I2698" s="48"/>
    </row>
    <row r="2699" spans="1:9" hidden="1" x14ac:dyDescent="0.2">
      <c r="A2699" s="46"/>
      <c r="B2699" s="46"/>
      <c r="C2699" s="46"/>
      <c r="D2699" s="48"/>
      <c r="E2699" s="48"/>
      <c r="F2699" s="48"/>
      <c r="G2699" s="48"/>
      <c r="H2699" s="48"/>
      <c r="I2699" s="48"/>
    </row>
    <row r="2700" spans="1:9" hidden="1" x14ac:dyDescent="0.2">
      <c r="A2700" s="46"/>
      <c r="B2700" s="46"/>
      <c r="C2700" s="46"/>
      <c r="D2700" s="48"/>
      <c r="E2700" s="48"/>
      <c r="F2700" s="48"/>
      <c r="G2700" s="48"/>
      <c r="H2700" s="48"/>
      <c r="I2700" s="48"/>
    </row>
    <row r="2701" spans="1:9" hidden="1" x14ac:dyDescent="0.2">
      <c r="A2701" s="46"/>
      <c r="B2701" s="46"/>
      <c r="C2701" s="46"/>
      <c r="D2701" s="48"/>
      <c r="E2701" s="48"/>
      <c r="F2701" s="48"/>
      <c r="G2701" s="48"/>
      <c r="H2701" s="48"/>
      <c r="I2701" s="48"/>
    </row>
    <row r="2702" spans="1:9" hidden="1" x14ac:dyDescent="0.2">
      <c r="A2702" s="46"/>
      <c r="B2702" s="46"/>
      <c r="C2702" s="46"/>
      <c r="D2702" s="48"/>
      <c r="E2702" s="48"/>
      <c r="F2702" s="48"/>
      <c r="G2702" s="48"/>
      <c r="H2702" s="48"/>
      <c r="I2702" s="48"/>
    </row>
    <row r="2703" spans="1:9" hidden="1" x14ac:dyDescent="0.2">
      <c r="A2703" s="46"/>
      <c r="B2703" s="46"/>
      <c r="C2703" s="46"/>
      <c r="D2703" s="48"/>
      <c r="E2703" s="48"/>
      <c r="F2703" s="48"/>
      <c r="G2703" s="48"/>
      <c r="H2703" s="48"/>
      <c r="I2703" s="48"/>
    </row>
    <row r="2704" spans="1:9" hidden="1" x14ac:dyDescent="0.2">
      <c r="A2704" s="46"/>
      <c r="B2704" s="46"/>
      <c r="C2704" s="46"/>
      <c r="D2704" s="48"/>
      <c r="E2704" s="48"/>
      <c r="F2704" s="48"/>
      <c r="G2704" s="48"/>
      <c r="H2704" s="48"/>
      <c r="I2704" s="48"/>
    </row>
    <row r="2705" spans="1:9" hidden="1" x14ac:dyDescent="0.2">
      <c r="A2705" s="46"/>
      <c r="B2705" s="46"/>
      <c r="C2705" s="46"/>
      <c r="D2705" s="48"/>
      <c r="E2705" s="48"/>
      <c r="F2705" s="48"/>
      <c r="G2705" s="48"/>
      <c r="H2705" s="48"/>
      <c r="I2705" s="48"/>
    </row>
    <row r="2706" spans="1:9" hidden="1" x14ac:dyDescent="0.2">
      <c r="A2706" s="46"/>
      <c r="B2706" s="46"/>
      <c r="C2706" s="46"/>
      <c r="D2706" s="48"/>
      <c r="E2706" s="48"/>
      <c r="F2706" s="48"/>
      <c r="G2706" s="48"/>
      <c r="H2706" s="48"/>
      <c r="I2706" s="48"/>
    </row>
    <row r="2707" spans="1:9" hidden="1" x14ac:dyDescent="0.2">
      <c r="A2707" s="46"/>
      <c r="B2707" s="46"/>
      <c r="C2707" s="46"/>
      <c r="D2707" s="48"/>
      <c r="E2707" s="48"/>
      <c r="F2707" s="48"/>
      <c r="G2707" s="48"/>
      <c r="H2707" s="48"/>
      <c r="I2707" s="48"/>
    </row>
    <row r="2708" spans="1:9" hidden="1" x14ac:dyDescent="0.2">
      <c r="A2708" s="46"/>
      <c r="B2708" s="46"/>
      <c r="C2708" s="46"/>
      <c r="D2708" s="48"/>
      <c r="E2708" s="48"/>
      <c r="F2708" s="48"/>
      <c r="G2708" s="48"/>
      <c r="H2708" s="48"/>
      <c r="I2708" s="48"/>
    </row>
    <row r="2709" spans="1:9" hidden="1" x14ac:dyDescent="0.2">
      <c r="A2709" s="46"/>
      <c r="B2709" s="46"/>
      <c r="C2709" s="46"/>
      <c r="D2709" s="48"/>
      <c r="E2709" s="48"/>
      <c r="F2709" s="48"/>
      <c r="G2709" s="48"/>
      <c r="H2709" s="48"/>
      <c r="I2709" s="48"/>
    </row>
    <row r="2710" spans="1:9" hidden="1" x14ac:dyDescent="0.2">
      <c r="A2710" s="46"/>
      <c r="B2710" s="46"/>
      <c r="C2710" s="46"/>
      <c r="D2710" s="48"/>
      <c r="E2710" s="48"/>
      <c r="F2710" s="48"/>
      <c r="G2710" s="48"/>
      <c r="H2710" s="48"/>
      <c r="I2710" s="48"/>
    </row>
    <row r="2711" spans="1:9" hidden="1" x14ac:dyDescent="0.2">
      <c r="A2711" s="46"/>
      <c r="B2711" s="46"/>
      <c r="C2711" s="46"/>
      <c r="D2711" s="48"/>
      <c r="E2711" s="48"/>
      <c r="F2711" s="48"/>
      <c r="G2711" s="48"/>
      <c r="H2711" s="48"/>
      <c r="I2711" s="48"/>
    </row>
    <row r="2712" spans="1:9" hidden="1" x14ac:dyDescent="0.2">
      <c r="A2712" s="46"/>
      <c r="B2712" s="46"/>
      <c r="C2712" s="46"/>
      <c r="D2712" s="48"/>
      <c r="E2712" s="48"/>
      <c r="F2712" s="48"/>
      <c r="G2712" s="48"/>
      <c r="H2712" s="48"/>
      <c r="I2712" s="48"/>
    </row>
    <row r="2713" spans="1:9" hidden="1" x14ac:dyDescent="0.2">
      <c r="A2713" s="46"/>
      <c r="B2713" s="46"/>
      <c r="C2713" s="46"/>
      <c r="D2713" s="48"/>
      <c r="E2713" s="48"/>
      <c r="F2713" s="48"/>
      <c r="G2713" s="48"/>
      <c r="H2713" s="48"/>
      <c r="I2713" s="48"/>
    </row>
    <row r="2714" spans="1:9" hidden="1" x14ac:dyDescent="0.2">
      <c r="A2714" s="46"/>
      <c r="B2714" s="46"/>
      <c r="C2714" s="46"/>
      <c r="D2714" s="48"/>
      <c r="E2714" s="48"/>
      <c r="F2714" s="48"/>
      <c r="G2714" s="48"/>
      <c r="H2714" s="48"/>
      <c r="I2714" s="48"/>
    </row>
    <row r="2715" spans="1:9" hidden="1" x14ac:dyDescent="0.2">
      <c r="A2715" s="46"/>
      <c r="B2715" s="46"/>
      <c r="C2715" s="46"/>
      <c r="D2715" s="48"/>
      <c r="E2715" s="48"/>
      <c r="F2715" s="48"/>
      <c r="G2715" s="48"/>
      <c r="H2715" s="48"/>
      <c r="I2715" s="48"/>
    </row>
    <row r="2716" spans="1:9" hidden="1" x14ac:dyDescent="0.2">
      <c r="A2716" s="46"/>
      <c r="B2716" s="46"/>
      <c r="C2716" s="46"/>
      <c r="D2716" s="48"/>
      <c r="E2716" s="48"/>
      <c r="F2716" s="48"/>
      <c r="G2716" s="48"/>
      <c r="H2716" s="48"/>
      <c r="I2716" s="48"/>
    </row>
    <row r="2717" spans="1:9" hidden="1" x14ac:dyDescent="0.2">
      <c r="A2717" s="46"/>
      <c r="B2717" s="46"/>
      <c r="C2717" s="46"/>
      <c r="D2717" s="48"/>
      <c r="E2717" s="48"/>
      <c r="F2717" s="48"/>
      <c r="G2717" s="48"/>
      <c r="H2717" s="48"/>
      <c r="I2717" s="48"/>
    </row>
    <row r="2718" spans="1:9" hidden="1" x14ac:dyDescent="0.2">
      <c r="A2718" s="46"/>
      <c r="B2718" s="46"/>
      <c r="C2718" s="46"/>
      <c r="D2718" s="48"/>
      <c r="E2718" s="48"/>
      <c r="F2718" s="48"/>
      <c r="G2718" s="48"/>
      <c r="H2718" s="48"/>
      <c r="I2718" s="48"/>
    </row>
    <row r="2719" spans="1:9" hidden="1" x14ac:dyDescent="0.2">
      <c r="A2719" s="46"/>
      <c r="B2719" s="46"/>
      <c r="C2719" s="46"/>
      <c r="D2719" s="48"/>
      <c r="E2719" s="48"/>
      <c r="F2719" s="48"/>
      <c r="G2719" s="48"/>
      <c r="H2719" s="48"/>
      <c r="I2719" s="48"/>
    </row>
    <row r="2720" spans="1:9" hidden="1" x14ac:dyDescent="0.2">
      <c r="A2720" s="46"/>
      <c r="B2720" s="46"/>
      <c r="C2720" s="46"/>
      <c r="D2720" s="48"/>
      <c r="E2720" s="48"/>
      <c r="F2720" s="48"/>
      <c r="G2720" s="48"/>
      <c r="H2720" s="48"/>
      <c r="I2720" s="48"/>
    </row>
    <row r="2721" spans="1:9" hidden="1" x14ac:dyDescent="0.2">
      <c r="A2721" s="46"/>
      <c r="B2721" s="46"/>
      <c r="C2721" s="46"/>
      <c r="D2721" s="48"/>
      <c r="E2721" s="48"/>
      <c r="F2721" s="48"/>
      <c r="G2721" s="48"/>
      <c r="H2721" s="48"/>
      <c r="I2721" s="48"/>
    </row>
    <row r="2722" spans="1:9" hidden="1" x14ac:dyDescent="0.2">
      <c r="A2722" s="46"/>
      <c r="B2722" s="46"/>
      <c r="C2722" s="46"/>
      <c r="D2722" s="48"/>
      <c r="E2722" s="48"/>
      <c r="F2722" s="48"/>
      <c r="G2722" s="48"/>
      <c r="H2722" s="48"/>
      <c r="I2722" s="48"/>
    </row>
    <row r="2723" spans="1:9" hidden="1" x14ac:dyDescent="0.2">
      <c r="A2723" s="46"/>
      <c r="B2723" s="46"/>
      <c r="C2723" s="46"/>
      <c r="D2723" s="48"/>
      <c r="E2723" s="48"/>
      <c r="F2723" s="48"/>
      <c r="G2723" s="48"/>
      <c r="H2723" s="48"/>
      <c r="I2723" s="48"/>
    </row>
    <row r="2724" spans="1:9" hidden="1" x14ac:dyDescent="0.2">
      <c r="A2724" s="46"/>
      <c r="B2724" s="46"/>
      <c r="C2724" s="46"/>
      <c r="D2724" s="48"/>
      <c r="E2724" s="48"/>
      <c r="F2724" s="48"/>
      <c r="G2724" s="48"/>
      <c r="H2724" s="48"/>
      <c r="I2724" s="48"/>
    </row>
    <row r="2725" spans="1:9" hidden="1" x14ac:dyDescent="0.2">
      <c r="A2725" s="46"/>
      <c r="B2725" s="46"/>
      <c r="C2725" s="46"/>
      <c r="D2725" s="48"/>
      <c r="E2725" s="48"/>
      <c r="F2725" s="48"/>
      <c r="G2725" s="48"/>
      <c r="H2725" s="48"/>
      <c r="I2725" s="48"/>
    </row>
    <row r="2726" spans="1:9" hidden="1" x14ac:dyDescent="0.2">
      <c r="A2726" s="46"/>
      <c r="B2726" s="46"/>
      <c r="C2726" s="46"/>
      <c r="D2726" s="48"/>
      <c r="E2726" s="48"/>
      <c r="F2726" s="48"/>
      <c r="G2726" s="48"/>
      <c r="H2726" s="48"/>
      <c r="I2726" s="48"/>
    </row>
    <row r="2727" spans="1:9" hidden="1" x14ac:dyDescent="0.2">
      <c r="A2727" s="46"/>
      <c r="B2727" s="46"/>
      <c r="C2727" s="46"/>
      <c r="D2727" s="48"/>
      <c r="E2727" s="48"/>
      <c r="F2727" s="48"/>
      <c r="G2727" s="48"/>
      <c r="H2727" s="48"/>
      <c r="I2727" s="48"/>
    </row>
    <row r="2728" spans="1:9" hidden="1" x14ac:dyDescent="0.2">
      <c r="A2728" s="46"/>
      <c r="B2728" s="46"/>
      <c r="C2728" s="46"/>
      <c r="D2728" s="48"/>
      <c r="E2728" s="48"/>
      <c r="F2728" s="48"/>
      <c r="G2728" s="48"/>
      <c r="H2728" s="48"/>
      <c r="I2728" s="48"/>
    </row>
    <row r="2729" spans="1:9" hidden="1" x14ac:dyDescent="0.2">
      <c r="A2729" s="46"/>
      <c r="B2729" s="46"/>
      <c r="C2729" s="46"/>
      <c r="D2729" s="48"/>
      <c r="E2729" s="48"/>
      <c r="F2729" s="48"/>
      <c r="G2729" s="48"/>
      <c r="H2729" s="48"/>
      <c r="I2729" s="48"/>
    </row>
    <row r="2730" spans="1:9" hidden="1" x14ac:dyDescent="0.2">
      <c r="A2730" s="46"/>
      <c r="B2730" s="46"/>
      <c r="C2730" s="46"/>
      <c r="D2730" s="48"/>
      <c r="E2730" s="48"/>
      <c r="F2730" s="48"/>
      <c r="G2730" s="48"/>
      <c r="H2730" s="48"/>
      <c r="I2730" s="48"/>
    </row>
    <row r="2731" spans="1:9" hidden="1" x14ac:dyDescent="0.2">
      <c r="A2731" s="46"/>
      <c r="B2731" s="46"/>
      <c r="C2731" s="46"/>
      <c r="D2731" s="48"/>
      <c r="E2731" s="48"/>
      <c r="F2731" s="48"/>
      <c r="G2731" s="48"/>
      <c r="H2731" s="48"/>
      <c r="I2731" s="48"/>
    </row>
    <row r="2732" spans="1:9" hidden="1" x14ac:dyDescent="0.2">
      <c r="A2732" s="46"/>
      <c r="B2732" s="46"/>
      <c r="C2732" s="46"/>
      <c r="D2732" s="48"/>
      <c r="E2732" s="48"/>
      <c r="F2732" s="48"/>
      <c r="G2732" s="48"/>
      <c r="H2732" s="48"/>
      <c r="I2732" s="48"/>
    </row>
    <row r="2733" spans="1:9" hidden="1" x14ac:dyDescent="0.2">
      <c r="A2733" s="46"/>
      <c r="B2733" s="46"/>
      <c r="C2733" s="46"/>
      <c r="D2733" s="48"/>
      <c r="E2733" s="48"/>
      <c r="F2733" s="48"/>
      <c r="G2733" s="48"/>
      <c r="H2733" s="48"/>
      <c r="I2733" s="48"/>
    </row>
    <row r="2734" spans="1:9" hidden="1" x14ac:dyDescent="0.2">
      <c r="A2734" s="46"/>
      <c r="B2734" s="46"/>
      <c r="C2734" s="46"/>
      <c r="D2734" s="48"/>
      <c r="E2734" s="48"/>
      <c r="F2734" s="48"/>
      <c r="G2734" s="48"/>
      <c r="H2734" s="48"/>
      <c r="I2734" s="48"/>
    </row>
    <row r="2735" spans="1:9" hidden="1" x14ac:dyDescent="0.2">
      <c r="A2735" s="46"/>
      <c r="B2735" s="46"/>
      <c r="C2735" s="46"/>
      <c r="D2735" s="48"/>
      <c r="E2735" s="48"/>
      <c r="F2735" s="48"/>
      <c r="G2735" s="48"/>
      <c r="H2735" s="48"/>
      <c r="I2735" s="48"/>
    </row>
    <row r="2736" spans="1:9" hidden="1" x14ac:dyDescent="0.2">
      <c r="A2736" s="46"/>
      <c r="B2736" s="46"/>
      <c r="C2736" s="46"/>
      <c r="D2736" s="48"/>
      <c r="E2736" s="48"/>
      <c r="F2736" s="48"/>
      <c r="G2736" s="48"/>
      <c r="H2736" s="48"/>
      <c r="I2736" s="48"/>
    </row>
    <row r="2737" spans="1:9" hidden="1" x14ac:dyDescent="0.2">
      <c r="A2737" s="46"/>
      <c r="B2737" s="46"/>
      <c r="C2737" s="46"/>
      <c r="D2737" s="48"/>
      <c r="E2737" s="48"/>
      <c r="F2737" s="48"/>
      <c r="G2737" s="48"/>
      <c r="H2737" s="48"/>
      <c r="I2737" s="48"/>
    </row>
    <row r="2738" spans="1:9" hidden="1" x14ac:dyDescent="0.2">
      <c r="A2738" s="46"/>
      <c r="B2738" s="46"/>
      <c r="C2738" s="46"/>
      <c r="D2738" s="48"/>
      <c r="E2738" s="48"/>
      <c r="F2738" s="48"/>
      <c r="G2738" s="48"/>
      <c r="H2738" s="48"/>
      <c r="I2738" s="48"/>
    </row>
    <row r="2739" spans="1:9" hidden="1" x14ac:dyDescent="0.2">
      <c r="A2739" s="46"/>
      <c r="B2739" s="46"/>
      <c r="C2739" s="46"/>
      <c r="D2739" s="48"/>
      <c r="E2739" s="48"/>
      <c r="F2739" s="48"/>
      <c r="G2739" s="48"/>
      <c r="H2739" s="48"/>
      <c r="I2739" s="48"/>
    </row>
    <row r="2740" spans="1:9" hidden="1" x14ac:dyDescent="0.2">
      <c r="A2740" s="46"/>
      <c r="B2740" s="46"/>
      <c r="C2740" s="46"/>
      <c r="D2740" s="48"/>
      <c r="E2740" s="48"/>
      <c r="F2740" s="48"/>
      <c r="G2740" s="48"/>
      <c r="H2740" s="48"/>
      <c r="I2740" s="48"/>
    </row>
    <row r="2741" spans="1:9" hidden="1" x14ac:dyDescent="0.2">
      <c r="A2741" s="46"/>
      <c r="B2741" s="46"/>
      <c r="C2741" s="46"/>
      <c r="D2741" s="48"/>
      <c r="E2741" s="48"/>
      <c r="F2741" s="48"/>
      <c r="G2741" s="48"/>
      <c r="H2741" s="48"/>
      <c r="I2741" s="48"/>
    </row>
    <row r="2742" spans="1:9" hidden="1" x14ac:dyDescent="0.2">
      <c r="A2742" s="46"/>
      <c r="B2742" s="46"/>
      <c r="C2742" s="46"/>
      <c r="D2742" s="48"/>
      <c r="E2742" s="48"/>
      <c r="F2742" s="48"/>
      <c r="G2742" s="48"/>
      <c r="H2742" s="48"/>
      <c r="I2742" s="48"/>
    </row>
    <row r="2743" spans="1:9" hidden="1" x14ac:dyDescent="0.2">
      <c r="A2743" s="46"/>
      <c r="B2743" s="46"/>
      <c r="C2743" s="46"/>
      <c r="D2743" s="48"/>
      <c r="E2743" s="48"/>
      <c r="F2743" s="48"/>
      <c r="G2743" s="48"/>
      <c r="H2743" s="48"/>
      <c r="I2743" s="48"/>
    </row>
    <row r="2744" spans="1:9" hidden="1" x14ac:dyDescent="0.2">
      <c r="A2744" s="46"/>
      <c r="B2744" s="46"/>
      <c r="C2744" s="46"/>
      <c r="D2744" s="48"/>
      <c r="E2744" s="48"/>
      <c r="F2744" s="48"/>
      <c r="G2744" s="48"/>
      <c r="H2744" s="48"/>
      <c r="I2744" s="48"/>
    </row>
    <row r="2745" spans="1:9" hidden="1" x14ac:dyDescent="0.2">
      <c r="A2745" s="46"/>
      <c r="B2745" s="46"/>
      <c r="C2745" s="46"/>
      <c r="D2745" s="48"/>
      <c r="E2745" s="48"/>
      <c r="F2745" s="48"/>
      <c r="G2745" s="48"/>
      <c r="H2745" s="48"/>
      <c r="I2745" s="48"/>
    </row>
    <row r="2746" spans="1:9" hidden="1" x14ac:dyDescent="0.2">
      <c r="A2746" s="46"/>
      <c r="B2746" s="46"/>
      <c r="C2746" s="46"/>
      <c r="D2746" s="48"/>
      <c r="E2746" s="48"/>
      <c r="F2746" s="48"/>
      <c r="G2746" s="48"/>
      <c r="H2746" s="48"/>
      <c r="I2746" s="48"/>
    </row>
    <row r="2747" spans="1:9" hidden="1" x14ac:dyDescent="0.2">
      <c r="A2747" s="46"/>
      <c r="B2747" s="46"/>
      <c r="C2747" s="46"/>
      <c r="D2747" s="48"/>
      <c r="E2747" s="48"/>
      <c r="F2747" s="48"/>
      <c r="G2747" s="48"/>
      <c r="H2747" s="48"/>
      <c r="I2747" s="48"/>
    </row>
    <row r="2748" spans="1:9" hidden="1" x14ac:dyDescent="0.2">
      <c r="A2748" s="46"/>
      <c r="B2748" s="46"/>
      <c r="C2748" s="46"/>
      <c r="D2748" s="48"/>
      <c r="E2748" s="48"/>
      <c r="F2748" s="48"/>
      <c r="G2748" s="48"/>
      <c r="H2748" s="48"/>
      <c r="I2748" s="48"/>
    </row>
    <row r="2749" spans="1:9" hidden="1" x14ac:dyDescent="0.2">
      <c r="A2749" s="46"/>
      <c r="B2749" s="46"/>
      <c r="C2749" s="46"/>
      <c r="D2749" s="48"/>
      <c r="E2749" s="48"/>
      <c r="F2749" s="48"/>
      <c r="G2749" s="48"/>
      <c r="H2749" s="48"/>
      <c r="I2749" s="48"/>
    </row>
    <row r="2750" spans="1:9" hidden="1" x14ac:dyDescent="0.2">
      <c r="A2750" s="46"/>
      <c r="B2750" s="46"/>
      <c r="C2750" s="46"/>
      <c r="D2750" s="48"/>
      <c r="E2750" s="48"/>
      <c r="F2750" s="48"/>
      <c r="G2750" s="48"/>
      <c r="H2750" s="48"/>
      <c r="I2750" s="48"/>
    </row>
    <row r="2751" spans="1:9" hidden="1" x14ac:dyDescent="0.2">
      <c r="A2751" s="46"/>
      <c r="B2751" s="46"/>
      <c r="C2751" s="46"/>
      <c r="D2751" s="48"/>
      <c r="E2751" s="48"/>
      <c r="F2751" s="48"/>
      <c r="G2751" s="48"/>
      <c r="H2751" s="48"/>
      <c r="I2751" s="48"/>
    </row>
    <row r="2752" spans="1:9" hidden="1" x14ac:dyDescent="0.2">
      <c r="A2752" s="46"/>
      <c r="B2752" s="46"/>
      <c r="C2752" s="46"/>
      <c r="D2752" s="48"/>
      <c r="E2752" s="48"/>
      <c r="F2752" s="48"/>
      <c r="G2752" s="48"/>
      <c r="H2752" s="48"/>
      <c r="I2752" s="48"/>
    </row>
    <row r="2753" spans="1:9" hidden="1" x14ac:dyDescent="0.2">
      <c r="A2753" s="46"/>
      <c r="B2753" s="46"/>
      <c r="C2753" s="46"/>
      <c r="D2753" s="48"/>
      <c r="E2753" s="48"/>
      <c r="F2753" s="48"/>
      <c r="G2753" s="48"/>
      <c r="H2753" s="48"/>
      <c r="I2753" s="48"/>
    </row>
    <row r="2754" spans="1:9" hidden="1" x14ac:dyDescent="0.2">
      <c r="A2754" s="46"/>
      <c r="B2754" s="46"/>
      <c r="C2754" s="46"/>
      <c r="D2754" s="48"/>
      <c r="E2754" s="48"/>
      <c r="F2754" s="48"/>
      <c r="G2754" s="48"/>
      <c r="H2754" s="48"/>
      <c r="I2754" s="48"/>
    </row>
    <row r="2755" spans="1:9" hidden="1" x14ac:dyDescent="0.2">
      <c r="A2755" s="46"/>
      <c r="B2755" s="46"/>
      <c r="C2755" s="46"/>
      <c r="D2755" s="48"/>
      <c r="E2755" s="48"/>
      <c r="F2755" s="48"/>
      <c r="G2755" s="48"/>
      <c r="H2755" s="48"/>
      <c r="I2755" s="48"/>
    </row>
    <row r="2756" spans="1:9" hidden="1" x14ac:dyDescent="0.2">
      <c r="A2756" s="46"/>
      <c r="B2756" s="46"/>
      <c r="C2756" s="46"/>
      <c r="D2756" s="48"/>
      <c r="E2756" s="48"/>
      <c r="F2756" s="48"/>
      <c r="G2756" s="48"/>
      <c r="H2756" s="48"/>
      <c r="I2756" s="48"/>
    </row>
    <row r="2757" spans="1:9" hidden="1" x14ac:dyDescent="0.2">
      <c r="A2757" s="46"/>
      <c r="B2757" s="46"/>
      <c r="C2757" s="46"/>
      <c r="D2757" s="48"/>
      <c r="E2757" s="48"/>
      <c r="F2757" s="48"/>
      <c r="G2757" s="48"/>
      <c r="H2757" s="48"/>
      <c r="I2757" s="48"/>
    </row>
    <row r="2758" spans="1:9" hidden="1" x14ac:dyDescent="0.2">
      <c r="A2758" s="46"/>
      <c r="B2758" s="46"/>
      <c r="C2758" s="46"/>
      <c r="D2758" s="48"/>
      <c r="E2758" s="48"/>
      <c r="F2758" s="48"/>
      <c r="G2758" s="48"/>
      <c r="H2758" s="48"/>
      <c r="I2758" s="48"/>
    </row>
    <row r="2759" spans="1:9" hidden="1" x14ac:dyDescent="0.2">
      <c r="A2759" s="46"/>
      <c r="B2759" s="46"/>
      <c r="C2759" s="46"/>
      <c r="D2759" s="48"/>
      <c r="E2759" s="48"/>
      <c r="F2759" s="48"/>
      <c r="G2759" s="48"/>
      <c r="H2759" s="48"/>
      <c r="I2759" s="48"/>
    </row>
    <row r="2760" spans="1:9" hidden="1" x14ac:dyDescent="0.2">
      <c r="A2760" s="46"/>
      <c r="B2760" s="46"/>
      <c r="C2760" s="46"/>
      <c r="D2760" s="48"/>
      <c r="E2760" s="48"/>
      <c r="F2760" s="48"/>
      <c r="G2760" s="48"/>
      <c r="H2760" s="48"/>
      <c r="I2760" s="48"/>
    </row>
    <row r="2761" spans="1:9" hidden="1" x14ac:dyDescent="0.2">
      <c r="A2761" s="46"/>
      <c r="B2761" s="46"/>
      <c r="C2761" s="46"/>
      <c r="D2761" s="48"/>
      <c r="E2761" s="48"/>
      <c r="F2761" s="48"/>
      <c r="G2761" s="48"/>
      <c r="H2761" s="48"/>
      <c r="I2761" s="48"/>
    </row>
    <row r="2762" spans="1:9" hidden="1" x14ac:dyDescent="0.2">
      <c r="A2762" s="46"/>
      <c r="B2762" s="46"/>
      <c r="C2762" s="46"/>
      <c r="D2762" s="48"/>
      <c r="E2762" s="48"/>
      <c r="F2762" s="48"/>
      <c r="G2762" s="48"/>
      <c r="H2762" s="48"/>
      <c r="I2762" s="48"/>
    </row>
    <row r="2763" spans="1:9" hidden="1" x14ac:dyDescent="0.2">
      <c r="A2763" s="46"/>
      <c r="B2763" s="46"/>
      <c r="C2763" s="46"/>
      <c r="D2763" s="48"/>
      <c r="E2763" s="48"/>
      <c r="F2763" s="48"/>
      <c r="G2763" s="48"/>
      <c r="H2763" s="48"/>
      <c r="I2763" s="48"/>
    </row>
    <row r="2764" spans="1:9" hidden="1" x14ac:dyDescent="0.2">
      <c r="A2764" s="46"/>
      <c r="B2764" s="46"/>
      <c r="C2764" s="46"/>
      <c r="D2764" s="48"/>
      <c r="E2764" s="48"/>
      <c r="F2764" s="48"/>
      <c r="G2764" s="48"/>
      <c r="H2764" s="48"/>
      <c r="I2764" s="48"/>
    </row>
    <row r="2765" spans="1:9" hidden="1" x14ac:dyDescent="0.2">
      <c r="A2765" s="46"/>
      <c r="B2765" s="46"/>
      <c r="C2765" s="46"/>
      <c r="D2765" s="48"/>
      <c r="E2765" s="48"/>
      <c r="F2765" s="48"/>
      <c r="G2765" s="48"/>
      <c r="H2765" s="48"/>
      <c r="I2765" s="48"/>
    </row>
    <row r="2766" spans="1:9" hidden="1" x14ac:dyDescent="0.2">
      <c r="A2766" s="46"/>
      <c r="B2766" s="46"/>
      <c r="C2766" s="46"/>
      <c r="D2766" s="48"/>
      <c r="E2766" s="48"/>
      <c r="F2766" s="48"/>
      <c r="G2766" s="48"/>
      <c r="H2766" s="48"/>
      <c r="I2766" s="48"/>
    </row>
    <row r="2767" spans="1:9" hidden="1" x14ac:dyDescent="0.2">
      <c r="A2767" s="46"/>
      <c r="B2767" s="46"/>
      <c r="C2767" s="46"/>
      <c r="D2767" s="48"/>
      <c r="E2767" s="48"/>
      <c r="F2767" s="48"/>
      <c r="G2767" s="48"/>
      <c r="H2767" s="48"/>
      <c r="I2767" s="48"/>
    </row>
    <row r="2768" spans="1:9" hidden="1" x14ac:dyDescent="0.2">
      <c r="A2768" s="46"/>
      <c r="B2768" s="46"/>
      <c r="C2768" s="46"/>
      <c r="D2768" s="48"/>
      <c r="E2768" s="48"/>
      <c r="F2768" s="48"/>
      <c r="G2768" s="48"/>
      <c r="H2768" s="48"/>
      <c r="I2768" s="48"/>
    </row>
    <row r="2769" spans="1:9" hidden="1" x14ac:dyDescent="0.2">
      <c r="A2769" s="46"/>
      <c r="B2769" s="46"/>
      <c r="C2769" s="46"/>
      <c r="D2769" s="48"/>
      <c r="E2769" s="48"/>
      <c r="F2769" s="48"/>
      <c r="G2769" s="48"/>
      <c r="H2769" s="48"/>
      <c r="I2769" s="48"/>
    </row>
    <row r="2770" spans="1:9" hidden="1" x14ac:dyDescent="0.2">
      <c r="A2770" s="46"/>
      <c r="B2770" s="46"/>
      <c r="C2770" s="46"/>
      <c r="D2770" s="48"/>
      <c r="E2770" s="48"/>
      <c r="F2770" s="48"/>
      <c r="G2770" s="48"/>
      <c r="H2770" s="48"/>
      <c r="I2770" s="48"/>
    </row>
    <row r="2771" spans="1:9" hidden="1" x14ac:dyDescent="0.2">
      <c r="A2771" s="46"/>
      <c r="B2771" s="46"/>
      <c r="C2771" s="46"/>
      <c r="D2771" s="48"/>
      <c r="E2771" s="48"/>
      <c r="F2771" s="48"/>
      <c r="G2771" s="48"/>
      <c r="H2771" s="48"/>
      <c r="I2771" s="48"/>
    </row>
    <row r="2772" spans="1:9" hidden="1" x14ac:dyDescent="0.2">
      <c r="A2772" s="46"/>
      <c r="B2772" s="46"/>
      <c r="C2772" s="46"/>
      <c r="D2772" s="48"/>
      <c r="E2772" s="48"/>
      <c r="F2772" s="48"/>
      <c r="G2772" s="48"/>
      <c r="H2772" s="48"/>
      <c r="I2772" s="48"/>
    </row>
    <row r="2773" spans="1:9" hidden="1" x14ac:dyDescent="0.2">
      <c r="A2773" s="46"/>
      <c r="B2773" s="46"/>
      <c r="C2773" s="46"/>
      <c r="D2773" s="48"/>
      <c r="E2773" s="48"/>
      <c r="F2773" s="48"/>
      <c r="G2773" s="48"/>
      <c r="H2773" s="48"/>
      <c r="I2773" s="48"/>
    </row>
    <row r="2774" spans="1:9" hidden="1" x14ac:dyDescent="0.2">
      <c r="A2774" s="46"/>
      <c r="B2774" s="46"/>
      <c r="C2774" s="46"/>
      <c r="D2774" s="48"/>
      <c r="E2774" s="48"/>
      <c r="F2774" s="48"/>
      <c r="G2774" s="48"/>
      <c r="H2774" s="48"/>
      <c r="I2774" s="48"/>
    </row>
    <row r="2775" spans="1:9" hidden="1" x14ac:dyDescent="0.2">
      <c r="A2775" s="46"/>
      <c r="B2775" s="46"/>
      <c r="C2775" s="46"/>
      <c r="D2775" s="48"/>
      <c r="E2775" s="48"/>
      <c r="F2775" s="48"/>
      <c r="G2775" s="48"/>
      <c r="H2775" s="48"/>
      <c r="I2775" s="48"/>
    </row>
    <row r="2776" spans="1:9" hidden="1" x14ac:dyDescent="0.2">
      <c r="A2776" s="46"/>
      <c r="B2776" s="46"/>
      <c r="C2776" s="46"/>
      <c r="D2776" s="48"/>
      <c r="E2776" s="48"/>
      <c r="F2776" s="48"/>
      <c r="G2776" s="48"/>
      <c r="H2776" s="48"/>
      <c r="I2776" s="48"/>
    </row>
    <row r="2777" spans="1:9" hidden="1" x14ac:dyDescent="0.2">
      <c r="A2777" s="46"/>
      <c r="B2777" s="46"/>
      <c r="C2777" s="46"/>
      <c r="D2777" s="48"/>
      <c r="E2777" s="48"/>
      <c r="F2777" s="48"/>
      <c r="G2777" s="48"/>
      <c r="H2777" s="48"/>
      <c r="I2777" s="48"/>
    </row>
    <row r="2778" spans="1:9" hidden="1" x14ac:dyDescent="0.2">
      <c r="A2778" s="46"/>
      <c r="B2778" s="46"/>
      <c r="C2778" s="46"/>
      <c r="D2778" s="48"/>
      <c r="E2778" s="48"/>
      <c r="F2778" s="48"/>
      <c r="G2778" s="48"/>
      <c r="H2778" s="48"/>
      <c r="I2778" s="48"/>
    </row>
    <row r="2779" spans="1:9" hidden="1" x14ac:dyDescent="0.2">
      <c r="A2779" s="46"/>
      <c r="B2779" s="46"/>
      <c r="C2779" s="46"/>
      <c r="D2779" s="48"/>
      <c r="E2779" s="48"/>
      <c r="F2779" s="48"/>
      <c r="G2779" s="48"/>
      <c r="H2779" s="48"/>
      <c r="I2779" s="48"/>
    </row>
    <row r="2780" spans="1:9" hidden="1" x14ac:dyDescent="0.2">
      <c r="A2780" s="46"/>
      <c r="B2780" s="46"/>
      <c r="C2780" s="46"/>
      <c r="D2780" s="48"/>
      <c r="E2780" s="48"/>
      <c r="F2780" s="48"/>
      <c r="G2780" s="48"/>
      <c r="H2780" s="48"/>
      <c r="I2780" s="48"/>
    </row>
    <row r="2781" spans="1:9" hidden="1" x14ac:dyDescent="0.2">
      <c r="A2781" s="46"/>
      <c r="B2781" s="46"/>
      <c r="C2781" s="46"/>
      <c r="D2781" s="48"/>
      <c r="E2781" s="48"/>
      <c r="F2781" s="48"/>
      <c r="G2781" s="48"/>
      <c r="H2781" s="48"/>
      <c r="I2781" s="48"/>
    </row>
    <row r="2782" spans="1:9" hidden="1" x14ac:dyDescent="0.2">
      <c r="A2782" s="46"/>
      <c r="B2782" s="46"/>
      <c r="C2782" s="46"/>
      <c r="D2782" s="48"/>
      <c r="E2782" s="48"/>
      <c r="F2782" s="48"/>
      <c r="G2782" s="48"/>
      <c r="H2782" s="48"/>
      <c r="I2782" s="48"/>
    </row>
    <row r="2783" spans="1:9" hidden="1" x14ac:dyDescent="0.2">
      <c r="A2783" s="46"/>
      <c r="B2783" s="46"/>
      <c r="C2783" s="46"/>
      <c r="D2783" s="48"/>
      <c r="E2783" s="48"/>
      <c r="F2783" s="48"/>
      <c r="G2783" s="48"/>
      <c r="H2783" s="48"/>
      <c r="I2783" s="48"/>
    </row>
    <row r="2784" spans="1:9" hidden="1" x14ac:dyDescent="0.2">
      <c r="A2784" s="46"/>
      <c r="B2784" s="46"/>
      <c r="C2784" s="46"/>
      <c r="D2784" s="48"/>
      <c r="E2784" s="48"/>
      <c r="F2784" s="48"/>
      <c r="G2784" s="48"/>
      <c r="H2784" s="48"/>
      <c r="I2784" s="48"/>
    </row>
    <row r="2785" spans="1:9" hidden="1" x14ac:dyDescent="0.2">
      <c r="A2785" s="46"/>
      <c r="B2785" s="46"/>
      <c r="C2785" s="46"/>
      <c r="D2785" s="48"/>
      <c r="E2785" s="48"/>
      <c r="F2785" s="48"/>
      <c r="G2785" s="48"/>
      <c r="H2785" s="48"/>
      <c r="I2785" s="48"/>
    </row>
    <row r="2786" spans="1:9" hidden="1" x14ac:dyDescent="0.2">
      <c r="A2786" s="46"/>
      <c r="B2786" s="46"/>
      <c r="C2786" s="46"/>
      <c r="D2786" s="48"/>
      <c r="E2786" s="48"/>
      <c r="F2786" s="48"/>
      <c r="G2786" s="48"/>
      <c r="H2786" s="48"/>
      <c r="I2786" s="48"/>
    </row>
    <row r="2787" spans="1:9" hidden="1" x14ac:dyDescent="0.2">
      <c r="A2787" s="46"/>
      <c r="B2787" s="46"/>
      <c r="C2787" s="46"/>
      <c r="D2787" s="48"/>
      <c r="E2787" s="48"/>
      <c r="F2787" s="48"/>
      <c r="G2787" s="48"/>
      <c r="H2787" s="48"/>
      <c r="I2787" s="48"/>
    </row>
    <row r="2788" spans="1:9" hidden="1" x14ac:dyDescent="0.2">
      <c r="A2788" s="46"/>
      <c r="B2788" s="46"/>
      <c r="C2788" s="46"/>
      <c r="D2788" s="48"/>
      <c r="E2788" s="48"/>
      <c r="F2788" s="48"/>
      <c r="G2788" s="48"/>
      <c r="H2788" s="48"/>
      <c r="I2788" s="48"/>
    </row>
    <row r="2789" spans="1:9" hidden="1" x14ac:dyDescent="0.2">
      <c r="A2789" s="46"/>
      <c r="B2789" s="46"/>
      <c r="C2789" s="46"/>
      <c r="D2789" s="48"/>
      <c r="E2789" s="48"/>
      <c r="F2789" s="48"/>
      <c r="G2789" s="48"/>
      <c r="H2789" s="48"/>
      <c r="I2789" s="48"/>
    </row>
    <row r="2790" spans="1:9" hidden="1" x14ac:dyDescent="0.2">
      <c r="A2790" s="46"/>
      <c r="B2790" s="46"/>
      <c r="C2790" s="46"/>
      <c r="D2790" s="48"/>
      <c r="E2790" s="48"/>
      <c r="F2790" s="48"/>
      <c r="G2790" s="48"/>
      <c r="H2790" s="48"/>
      <c r="I2790" s="48"/>
    </row>
    <row r="2791" spans="1:9" hidden="1" x14ac:dyDescent="0.2">
      <c r="A2791" s="46"/>
      <c r="B2791" s="46"/>
      <c r="C2791" s="46"/>
      <c r="D2791" s="48"/>
      <c r="E2791" s="48"/>
      <c r="F2791" s="48"/>
      <c r="G2791" s="48"/>
      <c r="H2791" s="48"/>
      <c r="I2791" s="48"/>
    </row>
    <row r="2792" spans="1:9" hidden="1" x14ac:dyDescent="0.2">
      <c r="A2792" s="46"/>
      <c r="B2792" s="46"/>
      <c r="C2792" s="46"/>
      <c r="D2792" s="48"/>
      <c r="E2792" s="48"/>
      <c r="F2792" s="48"/>
      <c r="G2792" s="48"/>
      <c r="H2792" s="48"/>
      <c r="I2792" s="48"/>
    </row>
    <row r="2793" spans="1:9" hidden="1" x14ac:dyDescent="0.2">
      <c r="A2793" s="46"/>
      <c r="B2793" s="46"/>
      <c r="C2793" s="46"/>
      <c r="D2793" s="48"/>
      <c r="E2793" s="48"/>
      <c r="F2793" s="48"/>
      <c r="G2793" s="48"/>
      <c r="H2793" s="48"/>
      <c r="I2793" s="48"/>
    </row>
    <row r="2794" spans="1:9" hidden="1" x14ac:dyDescent="0.2">
      <c r="A2794" s="46"/>
      <c r="B2794" s="46"/>
      <c r="C2794" s="46"/>
      <c r="D2794" s="48"/>
      <c r="E2794" s="48"/>
      <c r="F2794" s="48"/>
      <c r="G2794" s="48"/>
      <c r="H2794" s="48"/>
      <c r="I2794" s="48"/>
    </row>
    <row r="2795" spans="1:9" hidden="1" x14ac:dyDescent="0.2">
      <c r="A2795" s="46"/>
      <c r="B2795" s="46"/>
      <c r="C2795" s="46"/>
      <c r="D2795" s="48"/>
      <c r="E2795" s="48"/>
      <c r="F2795" s="48"/>
      <c r="G2795" s="48"/>
      <c r="H2795" s="48"/>
      <c r="I2795" s="48"/>
    </row>
    <row r="2796" spans="1:9" hidden="1" x14ac:dyDescent="0.2">
      <c r="A2796" s="46"/>
      <c r="B2796" s="46"/>
      <c r="C2796" s="46"/>
      <c r="D2796" s="48"/>
      <c r="E2796" s="48"/>
      <c r="F2796" s="48"/>
      <c r="G2796" s="48"/>
      <c r="H2796" s="48"/>
      <c r="I2796" s="48"/>
    </row>
    <row r="2797" spans="1:9" hidden="1" x14ac:dyDescent="0.2">
      <c r="A2797" s="46"/>
      <c r="B2797" s="46"/>
      <c r="C2797" s="46"/>
      <c r="D2797" s="48"/>
      <c r="E2797" s="48"/>
      <c r="F2797" s="48"/>
      <c r="G2797" s="48"/>
      <c r="H2797" s="48"/>
      <c r="I2797" s="48"/>
    </row>
    <row r="2798" spans="1:9" hidden="1" x14ac:dyDescent="0.2">
      <c r="A2798" s="46"/>
      <c r="B2798" s="46"/>
      <c r="C2798" s="46"/>
      <c r="D2798" s="48"/>
      <c r="E2798" s="48"/>
      <c r="F2798" s="48"/>
      <c r="G2798" s="48"/>
      <c r="H2798" s="48"/>
      <c r="I2798" s="48"/>
    </row>
    <row r="2799" spans="1:9" hidden="1" x14ac:dyDescent="0.2">
      <c r="A2799" s="46"/>
      <c r="B2799" s="46"/>
      <c r="C2799" s="46"/>
      <c r="D2799" s="48"/>
      <c r="E2799" s="48"/>
      <c r="F2799" s="48"/>
      <c r="G2799" s="48"/>
      <c r="H2799" s="48"/>
      <c r="I2799" s="48"/>
    </row>
    <row r="2800" spans="1:9" hidden="1" x14ac:dyDescent="0.2">
      <c r="A2800" s="46"/>
      <c r="B2800" s="46"/>
      <c r="C2800" s="46"/>
      <c r="D2800" s="48"/>
      <c r="E2800" s="48"/>
      <c r="F2800" s="48"/>
      <c r="G2800" s="48"/>
      <c r="H2800" s="48"/>
      <c r="I2800" s="48"/>
    </row>
    <row r="2801" spans="1:9" hidden="1" x14ac:dyDescent="0.2">
      <c r="A2801" s="46"/>
      <c r="B2801" s="46"/>
      <c r="C2801" s="46"/>
      <c r="D2801" s="48"/>
      <c r="E2801" s="48"/>
      <c r="F2801" s="48"/>
      <c r="G2801" s="48"/>
      <c r="H2801" s="48"/>
      <c r="I2801" s="48"/>
    </row>
    <row r="2802" spans="1:9" hidden="1" x14ac:dyDescent="0.2">
      <c r="A2802" s="46"/>
      <c r="B2802" s="46"/>
      <c r="C2802" s="46"/>
      <c r="D2802" s="48"/>
      <c r="E2802" s="48"/>
      <c r="F2802" s="48"/>
      <c r="G2802" s="48"/>
      <c r="H2802" s="48"/>
      <c r="I2802" s="48"/>
    </row>
    <row r="2803" spans="1:9" hidden="1" x14ac:dyDescent="0.2">
      <c r="A2803" s="46"/>
      <c r="B2803" s="46"/>
      <c r="C2803" s="46"/>
      <c r="D2803" s="48"/>
      <c r="E2803" s="48"/>
      <c r="F2803" s="48"/>
      <c r="G2803" s="48"/>
      <c r="H2803" s="48"/>
      <c r="I2803" s="48"/>
    </row>
    <row r="2804" spans="1:9" hidden="1" x14ac:dyDescent="0.2">
      <c r="A2804" s="46"/>
      <c r="B2804" s="46"/>
      <c r="C2804" s="46"/>
      <c r="D2804" s="48"/>
      <c r="E2804" s="48"/>
      <c r="F2804" s="48"/>
      <c r="G2804" s="48"/>
      <c r="H2804" s="48"/>
      <c r="I2804" s="48"/>
    </row>
    <row r="2805" spans="1:9" hidden="1" x14ac:dyDescent="0.2">
      <c r="A2805" s="46"/>
      <c r="B2805" s="46"/>
      <c r="C2805" s="46"/>
      <c r="D2805" s="48"/>
      <c r="E2805" s="48"/>
      <c r="F2805" s="48"/>
      <c r="G2805" s="48"/>
      <c r="H2805" s="48"/>
      <c r="I2805" s="48"/>
    </row>
    <row r="2806" spans="1:9" hidden="1" x14ac:dyDescent="0.2">
      <c r="A2806" s="46"/>
      <c r="B2806" s="46"/>
      <c r="C2806" s="46"/>
      <c r="D2806" s="48"/>
      <c r="E2806" s="48"/>
      <c r="F2806" s="48"/>
      <c r="G2806" s="48"/>
      <c r="H2806" s="48"/>
      <c r="I2806" s="48"/>
    </row>
    <row r="2807" spans="1:9" hidden="1" x14ac:dyDescent="0.2">
      <c r="A2807" s="46"/>
      <c r="B2807" s="46"/>
      <c r="C2807" s="46"/>
      <c r="D2807" s="48"/>
      <c r="E2807" s="48"/>
      <c r="F2807" s="48"/>
      <c r="G2807" s="48"/>
      <c r="H2807" s="48"/>
      <c r="I2807" s="48"/>
    </row>
    <row r="2808" spans="1:9" hidden="1" x14ac:dyDescent="0.2">
      <c r="A2808" s="46"/>
      <c r="B2808" s="46"/>
      <c r="C2808" s="46"/>
      <c r="D2808" s="48"/>
      <c r="E2808" s="48"/>
      <c r="F2808" s="48"/>
      <c r="G2808" s="48"/>
      <c r="H2808" s="48"/>
      <c r="I2808" s="48"/>
    </row>
    <row r="2809" spans="1:9" hidden="1" x14ac:dyDescent="0.2">
      <c r="A2809" s="46"/>
      <c r="B2809" s="46"/>
      <c r="C2809" s="46"/>
      <c r="D2809" s="48"/>
      <c r="E2809" s="48"/>
      <c r="F2809" s="48"/>
      <c r="G2809" s="48"/>
      <c r="H2809" s="48"/>
      <c r="I2809" s="48"/>
    </row>
    <row r="2810" spans="1:9" hidden="1" x14ac:dyDescent="0.2">
      <c r="A2810" s="46"/>
      <c r="B2810" s="46"/>
      <c r="C2810" s="46"/>
      <c r="D2810" s="48"/>
      <c r="E2810" s="48"/>
      <c r="F2810" s="48"/>
      <c r="G2810" s="48"/>
      <c r="H2810" s="48"/>
      <c r="I2810" s="48"/>
    </row>
    <row r="2811" spans="1:9" hidden="1" x14ac:dyDescent="0.2">
      <c r="A2811" s="46"/>
      <c r="B2811" s="46"/>
      <c r="C2811" s="46"/>
      <c r="D2811" s="48"/>
      <c r="E2811" s="48"/>
      <c r="F2811" s="48"/>
      <c r="G2811" s="48"/>
      <c r="H2811" s="48"/>
      <c r="I2811" s="48"/>
    </row>
    <row r="2812" spans="1:9" hidden="1" x14ac:dyDescent="0.2">
      <c r="A2812" s="46"/>
      <c r="B2812" s="46"/>
      <c r="C2812" s="46"/>
      <c r="D2812" s="48"/>
      <c r="E2812" s="48"/>
      <c r="F2812" s="48"/>
      <c r="G2812" s="48"/>
      <c r="H2812" s="48"/>
      <c r="I2812" s="48"/>
    </row>
    <row r="2813" spans="1:9" hidden="1" x14ac:dyDescent="0.2">
      <c r="A2813" s="46"/>
      <c r="B2813" s="46"/>
      <c r="C2813" s="46"/>
      <c r="D2813" s="48"/>
      <c r="E2813" s="48"/>
      <c r="F2813" s="48"/>
      <c r="G2813" s="48"/>
      <c r="H2813" s="48"/>
      <c r="I2813" s="48"/>
    </row>
    <row r="2814" spans="1:9" hidden="1" x14ac:dyDescent="0.2">
      <c r="A2814" s="46"/>
      <c r="B2814" s="46"/>
      <c r="C2814" s="46"/>
      <c r="D2814" s="48"/>
      <c r="E2814" s="48"/>
      <c r="F2814" s="48"/>
      <c r="G2814" s="48"/>
      <c r="H2814" s="48"/>
      <c r="I2814" s="48"/>
    </row>
    <row r="2815" spans="1:9" hidden="1" x14ac:dyDescent="0.2">
      <c r="A2815" s="46"/>
      <c r="B2815" s="46"/>
      <c r="C2815" s="46"/>
      <c r="D2815" s="48"/>
      <c r="E2815" s="48"/>
      <c r="F2815" s="48"/>
      <c r="G2815" s="48"/>
      <c r="H2815" s="48"/>
      <c r="I2815" s="48"/>
    </row>
    <row r="2816" spans="1:9" hidden="1" x14ac:dyDescent="0.2">
      <c r="A2816" s="46"/>
      <c r="B2816" s="46"/>
      <c r="C2816" s="46"/>
      <c r="D2816" s="48"/>
      <c r="E2816" s="48"/>
      <c r="F2816" s="48"/>
      <c r="G2816" s="48"/>
      <c r="H2816" s="48"/>
      <c r="I2816" s="48"/>
    </row>
    <row r="2817" spans="1:9" hidden="1" x14ac:dyDescent="0.2">
      <c r="A2817" s="46"/>
      <c r="B2817" s="46"/>
      <c r="C2817" s="46"/>
      <c r="D2817" s="48"/>
      <c r="E2817" s="48"/>
      <c r="F2817" s="48"/>
      <c r="G2817" s="48"/>
      <c r="H2817" s="48"/>
      <c r="I2817" s="48"/>
    </row>
    <row r="2818" spans="1:9" hidden="1" x14ac:dyDescent="0.2">
      <c r="A2818" s="46"/>
      <c r="B2818" s="46"/>
      <c r="C2818" s="46"/>
      <c r="D2818" s="48"/>
      <c r="E2818" s="48"/>
      <c r="F2818" s="48"/>
      <c r="G2818" s="48"/>
      <c r="H2818" s="48"/>
      <c r="I2818" s="48"/>
    </row>
    <row r="2819" spans="1:9" hidden="1" x14ac:dyDescent="0.2">
      <c r="A2819" s="46"/>
      <c r="B2819" s="46"/>
      <c r="C2819" s="46"/>
      <c r="D2819" s="48"/>
      <c r="E2819" s="48"/>
      <c r="F2819" s="48"/>
      <c r="G2819" s="48"/>
      <c r="H2819" s="48"/>
      <c r="I2819" s="48"/>
    </row>
    <row r="2820" spans="1:9" hidden="1" x14ac:dyDescent="0.2">
      <c r="A2820" s="46"/>
      <c r="B2820" s="46"/>
      <c r="C2820" s="46"/>
      <c r="D2820" s="48"/>
      <c r="E2820" s="48"/>
      <c r="F2820" s="48"/>
      <c r="G2820" s="48"/>
      <c r="H2820" s="48"/>
      <c r="I2820" s="48"/>
    </row>
    <row r="2821" spans="1:9" hidden="1" x14ac:dyDescent="0.2">
      <c r="A2821" s="46"/>
      <c r="B2821" s="46"/>
      <c r="C2821" s="46"/>
      <c r="D2821" s="48"/>
      <c r="E2821" s="48"/>
      <c r="F2821" s="48"/>
      <c r="G2821" s="48"/>
      <c r="H2821" s="48"/>
      <c r="I2821" s="48"/>
    </row>
    <row r="2822" spans="1:9" hidden="1" x14ac:dyDescent="0.2">
      <c r="A2822" s="46"/>
      <c r="B2822" s="46"/>
      <c r="C2822" s="46"/>
      <c r="D2822" s="48"/>
      <c r="E2822" s="48"/>
      <c r="F2822" s="48"/>
      <c r="G2822" s="48"/>
      <c r="H2822" s="48"/>
      <c r="I2822" s="48"/>
    </row>
    <row r="2823" spans="1:9" hidden="1" x14ac:dyDescent="0.2">
      <c r="A2823" s="46"/>
      <c r="B2823" s="46"/>
      <c r="C2823" s="46"/>
      <c r="D2823" s="48"/>
      <c r="E2823" s="48"/>
      <c r="F2823" s="48"/>
      <c r="G2823" s="48"/>
      <c r="H2823" s="48"/>
      <c r="I2823" s="48"/>
    </row>
    <row r="2824" spans="1:9" hidden="1" x14ac:dyDescent="0.2">
      <c r="A2824" s="46"/>
      <c r="B2824" s="46"/>
      <c r="C2824" s="46"/>
      <c r="D2824" s="48"/>
      <c r="E2824" s="48"/>
      <c r="F2824" s="48"/>
      <c r="G2824" s="48"/>
      <c r="H2824" s="48"/>
      <c r="I2824" s="48"/>
    </row>
    <row r="2825" spans="1:9" hidden="1" x14ac:dyDescent="0.2">
      <c r="A2825" s="46"/>
      <c r="B2825" s="46"/>
      <c r="C2825" s="46"/>
      <c r="D2825" s="48"/>
      <c r="E2825" s="48"/>
      <c r="F2825" s="48"/>
      <c r="G2825" s="48"/>
      <c r="H2825" s="48"/>
      <c r="I2825" s="48"/>
    </row>
    <row r="2826" spans="1:9" hidden="1" x14ac:dyDescent="0.2">
      <c r="A2826" s="46"/>
      <c r="B2826" s="46"/>
      <c r="C2826" s="46"/>
      <c r="D2826" s="48"/>
      <c r="E2826" s="48"/>
      <c r="F2826" s="48"/>
      <c r="G2826" s="48"/>
      <c r="H2826" s="48"/>
      <c r="I2826" s="48"/>
    </row>
    <row r="2827" spans="1:9" hidden="1" x14ac:dyDescent="0.2">
      <c r="A2827" s="46"/>
      <c r="B2827" s="46"/>
      <c r="C2827" s="46"/>
      <c r="D2827" s="48"/>
      <c r="E2827" s="48"/>
      <c r="F2827" s="48"/>
      <c r="G2827" s="48"/>
      <c r="H2827" s="48"/>
      <c r="I2827" s="48"/>
    </row>
    <row r="2828" spans="1:9" hidden="1" x14ac:dyDescent="0.2">
      <c r="A2828" s="46"/>
      <c r="B2828" s="46"/>
      <c r="C2828" s="46"/>
      <c r="D2828" s="48"/>
      <c r="E2828" s="48"/>
      <c r="F2828" s="48"/>
      <c r="G2828" s="48"/>
      <c r="H2828" s="48"/>
      <c r="I2828" s="48"/>
    </row>
    <row r="2829" spans="1:9" hidden="1" x14ac:dyDescent="0.2">
      <c r="A2829" s="46"/>
      <c r="B2829" s="46"/>
      <c r="C2829" s="46"/>
      <c r="D2829" s="48"/>
      <c r="E2829" s="48"/>
      <c r="F2829" s="48"/>
      <c r="G2829" s="48"/>
      <c r="H2829" s="48"/>
      <c r="I2829" s="48"/>
    </row>
    <row r="2830" spans="1:9" hidden="1" x14ac:dyDescent="0.2">
      <c r="A2830" s="46"/>
      <c r="B2830" s="46"/>
      <c r="C2830" s="46"/>
      <c r="D2830" s="48"/>
      <c r="E2830" s="48"/>
      <c r="F2830" s="48"/>
      <c r="G2830" s="48"/>
      <c r="H2830" s="48"/>
      <c r="I2830" s="48"/>
    </row>
    <row r="2831" spans="1:9" hidden="1" x14ac:dyDescent="0.2">
      <c r="A2831" s="46"/>
      <c r="B2831" s="46"/>
      <c r="C2831" s="46"/>
      <c r="D2831" s="48"/>
      <c r="E2831" s="48"/>
      <c r="F2831" s="48"/>
      <c r="G2831" s="48"/>
      <c r="H2831" s="48"/>
      <c r="I2831" s="48"/>
    </row>
    <row r="2832" spans="1:9" hidden="1" x14ac:dyDescent="0.2">
      <c r="A2832" s="46"/>
      <c r="B2832" s="46"/>
      <c r="C2832" s="46"/>
      <c r="D2832" s="48"/>
      <c r="E2832" s="48"/>
      <c r="F2832" s="48"/>
      <c r="G2832" s="48"/>
      <c r="H2832" s="48"/>
      <c r="I2832" s="48"/>
    </row>
    <row r="2833" spans="1:9" hidden="1" x14ac:dyDescent="0.2">
      <c r="A2833" s="46"/>
      <c r="B2833" s="46"/>
      <c r="C2833" s="46"/>
      <c r="D2833" s="48"/>
      <c r="E2833" s="48"/>
      <c r="F2833" s="48"/>
      <c r="G2833" s="48"/>
      <c r="H2833" s="48"/>
      <c r="I2833" s="48"/>
    </row>
    <row r="2834" spans="1:9" hidden="1" x14ac:dyDescent="0.2">
      <c r="A2834" s="46"/>
      <c r="B2834" s="46"/>
      <c r="C2834" s="46"/>
      <c r="D2834" s="48"/>
      <c r="E2834" s="48"/>
      <c r="F2834" s="48"/>
      <c r="G2834" s="48"/>
      <c r="H2834" s="48"/>
      <c r="I2834" s="48"/>
    </row>
    <row r="2835" spans="1:9" hidden="1" x14ac:dyDescent="0.2">
      <c r="A2835" s="46"/>
      <c r="B2835" s="46"/>
      <c r="C2835" s="46"/>
      <c r="D2835" s="48"/>
      <c r="E2835" s="48"/>
      <c r="F2835" s="48"/>
      <c r="G2835" s="48"/>
      <c r="H2835" s="48"/>
      <c r="I2835" s="48"/>
    </row>
    <row r="2836" spans="1:9" hidden="1" x14ac:dyDescent="0.2">
      <c r="A2836" s="46"/>
      <c r="B2836" s="46"/>
      <c r="C2836" s="46"/>
      <c r="D2836" s="48"/>
      <c r="E2836" s="48"/>
      <c r="F2836" s="48"/>
      <c r="G2836" s="48"/>
      <c r="H2836" s="48"/>
      <c r="I2836" s="48"/>
    </row>
    <row r="2837" spans="1:9" hidden="1" x14ac:dyDescent="0.2">
      <c r="A2837" s="46"/>
      <c r="B2837" s="46"/>
      <c r="C2837" s="46"/>
      <c r="D2837" s="48"/>
      <c r="E2837" s="48"/>
      <c r="F2837" s="48"/>
      <c r="G2837" s="48"/>
      <c r="H2837" s="48"/>
      <c r="I2837" s="48"/>
    </row>
    <row r="2838" spans="1:9" hidden="1" x14ac:dyDescent="0.2">
      <c r="A2838" s="46"/>
      <c r="B2838" s="46"/>
      <c r="C2838" s="46"/>
      <c r="D2838" s="48"/>
      <c r="E2838" s="48"/>
      <c r="F2838" s="48"/>
      <c r="G2838" s="48"/>
      <c r="H2838" s="48"/>
      <c r="I2838" s="48"/>
    </row>
    <row r="2839" spans="1:9" hidden="1" x14ac:dyDescent="0.2">
      <c r="A2839" s="46"/>
      <c r="B2839" s="46"/>
      <c r="C2839" s="46"/>
      <c r="D2839" s="48"/>
      <c r="E2839" s="48"/>
      <c r="F2839" s="48"/>
      <c r="G2839" s="48"/>
      <c r="H2839" s="48"/>
      <c r="I2839" s="48"/>
    </row>
    <row r="2840" spans="1:9" hidden="1" x14ac:dyDescent="0.2">
      <c r="A2840" s="46"/>
      <c r="B2840" s="46"/>
      <c r="C2840" s="46"/>
      <c r="D2840" s="48"/>
      <c r="E2840" s="48"/>
      <c r="F2840" s="48"/>
      <c r="G2840" s="48"/>
      <c r="H2840" s="48"/>
      <c r="I2840" s="48"/>
    </row>
    <row r="2841" spans="1:9" hidden="1" x14ac:dyDescent="0.2">
      <c r="A2841" s="46"/>
      <c r="B2841" s="46"/>
      <c r="C2841" s="46"/>
      <c r="D2841" s="48"/>
      <c r="E2841" s="48"/>
      <c r="F2841" s="48"/>
      <c r="G2841" s="48"/>
      <c r="H2841" s="48"/>
      <c r="I2841" s="48"/>
    </row>
    <row r="2842" spans="1:9" hidden="1" x14ac:dyDescent="0.2">
      <c r="A2842" s="46"/>
      <c r="B2842" s="46"/>
      <c r="C2842" s="46"/>
      <c r="D2842" s="48"/>
      <c r="E2842" s="48"/>
      <c r="F2842" s="48"/>
      <c r="G2842" s="48"/>
      <c r="H2842" s="48"/>
      <c r="I2842" s="48"/>
    </row>
    <row r="2843" spans="1:9" hidden="1" x14ac:dyDescent="0.2">
      <c r="A2843" s="46"/>
      <c r="B2843" s="46"/>
      <c r="C2843" s="46"/>
      <c r="D2843" s="48"/>
      <c r="E2843" s="48"/>
      <c r="F2843" s="48"/>
      <c r="G2843" s="48"/>
      <c r="H2843" s="48"/>
      <c r="I2843" s="48"/>
    </row>
    <row r="2844" spans="1:9" hidden="1" x14ac:dyDescent="0.2">
      <c r="A2844" s="46"/>
      <c r="B2844" s="46"/>
      <c r="C2844" s="46"/>
      <c r="D2844" s="48"/>
      <c r="E2844" s="48"/>
      <c r="F2844" s="48"/>
      <c r="G2844" s="48"/>
      <c r="H2844" s="48"/>
      <c r="I2844" s="48"/>
    </row>
    <row r="2845" spans="1:9" hidden="1" x14ac:dyDescent="0.2">
      <c r="A2845" s="46"/>
      <c r="B2845" s="46"/>
      <c r="C2845" s="46"/>
      <c r="D2845" s="48"/>
      <c r="E2845" s="48"/>
      <c r="F2845" s="48"/>
      <c r="G2845" s="48"/>
      <c r="H2845" s="48"/>
      <c r="I2845" s="48"/>
    </row>
    <row r="2846" spans="1:9" hidden="1" x14ac:dyDescent="0.2">
      <c r="A2846" s="46"/>
      <c r="B2846" s="46"/>
      <c r="C2846" s="46"/>
      <c r="D2846" s="48"/>
      <c r="E2846" s="48"/>
      <c r="F2846" s="48"/>
      <c r="G2846" s="48"/>
      <c r="H2846" s="48"/>
      <c r="I2846" s="48"/>
    </row>
    <row r="2847" spans="1:9" hidden="1" x14ac:dyDescent="0.2">
      <c r="A2847" s="46"/>
      <c r="B2847" s="46"/>
      <c r="C2847" s="46"/>
      <c r="D2847" s="48"/>
      <c r="E2847" s="48"/>
      <c r="F2847" s="48"/>
      <c r="G2847" s="48"/>
      <c r="H2847" s="48"/>
      <c r="I2847" s="48"/>
    </row>
    <row r="2848" spans="1:9" hidden="1" x14ac:dyDescent="0.2">
      <c r="A2848" s="46"/>
      <c r="B2848" s="46"/>
      <c r="C2848" s="46"/>
      <c r="D2848" s="48"/>
      <c r="E2848" s="48"/>
      <c r="F2848" s="48"/>
      <c r="G2848" s="48"/>
      <c r="H2848" s="48"/>
      <c r="I2848" s="48"/>
    </row>
    <row r="2849" spans="1:9" hidden="1" x14ac:dyDescent="0.2">
      <c r="A2849" s="46"/>
      <c r="B2849" s="46"/>
      <c r="C2849" s="46"/>
      <c r="D2849" s="48"/>
      <c r="E2849" s="48"/>
      <c r="F2849" s="48"/>
      <c r="G2849" s="48"/>
      <c r="H2849" s="48"/>
      <c r="I2849" s="48"/>
    </row>
    <row r="2850" spans="1:9" hidden="1" x14ac:dyDescent="0.2">
      <c r="A2850" s="46"/>
      <c r="B2850" s="46"/>
      <c r="C2850" s="46"/>
      <c r="D2850" s="48"/>
      <c r="E2850" s="48"/>
      <c r="F2850" s="48"/>
      <c r="G2850" s="48"/>
      <c r="H2850" s="48"/>
      <c r="I2850" s="48"/>
    </row>
    <row r="2851" spans="1:9" hidden="1" x14ac:dyDescent="0.2">
      <c r="A2851" s="46"/>
      <c r="B2851" s="46"/>
      <c r="C2851" s="46"/>
      <c r="D2851" s="48"/>
      <c r="E2851" s="48"/>
      <c r="F2851" s="48"/>
      <c r="G2851" s="48"/>
      <c r="H2851" s="48"/>
      <c r="I2851" s="48"/>
    </row>
    <row r="2852" spans="1:9" hidden="1" x14ac:dyDescent="0.2">
      <c r="A2852" s="46"/>
      <c r="B2852" s="46"/>
      <c r="C2852" s="46"/>
      <c r="D2852" s="48"/>
      <c r="E2852" s="48"/>
      <c r="F2852" s="48"/>
      <c r="G2852" s="48"/>
      <c r="H2852" s="48"/>
      <c r="I2852" s="48"/>
    </row>
    <row r="2853" spans="1:9" hidden="1" x14ac:dyDescent="0.2">
      <c r="A2853" s="46"/>
      <c r="B2853" s="46"/>
      <c r="C2853" s="46"/>
      <c r="D2853" s="48"/>
      <c r="E2853" s="48"/>
      <c r="F2853" s="48"/>
      <c r="G2853" s="48"/>
      <c r="H2853" s="48"/>
      <c r="I2853" s="48"/>
    </row>
    <row r="2854" spans="1:9" hidden="1" x14ac:dyDescent="0.2">
      <c r="A2854" s="46"/>
      <c r="B2854" s="46"/>
      <c r="C2854" s="46"/>
      <c r="D2854" s="48"/>
      <c r="E2854" s="48"/>
      <c r="F2854" s="48"/>
      <c r="G2854" s="48"/>
      <c r="H2854" s="48"/>
      <c r="I2854" s="48"/>
    </row>
    <row r="2855" spans="1:9" hidden="1" x14ac:dyDescent="0.2">
      <c r="A2855" s="46"/>
      <c r="B2855" s="46"/>
      <c r="C2855" s="46"/>
      <c r="D2855" s="48"/>
      <c r="E2855" s="48"/>
      <c r="F2855" s="48"/>
      <c r="G2855" s="48"/>
      <c r="H2855" s="48"/>
      <c r="I2855" s="48"/>
    </row>
    <row r="2856" spans="1:9" hidden="1" x14ac:dyDescent="0.2">
      <c r="A2856" s="46"/>
      <c r="B2856" s="46"/>
      <c r="C2856" s="46"/>
      <c r="D2856" s="48"/>
      <c r="E2856" s="48"/>
      <c r="F2856" s="48"/>
      <c r="G2856" s="48"/>
      <c r="H2856" s="48"/>
      <c r="I2856" s="48"/>
    </row>
    <row r="2857" spans="1:9" hidden="1" x14ac:dyDescent="0.2">
      <c r="A2857" s="46"/>
      <c r="B2857" s="46"/>
      <c r="C2857" s="46"/>
      <c r="D2857" s="48"/>
      <c r="E2857" s="48"/>
      <c r="F2857" s="48"/>
      <c r="G2857" s="48"/>
      <c r="H2857" s="48"/>
      <c r="I2857" s="48"/>
    </row>
    <row r="2858" spans="1:9" hidden="1" x14ac:dyDescent="0.2">
      <c r="A2858" s="46"/>
      <c r="B2858" s="46"/>
      <c r="C2858" s="46"/>
      <c r="D2858" s="48"/>
      <c r="E2858" s="48"/>
      <c r="F2858" s="48"/>
      <c r="G2858" s="48"/>
      <c r="H2858" s="48"/>
      <c r="I2858" s="48"/>
    </row>
    <row r="2859" spans="1:9" hidden="1" x14ac:dyDescent="0.2">
      <c r="A2859" s="46"/>
      <c r="B2859" s="46"/>
      <c r="C2859" s="46"/>
      <c r="D2859" s="48"/>
      <c r="E2859" s="48"/>
      <c r="F2859" s="48"/>
      <c r="G2859" s="48"/>
      <c r="H2859" s="48"/>
      <c r="I2859" s="48"/>
    </row>
    <row r="2860" spans="1:9" hidden="1" x14ac:dyDescent="0.2">
      <c r="A2860" s="46"/>
      <c r="B2860" s="46"/>
      <c r="C2860" s="46"/>
      <c r="D2860" s="48"/>
      <c r="E2860" s="48"/>
      <c r="F2860" s="48"/>
      <c r="G2860" s="48"/>
      <c r="H2860" s="48"/>
      <c r="I2860" s="48"/>
    </row>
    <row r="2861" spans="1:9" hidden="1" x14ac:dyDescent="0.2">
      <c r="A2861" s="46"/>
      <c r="B2861" s="46"/>
      <c r="C2861" s="46"/>
      <c r="D2861" s="48"/>
      <c r="E2861" s="48"/>
      <c r="F2861" s="48"/>
      <c r="G2861" s="48"/>
      <c r="H2861" s="48"/>
      <c r="I2861" s="48"/>
    </row>
    <row r="2862" spans="1:9" hidden="1" x14ac:dyDescent="0.2">
      <c r="A2862" s="46"/>
      <c r="B2862" s="46"/>
      <c r="C2862" s="46"/>
      <c r="D2862" s="48"/>
      <c r="E2862" s="48"/>
      <c r="F2862" s="48"/>
      <c r="G2862" s="48"/>
      <c r="H2862" s="48"/>
      <c r="I2862" s="48"/>
    </row>
    <row r="2863" spans="1:9" hidden="1" x14ac:dyDescent="0.2">
      <c r="A2863" s="46"/>
      <c r="B2863" s="46"/>
      <c r="C2863" s="46"/>
      <c r="D2863" s="48"/>
      <c r="E2863" s="48"/>
      <c r="F2863" s="48"/>
      <c r="G2863" s="48"/>
      <c r="H2863" s="48"/>
      <c r="I2863" s="48"/>
    </row>
    <row r="2864" spans="1:9" hidden="1" x14ac:dyDescent="0.2">
      <c r="A2864" s="46"/>
      <c r="B2864" s="46"/>
      <c r="C2864" s="46"/>
      <c r="D2864" s="48"/>
      <c r="E2864" s="48"/>
      <c r="F2864" s="48"/>
      <c r="G2864" s="48"/>
      <c r="H2864" s="48"/>
      <c r="I2864" s="48"/>
    </row>
    <row r="2865" spans="1:9" hidden="1" x14ac:dyDescent="0.2">
      <c r="A2865" s="46"/>
      <c r="B2865" s="46"/>
      <c r="C2865" s="46"/>
      <c r="D2865" s="48"/>
      <c r="E2865" s="48"/>
      <c r="F2865" s="48"/>
      <c r="G2865" s="48"/>
      <c r="H2865" s="48"/>
      <c r="I2865" s="48"/>
    </row>
    <row r="2866" spans="1:9" hidden="1" x14ac:dyDescent="0.2">
      <c r="A2866" s="46"/>
      <c r="B2866" s="46"/>
      <c r="C2866" s="46"/>
      <c r="D2866" s="48"/>
      <c r="E2866" s="48"/>
      <c r="F2866" s="48"/>
      <c r="G2866" s="48"/>
      <c r="H2866" s="48"/>
      <c r="I2866" s="48"/>
    </row>
    <row r="2867" spans="1:9" hidden="1" x14ac:dyDescent="0.2">
      <c r="A2867" s="46"/>
      <c r="B2867" s="46"/>
      <c r="C2867" s="46"/>
      <c r="D2867" s="48"/>
      <c r="E2867" s="48"/>
      <c r="F2867" s="48"/>
      <c r="G2867" s="48"/>
      <c r="H2867" s="48"/>
      <c r="I2867" s="48"/>
    </row>
    <row r="2868" spans="1:9" hidden="1" x14ac:dyDescent="0.2">
      <c r="A2868" s="46"/>
      <c r="B2868" s="46"/>
      <c r="C2868" s="46"/>
      <c r="D2868" s="48"/>
      <c r="E2868" s="48"/>
      <c r="F2868" s="48"/>
      <c r="G2868" s="48"/>
      <c r="H2868" s="48"/>
      <c r="I2868" s="48"/>
    </row>
    <row r="2869" spans="1:9" hidden="1" x14ac:dyDescent="0.2">
      <c r="A2869" s="46"/>
      <c r="B2869" s="46"/>
      <c r="C2869" s="46"/>
      <c r="D2869" s="48"/>
      <c r="E2869" s="48"/>
      <c r="F2869" s="48"/>
      <c r="G2869" s="48"/>
      <c r="H2869" s="48"/>
      <c r="I2869" s="48"/>
    </row>
    <row r="2870" spans="1:9" hidden="1" x14ac:dyDescent="0.2">
      <c r="A2870" s="46"/>
      <c r="B2870" s="46"/>
      <c r="C2870" s="46"/>
      <c r="D2870" s="48"/>
      <c r="E2870" s="48"/>
      <c r="F2870" s="48"/>
      <c r="G2870" s="48"/>
      <c r="H2870" s="48"/>
      <c r="I2870" s="48"/>
    </row>
    <row r="2871" spans="1:9" hidden="1" x14ac:dyDescent="0.2">
      <c r="A2871" s="46"/>
      <c r="B2871" s="46"/>
      <c r="C2871" s="46"/>
      <c r="D2871" s="48"/>
      <c r="E2871" s="48"/>
      <c r="F2871" s="48"/>
      <c r="G2871" s="48"/>
      <c r="H2871" s="48"/>
      <c r="I2871" s="48"/>
    </row>
    <row r="2872" spans="1:9" hidden="1" x14ac:dyDescent="0.2">
      <c r="A2872" s="46"/>
      <c r="B2872" s="46"/>
      <c r="C2872" s="46"/>
      <c r="D2872" s="48"/>
      <c r="E2872" s="48"/>
      <c r="F2872" s="48"/>
      <c r="G2872" s="48"/>
      <c r="H2872" s="48"/>
      <c r="I2872" s="48"/>
    </row>
    <row r="2873" spans="1:9" hidden="1" x14ac:dyDescent="0.2">
      <c r="A2873" s="46"/>
      <c r="B2873" s="46"/>
      <c r="C2873" s="46"/>
      <c r="D2873" s="48"/>
      <c r="E2873" s="48"/>
      <c r="F2873" s="48"/>
      <c r="G2873" s="48"/>
      <c r="H2873" s="48"/>
      <c r="I2873" s="48"/>
    </row>
    <row r="2874" spans="1:9" hidden="1" x14ac:dyDescent="0.2">
      <c r="A2874" s="46"/>
      <c r="B2874" s="46"/>
      <c r="C2874" s="46"/>
      <c r="D2874" s="48"/>
      <c r="E2874" s="48"/>
      <c r="F2874" s="48"/>
      <c r="G2874" s="48"/>
      <c r="H2874" s="48"/>
      <c r="I2874" s="48"/>
    </row>
    <row r="2875" spans="1:9" hidden="1" x14ac:dyDescent="0.2">
      <c r="A2875" s="46"/>
      <c r="B2875" s="46"/>
      <c r="C2875" s="46"/>
      <c r="D2875" s="48"/>
      <c r="E2875" s="48"/>
      <c r="F2875" s="48"/>
      <c r="G2875" s="48"/>
      <c r="H2875" s="48"/>
      <c r="I2875" s="48"/>
    </row>
    <row r="2876" spans="1:9" hidden="1" x14ac:dyDescent="0.2">
      <c r="A2876" s="46"/>
      <c r="B2876" s="46"/>
      <c r="C2876" s="46"/>
      <c r="D2876" s="48"/>
      <c r="E2876" s="48"/>
      <c r="F2876" s="48"/>
      <c r="G2876" s="48"/>
      <c r="H2876" s="48"/>
      <c r="I2876" s="48"/>
    </row>
    <row r="2877" spans="1:9" hidden="1" x14ac:dyDescent="0.2">
      <c r="A2877" s="46"/>
      <c r="B2877" s="46"/>
      <c r="C2877" s="46"/>
      <c r="D2877" s="48"/>
      <c r="E2877" s="48"/>
      <c r="F2877" s="48"/>
      <c r="G2877" s="48"/>
      <c r="H2877" s="48"/>
      <c r="I2877" s="48"/>
    </row>
    <row r="2878" spans="1:9" hidden="1" x14ac:dyDescent="0.2">
      <c r="A2878" s="46"/>
      <c r="B2878" s="46"/>
      <c r="C2878" s="46"/>
      <c r="D2878" s="48"/>
      <c r="E2878" s="48"/>
      <c r="F2878" s="48"/>
      <c r="G2878" s="48"/>
      <c r="H2878" s="48"/>
      <c r="I2878" s="48"/>
    </row>
    <row r="2879" spans="1:9" hidden="1" x14ac:dyDescent="0.2">
      <c r="A2879" s="46"/>
      <c r="B2879" s="46"/>
      <c r="C2879" s="46"/>
      <c r="D2879" s="48"/>
      <c r="E2879" s="48"/>
      <c r="F2879" s="48"/>
      <c r="G2879" s="48"/>
      <c r="H2879" s="48"/>
      <c r="I2879" s="48"/>
    </row>
    <row r="2880" spans="1:9" hidden="1" x14ac:dyDescent="0.2">
      <c r="A2880" s="46"/>
      <c r="B2880" s="46"/>
      <c r="C2880" s="46"/>
      <c r="D2880" s="48"/>
      <c r="E2880" s="48"/>
      <c r="F2880" s="48"/>
      <c r="G2880" s="48"/>
      <c r="H2880" s="48"/>
      <c r="I2880" s="48"/>
    </row>
    <row r="2881" spans="1:9" hidden="1" x14ac:dyDescent="0.2">
      <c r="A2881" s="46"/>
      <c r="B2881" s="46"/>
      <c r="C2881" s="46"/>
      <c r="D2881" s="48"/>
      <c r="E2881" s="48"/>
      <c r="F2881" s="48"/>
      <c r="G2881" s="48"/>
      <c r="H2881" s="48"/>
      <c r="I2881" s="48"/>
    </row>
    <row r="2882" spans="1:9" hidden="1" x14ac:dyDescent="0.2">
      <c r="A2882" s="46"/>
      <c r="B2882" s="46"/>
      <c r="C2882" s="46"/>
      <c r="D2882" s="48"/>
      <c r="E2882" s="48"/>
      <c r="F2882" s="48"/>
      <c r="G2882" s="48"/>
      <c r="H2882" s="48"/>
      <c r="I2882" s="48"/>
    </row>
    <row r="2883" spans="1:9" hidden="1" x14ac:dyDescent="0.2">
      <c r="A2883" s="46"/>
      <c r="B2883" s="46"/>
      <c r="C2883" s="46"/>
      <c r="D2883" s="48"/>
      <c r="E2883" s="48"/>
      <c r="F2883" s="48"/>
      <c r="G2883" s="48"/>
      <c r="H2883" s="48"/>
      <c r="I2883" s="48"/>
    </row>
    <row r="2884" spans="1:9" hidden="1" x14ac:dyDescent="0.2">
      <c r="A2884" s="46"/>
      <c r="B2884" s="46"/>
      <c r="C2884" s="46"/>
      <c r="D2884" s="48"/>
      <c r="E2884" s="48"/>
      <c r="F2884" s="48"/>
      <c r="G2884" s="48"/>
      <c r="H2884" s="48"/>
      <c r="I2884" s="48"/>
    </row>
    <row r="2885" spans="1:9" hidden="1" x14ac:dyDescent="0.2">
      <c r="A2885" s="46"/>
      <c r="B2885" s="46"/>
      <c r="C2885" s="46"/>
      <c r="D2885" s="48"/>
      <c r="E2885" s="48"/>
      <c r="F2885" s="48"/>
      <c r="G2885" s="48"/>
      <c r="H2885" s="48"/>
      <c r="I2885" s="48"/>
    </row>
    <row r="2886" spans="1:9" hidden="1" x14ac:dyDescent="0.2">
      <c r="A2886" s="46"/>
      <c r="B2886" s="46"/>
      <c r="C2886" s="46"/>
      <c r="D2886" s="48"/>
      <c r="E2886" s="48"/>
      <c r="F2886" s="48"/>
      <c r="G2886" s="48"/>
      <c r="H2886" s="48"/>
      <c r="I2886" s="48"/>
    </row>
    <row r="2887" spans="1:9" hidden="1" x14ac:dyDescent="0.2">
      <c r="A2887" s="46"/>
      <c r="B2887" s="46"/>
      <c r="C2887" s="46"/>
      <c r="D2887" s="48"/>
      <c r="E2887" s="48"/>
      <c r="F2887" s="48"/>
      <c r="G2887" s="48"/>
      <c r="H2887" s="48"/>
      <c r="I2887" s="48"/>
    </row>
    <row r="2888" spans="1:9" hidden="1" x14ac:dyDescent="0.2">
      <c r="A2888" s="46"/>
      <c r="B2888" s="46"/>
      <c r="C2888" s="46"/>
      <c r="D2888" s="48"/>
      <c r="E2888" s="48"/>
      <c r="F2888" s="48"/>
      <c r="G2888" s="48"/>
      <c r="H2888" s="48"/>
      <c r="I2888" s="48"/>
    </row>
    <row r="2889" spans="1:9" hidden="1" x14ac:dyDescent="0.2">
      <c r="A2889" s="46"/>
      <c r="B2889" s="46"/>
      <c r="C2889" s="46"/>
      <c r="D2889" s="48"/>
      <c r="E2889" s="48"/>
      <c r="F2889" s="48"/>
      <c r="G2889" s="48"/>
      <c r="H2889" s="48"/>
      <c r="I2889" s="48"/>
    </row>
    <row r="2890" spans="1:9" hidden="1" x14ac:dyDescent="0.2">
      <c r="A2890" s="46"/>
      <c r="B2890" s="46"/>
      <c r="C2890" s="46"/>
      <c r="D2890" s="48"/>
      <c r="E2890" s="48"/>
      <c r="F2890" s="48"/>
      <c r="G2890" s="48"/>
      <c r="H2890" s="48"/>
      <c r="I2890" s="48"/>
    </row>
    <row r="2891" spans="1:9" hidden="1" x14ac:dyDescent="0.2">
      <c r="A2891" s="46"/>
      <c r="B2891" s="46"/>
      <c r="C2891" s="46"/>
      <c r="D2891" s="48"/>
      <c r="E2891" s="48"/>
      <c r="F2891" s="48"/>
      <c r="G2891" s="48"/>
      <c r="H2891" s="48"/>
      <c r="I2891" s="48"/>
    </row>
    <row r="2892" spans="1:9" hidden="1" x14ac:dyDescent="0.2">
      <c r="A2892" s="46"/>
      <c r="B2892" s="46"/>
      <c r="C2892" s="46"/>
      <c r="D2892" s="48"/>
      <c r="E2892" s="48"/>
      <c r="F2892" s="48"/>
      <c r="G2892" s="48"/>
      <c r="H2892" s="48"/>
      <c r="I2892" s="48"/>
    </row>
    <row r="2893" spans="1:9" hidden="1" x14ac:dyDescent="0.2">
      <c r="A2893" s="46"/>
      <c r="B2893" s="46"/>
      <c r="C2893" s="46"/>
      <c r="D2893" s="48"/>
      <c r="E2893" s="48"/>
      <c r="F2893" s="48"/>
      <c r="G2893" s="48"/>
      <c r="H2893" s="48"/>
      <c r="I2893" s="48"/>
    </row>
    <row r="2894" spans="1:9" hidden="1" x14ac:dyDescent="0.2">
      <c r="A2894" s="46"/>
      <c r="B2894" s="46"/>
      <c r="C2894" s="46"/>
      <c r="D2894" s="48"/>
      <c r="E2894" s="48"/>
      <c r="F2894" s="48"/>
      <c r="G2894" s="48"/>
      <c r="H2894" s="48"/>
      <c r="I2894" s="48"/>
    </row>
    <row r="2895" spans="1:9" hidden="1" x14ac:dyDescent="0.2">
      <c r="A2895" s="46"/>
      <c r="B2895" s="46"/>
      <c r="C2895" s="46"/>
      <c r="D2895" s="48"/>
      <c r="E2895" s="48"/>
      <c r="F2895" s="48"/>
      <c r="G2895" s="48"/>
      <c r="H2895" s="48"/>
      <c r="I2895" s="48"/>
    </row>
    <row r="2896" spans="1:9" hidden="1" x14ac:dyDescent="0.2">
      <c r="A2896" s="46"/>
      <c r="B2896" s="46"/>
      <c r="C2896" s="46"/>
      <c r="D2896" s="48"/>
      <c r="E2896" s="48"/>
      <c r="F2896" s="48"/>
      <c r="G2896" s="48"/>
      <c r="H2896" s="48"/>
      <c r="I2896" s="48"/>
    </row>
    <row r="2897" spans="1:9" hidden="1" x14ac:dyDescent="0.2">
      <c r="A2897" s="46"/>
      <c r="B2897" s="46"/>
      <c r="C2897" s="46"/>
      <c r="D2897" s="48"/>
      <c r="E2897" s="48"/>
      <c r="F2897" s="48"/>
      <c r="G2897" s="48"/>
      <c r="H2897" s="48"/>
      <c r="I2897" s="48"/>
    </row>
    <row r="2898" spans="1:9" hidden="1" x14ac:dyDescent="0.2">
      <c r="A2898" s="46"/>
      <c r="B2898" s="46"/>
      <c r="C2898" s="46"/>
      <c r="D2898" s="48"/>
      <c r="E2898" s="48"/>
      <c r="F2898" s="48"/>
      <c r="G2898" s="48"/>
      <c r="H2898" s="48"/>
      <c r="I2898" s="48"/>
    </row>
    <row r="2899" spans="1:9" hidden="1" x14ac:dyDescent="0.2">
      <c r="A2899" s="46"/>
      <c r="B2899" s="46"/>
      <c r="C2899" s="46"/>
      <c r="D2899" s="48"/>
      <c r="E2899" s="48"/>
      <c r="F2899" s="48"/>
      <c r="G2899" s="48"/>
      <c r="H2899" s="48"/>
      <c r="I2899" s="48"/>
    </row>
    <row r="2900" spans="1:9" hidden="1" x14ac:dyDescent="0.2">
      <c r="A2900" s="46"/>
      <c r="B2900" s="46"/>
      <c r="C2900" s="46"/>
      <c r="D2900" s="48"/>
      <c r="E2900" s="48"/>
      <c r="F2900" s="48"/>
      <c r="G2900" s="48"/>
      <c r="H2900" s="48"/>
      <c r="I2900" s="48"/>
    </row>
    <row r="2901" spans="1:9" hidden="1" x14ac:dyDescent="0.2">
      <c r="A2901" s="46"/>
      <c r="B2901" s="46"/>
      <c r="C2901" s="46"/>
      <c r="D2901" s="48"/>
      <c r="E2901" s="48"/>
      <c r="F2901" s="48"/>
      <c r="G2901" s="48"/>
      <c r="H2901" s="48"/>
      <c r="I2901" s="48"/>
    </row>
    <row r="2902" spans="1:9" hidden="1" x14ac:dyDescent="0.2">
      <c r="A2902" s="46"/>
      <c r="B2902" s="46"/>
      <c r="C2902" s="46"/>
      <c r="D2902" s="48"/>
      <c r="E2902" s="48"/>
      <c r="F2902" s="48"/>
      <c r="G2902" s="48"/>
      <c r="H2902" s="48"/>
      <c r="I2902" s="48"/>
    </row>
    <row r="2903" spans="1:9" hidden="1" x14ac:dyDescent="0.2">
      <c r="A2903" s="46"/>
      <c r="B2903" s="46"/>
      <c r="C2903" s="46"/>
      <c r="D2903" s="48"/>
      <c r="E2903" s="48"/>
      <c r="F2903" s="48"/>
      <c r="G2903" s="48"/>
      <c r="H2903" s="48"/>
      <c r="I2903" s="48"/>
    </row>
    <row r="2904" spans="1:9" hidden="1" x14ac:dyDescent="0.2">
      <c r="A2904" s="46"/>
      <c r="B2904" s="46"/>
      <c r="C2904" s="46"/>
      <c r="D2904" s="48"/>
      <c r="E2904" s="48"/>
      <c r="F2904" s="48"/>
      <c r="G2904" s="48"/>
      <c r="H2904" s="48"/>
      <c r="I2904" s="48"/>
    </row>
    <row r="2905" spans="1:9" hidden="1" x14ac:dyDescent="0.2">
      <c r="A2905" s="46"/>
      <c r="B2905" s="46"/>
      <c r="C2905" s="46"/>
      <c r="D2905" s="48"/>
      <c r="E2905" s="48"/>
      <c r="F2905" s="48"/>
      <c r="G2905" s="48"/>
      <c r="H2905" s="48"/>
      <c r="I2905" s="48"/>
    </row>
    <row r="2906" spans="1:9" hidden="1" x14ac:dyDescent="0.2">
      <c r="A2906" s="46"/>
      <c r="B2906" s="46"/>
      <c r="C2906" s="46"/>
      <c r="D2906" s="48"/>
      <c r="E2906" s="48"/>
      <c r="F2906" s="48"/>
      <c r="G2906" s="48"/>
      <c r="H2906" s="48"/>
      <c r="I2906" s="48"/>
    </row>
    <row r="2907" spans="1:9" hidden="1" x14ac:dyDescent="0.2">
      <c r="A2907" s="46"/>
      <c r="B2907" s="46"/>
      <c r="C2907" s="46"/>
      <c r="D2907" s="48"/>
      <c r="E2907" s="48"/>
      <c r="F2907" s="48"/>
      <c r="G2907" s="48"/>
      <c r="H2907" s="48"/>
      <c r="I2907" s="48"/>
    </row>
    <row r="2908" spans="1:9" hidden="1" x14ac:dyDescent="0.2">
      <c r="A2908" s="46"/>
      <c r="B2908" s="46"/>
      <c r="C2908" s="46"/>
      <c r="D2908" s="48"/>
      <c r="E2908" s="48"/>
      <c r="F2908" s="48"/>
      <c r="G2908" s="48"/>
      <c r="H2908" s="48"/>
      <c r="I2908" s="48"/>
    </row>
    <row r="2909" spans="1:9" hidden="1" x14ac:dyDescent="0.2">
      <c r="A2909" s="46"/>
      <c r="B2909" s="46"/>
      <c r="C2909" s="46"/>
      <c r="D2909" s="48"/>
      <c r="E2909" s="48"/>
      <c r="F2909" s="48"/>
      <c r="G2909" s="48"/>
      <c r="H2909" s="48"/>
      <c r="I2909" s="48"/>
    </row>
    <row r="2910" spans="1:9" hidden="1" x14ac:dyDescent="0.2">
      <c r="A2910" s="46"/>
      <c r="B2910" s="46"/>
      <c r="C2910" s="46"/>
      <c r="D2910" s="48"/>
      <c r="E2910" s="48"/>
      <c r="F2910" s="48"/>
      <c r="G2910" s="48"/>
      <c r="H2910" s="48"/>
      <c r="I2910" s="48"/>
    </row>
    <row r="2911" spans="1:9" hidden="1" x14ac:dyDescent="0.2">
      <c r="A2911" s="46"/>
      <c r="B2911" s="46"/>
      <c r="C2911" s="46"/>
      <c r="D2911" s="48"/>
      <c r="E2911" s="48"/>
      <c r="F2911" s="48"/>
      <c r="G2911" s="48"/>
      <c r="H2911" s="48"/>
      <c r="I2911" s="48"/>
    </row>
    <row r="2912" spans="1:9" hidden="1" x14ac:dyDescent="0.2">
      <c r="A2912" s="46"/>
      <c r="B2912" s="46"/>
      <c r="C2912" s="46"/>
      <c r="D2912" s="48"/>
      <c r="E2912" s="48"/>
      <c r="F2912" s="48"/>
      <c r="G2912" s="48"/>
      <c r="H2912" s="48"/>
      <c r="I2912" s="48"/>
    </row>
    <row r="2913" spans="1:9" hidden="1" x14ac:dyDescent="0.2">
      <c r="A2913" s="46"/>
      <c r="B2913" s="46"/>
      <c r="C2913" s="46"/>
      <c r="D2913" s="48"/>
      <c r="E2913" s="48"/>
      <c r="F2913" s="48"/>
      <c r="G2913" s="48"/>
      <c r="H2913" s="48"/>
      <c r="I2913" s="48"/>
    </row>
    <row r="2914" spans="1:9" hidden="1" x14ac:dyDescent="0.2">
      <c r="A2914" s="46"/>
      <c r="B2914" s="46"/>
      <c r="C2914" s="46"/>
      <c r="D2914" s="48"/>
      <c r="E2914" s="48"/>
      <c r="F2914" s="48"/>
      <c r="G2914" s="48"/>
      <c r="H2914" s="48"/>
      <c r="I2914" s="48"/>
    </row>
    <row r="2915" spans="1:9" hidden="1" x14ac:dyDescent="0.2">
      <c r="A2915" s="46"/>
      <c r="B2915" s="46"/>
      <c r="C2915" s="46"/>
      <c r="D2915" s="48"/>
      <c r="E2915" s="48"/>
      <c r="F2915" s="48"/>
      <c r="G2915" s="48"/>
      <c r="H2915" s="48"/>
      <c r="I2915" s="48"/>
    </row>
    <row r="2916" spans="1:9" hidden="1" x14ac:dyDescent="0.2">
      <c r="A2916" s="46"/>
      <c r="B2916" s="46"/>
      <c r="C2916" s="46"/>
      <c r="D2916" s="48"/>
      <c r="E2916" s="48"/>
      <c r="F2916" s="48"/>
      <c r="G2916" s="48"/>
      <c r="H2916" s="48"/>
      <c r="I2916" s="48"/>
    </row>
    <row r="2917" spans="1:9" hidden="1" x14ac:dyDescent="0.2">
      <c r="A2917" s="46"/>
      <c r="B2917" s="46"/>
      <c r="C2917" s="46"/>
      <c r="D2917" s="48"/>
      <c r="E2917" s="48"/>
      <c r="F2917" s="48"/>
      <c r="G2917" s="48"/>
      <c r="H2917" s="48"/>
      <c r="I2917" s="48"/>
    </row>
    <row r="2918" spans="1:9" hidden="1" x14ac:dyDescent="0.2">
      <c r="A2918" s="46"/>
      <c r="B2918" s="46"/>
      <c r="C2918" s="46"/>
      <c r="D2918" s="48"/>
      <c r="E2918" s="48"/>
      <c r="F2918" s="48"/>
      <c r="G2918" s="48"/>
      <c r="H2918" s="48"/>
      <c r="I2918" s="48"/>
    </row>
    <row r="2919" spans="1:9" hidden="1" x14ac:dyDescent="0.2">
      <c r="A2919" s="46"/>
      <c r="B2919" s="46"/>
      <c r="C2919" s="46"/>
      <c r="D2919" s="48"/>
      <c r="E2919" s="48"/>
      <c r="F2919" s="48"/>
      <c r="G2919" s="48"/>
      <c r="H2919" s="48"/>
      <c r="I2919" s="48"/>
    </row>
    <row r="2920" spans="1:9" hidden="1" x14ac:dyDescent="0.2">
      <c r="A2920" s="46"/>
      <c r="B2920" s="46"/>
      <c r="C2920" s="46"/>
      <c r="D2920" s="48"/>
      <c r="E2920" s="48"/>
      <c r="F2920" s="48"/>
      <c r="G2920" s="48"/>
      <c r="H2920" s="48"/>
      <c r="I2920" s="48"/>
    </row>
    <row r="2921" spans="1:9" hidden="1" x14ac:dyDescent="0.2">
      <c r="A2921" s="46"/>
      <c r="B2921" s="46"/>
      <c r="C2921" s="46"/>
      <c r="D2921" s="48"/>
      <c r="E2921" s="48"/>
      <c r="F2921" s="48"/>
      <c r="G2921" s="48"/>
      <c r="H2921" s="48"/>
      <c r="I2921" s="48"/>
    </row>
    <row r="2922" spans="1:9" hidden="1" x14ac:dyDescent="0.2">
      <c r="A2922" s="46"/>
      <c r="B2922" s="46"/>
      <c r="C2922" s="46"/>
      <c r="D2922" s="48"/>
      <c r="E2922" s="48"/>
      <c r="F2922" s="48"/>
      <c r="G2922" s="48"/>
      <c r="H2922" s="48"/>
      <c r="I2922" s="48"/>
    </row>
    <row r="2923" spans="1:9" hidden="1" x14ac:dyDescent="0.2">
      <c r="A2923" s="46"/>
      <c r="B2923" s="46"/>
      <c r="C2923" s="46"/>
      <c r="D2923" s="48"/>
      <c r="E2923" s="48"/>
      <c r="F2923" s="48"/>
      <c r="G2923" s="48"/>
      <c r="H2923" s="48"/>
      <c r="I2923" s="48"/>
    </row>
    <row r="2924" spans="1:9" hidden="1" x14ac:dyDescent="0.2">
      <c r="A2924" s="46"/>
      <c r="B2924" s="46"/>
      <c r="C2924" s="46"/>
      <c r="D2924" s="48"/>
      <c r="E2924" s="48"/>
      <c r="F2924" s="48"/>
      <c r="G2924" s="48"/>
      <c r="H2924" s="48"/>
      <c r="I2924" s="48"/>
    </row>
    <row r="2925" spans="1:9" hidden="1" x14ac:dyDescent="0.2">
      <c r="A2925" s="46"/>
      <c r="B2925" s="46"/>
      <c r="C2925" s="46"/>
      <c r="D2925" s="48"/>
      <c r="E2925" s="48"/>
      <c r="F2925" s="48"/>
      <c r="G2925" s="48"/>
      <c r="H2925" s="48"/>
      <c r="I2925" s="48"/>
    </row>
    <row r="2926" spans="1:9" hidden="1" x14ac:dyDescent="0.2">
      <c r="A2926" s="46"/>
      <c r="B2926" s="46"/>
      <c r="C2926" s="46"/>
      <c r="D2926" s="48"/>
      <c r="E2926" s="48"/>
      <c r="F2926" s="48"/>
      <c r="G2926" s="48"/>
      <c r="H2926" s="48"/>
      <c r="I2926" s="48"/>
    </row>
    <row r="2927" spans="1:9" hidden="1" x14ac:dyDescent="0.2">
      <c r="A2927" s="46"/>
      <c r="B2927" s="46"/>
      <c r="C2927" s="46"/>
      <c r="D2927" s="48"/>
      <c r="E2927" s="48"/>
      <c r="F2927" s="48"/>
      <c r="G2927" s="48"/>
      <c r="H2927" s="48"/>
      <c r="I2927" s="48"/>
    </row>
    <row r="2928" spans="1:9" hidden="1" x14ac:dyDescent="0.2">
      <c r="A2928" s="46"/>
      <c r="B2928" s="46"/>
      <c r="C2928" s="46"/>
      <c r="D2928" s="48"/>
      <c r="E2928" s="48"/>
      <c r="F2928" s="48"/>
      <c r="G2928" s="48"/>
      <c r="H2928" s="48"/>
      <c r="I2928" s="48"/>
    </row>
    <row r="2929" spans="1:9" hidden="1" x14ac:dyDescent="0.2">
      <c r="A2929" s="46"/>
      <c r="B2929" s="46"/>
      <c r="C2929" s="46"/>
      <c r="D2929" s="48"/>
      <c r="E2929" s="48"/>
      <c r="F2929" s="48"/>
      <c r="G2929" s="48"/>
      <c r="H2929" s="48"/>
      <c r="I2929" s="48"/>
    </row>
    <row r="2930" spans="1:9" hidden="1" x14ac:dyDescent="0.2">
      <c r="A2930" s="46"/>
      <c r="B2930" s="46"/>
      <c r="C2930" s="46"/>
      <c r="D2930" s="48"/>
      <c r="E2930" s="48"/>
      <c r="F2930" s="48"/>
      <c r="G2930" s="48"/>
      <c r="H2930" s="48"/>
      <c r="I2930" s="48"/>
    </row>
    <row r="2931" spans="1:9" hidden="1" x14ac:dyDescent="0.2">
      <c r="A2931" s="46"/>
      <c r="B2931" s="46"/>
      <c r="C2931" s="46"/>
      <c r="D2931" s="48"/>
      <c r="E2931" s="48"/>
      <c r="F2931" s="48"/>
      <c r="G2931" s="48"/>
      <c r="H2931" s="48"/>
      <c r="I2931" s="48"/>
    </row>
    <row r="2932" spans="1:9" hidden="1" x14ac:dyDescent="0.2">
      <c r="A2932" s="46"/>
      <c r="B2932" s="46"/>
      <c r="C2932" s="46"/>
      <c r="D2932" s="48"/>
      <c r="E2932" s="48"/>
      <c r="F2932" s="48"/>
      <c r="G2932" s="48"/>
      <c r="H2932" s="48"/>
      <c r="I2932" s="48"/>
    </row>
    <row r="2933" spans="1:9" hidden="1" x14ac:dyDescent="0.2">
      <c r="A2933" s="46"/>
      <c r="B2933" s="46"/>
      <c r="C2933" s="46"/>
      <c r="D2933" s="48"/>
      <c r="E2933" s="48"/>
      <c r="F2933" s="48"/>
      <c r="G2933" s="48"/>
      <c r="H2933" s="48"/>
      <c r="I2933" s="48"/>
    </row>
    <row r="2934" spans="1:9" hidden="1" x14ac:dyDescent="0.2">
      <c r="A2934" s="46"/>
      <c r="B2934" s="46"/>
      <c r="C2934" s="46"/>
      <c r="D2934" s="48"/>
      <c r="E2934" s="48"/>
      <c r="F2934" s="48"/>
      <c r="G2934" s="48"/>
      <c r="H2934" s="48"/>
      <c r="I2934" s="48"/>
    </row>
    <row r="2935" spans="1:9" hidden="1" x14ac:dyDescent="0.2">
      <c r="A2935" s="46"/>
      <c r="B2935" s="46"/>
      <c r="C2935" s="46"/>
      <c r="D2935" s="48"/>
      <c r="E2935" s="48"/>
      <c r="F2935" s="48"/>
      <c r="G2935" s="48"/>
      <c r="H2935" s="48"/>
      <c r="I2935" s="48"/>
    </row>
    <row r="2936" spans="1:9" hidden="1" x14ac:dyDescent="0.2">
      <c r="A2936" s="46"/>
      <c r="B2936" s="46"/>
      <c r="C2936" s="46"/>
      <c r="D2936" s="48"/>
      <c r="E2936" s="48"/>
      <c r="F2936" s="48"/>
      <c r="G2936" s="48"/>
      <c r="H2936" s="48"/>
      <c r="I2936" s="48"/>
    </row>
    <row r="2937" spans="1:9" hidden="1" x14ac:dyDescent="0.2">
      <c r="A2937" s="46"/>
      <c r="B2937" s="46"/>
      <c r="C2937" s="46"/>
      <c r="D2937" s="48"/>
      <c r="E2937" s="48"/>
      <c r="F2937" s="48"/>
      <c r="G2937" s="48"/>
      <c r="H2937" s="48"/>
      <c r="I2937" s="48"/>
    </row>
    <row r="2938" spans="1:9" hidden="1" x14ac:dyDescent="0.2">
      <c r="A2938" s="46"/>
      <c r="B2938" s="46"/>
      <c r="C2938" s="46"/>
      <c r="D2938" s="48"/>
      <c r="E2938" s="48"/>
      <c r="F2938" s="48"/>
      <c r="G2938" s="48"/>
      <c r="H2938" s="48"/>
      <c r="I2938" s="48"/>
    </row>
    <row r="2939" spans="1:9" hidden="1" x14ac:dyDescent="0.2">
      <c r="A2939" s="46"/>
      <c r="B2939" s="46"/>
      <c r="C2939" s="46"/>
      <c r="D2939" s="48"/>
      <c r="E2939" s="48"/>
      <c r="F2939" s="48"/>
      <c r="G2939" s="48"/>
      <c r="H2939" s="48"/>
      <c r="I2939" s="48"/>
    </row>
    <row r="2940" spans="1:9" hidden="1" x14ac:dyDescent="0.2">
      <c r="A2940" s="46"/>
      <c r="B2940" s="46"/>
      <c r="C2940" s="46"/>
      <c r="D2940" s="48"/>
      <c r="E2940" s="48"/>
      <c r="F2940" s="48"/>
      <c r="G2940" s="48"/>
      <c r="H2940" s="48"/>
      <c r="I2940" s="48"/>
    </row>
    <row r="2941" spans="1:9" hidden="1" x14ac:dyDescent="0.2">
      <c r="A2941" s="46"/>
      <c r="B2941" s="46"/>
      <c r="C2941" s="46"/>
      <c r="D2941" s="48"/>
      <c r="E2941" s="48"/>
      <c r="F2941" s="48"/>
      <c r="G2941" s="48"/>
      <c r="H2941" s="48"/>
      <c r="I2941" s="48"/>
    </row>
    <row r="2942" spans="1:9" hidden="1" x14ac:dyDescent="0.2">
      <c r="A2942" s="46"/>
      <c r="B2942" s="46"/>
      <c r="C2942" s="46"/>
      <c r="D2942" s="48"/>
      <c r="E2942" s="48"/>
      <c r="F2942" s="48"/>
      <c r="G2942" s="48"/>
      <c r="H2942" s="48"/>
      <c r="I2942" s="48"/>
    </row>
    <row r="2943" spans="1:9" hidden="1" x14ac:dyDescent="0.2">
      <c r="A2943" s="46"/>
      <c r="B2943" s="46"/>
      <c r="C2943" s="46"/>
      <c r="D2943" s="48"/>
      <c r="E2943" s="48"/>
      <c r="F2943" s="48"/>
      <c r="G2943" s="48"/>
      <c r="H2943" s="48"/>
      <c r="I2943" s="48"/>
    </row>
    <row r="2944" spans="1:9" hidden="1" x14ac:dyDescent="0.2">
      <c r="A2944" s="46"/>
      <c r="B2944" s="46"/>
      <c r="C2944" s="46"/>
      <c r="D2944" s="48"/>
      <c r="E2944" s="48"/>
      <c r="F2944" s="48"/>
      <c r="G2944" s="48"/>
      <c r="H2944" s="48"/>
      <c r="I2944" s="48"/>
    </row>
    <row r="2945" spans="1:9" hidden="1" x14ac:dyDescent="0.2">
      <c r="A2945" s="46"/>
      <c r="B2945" s="46"/>
      <c r="C2945" s="46"/>
      <c r="D2945" s="48"/>
      <c r="E2945" s="48"/>
      <c r="F2945" s="48"/>
      <c r="G2945" s="48"/>
      <c r="H2945" s="48"/>
      <c r="I2945" s="48"/>
    </row>
    <row r="2946" spans="1:9" hidden="1" x14ac:dyDescent="0.2">
      <c r="A2946" s="46"/>
      <c r="B2946" s="46"/>
      <c r="C2946" s="46"/>
      <c r="D2946" s="48"/>
      <c r="E2946" s="48"/>
      <c r="F2946" s="48"/>
      <c r="G2946" s="48"/>
      <c r="H2946" s="48"/>
      <c r="I2946" s="48"/>
    </row>
    <row r="2947" spans="1:9" hidden="1" x14ac:dyDescent="0.2">
      <c r="A2947" s="46"/>
      <c r="B2947" s="46"/>
      <c r="C2947" s="46"/>
      <c r="D2947" s="48"/>
      <c r="E2947" s="48"/>
      <c r="F2947" s="48"/>
      <c r="G2947" s="48"/>
      <c r="H2947" s="48"/>
      <c r="I2947" s="48"/>
    </row>
    <row r="2948" spans="1:9" hidden="1" x14ac:dyDescent="0.2">
      <c r="A2948" s="46"/>
      <c r="B2948" s="46"/>
      <c r="C2948" s="46"/>
      <c r="D2948" s="48"/>
      <c r="E2948" s="48"/>
      <c r="F2948" s="48"/>
      <c r="G2948" s="48"/>
      <c r="H2948" s="48"/>
      <c r="I2948" s="48"/>
    </row>
    <row r="2949" spans="1:9" hidden="1" x14ac:dyDescent="0.2">
      <c r="A2949" s="46"/>
      <c r="B2949" s="46"/>
      <c r="C2949" s="46"/>
      <c r="D2949" s="48"/>
      <c r="E2949" s="48"/>
      <c r="F2949" s="48"/>
      <c r="G2949" s="48"/>
      <c r="H2949" s="48"/>
      <c r="I2949" s="48"/>
    </row>
    <row r="2950" spans="1:9" hidden="1" x14ac:dyDescent="0.2">
      <c r="A2950" s="46"/>
      <c r="B2950" s="46"/>
      <c r="C2950" s="46"/>
      <c r="D2950" s="48"/>
      <c r="E2950" s="48"/>
      <c r="F2950" s="48"/>
      <c r="G2950" s="48"/>
      <c r="H2950" s="48"/>
      <c r="I2950" s="48"/>
    </row>
    <row r="2951" spans="1:9" hidden="1" x14ac:dyDescent="0.2">
      <c r="A2951" s="46"/>
      <c r="B2951" s="46"/>
      <c r="C2951" s="46"/>
      <c r="D2951" s="48"/>
      <c r="E2951" s="48"/>
      <c r="F2951" s="48"/>
      <c r="G2951" s="48"/>
      <c r="H2951" s="48"/>
      <c r="I2951" s="48"/>
    </row>
    <row r="2952" spans="1:9" hidden="1" x14ac:dyDescent="0.2">
      <c r="A2952" s="46"/>
      <c r="B2952" s="46"/>
      <c r="C2952" s="46"/>
      <c r="D2952" s="48"/>
      <c r="E2952" s="48"/>
      <c r="F2952" s="48"/>
      <c r="G2952" s="48"/>
      <c r="H2952" s="48"/>
      <c r="I2952" s="48"/>
    </row>
    <row r="2953" spans="1:9" hidden="1" x14ac:dyDescent="0.2">
      <c r="A2953" s="46"/>
      <c r="B2953" s="46"/>
      <c r="C2953" s="46"/>
      <c r="D2953" s="48"/>
      <c r="E2953" s="48"/>
      <c r="F2953" s="48"/>
      <c r="G2953" s="48"/>
      <c r="H2953" s="48"/>
      <c r="I2953" s="48"/>
    </row>
    <row r="2954" spans="1:9" hidden="1" x14ac:dyDescent="0.2">
      <c r="A2954" s="46"/>
      <c r="B2954" s="46"/>
      <c r="C2954" s="46"/>
      <c r="D2954" s="48"/>
      <c r="E2954" s="48"/>
      <c r="F2954" s="48"/>
      <c r="G2954" s="48"/>
      <c r="H2954" s="48"/>
      <c r="I2954" s="48"/>
    </row>
    <row r="2955" spans="1:9" hidden="1" x14ac:dyDescent="0.2">
      <c r="A2955" s="46"/>
      <c r="B2955" s="46"/>
      <c r="C2955" s="46"/>
      <c r="D2955" s="48"/>
      <c r="E2955" s="48"/>
      <c r="F2955" s="48"/>
      <c r="G2955" s="48"/>
      <c r="H2955" s="48"/>
      <c r="I2955" s="48"/>
    </row>
    <row r="2956" spans="1:9" hidden="1" x14ac:dyDescent="0.2">
      <c r="A2956" s="46"/>
      <c r="B2956" s="46"/>
      <c r="C2956" s="46"/>
      <c r="D2956" s="48"/>
      <c r="E2956" s="48"/>
      <c r="F2956" s="48"/>
      <c r="G2956" s="48"/>
      <c r="H2956" s="48"/>
      <c r="I2956" s="48"/>
    </row>
    <row r="2957" spans="1:9" hidden="1" x14ac:dyDescent="0.2">
      <c r="A2957" s="46"/>
      <c r="B2957" s="46"/>
      <c r="C2957" s="46"/>
      <c r="D2957" s="48"/>
      <c r="E2957" s="48"/>
      <c r="F2957" s="48"/>
      <c r="G2957" s="48"/>
      <c r="H2957" s="48"/>
      <c r="I2957" s="48"/>
    </row>
    <row r="2958" spans="1:9" hidden="1" x14ac:dyDescent="0.2">
      <c r="A2958" s="46"/>
      <c r="B2958" s="46"/>
      <c r="C2958" s="46"/>
      <c r="D2958" s="48"/>
      <c r="E2958" s="48"/>
      <c r="F2958" s="48"/>
      <c r="G2958" s="48"/>
      <c r="H2958" s="48"/>
      <c r="I2958" s="48"/>
    </row>
    <row r="2959" spans="1:9" hidden="1" x14ac:dyDescent="0.2">
      <c r="A2959" s="46"/>
      <c r="B2959" s="46"/>
      <c r="C2959" s="46"/>
      <c r="D2959" s="48"/>
      <c r="E2959" s="48"/>
      <c r="F2959" s="48"/>
      <c r="G2959" s="48"/>
      <c r="H2959" s="48"/>
      <c r="I2959" s="48"/>
    </row>
    <row r="2960" spans="1:9" hidden="1" x14ac:dyDescent="0.2">
      <c r="A2960" s="46"/>
      <c r="B2960" s="46"/>
      <c r="C2960" s="46"/>
      <c r="D2960" s="48"/>
      <c r="E2960" s="48"/>
      <c r="F2960" s="48"/>
      <c r="G2960" s="48"/>
      <c r="H2960" s="48"/>
      <c r="I2960" s="48"/>
    </row>
    <row r="2961" spans="1:9" hidden="1" x14ac:dyDescent="0.2">
      <c r="A2961" s="46"/>
      <c r="B2961" s="46"/>
      <c r="C2961" s="46"/>
      <c r="D2961" s="48"/>
      <c r="E2961" s="48"/>
      <c r="F2961" s="48"/>
      <c r="G2961" s="48"/>
      <c r="H2961" s="48"/>
      <c r="I2961" s="48"/>
    </row>
    <row r="2962" spans="1:9" hidden="1" x14ac:dyDescent="0.2">
      <c r="A2962" s="46"/>
      <c r="B2962" s="46"/>
      <c r="C2962" s="46"/>
      <c r="D2962" s="48"/>
      <c r="E2962" s="48"/>
      <c r="F2962" s="48"/>
      <c r="G2962" s="48"/>
      <c r="H2962" s="48"/>
      <c r="I2962" s="48"/>
    </row>
    <row r="2963" spans="1:9" hidden="1" x14ac:dyDescent="0.2">
      <c r="A2963" s="46"/>
      <c r="B2963" s="46"/>
      <c r="C2963" s="46"/>
      <c r="D2963" s="48"/>
      <c r="E2963" s="48"/>
      <c r="F2963" s="48"/>
      <c r="G2963" s="48"/>
      <c r="H2963" s="48"/>
      <c r="I2963" s="48"/>
    </row>
    <row r="2964" spans="1:9" hidden="1" x14ac:dyDescent="0.2">
      <c r="A2964" s="46"/>
      <c r="B2964" s="46"/>
      <c r="C2964" s="46"/>
      <c r="D2964" s="48"/>
      <c r="E2964" s="48"/>
      <c r="F2964" s="48"/>
      <c r="G2964" s="48"/>
      <c r="H2964" s="48"/>
      <c r="I2964" s="48"/>
    </row>
    <row r="2965" spans="1:9" hidden="1" x14ac:dyDescent="0.2">
      <c r="A2965" s="46"/>
      <c r="B2965" s="46"/>
      <c r="C2965" s="46"/>
      <c r="D2965" s="48"/>
      <c r="E2965" s="48"/>
      <c r="F2965" s="48"/>
      <c r="G2965" s="48"/>
      <c r="H2965" s="48"/>
      <c r="I2965" s="48"/>
    </row>
    <row r="2966" spans="1:9" hidden="1" x14ac:dyDescent="0.2">
      <c r="A2966" s="46"/>
      <c r="B2966" s="46"/>
      <c r="C2966" s="46"/>
      <c r="D2966" s="48"/>
      <c r="E2966" s="48"/>
      <c r="F2966" s="48"/>
      <c r="G2966" s="48"/>
      <c r="H2966" s="48"/>
      <c r="I2966" s="48"/>
    </row>
    <row r="2967" spans="1:9" hidden="1" x14ac:dyDescent="0.2">
      <c r="A2967" s="46"/>
      <c r="B2967" s="46"/>
      <c r="C2967" s="46"/>
      <c r="D2967" s="48"/>
      <c r="E2967" s="48"/>
      <c r="F2967" s="48"/>
      <c r="G2967" s="48"/>
      <c r="H2967" s="48"/>
      <c r="I2967" s="48"/>
    </row>
    <row r="2968" spans="1:9" hidden="1" x14ac:dyDescent="0.2">
      <c r="A2968" s="46"/>
      <c r="B2968" s="46"/>
      <c r="C2968" s="46"/>
      <c r="D2968" s="48"/>
      <c r="E2968" s="48"/>
      <c r="F2968" s="48"/>
      <c r="G2968" s="48"/>
      <c r="H2968" s="48"/>
      <c r="I2968" s="48"/>
    </row>
    <row r="2969" spans="1:9" hidden="1" x14ac:dyDescent="0.2">
      <c r="A2969" s="46"/>
      <c r="B2969" s="46"/>
      <c r="C2969" s="46"/>
      <c r="D2969" s="48"/>
      <c r="E2969" s="48"/>
      <c r="F2969" s="48"/>
      <c r="G2969" s="48"/>
      <c r="H2969" s="48"/>
      <c r="I2969" s="48"/>
    </row>
    <row r="2970" spans="1:9" hidden="1" x14ac:dyDescent="0.2">
      <c r="A2970" s="46"/>
      <c r="B2970" s="46"/>
      <c r="C2970" s="46"/>
      <c r="D2970" s="48"/>
      <c r="E2970" s="48"/>
      <c r="F2970" s="48"/>
      <c r="G2970" s="48"/>
      <c r="H2970" s="48"/>
      <c r="I2970" s="48"/>
    </row>
    <row r="2971" spans="1:9" hidden="1" x14ac:dyDescent="0.2">
      <c r="A2971" s="46"/>
      <c r="B2971" s="46"/>
      <c r="C2971" s="46"/>
      <c r="D2971" s="48"/>
      <c r="E2971" s="48"/>
      <c r="F2971" s="48"/>
      <c r="G2971" s="48"/>
      <c r="H2971" s="48"/>
      <c r="I2971" s="48"/>
    </row>
    <row r="2972" spans="1:9" hidden="1" x14ac:dyDescent="0.2">
      <c r="A2972" s="46"/>
      <c r="B2972" s="46"/>
      <c r="C2972" s="46"/>
      <c r="D2972" s="48"/>
      <c r="E2972" s="48"/>
      <c r="F2972" s="48"/>
      <c r="G2972" s="48"/>
      <c r="H2972" s="48"/>
      <c r="I2972" s="48"/>
    </row>
    <row r="2973" spans="1:9" hidden="1" x14ac:dyDescent="0.2">
      <c r="A2973" s="46"/>
      <c r="B2973" s="46"/>
      <c r="C2973" s="46"/>
      <c r="D2973" s="48"/>
      <c r="E2973" s="48"/>
      <c r="F2973" s="48"/>
      <c r="G2973" s="48"/>
      <c r="H2973" s="48"/>
      <c r="I2973" s="48"/>
    </row>
    <row r="2974" spans="1:9" hidden="1" x14ac:dyDescent="0.2">
      <c r="A2974" s="46"/>
      <c r="B2974" s="46"/>
      <c r="C2974" s="46"/>
      <c r="D2974" s="48"/>
      <c r="E2974" s="48"/>
      <c r="F2974" s="48"/>
      <c r="G2974" s="48"/>
      <c r="H2974" s="48"/>
      <c r="I2974" s="48"/>
    </row>
    <row r="2975" spans="1:9" hidden="1" x14ac:dyDescent="0.2">
      <c r="A2975" s="46"/>
      <c r="B2975" s="46"/>
      <c r="C2975" s="46"/>
      <c r="D2975" s="48"/>
      <c r="E2975" s="48"/>
      <c r="F2975" s="48"/>
      <c r="G2975" s="48"/>
      <c r="H2975" s="48"/>
      <c r="I2975" s="48"/>
    </row>
    <row r="2976" spans="1:9" hidden="1" x14ac:dyDescent="0.2">
      <c r="A2976" s="46"/>
      <c r="B2976" s="46"/>
      <c r="C2976" s="46"/>
      <c r="D2976" s="48"/>
      <c r="E2976" s="48"/>
      <c r="F2976" s="48"/>
      <c r="G2976" s="48"/>
      <c r="H2976" s="48"/>
      <c r="I2976" s="48"/>
    </row>
    <row r="2977" spans="1:9" hidden="1" x14ac:dyDescent="0.2">
      <c r="A2977" s="46"/>
      <c r="B2977" s="46"/>
      <c r="C2977" s="46"/>
      <c r="D2977" s="48"/>
      <c r="E2977" s="48"/>
      <c r="F2977" s="48"/>
      <c r="G2977" s="48"/>
      <c r="H2977" s="48"/>
      <c r="I2977" s="48"/>
    </row>
    <row r="2978" spans="1:9" hidden="1" x14ac:dyDescent="0.2">
      <c r="A2978" s="46"/>
      <c r="B2978" s="46"/>
      <c r="C2978" s="46"/>
      <c r="D2978" s="48"/>
      <c r="E2978" s="48"/>
      <c r="F2978" s="48"/>
      <c r="G2978" s="48"/>
      <c r="H2978" s="48"/>
      <c r="I2978" s="48"/>
    </row>
    <row r="2979" spans="1:9" hidden="1" x14ac:dyDescent="0.2">
      <c r="A2979" s="46"/>
      <c r="B2979" s="46"/>
      <c r="C2979" s="46"/>
      <c r="D2979" s="48"/>
      <c r="E2979" s="48"/>
      <c r="F2979" s="48"/>
      <c r="G2979" s="48"/>
      <c r="H2979" s="48"/>
      <c r="I2979" s="48"/>
    </row>
    <row r="2980" spans="1:9" hidden="1" x14ac:dyDescent="0.2">
      <c r="A2980" s="46"/>
      <c r="B2980" s="46"/>
      <c r="C2980" s="46"/>
      <c r="D2980" s="48"/>
      <c r="E2980" s="48"/>
      <c r="F2980" s="48"/>
      <c r="G2980" s="48"/>
      <c r="H2980" s="48"/>
      <c r="I2980" s="48"/>
    </row>
    <row r="2981" spans="1:9" hidden="1" x14ac:dyDescent="0.2">
      <c r="A2981" s="46"/>
      <c r="B2981" s="46"/>
      <c r="C2981" s="46"/>
      <c r="D2981" s="48"/>
      <c r="E2981" s="48"/>
      <c r="F2981" s="48"/>
      <c r="G2981" s="48"/>
      <c r="H2981" s="48"/>
      <c r="I2981" s="48"/>
    </row>
    <row r="2982" spans="1:9" hidden="1" x14ac:dyDescent="0.2">
      <c r="A2982" s="46"/>
      <c r="B2982" s="46"/>
      <c r="C2982" s="46"/>
      <c r="D2982" s="48"/>
      <c r="E2982" s="48"/>
      <c r="F2982" s="48"/>
      <c r="G2982" s="48"/>
      <c r="H2982" s="48"/>
      <c r="I2982" s="48"/>
    </row>
    <row r="2983" spans="1:9" hidden="1" x14ac:dyDescent="0.2">
      <c r="A2983" s="46"/>
      <c r="B2983" s="46"/>
      <c r="C2983" s="46"/>
      <c r="D2983" s="48"/>
      <c r="E2983" s="48"/>
      <c r="F2983" s="48"/>
      <c r="G2983" s="48"/>
      <c r="H2983" s="48"/>
      <c r="I2983" s="48"/>
    </row>
    <row r="2984" spans="1:9" hidden="1" x14ac:dyDescent="0.2">
      <c r="A2984" s="46"/>
      <c r="B2984" s="46"/>
      <c r="C2984" s="46"/>
      <c r="D2984" s="48"/>
      <c r="E2984" s="48"/>
      <c r="F2984" s="48"/>
      <c r="G2984" s="48"/>
      <c r="H2984" s="48"/>
      <c r="I2984" s="48"/>
    </row>
    <row r="2985" spans="1:9" hidden="1" x14ac:dyDescent="0.2">
      <c r="A2985" s="46"/>
      <c r="B2985" s="46"/>
      <c r="C2985" s="46"/>
      <c r="D2985" s="48"/>
      <c r="E2985" s="48"/>
      <c r="F2985" s="48"/>
      <c r="G2985" s="48"/>
      <c r="H2985" s="48"/>
      <c r="I2985" s="48"/>
    </row>
    <row r="2986" spans="1:9" hidden="1" x14ac:dyDescent="0.2">
      <c r="A2986" s="46"/>
      <c r="B2986" s="46"/>
      <c r="C2986" s="46"/>
      <c r="D2986" s="48"/>
      <c r="E2986" s="48"/>
      <c r="F2986" s="48"/>
      <c r="G2986" s="48"/>
      <c r="H2986" s="48"/>
      <c r="I2986" s="48"/>
    </row>
    <row r="2987" spans="1:9" hidden="1" x14ac:dyDescent="0.2">
      <c r="A2987" s="46"/>
      <c r="B2987" s="46"/>
      <c r="C2987" s="46"/>
      <c r="D2987" s="48"/>
      <c r="E2987" s="48"/>
      <c r="F2987" s="48"/>
      <c r="G2987" s="48"/>
      <c r="H2987" s="48"/>
      <c r="I2987" s="48"/>
    </row>
    <row r="2988" spans="1:9" hidden="1" x14ac:dyDescent="0.2">
      <c r="A2988" s="46"/>
      <c r="B2988" s="46"/>
      <c r="C2988" s="46"/>
      <c r="D2988" s="48"/>
      <c r="E2988" s="48"/>
      <c r="F2988" s="48"/>
      <c r="G2988" s="48"/>
      <c r="H2988" s="48"/>
      <c r="I2988" s="48"/>
    </row>
    <row r="2989" spans="1:9" hidden="1" x14ac:dyDescent="0.2">
      <c r="A2989" s="46"/>
      <c r="B2989" s="46"/>
      <c r="C2989" s="46"/>
      <c r="D2989" s="48"/>
      <c r="E2989" s="48"/>
      <c r="F2989" s="48"/>
      <c r="G2989" s="48"/>
      <c r="H2989" s="48"/>
      <c r="I2989" s="48"/>
    </row>
    <row r="2990" spans="1:9" hidden="1" x14ac:dyDescent="0.2">
      <c r="A2990" s="46"/>
      <c r="B2990" s="46"/>
      <c r="C2990" s="46"/>
      <c r="D2990" s="48"/>
      <c r="E2990" s="48"/>
      <c r="F2990" s="48"/>
      <c r="G2990" s="48"/>
      <c r="H2990" s="48"/>
      <c r="I2990" s="48"/>
    </row>
    <row r="2991" spans="1:9" hidden="1" x14ac:dyDescent="0.2">
      <c r="A2991" s="46"/>
      <c r="B2991" s="46"/>
      <c r="C2991" s="46"/>
      <c r="D2991" s="48"/>
      <c r="E2991" s="48"/>
      <c r="F2991" s="48"/>
      <c r="G2991" s="48"/>
      <c r="H2991" s="48"/>
      <c r="I2991" s="48"/>
    </row>
    <row r="2992" spans="1:9" hidden="1" x14ac:dyDescent="0.2">
      <c r="A2992" s="46"/>
      <c r="B2992" s="46"/>
      <c r="C2992" s="46"/>
      <c r="D2992" s="48"/>
      <c r="E2992" s="48"/>
      <c r="F2992" s="48"/>
      <c r="G2992" s="48"/>
      <c r="H2992" s="48"/>
      <c r="I2992" s="48"/>
    </row>
    <row r="2993" spans="1:9" hidden="1" x14ac:dyDescent="0.2">
      <c r="A2993" s="46"/>
      <c r="B2993" s="46"/>
      <c r="C2993" s="46"/>
      <c r="D2993" s="48"/>
      <c r="E2993" s="48"/>
      <c r="F2993" s="48"/>
      <c r="G2993" s="48"/>
      <c r="H2993" s="48"/>
      <c r="I2993" s="48"/>
    </row>
    <row r="2994" spans="1:9" hidden="1" x14ac:dyDescent="0.2">
      <c r="A2994" s="46"/>
      <c r="B2994" s="46"/>
      <c r="C2994" s="46"/>
      <c r="D2994" s="48"/>
      <c r="E2994" s="48"/>
      <c r="F2994" s="48"/>
      <c r="G2994" s="48"/>
      <c r="H2994" s="48"/>
      <c r="I2994" s="48"/>
    </row>
    <row r="2995" spans="1:9" hidden="1" x14ac:dyDescent="0.2">
      <c r="A2995" s="46"/>
      <c r="B2995" s="46"/>
      <c r="C2995" s="46"/>
      <c r="D2995" s="48"/>
      <c r="E2995" s="48"/>
      <c r="F2995" s="48"/>
      <c r="G2995" s="48"/>
      <c r="H2995" s="48"/>
      <c r="I2995" s="48"/>
    </row>
    <row r="2996" spans="1:9" hidden="1" x14ac:dyDescent="0.2">
      <c r="A2996" s="46"/>
      <c r="B2996" s="46"/>
      <c r="C2996" s="46"/>
      <c r="D2996" s="48"/>
      <c r="E2996" s="48"/>
      <c r="F2996" s="48"/>
      <c r="G2996" s="48"/>
      <c r="H2996" s="48"/>
      <c r="I2996" s="48"/>
    </row>
    <row r="2997" spans="1:9" hidden="1" x14ac:dyDescent="0.2">
      <c r="A2997" s="46"/>
      <c r="B2997" s="46"/>
      <c r="C2997" s="46"/>
      <c r="D2997" s="48"/>
      <c r="E2997" s="48"/>
      <c r="F2997" s="48"/>
      <c r="G2997" s="48"/>
      <c r="H2997" s="48"/>
      <c r="I2997" s="48"/>
    </row>
    <row r="2998" spans="1:9" hidden="1" x14ac:dyDescent="0.2">
      <c r="A2998" s="46"/>
      <c r="B2998" s="46"/>
      <c r="C2998" s="46"/>
      <c r="D2998" s="48"/>
      <c r="E2998" s="48"/>
      <c r="F2998" s="48"/>
      <c r="G2998" s="48"/>
      <c r="H2998" s="48"/>
      <c r="I2998" s="48"/>
    </row>
    <row r="2999" spans="1:9" hidden="1" x14ac:dyDescent="0.2">
      <c r="A2999" s="46"/>
      <c r="B2999" s="46"/>
      <c r="C2999" s="46"/>
      <c r="D2999" s="48"/>
      <c r="E2999" s="48"/>
      <c r="F2999" s="48"/>
      <c r="G2999" s="48"/>
      <c r="H2999" s="48"/>
      <c r="I2999" s="48"/>
    </row>
    <row r="3000" spans="1:9" hidden="1" x14ac:dyDescent="0.2">
      <c r="A3000" s="46"/>
      <c r="B3000" s="46"/>
      <c r="C3000" s="46"/>
      <c r="D3000" s="48"/>
      <c r="E3000" s="48"/>
      <c r="F3000" s="48"/>
      <c r="G3000" s="48"/>
      <c r="H3000" s="48"/>
      <c r="I3000" s="48"/>
    </row>
    <row r="3001" spans="1:9" hidden="1" x14ac:dyDescent="0.2">
      <c r="A3001" s="46"/>
      <c r="B3001" s="46"/>
      <c r="C3001" s="46"/>
      <c r="D3001" s="48"/>
      <c r="E3001" s="48"/>
      <c r="F3001" s="48"/>
      <c r="G3001" s="48"/>
      <c r="H3001" s="48"/>
      <c r="I3001" s="48"/>
    </row>
    <row r="3002" spans="1:9" hidden="1" x14ac:dyDescent="0.2">
      <c r="A3002" s="46"/>
      <c r="B3002" s="46"/>
      <c r="C3002" s="46"/>
      <c r="D3002" s="48"/>
      <c r="E3002" s="48"/>
      <c r="F3002" s="48"/>
      <c r="G3002" s="48"/>
      <c r="H3002" s="48"/>
      <c r="I3002" s="48"/>
    </row>
    <row r="3003" spans="1:9" hidden="1" x14ac:dyDescent="0.2">
      <c r="A3003" s="46"/>
      <c r="B3003" s="46"/>
      <c r="C3003" s="46"/>
      <c r="D3003" s="48"/>
      <c r="E3003" s="48"/>
      <c r="F3003" s="48"/>
      <c r="G3003" s="48"/>
      <c r="H3003" s="48"/>
      <c r="I3003" s="48"/>
    </row>
    <row r="3004" spans="1:9" hidden="1" x14ac:dyDescent="0.2">
      <c r="A3004" s="46"/>
      <c r="B3004" s="46"/>
      <c r="C3004" s="46"/>
      <c r="D3004" s="48"/>
      <c r="E3004" s="48"/>
      <c r="F3004" s="48"/>
      <c r="G3004" s="48"/>
      <c r="H3004" s="48"/>
      <c r="I3004" s="48"/>
    </row>
    <row r="3005" spans="1:9" hidden="1" x14ac:dyDescent="0.2">
      <c r="A3005" s="46"/>
      <c r="B3005" s="46"/>
      <c r="C3005" s="46"/>
      <c r="D3005" s="48"/>
      <c r="E3005" s="48"/>
      <c r="F3005" s="48"/>
      <c r="G3005" s="48"/>
      <c r="H3005" s="48"/>
      <c r="I3005" s="48"/>
    </row>
    <row r="3006" spans="1:9" hidden="1" x14ac:dyDescent="0.2">
      <c r="A3006" s="46"/>
      <c r="B3006" s="46"/>
      <c r="C3006" s="46"/>
      <c r="D3006" s="48"/>
      <c r="E3006" s="48"/>
      <c r="F3006" s="48"/>
      <c r="G3006" s="48"/>
      <c r="H3006" s="48"/>
      <c r="I3006" s="48"/>
    </row>
    <row r="3007" spans="1:9" hidden="1" x14ac:dyDescent="0.2">
      <c r="A3007" s="46"/>
      <c r="B3007" s="46"/>
      <c r="C3007" s="46"/>
      <c r="D3007" s="48"/>
      <c r="E3007" s="48"/>
      <c r="F3007" s="48"/>
      <c r="G3007" s="48"/>
      <c r="H3007" s="48"/>
      <c r="I3007" s="48"/>
    </row>
    <row r="3008" spans="1:9" hidden="1" x14ac:dyDescent="0.2">
      <c r="A3008" s="46"/>
      <c r="B3008" s="46"/>
      <c r="C3008" s="46"/>
      <c r="D3008" s="48"/>
      <c r="E3008" s="48"/>
      <c r="F3008" s="48"/>
      <c r="G3008" s="48"/>
      <c r="H3008" s="48"/>
      <c r="I3008" s="48"/>
    </row>
    <row r="3009" spans="1:9" hidden="1" x14ac:dyDescent="0.2">
      <c r="A3009" s="46"/>
      <c r="B3009" s="46"/>
      <c r="C3009" s="46"/>
      <c r="D3009" s="48"/>
      <c r="E3009" s="48"/>
      <c r="F3009" s="48"/>
      <c r="G3009" s="48"/>
      <c r="H3009" s="48"/>
      <c r="I3009" s="48"/>
    </row>
    <row r="3010" spans="1:9" hidden="1" x14ac:dyDescent="0.2">
      <c r="A3010" s="46"/>
      <c r="B3010" s="46"/>
      <c r="C3010" s="46"/>
      <c r="D3010" s="48"/>
      <c r="E3010" s="48"/>
      <c r="F3010" s="48"/>
      <c r="G3010" s="48"/>
      <c r="H3010" s="48"/>
      <c r="I3010" s="48"/>
    </row>
    <row r="3011" spans="1:9" hidden="1" x14ac:dyDescent="0.2">
      <c r="A3011" s="46"/>
      <c r="B3011" s="46"/>
      <c r="C3011" s="46"/>
      <c r="D3011" s="48"/>
      <c r="E3011" s="48"/>
      <c r="F3011" s="48"/>
      <c r="G3011" s="48"/>
      <c r="H3011" s="48"/>
      <c r="I3011" s="48"/>
    </row>
    <row r="3012" spans="1:9" hidden="1" x14ac:dyDescent="0.2">
      <c r="A3012" s="46"/>
      <c r="B3012" s="46"/>
      <c r="C3012" s="46"/>
      <c r="D3012" s="48"/>
      <c r="E3012" s="48"/>
      <c r="F3012" s="48"/>
      <c r="G3012" s="48"/>
      <c r="H3012" s="48"/>
      <c r="I3012" s="48"/>
    </row>
    <row r="3013" spans="1:9" hidden="1" x14ac:dyDescent="0.2">
      <c r="A3013" s="46"/>
      <c r="B3013" s="46"/>
      <c r="C3013" s="46"/>
      <c r="D3013" s="48"/>
      <c r="E3013" s="48"/>
      <c r="F3013" s="48"/>
      <c r="G3013" s="48"/>
      <c r="H3013" s="48"/>
      <c r="I3013" s="48"/>
    </row>
    <row r="3014" spans="1:9" hidden="1" x14ac:dyDescent="0.2">
      <c r="A3014" s="46"/>
      <c r="B3014" s="46"/>
      <c r="C3014" s="46"/>
      <c r="D3014" s="48"/>
      <c r="E3014" s="48"/>
      <c r="F3014" s="48"/>
      <c r="G3014" s="48"/>
      <c r="H3014" s="48"/>
      <c r="I3014" s="48"/>
    </row>
    <row r="3015" spans="1:9" hidden="1" x14ac:dyDescent="0.2">
      <c r="A3015" s="46"/>
      <c r="B3015" s="46"/>
      <c r="C3015" s="46"/>
      <c r="D3015" s="48"/>
      <c r="E3015" s="48"/>
      <c r="F3015" s="48"/>
      <c r="G3015" s="48"/>
      <c r="H3015" s="48"/>
      <c r="I3015" s="48"/>
    </row>
    <row r="3016" spans="1:9" hidden="1" x14ac:dyDescent="0.2">
      <c r="A3016" s="46"/>
      <c r="B3016" s="46"/>
      <c r="C3016" s="46"/>
      <c r="D3016" s="48"/>
      <c r="E3016" s="48"/>
      <c r="F3016" s="48"/>
      <c r="G3016" s="48"/>
      <c r="H3016" s="48"/>
      <c r="I3016" s="48"/>
    </row>
    <row r="3017" spans="1:9" hidden="1" x14ac:dyDescent="0.2">
      <c r="A3017" s="46"/>
      <c r="B3017" s="46"/>
      <c r="C3017" s="46"/>
      <c r="D3017" s="48"/>
      <c r="E3017" s="48"/>
      <c r="F3017" s="48"/>
      <c r="G3017" s="48"/>
      <c r="H3017" s="48"/>
      <c r="I3017" s="48"/>
    </row>
    <row r="3018" spans="1:9" hidden="1" x14ac:dyDescent="0.2">
      <c r="A3018" s="46"/>
      <c r="B3018" s="46"/>
      <c r="C3018" s="46"/>
      <c r="D3018" s="48"/>
      <c r="E3018" s="48"/>
      <c r="F3018" s="48"/>
      <c r="G3018" s="48"/>
      <c r="H3018" s="48"/>
      <c r="I3018" s="48"/>
    </row>
    <row r="3019" spans="1:9" hidden="1" x14ac:dyDescent="0.2">
      <c r="A3019" s="46"/>
      <c r="B3019" s="46"/>
      <c r="C3019" s="46"/>
      <c r="D3019" s="48"/>
      <c r="E3019" s="48"/>
      <c r="F3019" s="48"/>
      <c r="G3019" s="48"/>
      <c r="H3019" s="48"/>
      <c r="I3019" s="48"/>
    </row>
    <row r="3020" spans="1:9" hidden="1" x14ac:dyDescent="0.2">
      <c r="A3020" s="46"/>
      <c r="B3020" s="46"/>
      <c r="C3020" s="46"/>
      <c r="D3020" s="48"/>
      <c r="E3020" s="48"/>
      <c r="F3020" s="48"/>
      <c r="G3020" s="48"/>
      <c r="H3020" s="48"/>
      <c r="I3020" s="48"/>
    </row>
    <row r="3021" spans="1:9" hidden="1" x14ac:dyDescent="0.2">
      <c r="A3021" s="46"/>
      <c r="B3021" s="46"/>
      <c r="C3021" s="46"/>
      <c r="D3021" s="48"/>
      <c r="E3021" s="48"/>
      <c r="F3021" s="48"/>
      <c r="G3021" s="48"/>
      <c r="H3021" s="48"/>
      <c r="I3021" s="48"/>
    </row>
    <row r="3022" spans="1:9" hidden="1" x14ac:dyDescent="0.2">
      <c r="A3022" s="46"/>
      <c r="B3022" s="46"/>
      <c r="C3022" s="46"/>
      <c r="D3022" s="48"/>
      <c r="E3022" s="48"/>
      <c r="F3022" s="48"/>
      <c r="G3022" s="48"/>
      <c r="H3022" s="48"/>
      <c r="I3022" s="48"/>
    </row>
    <row r="3023" spans="1:9" hidden="1" x14ac:dyDescent="0.2">
      <c r="A3023" s="46"/>
      <c r="B3023" s="46"/>
      <c r="C3023" s="46"/>
      <c r="D3023" s="48"/>
      <c r="E3023" s="48"/>
      <c r="F3023" s="48"/>
      <c r="G3023" s="48"/>
      <c r="H3023" s="48"/>
      <c r="I3023" s="48"/>
    </row>
    <row r="3024" spans="1:9" hidden="1" x14ac:dyDescent="0.2">
      <c r="A3024" s="46"/>
      <c r="B3024" s="46"/>
      <c r="C3024" s="46"/>
      <c r="D3024" s="48"/>
      <c r="E3024" s="48"/>
      <c r="F3024" s="48"/>
      <c r="G3024" s="48"/>
      <c r="H3024" s="48"/>
      <c r="I3024" s="48"/>
    </row>
    <row r="3025" spans="1:9" hidden="1" x14ac:dyDescent="0.2">
      <c r="A3025" s="46"/>
      <c r="B3025" s="46"/>
      <c r="C3025" s="46"/>
      <c r="D3025" s="48"/>
      <c r="E3025" s="48"/>
      <c r="F3025" s="48"/>
      <c r="G3025" s="48"/>
      <c r="H3025" s="48"/>
      <c r="I3025" s="48"/>
    </row>
    <row r="3026" spans="1:9" hidden="1" x14ac:dyDescent="0.2">
      <c r="A3026" s="46"/>
      <c r="B3026" s="46"/>
      <c r="C3026" s="46"/>
      <c r="D3026" s="48"/>
      <c r="E3026" s="48"/>
      <c r="F3026" s="48"/>
      <c r="G3026" s="48"/>
      <c r="H3026" s="48"/>
      <c r="I3026" s="48"/>
    </row>
    <row r="3027" spans="1:9" hidden="1" x14ac:dyDescent="0.2">
      <c r="A3027" s="46"/>
      <c r="B3027" s="46"/>
      <c r="C3027" s="46"/>
      <c r="D3027" s="48"/>
      <c r="E3027" s="48"/>
      <c r="F3027" s="48"/>
      <c r="G3027" s="48"/>
      <c r="H3027" s="48"/>
      <c r="I3027" s="48"/>
    </row>
    <row r="3028" spans="1:9" hidden="1" x14ac:dyDescent="0.2">
      <c r="A3028" s="46"/>
      <c r="B3028" s="46"/>
      <c r="C3028" s="46"/>
      <c r="D3028" s="48"/>
      <c r="E3028" s="48"/>
      <c r="F3028" s="48"/>
      <c r="G3028" s="48"/>
      <c r="H3028" s="48"/>
      <c r="I3028" s="48"/>
    </row>
    <row r="3029" spans="1:9" hidden="1" x14ac:dyDescent="0.2">
      <c r="A3029" s="46"/>
      <c r="B3029" s="46"/>
      <c r="C3029" s="46"/>
      <c r="D3029" s="48"/>
      <c r="E3029" s="48"/>
      <c r="F3029" s="48"/>
      <c r="G3029" s="48"/>
      <c r="H3029" s="48"/>
      <c r="I3029" s="48"/>
    </row>
    <row r="3030" spans="1:9" hidden="1" x14ac:dyDescent="0.2">
      <c r="A3030" s="46"/>
      <c r="B3030" s="46"/>
      <c r="C3030" s="46"/>
      <c r="D3030" s="48"/>
      <c r="E3030" s="48"/>
      <c r="F3030" s="48"/>
      <c r="G3030" s="48"/>
      <c r="H3030" s="48"/>
      <c r="I3030" s="48"/>
    </row>
    <row r="3031" spans="1:9" hidden="1" x14ac:dyDescent="0.2">
      <c r="A3031" s="46"/>
      <c r="B3031" s="46"/>
      <c r="C3031" s="46"/>
      <c r="D3031" s="48"/>
      <c r="E3031" s="48"/>
      <c r="F3031" s="48"/>
      <c r="G3031" s="48"/>
      <c r="H3031" s="48"/>
      <c r="I3031" s="48"/>
    </row>
    <row r="3032" spans="1:9" hidden="1" x14ac:dyDescent="0.2">
      <c r="A3032" s="46"/>
      <c r="B3032" s="46"/>
      <c r="C3032" s="46"/>
      <c r="D3032" s="48"/>
      <c r="E3032" s="48"/>
      <c r="F3032" s="48"/>
      <c r="G3032" s="48"/>
      <c r="H3032" s="48"/>
      <c r="I3032" s="48"/>
    </row>
    <row r="3033" spans="1:9" hidden="1" x14ac:dyDescent="0.2">
      <c r="A3033" s="46"/>
      <c r="B3033" s="46"/>
      <c r="C3033" s="46"/>
      <c r="D3033" s="48"/>
      <c r="E3033" s="48"/>
      <c r="F3033" s="48"/>
      <c r="G3033" s="48"/>
      <c r="H3033" s="48"/>
      <c r="I3033" s="48"/>
    </row>
    <row r="3034" spans="1:9" hidden="1" x14ac:dyDescent="0.2">
      <c r="A3034" s="46"/>
      <c r="B3034" s="46"/>
      <c r="C3034" s="46"/>
      <c r="D3034" s="48"/>
      <c r="E3034" s="48"/>
      <c r="F3034" s="48"/>
      <c r="G3034" s="48"/>
      <c r="H3034" s="48"/>
      <c r="I3034" s="48"/>
    </row>
    <row r="3035" spans="1:9" hidden="1" x14ac:dyDescent="0.2">
      <c r="A3035" s="46"/>
      <c r="B3035" s="46"/>
      <c r="C3035" s="46"/>
      <c r="D3035" s="48"/>
      <c r="E3035" s="48"/>
      <c r="F3035" s="48"/>
      <c r="G3035" s="48"/>
      <c r="H3035" s="48"/>
      <c r="I3035" s="48"/>
    </row>
    <row r="3036" spans="1:9" hidden="1" x14ac:dyDescent="0.2">
      <c r="A3036" s="46"/>
      <c r="B3036" s="46"/>
      <c r="C3036" s="46"/>
      <c r="D3036" s="48"/>
      <c r="E3036" s="48"/>
      <c r="F3036" s="48"/>
      <c r="G3036" s="48"/>
      <c r="H3036" s="48"/>
      <c r="I3036" s="48"/>
    </row>
    <row r="3037" spans="1:9" hidden="1" x14ac:dyDescent="0.2">
      <c r="A3037" s="46"/>
      <c r="B3037" s="46"/>
      <c r="C3037" s="46"/>
      <c r="D3037" s="48"/>
      <c r="E3037" s="48"/>
      <c r="F3037" s="48"/>
      <c r="G3037" s="48"/>
      <c r="H3037" s="48"/>
      <c r="I3037" s="48"/>
    </row>
    <row r="3038" spans="1:9" hidden="1" x14ac:dyDescent="0.2">
      <c r="A3038" s="46"/>
      <c r="B3038" s="46"/>
      <c r="C3038" s="46"/>
      <c r="D3038" s="48"/>
      <c r="E3038" s="48"/>
      <c r="F3038" s="48"/>
      <c r="G3038" s="48"/>
      <c r="H3038" s="48"/>
      <c r="I3038" s="48"/>
    </row>
    <row r="3039" spans="1:9" hidden="1" x14ac:dyDescent="0.2">
      <c r="A3039" s="46"/>
      <c r="B3039" s="46"/>
      <c r="C3039" s="46"/>
      <c r="D3039" s="48"/>
      <c r="E3039" s="48"/>
      <c r="F3039" s="48"/>
      <c r="G3039" s="48"/>
      <c r="H3039" s="48"/>
      <c r="I3039" s="48"/>
    </row>
    <row r="3040" spans="1:9" hidden="1" x14ac:dyDescent="0.2">
      <c r="A3040" s="46"/>
      <c r="B3040" s="46"/>
      <c r="C3040" s="46"/>
      <c r="D3040" s="48"/>
      <c r="E3040" s="48"/>
      <c r="F3040" s="48"/>
      <c r="G3040" s="48"/>
      <c r="H3040" s="48"/>
      <c r="I3040" s="48"/>
    </row>
    <row r="3041" spans="1:9" hidden="1" x14ac:dyDescent="0.2">
      <c r="A3041" s="46"/>
      <c r="B3041" s="46"/>
      <c r="C3041" s="46"/>
      <c r="D3041" s="48"/>
      <c r="E3041" s="48"/>
      <c r="F3041" s="48"/>
      <c r="G3041" s="48"/>
      <c r="H3041" s="48"/>
      <c r="I3041" s="48"/>
    </row>
    <row r="3042" spans="1:9" hidden="1" x14ac:dyDescent="0.2">
      <c r="A3042" s="46"/>
      <c r="B3042" s="46"/>
      <c r="C3042" s="46"/>
      <c r="D3042" s="48"/>
      <c r="E3042" s="48"/>
      <c r="F3042" s="48"/>
      <c r="G3042" s="48"/>
      <c r="H3042" s="48"/>
      <c r="I3042" s="48"/>
    </row>
    <row r="3043" spans="1:9" hidden="1" x14ac:dyDescent="0.2">
      <c r="A3043" s="46"/>
      <c r="B3043" s="46"/>
      <c r="C3043" s="46"/>
      <c r="D3043" s="48"/>
      <c r="E3043" s="48"/>
      <c r="F3043" s="48"/>
      <c r="G3043" s="48"/>
      <c r="H3043" s="48"/>
      <c r="I3043" s="48"/>
    </row>
    <row r="3044" spans="1:9" hidden="1" x14ac:dyDescent="0.2">
      <c r="A3044" s="46"/>
      <c r="B3044" s="46"/>
      <c r="C3044" s="46"/>
      <c r="D3044" s="48"/>
      <c r="E3044" s="48"/>
      <c r="F3044" s="48"/>
      <c r="G3044" s="48"/>
      <c r="H3044" s="48"/>
      <c r="I3044" s="48"/>
    </row>
    <row r="3045" spans="1:9" hidden="1" x14ac:dyDescent="0.2">
      <c r="A3045" s="46"/>
      <c r="B3045" s="46"/>
      <c r="C3045" s="46"/>
      <c r="D3045" s="48"/>
      <c r="E3045" s="48"/>
      <c r="F3045" s="48"/>
      <c r="G3045" s="48"/>
      <c r="H3045" s="48"/>
      <c r="I3045" s="48"/>
    </row>
    <row r="3046" spans="1:9" hidden="1" x14ac:dyDescent="0.2">
      <c r="A3046" s="46"/>
      <c r="B3046" s="46"/>
      <c r="C3046" s="46"/>
      <c r="D3046" s="48"/>
      <c r="E3046" s="48"/>
      <c r="F3046" s="48"/>
      <c r="G3046" s="48"/>
      <c r="H3046" s="48"/>
      <c r="I3046" s="48"/>
    </row>
    <row r="3047" spans="1:9" hidden="1" x14ac:dyDescent="0.2">
      <c r="A3047" s="46"/>
      <c r="B3047" s="46"/>
      <c r="C3047" s="46"/>
      <c r="D3047" s="48"/>
      <c r="E3047" s="48"/>
      <c r="F3047" s="48"/>
      <c r="G3047" s="48"/>
      <c r="H3047" s="48"/>
      <c r="I3047" s="48"/>
    </row>
    <row r="3048" spans="1:9" hidden="1" x14ac:dyDescent="0.2">
      <c r="A3048" s="46"/>
      <c r="B3048" s="46"/>
      <c r="C3048" s="46"/>
      <c r="D3048" s="48"/>
      <c r="E3048" s="48"/>
      <c r="F3048" s="48"/>
      <c r="G3048" s="48"/>
      <c r="H3048" s="48"/>
      <c r="I3048" s="48"/>
    </row>
    <row r="3049" spans="1:9" hidden="1" x14ac:dyDescent="0.2">
      <c r="A3049" s="46"/>
      <c r="B3049" s="46"/>
      <c r="C3049" s="46"/>
      <c r="D3049" s="48"/>
      <c r="E3049" s="48"/>
      <c r="F3049" s="48"/>
      <c r="G3049" s="48"/>
      <c r="H3049" s="48"/>
      <c r="I3049" s="48"/>
    </row>
    <row r="3050" spans="1:9" hidden="1" x14ac:dyDescent="0.2">
      <c r="A3050" s="46"/>
      <c r="B3050" s="46"/>
      <c r="C3050" s="46"/>
      <c r="D3050" s="48"/>
      <c r="E3050" s="48"/>
      <c r="F3050" s="48"/>
      <c r="G3050" s="48"/>
      <c r="H3050" s="48"/>
      <c r="I3050" s="48"/>
    </row>
    <row r="3051" spans="1:9" hidden="1" x14ac:dyDescent="0.2">
      <c r="A3051" s="46"/>
      <c r="B3051" s="46"/>
      <c r="C3051" s="46"/>
      <c r="D3051" s="48"/>
      <c r="E3051" s="48"/>
      <c r="F3051" s="48"/>
      <c r="G3051" s="48"/>
      <c r="H3051" s="48"/>
      <c r="I3051" s="48"/>
    </row>
    <row r="3052" spans="1:9" hidden="1" x14ac:dyDescent="0.2">
      <c r="A3052" s="46"/>
      <c r="B3052" s="46"/>
      <c r="C3052" s="46"/>
      <c r="D3052" s="48"/>
      <c r="E3052" s="48"/>
      <c r="F3052" s="48"/>
      <c r="G3052" s="48"/>
      <c r="H3052" s="48"/>
      <c r="I3052" s="48"/>
    </row>
    <row r="3053" spans="1:9" hidden="1" x14ac:dyDescent="0.2">
      <c r="A3053" s="46"/>
      <c r="B3053" s="46"/>
      <c r="C3053" s="46"/>
      <c r="D3053" s="48"/>
      <c r="E3053" s="48"/>
      <c r="F3053" s="48"/>
      <c r="G3053" s="48"/>
      <c r="H3053" s="48"/>
      <c r="I3053" s="48"/>
    </row>
    <row r="3054" spans="1:9" hidden="1" x14ac:dyDescent="0.2">
      <c r="A3054" s="46"/>
      <c r="B3054" s="46"/>
      <c r="C3054" s="46"/>
      <c r="D3054" s="48"/>
      <c r="E3054" s="48"/>
      <c r="F3054" s="48"/>
      <c r="G3054" s="48"/>
      <c r="H3054" s="48"/>
      <c r="I3054" s="48"/>
    </row>
    <row r="3055" spans="1:9" hidden="1" x14ac:dyDescent="0.2">
      <c r="A3055" s="46"/>
      <c r="B3055" s="46"/>
      <c r="C3055" s="46"/>
      <c r="D3055" s="48"/>
      <c r="E3055" s="48"/>
      <c r="F3055" s="48"/>
      <c r="G3055" s="48"/>
      <c r="H3055" s="48"/>
      <c r="I3055" s="48"/>
    </row>
    <row r="3056" spans="1:9" hidden="1" x14ac:dyDescent="0.2">
      <c r="A3056" s="46"/>
      <c r="B3056" s="46"/>
      <c r="C3056" s="46"/>
      <c r="D3056" s="48"/>
      <c r="E3056" s="48"/>
      <c r="F3056" s="48"/>
      <c r="G3056" s="48"/>
      <c r="H3056" s="48"/>
      <c r="I3056" s="48"/>
    </row>
    <row r="3057" spans="1:9" hidden="1" x14ac:dyDescent="0.2">
      <c r="A3057" s="46"/>
      <c r="B3057" s="46"/>
      <c r="C3057" s="46"/>
      <c r="D3057" s="48"/>
      <c r="E3057" s="48"/>
      <c r="F3057" s="48"/>
      <c r="G3057" s="48"/>
      <c r="H3057" s="48"/>
      <c r="I3057" s="48"/>
    </row>
    <row r="3058" spans="1:9" hidden="1" x14ac:dyDescent="0.2">
      <c r="A3058" s="46"/>
      <c r="B3058" s="46"/>
      <c r="C3058" s="46"/>
      <c r="D3058" s="48"/>
      <c r="E3058" s="48"/>
      <c r="F3058" s="48"/>
      <c r="G3058" s="48"/>
      <c r="H3058" s="48"/>
      <c r="I3058" s="48"/>
    </row>
    <row r="3059" spans="1:9" hidden="1" x14ac:dyDescent="0.2">
      <c r="A3059" s="46"/>
      <c r="B3059" s="46"/>
      <c r="C3059" s="46"/>
      <c r="D3059" s="48"/>
      <c r="E3059" s="48"/>
      <c r="F3059" s="48"/>
      <c r="G3059" s="48"/>
      <c r="H3059" s="48"/>
      <c r="I3059" s="48"/>
    </row>
    <row r="3060" spans="1:9" hidden="1" x14ac:dyDescent="0.2">
      <c r="A3060" s="46"/>
      <c r="B3060" s="46"/>
      <c r="C3060" s="46"/>
      <c r="D3060" s="48"/>
      <c r="E3060" s="48"/>
      <c r="F3060" s="48"/>
      <c r="G3060" s="48"/>
      <c r="H3060" s="48"/>
      <c r="I3060" s="48"/>
    </row>
    <row r="3061" spans="1:9" hidden="1" x14ac:dyDescent="0.2">
      <c r="A3061" s="46"/>
      <c r="B3061" s="46"/>
      <c r="C3061" s="46"/>
      <c r="D3061" s="48"/>
      <c r="E3061" s="48"/>
      <c r="F3061" s="48"/>
      <c r="G3061" s="48"/>
      <c r="H3061" s="48"/>
      <c r="I3061" s="48"/>
    </row>
    <row r="3062" spans="1:9" hidden="1" x14ac:dyDescent="0.2">
      <c r="A3062" s="46"/>
      <c r="B3062" s="46"/>
      <c r="C3062" s="46"/>
      <c r="D3062" s="48"/>
      <c r="E3062" s="48"/>
      <c r="F3062" s="48"/>
      <c r="G3062" s="48"/>
      <c r="H3062" s="48"/>
      <c r="I3062" s="48"/>
    </row>
    <row r="3063" spans="1:9" hidden="1" x14ac:dyDescent="0.2">
      <c r="A3063" s="46"/>
      <c r="B3063" s="46"/>
      <c r="C3063" s="46"/>
      <c r="D3063" s="48"/>
      <c r="E3063" s="48"/>
      <c r="F3063" s="48"/>
      <c r="G3063" s="48"/>
      <c r="H3063" s="48"/>
      <c r="I3063" s="48"/>
    </row>
    <row r="3064" spans="1:9" hidden="1" x14ac:dyDescent="0.2">
      <c r="A3064" s="46"/>
      <c r="B3064" s="46"/>
      <c r="C3064" s="46"/>
      <c r="D3064" s="48"/>
      <c r="E3064" s="48"/>
      <c r="F3064" s="48"/>
      <c r="G3064" s="48"/>
      <c r="H3064" s="48"/>
      <c r="I3064" s="48"/>
    </row>
    <row r="3065" spans="1:9" hidden="1" x14ac:dyDescent="0.2">
      <c r="A3065" s="46"/>
      <c r="B3065" s="46"/>
      <c r="C3065" s="46"/>
      <c r="D3065" s="48"/>
      <c r="E3065" s="48"/>
      <c r="F3065" s="48"/>
      <c r="G3065" s="48"/>
      <c r="H3065" s="48"/>
      <c r="I3065" s="48"/>
    </row>
    <row r="3066" spans="1:9" hidden="1" x14ac:dyDescent="0.2">
      <c r="A3066" s="46"/>
      <c r="B3066" s="46"/>
      <c r="C3066" s="46"/>
      <c r="D3066" s="48"/>
      <c r="E3066" s="48"/>
      <c r="F3066" s="48"/>
      <c r="G3066" s="48"/>
      <c r="H3066" s="48"/>
      <c r="I3066" s="48"/>
    </row>
    <row r="3067" spans="1:9" hidden="1" x14ac:dyDescent="0.2">
      <c r="A3067" s="46"/>
      <c r="B3067" s="46"/>
      <c r="C3067" s="46"/>
      <c r="D3067" s="48"/>
      <c r="E3067" s="48"/>
      <c r="F3067" s="48"/>
      <c r="G3067" s="48"/>
      <c r="H3067" s="48"/>
      <c r="I3067" s="48"/>
    </row>
    <row r="3068" spans="1:9" hidden="1" x14ac:dyDescent="0.2">
      <c r="A3068" s="46"/>
      <c r="B3068" s="46"/>
      <c r="C3068" s="46"/>
      <c r="D3068" s="48"/>
      <c r="E3068" s="48"/>
      <c r="F3068" s="48"/>
      <c r="G3068" s="48"/>
      <c r="H3068" s="48"/>
      <c r="I3068" s="48"/>
    </row>
    <row r="3069" spans="1:9" hidden="1" x14ac:dyDescent="0.2">
      <c r="A3069" s="46"/>
      <c r="B3069" s="46"/>
      <c r="C3069" s="46"/>
      <c r="D3069" s="48"/>
      <c r="E3069" s="48"/>
      <c r="F3069" s="48"/>
      <c r="G3069" s="48"/>
      <c r="H3069" s="48"/>
      <c r="I3069" s="48"/>
    </row>
    <row r="3070" spans="1:9" hidden="1" x14ac:dyDescent="0.2">
      <c r="A3070" s="46"/>
      <c r="B3070" s="46"/>
      <c r="C3070" s="46"/>
      <c r="D3070" s="48"/>
      <c r="E3070" s="48"/>
      <c r="F3070" s="48"/>
      <c r="G3070" s="48"/>
      <c r="H3070" s="48"/>
      <c r="I3070" s="48"/>
    </row>
    <row r="3071" spans="1:9" hidden="1" x14ac:dyDescent="0.2">
      <c r="A3071" s="46"/>
      <c r="B3071" s="46"/>
      <c r="C3071" s="46"/>
      <c r="D3071" s="48"/>
      <c r="E3071" s="48"/>
      <c r="F3071" s="48"/>
      <c r="G3071" s="48"/>
      <c r="H3071" s="48"/>
      <c r="I3071" s="48"/>
    </row>
    <row r="3072" spans="1:9" hidden="1" x14ac:dyDescent="0.2">
      <c r="A3072" s="46"/>
      <c r="B3072" s="46"/>
      <c r="C3072" s="46"/>
      <c r="D3072" s="48"/>
      <c r="E3072" s="48"/>
      <c r="F3072" s="48"/>
      <c r="G3072" s="48"/>
      <c r="H3072" s="48"/>
      <c r="I3072" s="48"/>
    </row>
    <row r="3073" spans="1:9" hidden="1" x14ac:dyDescent="0.2">
      <c r="A3073" s="46"/>
      <c r="B3073" s="46"/>
      <c r="C3073" s="46"/>
      <c r="D3073" s="48"/>
      <c r="E3073" s="48"/>
      <c r="F3073" s="48"/>
      <c r="G3073" s="48"/>
      <c r="H3073" s="48"/>
      <c r="I3073" s="48"/>
    </row>
    <row r="3074" spans="1:9" hidden="1" x14ac:dyDescent="0.2">
      <c r="A3074" s="46"/>
      <c r="B3074" s="46"/>
      <c r="C3074" s="46"/>
      <c r="D3074" s="48"/>
      <c r="E3074" s="48"/>
      <c r="F3074" s="48"/>
      <c r="G3074" s="48"/>
      <c r="H3074" s="48"/>
      <c r="I3074" s="48"/>
    </row>
    <row r="3075" spans="1:9" hidden="1" x14ac:dyDescent="0.2">
      <c r="A3075" s="46"/>
      <c r="B3075" s="46"/>
      <c r="C3075" s="46"/>
      <c r="D3075" s="48"/>
      <c r="E3075" s="48"/>
      <c r="F3075" s="48"/>
      <c r="G3075" s="48"/>
      <c r="H3075" s="48"/>
      <c r="I3075" s="48"/>
    </row>
    <row r="3076" spans="1:9" hidden="1" x14ac:dyDescent="0.2">
      <c r="A3076" s="46"/>
      <c r="B3076" s="46"/>
      <c r="C3076" s="46"/>
      <c r="D3076" s="48"/>
      <c r="E3076" s="48"/>
      <c r="F3076" s="48"/>
      <c r="G3076" s="48"/>
      <c r="H3076" s="48"/>
      <c r="I3076" s="48"/>
    </row>
    <row r="3077" spans="1:9" hidden="1" x14ac:dyDescent="0.2">
      <c r="A3077" s="46"/>
      <c r="B3077" s="46"/>
      <c r="C3077" s="46"/>
      <c r="D3077" s="48"/>
      <c r="E3077" s="48"/>
      <c r="F3077" s="48"/>
      <c r="G3077" s="48"/>
      <c r="H3077" s="48"/>
      <c r="I3077" s="48"/>
    </row>
    <row r="3078" spans="1:9" hidden="1" x14ac:dyDescent="0.2">
      <c r="A3078" s="46"/>
      <c r="B3078" s="46"/>
      <c r="C3078" s="46"/>
      <c r="D3078" s="48"/>
      <c r="E3078" s="48"/>
      <c r="F3078" s="48"/>
      <c r="G3078" s="48"/>
      <c r="H3078" s="48"/>
      <c r="I3078" s="48"/>
    </row>
    <row r="3079" spans="1:9" hidden="1" x14ac:dyDescent="0.2">
      <c r="A3079" s="46"/>
      <c r="B3079" s="46"/>
      <c r="C3079" s="46"/>
      <c r="D3079" s="48"/>
      <c r="E3079" s="48"/>
      <c r="F3079" s="48"/>
      <c r="G3079" s="48"/>
      <c r="H3079" s="48"/>
      <c r="I3079" s="48"/>
    </row>
    <row r="3080" spans="1:9" hidden="1" x14ac:dyDescent="0.2">
      <c r="A3080" s="46"/>
      <c r="B3080" s="46"/>
      <c r="C3080" s="46"/>
      <c r="D3080" s="48"/>
      <c r="E3080" s="48"/>
      <c r="F3080" s="48"/>
      <c r="G3080" s="48"/>
      <c r="H3080" s="48"/>
      <c r="I3080" s="48"/>
    </row>
    <row r="3081" spans="1:9" hidden="1" x14ac:dyDescent="0.2">
      <c r="A3081" s="46"/>
      <c r="B3081" s="46"/>
      <c r="C3081" s="46"/>
      <c r="D3081" s="48"/>
      <c r="E3081" s="48"/>
      <c r="F3081" s="48"/>
      <c r="G3081" s="48"/>
      <c r="H3081" s="48"/>
      <c r="I3081" s="48"/>
    </row>
    <row r="3082" spans="1:9" hidden="1" x14ac:dyDescent="0.2">
      <c r="A3082" s="46"/>
      <c r="B3082" s="46"/>
      <c r="C3082" s="46"/>
      <c r="D3082" s="48"/>
      <c r="E3082" s="48"/>
      <c r="F3082" s="48"/>
      <c r="G3082" s="48"/>
      <c r="H3082" s="48"/>
      <c r="I3082" s="48"/>
    </row>
    <row r="3083" spans="1:9" hidden="1" x14ac:dyDescent="0.2">
      <c r="A3083" s="46"/>
      <c r="B3083" s="46"/>
      <c r="C3083" s="46"/>
      <c r="D3083" s="48"/>
      <c r="E3083" s="48"/>
      <c r="F3083" s="48"/>
      <c r="G3083" s="48"/>
      <c r="H3083" s="48"/>
      <c r="I3083" s="48"/>
    </row>
    <row r="3084" spans="1:9" hidden="1" x14ac:dyDescent="0.2">
      <c r="A3084" s="46"/>
      <c r="B3084" s="46"/>
      <c r="C3084" s="46"/>
      <c r="D3084" s="48"/>
      <c r="E3084" s="48"/>
      <c r="F3084" s="48"/>
      <c r="G3084" s="48"/>
      <c r="H3084" s="48"/>
      <c r="I3084" s="48"/>
    </row>
    <row r="3085" spans="1:9" hidden="1" x14ac:dyDescent="0.2">
      <c r="A3085" s="46"/>
      <c r="B3085" s="46"/>
      <c r="C3085" s="46"/>
      <c r="D3085" s="48"/>
      <c r="E3085" s="48"/>
      <c r="F3085" s="48"/>
      <c r="G3085" s="48"/>
      <c r="H3085" s="48"/>
      <c r="I3085" s="48"/>
    </row>
    <row r="3086" spans="1:9" hidden="1" x14ac:dyDescent="0.2">
      <c r="A3086" s="46"/>
      <c r="B3086" s="46"/>
      <c r="C3086" s="46"/>
      <c r="D3086" s="48"/>
      <c r="E3086" s="48"/>
      <c r="F3086" s="48"/>
      <c r="G3086" s="48"/>
      <c r="H3086" s="48"/>
      <c r="I3086" s="48"/>
    </row>
    <row r="3087" spans="1:9" hidden="1" x14ac:dyDescent="0.2">
      <c r="A3087" s="46"/>
      <c r="B3087" s="46"/>
      <c r="C3087" s="46"/>
      <c r="D3087" s="48"/>
      <c r="E3087" s="48"/>
      <c r="F3087" s="48"/>
      <c r="G3087" s="48"/>
      <c r="H3087" s="48"/>
      <c r="I3087" s="48"/>
    </row>
    <row r="3088" spans="1:9" hidden="1" x14ac:dyDescent="0.2">
      <c r="A3088" s="46"/>
      <c r="B3088" s="46"/>
      <c r="C3088" s="46"/>
      <c r="D3088" s="48"/>
      <c r="E3088" s="48"/>
      <c r="F3088" s="48"/>
      <c r="G3088" s="48"/>
      <c r="H3088" s="48"/>
      <c r="I3088" s="48"/>
    </row>
    <row r="3089" spans="1:9" hidden="1" x14ac:dyDescent="0.2">
      <c r="A3089" s="46"/>
      <c r="B3089" s="46"/>
      <c r="C3089" s="46"/>
      <c r="D3089" s="48"/>
      <c r="E3089" s="48"/>
      <c r="F3089" s="48"/>
      <c r="G3089" s="48"/>
      <c r="H3089" s="48"/>
      <c r="I3089" s="48"/>
    </row>
    <row r="3090" spans="1:9" hidden="1" x14ac:dyDescent="0.2">
      <c r="A3090" s="46"/>
      <c r="B3090" s="46"/>
      <c r="C3090" s="46"/>
      <c r="D3090" s="48"/>
      <c r="E3090" s="48"/>
      <c r="F3090" s="48"/>
      <c r="G3090" s="48"/>
      <c r="H3090" s="48"/>
      <c r="I3090" s="48"/>
    </row>
    <row r="3091" spans="1:9" hidden="1" x14ac:dyDescent="0.2">
      <c r="A3091" s="46"/>
      <c r="B3091" s="46"/>
      <c r="C3091" s="46"/>
      <c r="D3091" s="48"/>
      <c r="E3091" s="48"/>
      <c r="F3091" s="48"/>
      <c r="G3091" s="48"/>
      <c r="H3091" s="48"/>
      <c r="I3091" s="48"/>
    </row>
    <row r="3092" spans="1:9" hidden="1" x14ac:dyDescent="0.2">
      <c r="A3092" s="46"/>
      <c r="B3092" s="46"/>
      <c r="C3092" s="46"/>
      <c r="D3092" s="48"/>
      <c r="E3092" s="48"/>
      <c r="F3092" s="48"/>
      <c r="G3092" s="48"/>
      <c r="H3092" s="48"/>
      <c r="I3092" s="48"/>
    </row>
    <row r="3093" spans="1:9" hidden="1" x14ac:dyDescent="0.2">
      <c r="A3093" s="46"/>
      <c r="B3093" s="46"/>
      <c r="C3093" s="46"/>
      <c r="D3093" s="48"/>
      <c r="E3093" s="48"/>
      <c r="F3093" s="48"/>
      <c r="G3093" s="48"/>
      <c r="H3093" s="48"/>
      <c r="I3093" s="48"/>
    </row>
    <row r="3094" spans="1:9" hidden="1" x14ac:dyDescent="0.2">
      <c r="A3094" s="46"/>
      <c r="B3094" s="46"/>
      <c r="C3094" s="46"/>
      <c r="D3094" s="48"/>
      <c r="E3094" s="48"/>
      <c r="F3094" s="48"/>
      <c r="G3094" s="48"/>
      <c r="H3094" s="48"/>
      <c r="I3094" s="48"/>
    </row>
    <row r="3095" spans="1:9" hidden="1" x14ac:dyDescent="0.2">
      <c r="A3095" s="46"/>
      <c r="B3095" s="46"/>
      <c r="C3095" s="46"/>
      <c r="D3095" s="48"/>
      <c r="E3095" s="48"/>
      <c r="F3095" s="48"/>
      <c r="G3095" s="48"/>
      <c r="H3095" s="48"/>
      <c r="I3095" s="48"/>
    </row>
    <row r="3096" spans="1:9" hidden="1" x14ac:dyDescent="0.2">
      <c r="A3096" s="46"/>
      <c r="B3096" s="46"/>
      <c r="C3096" s="46"/>
      <c r="D3096" s="48"/>
      <c r="E3096" s="48"/>
      <c r="F3096" s="48"/>
      <c r="G3096" s="48"/>
      <c r="H3096" s="48"/>
      <c r="I3096" s="48"/>
    </row>
    <row r="3097" spans="1:9" hidden="1" x14ac:dyDescent="0.2">
      <c r="A3097" s="46"/>
      <c r="B3097" s="46"/>
      <c r="C3097" s="46"/>
      <c r="D3097" s="48"/>
      <c r="E3097" s="48"/>
      <c r="F3097" s="48"/>
      <c r="G3097" s="48"/>
      <c r="H3097" s="48"/>
      <c r="I3097" s="48"/>
    </row>
    <row r="3098" spans="1:9" hidden="1" x14ac:dyDescent="0.2">
      <c r="A3098" s="46"/>
      <c r="B3098" s="46"/>
      <c r="C3098" s="46"/>
      <c r="D3098" s="48"/>
      <c r="E3098" s="48"/>
      <c r="F3098" s="48"/>
      <c r="G3098" s="48"/>
      <c r="H3098" s="48"/>
      <c r="I3098" s="48"/>
    </row>
    <row r="3099" spans="1:9" hidden="1" x14ac:dyDescent="0.2">
      <c r="A3099" s="46"/>
      <c r="B3099" s="46"/>
      <c r="C3099" s="46"/>
      <c r="D3099" s="48"/>
      <c r="E3099" s="48"/>
      <c r="F3099" s="48"/>
      <c r="G3099" s="48"/>
      <c r="H3099" s="48"/>
      <c r="I3099" s="48"/>
    </row>
    <row r="3100" spans="1:9" hidden="1" x14ac:dyDescent="0.2">
      <c r="A3100" s="46"/>
      <c r="B3100" s="46"/>
      <c r="C3100" s="46"/>
      <c r="D3100" s="48"/>
      <c r="E3100" s="48"/>
      <c r="F3100" s="48"/>
      <c r="G3100" s="48"/>
      <c r="H3100" s="48"/>
      <c r="I3100" s="48"/>
    </row>
    <row r="3101" spans="1:9" hidden="1" x14ac:dyDescent="0.2">
      <c r="A3101" s="46"/>
      <c r="B3101" s="46"/>
      <c r="C3101" s="46"/>
      <c r="D3101" s="48"/>
      <c r="E3101" s="48"/>
      <c r="F3101" s="48"/>
      <c r="G3101" s="48"/>
      <c r="H3101" s="48"/>
      <c r="I3101" s="48"/>
    </row>
    <row r="3102" spans="1:9" hidden="1" x14ac:dyDescent="0.2">
      <c r="A3102" s="46"/>
      <c r="B3102" s="46"/>
      <c r="C3102" s="46"/>
      <c r="D3102" s="48"/>
      <c r="E3102" s="48"/>
      <c r="F3102" s="48"/>
      <c r="G3102" s="48"/>
      <c r="H3102" s="48"/>
      <c r="I3102" s="48"/>
    </row>
    <row r="3103" spans="1:9" hidden="1" x14ac:dyDescent="0.2">
      <c r="A3103" s="46"/>
      <c r="B3103" s="46"/>
      <c r="C3103" s="46"/>
      <c r="D3103" s="48"/>
      <c r="E3103" s="48"/>
      <c r="F3103" s="48"/>
      <c r="G3103" s="48"/>
      <c r="H3103" s="48"/>
      <c r="I3103" s="48"/>
    </row>
    <row r="3104" spans="1:9" hidden="1" x14ac:dyDescent="0.2">
      <c r="A3104" s="46"/>
      <c r="B3104" s="46"/>
      <c r="C3104" s="46"/>
      <c r="D3104" s="48"/>
      <c r="E3104" s="48"/>
      <c r="F3104" s="48"/>
      <c r="G3104" s="48"/>
      <c r="H3104" s="48"/>
      <c r="I3104" s="48"/>
    </row>
    <row r="3105" spans="1:9" hidden="1" x14ac:dyDescent="0.2">
      <c r="A3105" s="46"/>
      <c r="B3105" s="46"/>
      <c r="C3105" s="46"/>
      <c r="D3105" s="48"/>
      <c r="E3105" s="48"/>
      <c r="F3105" s="48"/>
      <c r="G3105" s="48"/>
      <c r="H3105" s="48"/>
      <c r="I3105" s="48"/>
    </row>
    <row r="3106" spans="1:9" hidden="1" x14ac:dyDescent="0.2">
      <c r="A3106" s="46"/>
      <c r="B3106" s="46"/>
      <c r="C3106" s="46"/>
      <c r="D3106" s="48"/>
      <c r="E3106" s="48"/>
      <c r="F3106" s="48"/>
      <c r="G3106" s="48"/>
      <c r="H3106" s="48"/>
      <c r="I3106" s="48"/>
    </row>
    <row r="3107" spans="1:9" hidden="1" x14ac:dyDescent="0.2">
      <c r="A3107" s="46"/>
      <c r="B3107" s="46"/>
      <c r="C3107" s="46"/>
      <c r="D3107" s="48"/>
      <c r="E3107" s="48"/>
      <c r="F3107" s="48"/>
      <c r="G3107" s="48"/>
      <c r="H3107" s="48"/>
      <c r="I3107" s="48"/>
    </row>
    <row r="3108" spans="1:9" hidden="1" x14ac:dyDescent="0.2">
      <c r="A3108" s="46"/>
      <c r="B3108" s="46"/>
      <c r="C3108" s="46"/>
      <c r="D3108" s="48"/>
      <c r="E3108" s="48"/>
      <c r="F3108" s="48"/>
      <c r="G3108" s="48"/>
      <c r="H3108" s="48"/>
      <c r="I3108" s="48"/>
    </row>
    <row r="3109" spans="1:9" hidden="1" x14ac:dyDescent="0.2">
      <c r="A3109" s="46"/>
      <c r="B3109" s="46"/>
      <c r="C3109" s="46"/>
      <c r="D3109" s="48"/>
      <c r="E3109" s="48"/>
      <c r="F3109" s="48"/>
      <c r="G3109" s="48"/>
      <c r="H3109" s="48"/>
      <c r="I3109" s="48"/>
    </row>
    <row r="3110" spans="1:9" hidden="1" x14ac:dyDescent="0.2">
      <c r="A3110" s="46"/>
      <c r="B3110" s="46"/>
      <c r="C3110" s="46"/>
      <c r="D3110" s="48"/>
      <c r="E3110" s="48"/>
      <c r="F3110" s="48"/>
      <c r="G3110" s="48"/>
      <c r="H3110" s="48"/>
      <c r="I3110" s="48"/>
    </row>
    <row r="3111" spans="1:9" hidden="1" x14ac:dyDescent="0.2">
      <c r="A3111" s="46"/>
      <c r="B3111" s="46"/>
      <c r="C3111" s="46"/>
      <c r="D3111" s="48"/>
      <c r="E3111" s="48"/>
      <c r="F3111" s="48"/>
      <c r="G3111" s="48"/>
      <c r="H3111" s="48"/>
      <c r="I3111" s="48"/>
    </row>
    <row r="3112" spans="1:9" hidden="1" x14ac:dyDescent="0.2">
      <c r="A3112" s="46"/>
      <c r="B3112" s="46"/>
      <c r="C3112" s="46"/>
      <c r="D3112" s="48"/>
      <c r="E3112" s="48"/>
      <c r="F3112" s="48"/>
      <c r="G3112" s="48"/>
      <c r="H3112" s="48"/>
      <c r="I3112" s="48"/>
    </row>
    <row r="3113" spans="1:9" hidden="1" x14ac:dyDescent="0.2">
      <c r="A3113" s="46"/>
      <c r="B3113" s="46"/>
      <c r="C3113" s="46"/>
      <c r="D3113" s="48"/>
      <c r="E3113" s="48"/>
      <c r="F3113" s="48"/>
      <c r="G3113" s="48"/>
      <c r="H3113" s="48"/>
      <c r="I3113" s="48"/>
    </row>
    <row r="3114" spans="1:9" hidden="1" x14ac:dyDescent="0.2">
      <c r="A3114" s="46"/>
      <c r="B3114" s="46"/>
      <c r="C3114" s="46"/>
      <c r="D3114" s="48"/>
      <c r="E3114" s="48"/>
      <c r="F3114" s="48"/>
      <c r="G3114" s="48"/>
      <c r="H3114" s="48"/>
      <c r="I3114" s="48"/>
    </row>
    <row r="3115" spans="1:9" hidden="1" x14ac:dyDescent="0.2">
      <c r="A3115" s="46"/>
      <c r="B3115" s="46"/>
      <c r="C3115" s="46"/>
      <c r="D3115" s="48"/>
      <c r="E3115" s="48"/>
      <c r="F3115" s="48"/>
      <c r="G3115" s="48"/>
      <c r="H3115" s="48"/>
      <c r="I3115" s="48"/>
    </row>
    <row r="3116" spans="1:9" hidden="1" x14ac:dyDescent="0.2">
      <c r="A3116" s="46"/>
      <c r="B3116" s="46"/>
      <c r="C3116" s="46"/>
      <c r="D3116" s="48"/>
      <c r="E3116" s="48"/>
      <c r="F3116" s="48"/>
      <c r="G3116" s="48"/>
      <c r="H3116" s="48"/>
      <c r="I3116" s="48"/>
    </row>
    <row r="3117" spans="1:9" hidden="1" x14ac:dyDescent="0.2">
      <c r="A3117" s="46"/>
      <c r="B3117" s="46"/>
      <c r="C3117" s="46"/>
      <c r="D3117" s="48"/>
      <c r="E3117" s="48"/>
      <c r="F3117" s="48"/>
      <c r="G3117" s="48"/>
      <c r="H3117" s="48"/>
      <c r="I3117" s="48"/>
    </row>
    <row r="3118" spans="1:9" hidden="1" x14ac:dyDescent="0.2">
      <c r="A3118" s="46"/>
      <c r="B3118" s="46"/>
      <c r="C3118" s="46"/>
      <c r="D3118" s="48"/>
      <c r="E3118" s="48"/>
      <c r="F3118" s="48"/>
      <c r="G3118" s="48"/>
      <c r="H3118" s="48"/>
      <c r="I3118" s="48"/>
    </row>
    <row r="3119" spans="1:9" hidden="1" x14ac:dyDescent="0.2">
      <c r="A3119" s="46"/>
      <c r="B3119" s="46"/>
      <c r="C3119" s="46"/>
      <c r="D3119" s="48"/>
      <c r="E3119" s="48"/>
      <c r="F3119" s="48"/>
      <c r="G3119" s="48"/>
      <c r="H3119" s="48"/>
      <c r="I3119" s="48"/>
    </row>
    <row r="3120" spans="1:9" hidden="1" x14ac:dyDescent="0.2">
      <c r="A3120" s="46"/>
      <c r="B3120" s="46"/>
      <c r="C3120" s="46"/>
      <c r="D3120" s="48"/>
      <c r="E3120" s="48"/>
      <c r="F3120" s="48"/>
      <c r="G3120" s="48"/>
      <c r="H3120" s="48"/>
      <c r="I3120" s="48"/>
    </row>
    <row r="3121" spans="1:9" hidden="1" x14ac:dyDescent="0.2">
      <c r="A3121" s="46"/>
      <c r="B3121" s="46"/>
      <c r="C3121" s="46"/>
      <c r="D3121" s="48"/>
      <c r="E3121" s="48"/>
      <c r="F3121" s="48"/>
      <c r="G3121" s="48"/>
      <c r="H3121" s="48"/>
      <c r="I3121" s="48"/>
    </row>
    <row r="3122" spans="1:9" hidden="1" x14ac:dyDescent="0.2">
      <c r="A3122" s="46"/>
      <c r="B3122" s="46"/>
      <c r="C3122" s="46"/>
      <c r="D3122" s="48"/>
      <c r="E3122" s="48"/>
      <c r="F3122" s="48"/>
      <c r="G3122" s="48"/>
      <c r="H3122" s="48"/>
      <c r="I3122" s="48"/>
    </row>
    <row r="3123" spans="1:9" hidden="1" x14ac:dyDescent="0.2">
      <c r="A3123" s="46"/>
      <c r="B3123" s="46"/>
      <c r="C3123" s="46"/>
      <c r="D3123" s="48"/>
      <c r="E3123" s="48"/>
      <c r="F3123" s="48"/>
      <c r="G3123" s="48"/>
      <c r="H3123" s="48"/>
      <c r="I3123" s="48"/>
    </row>
    <row r="3124" spans="1:9" hidden="1" x14ac:dyDescent="0.2">
      <c r="A3124" s="46"/>
      <c r="B3124" s="46"/>
      <c r="C3124" s="46"/>
      <c r="D3124" s="48"/>
      <c r="E3124" s="48"/>
      <c r="F3124" s="48"/>
      <c r="G3124" s="48"/>
      <c r="H3124" s="48"/>
      <c r="I3124" s="48"/>
    </row>
    <row r="3125" spans="1:9" hidden="1" x14ac:dyDescent="0.2">
      <c r="A3125" s="46"/>
      <c r="B3125" s="46"/>
      <c r="C3125" s="46"/>
      <c r="D3125" s="48"/>
      <c r="E3125" s="48"/>
      <c r="F3125" s="48"/>
      <c r="G3125" s="48"/>
      <c r="H3125" s="48"/>
      <c r="I3125" s="48"/>
    </row>
    <row r="3126" spans="1:9" hidden="1" x14ac:dyDescent="0.2">
      <c r="A3126" s="46"/>
      <c r="B3126" s="46"/>
      <c r="C3126" s="46"/>
      <c r="D3126" s="48"/>
      <c r="E3126" s="48"/>
      <c r="F3126" s="48"/>
      <c r="G3126" s="48"/>
      <c r="H3126" s="48"/>
      <c r="I3126" s="48"/>
    </row>
    <row r="3127" spans="1:9" hidden="1" x14ac:dyDescent="0.2">
      <c r="A3127" s="46"/>
      <c r="B3127" s="46"/>
      <c r="C3127" s="46"/>
      <c r="D3127" s="48"/>
      <c r="E3127" s="48"/>
      <c r="F3127" s="48"/>
      <c r="G3127" s="48"/>
      <c r="H3127" s="48"/>
      <c r="I3127" s="48"/>
    </row>
    <row r="3128" spans="1:9" hidden="1" x14ac:dyDescent="0.2">
      <c r="A3128" s="46"/>
      <c r="B3128" s="46"/>
      <c r="C3128" s="46"/>
      <c r="D3128" s="48"/>
      <c r="E3128" s="48"/>
      <c r="F3128" s="48"/>
      <c r="G3128" s="48"/>
      <c r="H3128" s="48"/>
      <c r="I3128" s="48"/>
    </row>
    <row r="3129" spans="1:9" hidden="1" x14ac:dyDescent="0.2">
      <c r="A3129" s="46"/>
      <c r="B3129" s="46"/>
      <c r="C3129" s="46"/>
      <c r="D3129" s="48"/>
      <c r="E3129" s="48"/>
      <c r="F3129" s="48"/>
      <c r="G3129" s="48"/>
      <c r="H3129" s="48"/>
      <c r="I3129" s="48"/>
    </row>
    <row r="3130" spans="1:9" hidden="1" x14ac:dyDescent="0.2">
      <c r="A3130" s="46"/>
      <c r="B3130" s="46"/>
      <c r="C3130" s="46"/>
      <c r="D3130" s="48"/>
      <c r="E3130" s="48"/>
      <c r="F3130" s="48"/>
      <c r="G3130" s="48"/>
      <c r="H3130" s="48"/>
      <c r="I3130" s="48"/>
    </row>
    <row r="3131" spans="1:9" hidden="1" x14ac:dyDescent="0.2">
      <c r="A3131" s="46"/>
      <c r="B3131" s="46"/>
      <c r="C3131" s="46"/>
      <c r="D3131" s="48"/>
      <c r="E3131" s="48"/>
      <c r="F3131" s="48"/>
      <c r="G3131" s="48"/>
      <c r="H3131" s="48"/>
      <c r="I3131" s="48"/>
    </row>
    <row r="3132" spans="1:9" hidden="1" x14ac:dyDescent="0.2">
      <c r="A3132" s="46"/>
      <c r="B3132" s="46"/>
      <c r="C3132" s="46"/>
      <c r="D3132" s="48"/>
      <c r="E3132" s="48"/>
      <c r="F3132" s="48"/>
      <c r="G3132" s="48"/>
      <c r="H3132" s="48"/>
      <c r="I3132" s="48"/>
    </row>
    <row r="3133" spans="1:9" hidden="1" x14ac:dyDescent="0.2">
      <c r="A3133" s="46"/>
      <c r="B3133" s="46"/>
      <c r="C3133" s="46"/>
      <c r="D3133" s="48"/>
      <c r="E3133" s="48"/>
      <c r="F3133" s="48"/>
      <c r="G3133" s="48"/>
      <c r="H3133" s="48"/>
      <c r="I3133" s="48"/>
    </row>
    <row r="3134" spans="1:9" hidden="1" x14ac:dyDescent="0.2">
      <c r="A3134" s="46"/>
      <c r="B3134" s="46"/>
      <c r="C3134" s="46"/>
      <c r="D3134" s="48"/>
      <c r="E3134" s="48"/>
      <c r="F3134" s="48"/>
      <c r="G3134" s="48"/>
      <c r="H3134" s="48"/>
      <c r="I3134" s="48"/>
    </row>
    <row r="3135" spans="1:9" hidden="1" x14ac:dyDescent="0.2">
      <c r="A3135" s="46"/>
      <c r="B3135" s="46"/>
      <c r="C3135" s="46"/>
      <c r="D3135" s="48"/>
      <c r="E3135" s="48"/>
      <c r="F3135" s="48"/>
      <c r="G3135" s="48"/>
      <c r="H3135" s="48"/>
      <c r="I3135" s="48"/>
    </row>
    <row r="3136" spans="1:9" hidden="1" x14ac:dyDescent="0.2">
      <c r="A3136" s="46"/>
      <c r="B3136" s="46"/>
      <c r="C3136" s="46"/>
      <c r="D3136" s="48"/>
      <c r="E3136" s="48"/>
      <c r="F3136" s="48"/>
      <c r="G3136" s="48"/>
      <c r="H3136" s="48"/>
      <c r="I3136" s="48"/>
    </row>
    <row r="3137" spans="1:9" hidden="1" x14ac:dyDescent="0.2">
      <c r="A3137" s="46"/>
      <c r="B3137" s="46"/>
      <c r="C3137" s="46"/>
      <c r="D3137" s="48"/>
      <c r="E3137" s="48"/>
      <c r="F3137" s="48"/>
      <c r="G3137" s="48"/>
      <c r="H3137" s="48"/>
      <c r="I3137" s="48"/>
    </row>
    <row r="3138" spans="1:9" hidden="1" x14ac:dyDescent="0.2">
      <c r="A3138" s="46"/>
      <c r="B3138" s="46"/>
      <c r="C3138" s="46"/>
      <c r="D3138" s="48"/>
      <c r="E3138" s="48"/>
      <c r="F3138" s="48"/>
      <c r="G3138" s="48"/>
      <c r="H3138" s="48"/>
      <c r="I3138" s="48"/>
    </row>
    <row r="3139" spans="1:9" hidden="1" x14ac:dyDescent="0.2">
      <c r="A3139" s="46"/>
      <c r="B3139" s="46"/>
      <c r="C3139" s="46"/>
      <c r="D3139" s="48"/>
      <c r="E3139" s="48"/>
      <c r="F3139" s="48"/>
      <c r="G3139" s="48"/>
      <c r="H3139" s="48"/>
      <c r="I3139" s="48"/>
    </row>
    <row r="3140" spans="1:9" hidden="1" x14ac:dyDescent="0.2">
      <c r="A3140" s="46"/>
      <c r="B3140" s="46"/>
      <c r="C3140" s="46"/>
      <c r="D3140" s="48"/>
      <c r="E3140" s="48"/>
      <c r="F3140" s="48"/>
      <c r="G3140" s="48"/>
      <c r="H3140" s="48"/>
      <c r="I3140" s="48"/>
    </row>
    <row r="3141" spans="1:9" hidden="1" x14ac:dyDescent="0.2">
      <c r="A3141" s="46"/>
      <c r="B3141" s="46"/>
      <c r="C3141" s="46"/>
      <c r="D3141" s="48"/>
      <c r="E3141" s="48"/>
      <c r="F3141" s="48"/>
      <c r="G3141" s="48"/>
      <c r="H3141" s="48"/>
      <c r="I3141" s="48"/>
    </row>
    <row r="3142" spans="1:9" hidden="1" x14ac:dyDescent="0.2">
      <c r="A3142" s="46"/>
      <c r="B3142" s="46"/>
      <c r="C3142" s="46"/>
      <c r="D3142" s="48"/>
      <c r="E3142" s="48"/>
      <c r="F3142" s="48"/>
      <c r="G3142" s="48"/>
      <c r="H3142" s="48"/>
      <c r="I3142" s="48"/>
    </row>
    <row r="3143" spans="1:9" hidden="1" x14ac:dyDescent="0.2">
      <c r="A3143" s="46"/>
      <c r="B3143" s="46"/>
      <c r="C3143" s="46"/>
      <c r="D3143" s="48"/>
      <c r="E3143" s="48"/>
      <c r="F3143" s="48"/>
      <c r="G3143" s="48"/>
      <c r="H3143" s="48"/>
      <c r="I3143" s="48"/>
    </row>
    <row r="3144" spans="1:9" hidden="1" x14ac:dyDescent="0.2">
      <c r="A3144" s="46"/>
      <c r="B3144" s="46"/>
      <c r="C3144" s="46"/>
      <c r="D3144" s="48"/>
      <c r="E3144" s="48"/>
      <c r="F3144" s="48"/>
      <c r="G3144" s="48"/>
      <c r="H3144" s="48"/>
      <c r="I3144" s="48"/>
    </row>
    <row r="3145" spans="1:9" hidden="1" x14ac:dyDescent="0.2">
      <c r="A3145" s="46"/>
      <c r="B3145" s="46"/>
      <c r="C3145" s="46"/>
      <c r="D3145" s="48"/>
      <c r="E3145" s="48"/>
      <c r="F3145" s="48"/>
      <c r="G3145" s="48"/>
      <c r="H3145" s="48"/>
      <c r="I3145" s="48"/>
    </row>
    <row r="3146" spans="1:9" hidden="1" x14ac:dyDescent="0.2">
      <c r="A3146" s="46"/>
      <c r="B3146" s="46"/>
      <c r="C3146" s="46"/>
      <c r="D3146" s="48"/>
      <c r="E3146" s="48"/>
      <c r="F3146" s="48"/>
      <c r="G3146" s="48"/>
      <c r="H3146" s="48"/>
      <c r="I3146" s="48"/>
    </row>
    <row r="3147" spans="1:9" hidden="1" x14ac:dyDescent="0.2">
      <c r="A3147" s="46"/>
      <c r="B3147" s="46"/>
      <c r="C3147" s="46"/>
      <c r="D3147" s="48"/>
      <c r="E3147" s="48"/>
      <c r="F3147" s="48"/>
      <c r="G3147" s="48"/>
      <c r="H3147" s="48"/>
      <c r="I3147" s="48"/>
    </row>
    <row r="3148" spans="1:9" hidden="1" x14ac:dyDescent="0.2">
      <c r="A3148" s="46"/>
      <c r="B3148" s="46"/>
      <c r="C3148" s="46"/>
      <c r="D3148" s="48"/>
      <c r="E3148" s="48"/>
      <c r="F3148" s="48"/>
      <c r="G3148" s="48"/>
      <c r="H3148" s="48"/>
      <c r="I3148" s="48"/>
    </row>
    <row r="3149" spans="1:9" hidden="1" x14ac:dyDescent="0.2">
      <c r="A3149" s="46"/>
      <c r="B3149" s="46"/>
      <c r="C3149" s="46"/>
      <c r="D3149" s="48"/>
      <c r="E3149" s="48"/>
      <c r="F3149" s="48"/>
      <c r="G3149" s="48"/>
      <c r="H3149" s="48"/>
      <c r="I3149" s="48"/>
    </row>
    <row r="3150" spans="1:9" hidden="1" x14ac:dyDescent="0.2">
      <c r="A3150" s="46"/>
      <c r="B3150" s="46"/>
      <c r="C3150" s="46"/>
      <c r="D3150" s="48"/>
      <c r="E3150" s="48"/>
      <c r="F3150" s="48"/>
      <c r="G3150" s="48"/>
      <c r="H3150" s="48"/>
      <c r="I3150" s="48"/>
    </row>
    <row r="3151" spans="1:9" hidden="1" x14ac:dyDescent="0.2">
      <c r="A3151" s="46"/>
      <c r="B3151" s="46"/>
      <c r="C3151" s="46"/>
      <c r="D3151" s="48"/>
      <c r="E3151" s="48"/>
      <c r="F3151" s="48"/>
      <c r="G3151" s="48"/>
      <c r="H3151" s="48"/>
      <c r="I3151" s="48"/>
    </row>
    <row r="3152" spans="1:9" hidden="1" x14ac:dyDescent="0.2">
      <c r="A3152" s="46"/>
      <c r="B3152" s="46"/>
      <c r="C3152" s="46"/>
      <c r="D3152" s="48"/>
      <c r="E3152" s="48"/>
      <c r="F3152" s="48"/>
      <c r="G3152" s="48"/>
      <c r="H3152" s="48"/>
      <c r="I3152" s="48"/>
    </row>
    <row r="3153" spans="1:9" hidden="1" x14ac:dyDescent="0.2">
      <c r="A3153" s="46"/>
      <c r="B3153" s="46"/>
      <c r="C3153" s="46"/>
      <c r="D3153" s="48"/>
      <c r="E3153" s="48"/>
      <c r="F3153" s="48"/>
      <c r="G3153" s="48"/>
      <c r="H3153" s="48"/>
      <c r="I3153" s="48"/>
    </row>
    <row r="3154" spans="1:9" hidden="1" x14ac:dyDescent="0.2">
      <c r="A3154" s="46"/>
      <c r="B3154" s="46"/>
      <c r="C3154" s="46"/>
      <c r="D3154" s="48"/>
      <c r="E3154" s="48"/>
      <c r="F3154" s="48"/>
      <c r="G3154" s="48"/>
      <c r="H3154" s="48"/>
      <c r="I3154" s="48"/>
    </row>
    <row r="3155" spans="1:9" hidden="1" x14ac:dyDescent="0.2">
      <c r="A3155" s="46"/>
      <c r="B3155" s="46"/>
      <c r="C3155" s="46"/>
      <c r="D3155" s="48"/>
      <c r="E3155" s="48"/>
      <c r="F3155" s="48"/>
      <c r="G3155" s="48"/>
      <c r="H3155" s="48"/>
      <c r="I3155" s="48"/>
    </row>
    <row r="3156" spans="1:9" hidden="1" x14ac:dyDescent="0.2">
      <c r="A3156" s="46"/>
      <c r="B3156" s="46"/>
      <c r="C3156" s="46"/>
      <c r="D3156" s="48"/>
      <c r="E3156" s="48"/>
      <c r="F3156" s="48"/>
      <c r="G3156" s="48"/>
      <c r="H3156" s="48"/>
      <c r="I3156" s="48"/>
    </row>
    <row r="3157" spans="1:9" hidden="1" x14ac:dyDescent="0.2">
      <c r="A3157" s="46"/>
      <c r="B3157" s="46"/>
      <c r="C3157" s="46"/>
      <c r="D3157" s="48"/>
      <c r="E3157" s="48"/>
      <c r="F3157" s="48"/>
      <c r="G3157" s="48"/>
      <c r="H3157" s="48"/>
      <c r="I3157" s="48"/>
    </row>
    <row r="3158" spans="1:9" hidden="1" x14ac:dyDescent="0.2">
      <c r="A3158" s="46"/>
      <c r="B3158" s="46"/>
      <c r="C3158" s="46"/>
      <c r="D3158" s="48"/>
      <c r="E3158" s="48"/>
      <c r="F3158" s="48"/>
      <c r="G3158" s="48"/>
      <c r="H3158" s="48"/>
      <c r="I3158" s="48"/>
    </row>
    <row r="3159" spans="1:9" hidden="1" x14ac:dyDescent="0.2">
      <c r="A3159" s="46"/>
      <c r="B3159" s="46"/>
      <c r="C3159" s="46"/>
      <c r="D3159" s="48"/>
      <c r="E3159" s="48"/>
      <c r="F3159" s="48"/>
      <c r="G3159" s="48"/>
      <c r="H3159" s="48"/>
      <c r="I3159" s="48"/>
    </row>
    <row r="3160" spans="1:9" hidden="1" x14ac:dyDescent="0.2">
      <c r="A3160" s="46"/>
      <c r="B3160" s="46"/>
      <c r="C3160" s="46"/>
      <c r="D3160" s="48"/>
      <c r="E3160" s="48"/>
      <c r="F3160" s="48"/>
      <c r="G3160" s="48"/>
      <c r="H3160" s="48"/>
      <c r="I3160" s="48"/>
    </row>
    <row r="3161" spans="1:9" hidden="1" x14ac:dyDescent="0.2">
      <c r="A3161" s="46"/>
      <c r="B3161" s="46"/>
      <c r="C3161" s="46"/>
      <c r="D3161" s="48"/>
      <c r="E3161" s="48"/>
      <c r="F3161" s="48"/>
      <c r="G3161" s="48"/>
      <c r="H3161" s="48"/>
      <c r="I3161" s="48"/>
    </row>
    <row r="3162" spans="1:9" hidden="1" x14ac:dyDescent="0.2">
      <c r="A3162" s="46"/>
      <c r="B3162" s="46"/>
      <c r="C3162" s="46"/>
      <c r="D3162" s="48"/>
      <c r="E3162" s="48"/>
      <c r="F3162" s="48"/>
      <c r="G3162" s="48"/>
      <c r="H3162" s="48"/>
      <c r="I3162" s="48"/>
    </row>
    <row r="3163" spans="1:9" hidden="1" x14ac:dyDescent="0.2">
      <c r="A3163" s="46"/>
      <c r="B3163" s="46"/>
      <c r="C3163" s="46"/>
      <c r="D3163" s="48"/>
      <c r="E3163" s="48"/>
      <c r="F3163" s="48"/>
      <c r="G3163" s="48"/>
      <c r="H3163" s="48"/>
      <c r="I3163" s="48"/>
    </row>
    <row r="3164" spans="1:9" hidden="1" x14ac:dyDescent="0.2">
      <c r="A3164" s="46"/>
      <c r="B3164" s="46"/>
      <c r="C3164" s="46"/>
      <c r="D3164" s="48"/>
      <c r="E3164" s="48"/>
      <c r="F3164" s="48"/>
      <c r="G3164" s="48"/>
      <c r="H3164" s="48"/>
      <c r="I3164" s="48"/>
    </row>
    <row r="3165" spans="1:9" hidden="1" x14ac:dyDescent="0.2">
      <c r="A3165" s="46"/>
      <c r="B3165" s="46"/>
      <c r="C3165" s="46"/>
      <c r="D3165" s="48"/>
      <c r="E3165" s="48"/>
      <c r="F3165" s="48"/>
      <c r="G3165" s="48"/>
      <c r="H3165" s="48"/>
      <c r="I3165" s="48"/>
    </row>
    <row r="3166" spans="1:9" hidden="1" x14ac:dyDescent="0.2">
      <c r="A3166" s="46"/>
      <c r="B3166" s="46"/>
      <c r="C3166" s="46"/>
      <c r="D3166" s="48"/>
      <c r="E3166" s="48"/>
      <c r="F3166" s="48"/>
      <c r="G3166" s="48"/>
      <c r="H3166" s="48"/>
      <c r="I3166" s="48"/>
    </row>
    <row r="3167" spans="1:9" hidden="1" x14ac:dyDescent="0.2">
      <c r="A3167" s="46"/>
      <c r="B3167" s="46"/>
      <c r="C3167" s="46"/>
      <c r="D3167" s="48"/>
      <c r="E3167" s="48"/>
      <c r="F3167" s="48"/>
      <c r="G3167" s="48"/>
      <c r="H3167" s="48"/>
      <c r="I3167" s="48"/>
    </row>
    <row r="3168" spans="1:9" hidden="1" x14ac:dyDescent="0.2">
      <c r="A3168" s="46"/>
      <c r="B3168" s="46"/>
      <c r="C3168" s="46"/>
      <c r="D3168" s="48"/>
      <c r="E3168" s="48"/>
      <c r="F3168" s="48"/>
      <c r="G3168" s="48"/>
      <c r="H3168" s="48"/>
      <c r="I3168" s="48"/>
    </row>
    <row r="3169" spans="1:9" hidden="1" x14ac:dyDescent="0.2">
      <c r="A3169" s="46"/>
      <c r="B3169" s="46"/>
      <c r="C3169" s="46"/>
      <c r="D3169" s="48"/>
      <c r="E3169" s="48"/>
      <c r="F3169" s="48"/>
      <c r="G3169" s="48"/>
      <c r="H3169" s="48"/>
      <c r="I3169" s="48"/>
    </row>
    <row r="3170" spans="1:9" hidden="1" x14ac:dyDescent="0.2">
      <c r="A3170" s="46"/>
      <c r="B3170" s="46"/>
      <c r="C3170" s="46"/>
      <c r="D3170" s="48"/>
      <c r="E3170" s="48"/>
      <c r="F3170" s="48"/>
      <c r="G3170" s="48"/>
      <c r="H3170" s="48"/>
      <c r="I3170" s="48"/>
    </row>
    <row r="3171" spans="1:9" hidden="1" x14ac:dyDescent="0.2">
      <c r="A3171" s="46"/>
      <c r="B3171" s="46"/>
      <c r="C3171" s="46"/>
      <c r="D3171" s="48"/>
      <c r="E3171" s="48"/>
      <c r="F3171" s="48"/>
      <c r="G3171" s="48"/>
      <c r="H3171" s="48"/>
      <c r="I3171" s="48"/>
    </row>
    <row r="3172" spans="1:9" hidden="1" x14ac:dyDescent="0.2">
      <c r="A3172" s="46"/>
      <c r="B3172" s="46"/>
      <c r="C3172" s="46"/>
      <c r="D3172" s="48"/>
      <c r="E3172" s="48"/>
      <c r="F3172" s="48"/>
      <c r="G3172" s="48"/>
      <c r="H3172" s="48"/>
      <c r="I3172" s="48"/>
    </row>
    <row r="3173" spans="1:9" hidden="1" x14ac:dyDescent="0.2">
      <c r="A3173" s="46"/>
      <c r="B3173" s="46"/>
      <c r="C3173" s="46"/>
      <c r="D3173" s="48"/>
      <c r="E3173" s="48"/>
      <c r="F3173" s="48"/>
      <c r="G3173" s="48"/>
      <c r="H3173" s="48"/>
      <c r="I3173" s="48"/>
    </row>
    <row r="3174" spans="1:9" hidden="1" x14ac:dyDescent="0.2">
      <c r="A3174" s="46"/>
      <c r="B3174" s="46"/>
      <c r="C3174" s="46"/>
      <c r="D3174" s="48"/>
      <c r="E3174" s="48"/>
      <c r="F3174" s="48"/>
      <c r="G3174" s="48"/>
      <c r="H3174" s="48"/>
      <c r="I3174" s="48"/>
    </row>
    <row r="3175" spans="1:9" hidden="1" x14ac:dyDescent="0.2">
      <c r="A3175" s="46"/>
      <c r="B3175" s="46"/>
      <c r="C3175" s="46"/>
      <c r="D3175" s="48"/>
      <c r="E3175" s="48"/>
      <c r="F3175" s="48"/>
      <c r="G3175" s="48"/>
      <c r="H3175" s="48"/>
      <c r="I3175" s="48"/>
    </row>
    <row r="3176" spans="1:9" hidden="1" x14ac:dyDescent="0.2">
      <c r="A3176" s="46"/>
      <c r="B3176" s="46"/>
      <c r="C3176" s="46"/>
      <c r="D3176" s="48"/>
      <c r="E3176" s="48"/>
      <c r="F3176" s="48"/>
      <c r="G3176" s="48"/>
      <c r="H3176" s="48"/>
      <c r="I3176" s="48"/>
    </row>
    <row r="3177" spans="1:9" hidden="1" x14ac:dyDescent="0.2">
      <c r="A3177" s="46"/>
      <c r="B3177" s="46"/>
      <c r="C3177" s="46"/>
      <c r="D3177" s="48"/>
      <c r="E3177" s="48"/>
      <c r="F3177" s="48"/>
      <c r="G3177" s="48"/>
      <c r="H3177" s="48"/>
      <c r="I3177" s="48"/>
    </row>
    <row r="3178" spans="1:9" hidden="1" x14ac:dyDescent="0.2">
      <c r="A3178" s="46"/>
      <c r="B3178" s="46"/>
      <c r="C3178" s="46"/>
      <c r="D3178" s="48"/>
      <c r="E3178" s="48"/>
      <c r="F3178" s="48"/>
      <c r="G3178" s="48"/>
      <c r="H3178" s="48"/>
      <c r="I3178" s="48"/>
    </row>
    <row r="3179" spans="1:9" hidden="1" x14ac:dyDescent="0.2">
      <c r="A3179" s="46"/>
      <c r="B3179" s="46"/>
      <c r="C3179" s="46"/>
      <c r="D3179" s="48"/>
      <c r="E3179" s="48"/>
      <c r="F3179" s="48"/>
      <c r="G3179" s="48"/>
      <c r="H3179" s="48"/>
      <c r="I3179" s="48"/>
    </row>
    <row r="3180" spans="1:9" hidden="1" x14ac:dyDescent="0.2">
      <c r="A3180" s="46"/>
      <c r="B3180" s="46"/>
      <c r="C3180" s="46"/>
      <c r="D3180" s="48"/>
      <c r="E3180" s="48"/>
      <c r="F3180" s="48"/>
      <c r="G3180" s="48"/>
      <c r="H3180" s="48"/>
      <c r="I3180" s="48"/>
    </row>
    <row r="3181" spans="1:9" hidden="1" x14ac:dyDescent="0.2">
      <c r="A3181" s="46"/>
      <c r="B3181" s="46"/>
      <c r="C3181" s="46"/>
      <c r="D3181" s="48"/>
      <c r="E3181" s="48"/>
      <c r="F3181" s="48"/>
      <c r="G3181" s="48"/>
      <c r="H3181" s="48"/>
      <c r="I3181" s="48"/>
    </row>
    <row r="3182" spans="1:9" hidden="1" x14ac:dyDescent="0.2">
      <c r="A3182" s="46"/>
      <c r="B3182" s="46"/>
      <c r="C3182" s="46"/>
      <c r="D3182" s="48"/>
      <c r="E3182" s="48"/>
      <c r="F3182" s="48"/>
      <c r="G3182" s="48"/>
      <c r="H3182" s="48"/>
      <c r="I3182" s="48"/>
    </row>
    <row r="3183" spans="1:9" hidden="1" x14ac:dyDescent="0.2">
      <c r="A3183" s="46"/>
      <c r="B3183" s="46"/>
      <c r="C3183" s="46"/>
      <c r="D3183" s="48"/>
      <c r="E3183" s="48"/>
      <c r="F3183" s="48"/>
      <c r="G3183" s="48"/>
      <c r="H3183" s="48"/>
      <c r="I3183" s="48"/>
    </row>
    <row r="3184" spans="1:9" hidden="1" x14ac:dyDescent="0.2">
      <c r="A3184" s="46"/>
      <c r="B3184" s="46"/>
      <c r="C3184" s="46"/>
      <c r="D3184" s="48"/>
      <c r="E3184" s="48"/>
      <c r="F3184" s="48"/>
      <c r="G3184" s="48"/>
      <c r="H3184" s="48"/>
      <c r="I3184" s="48"/>
    </row>
    <row r="3185" spans="1:9" hidden="1" x14ac:dyDescent="0.2">
      <c r="A3185" s="46"/>
      <c r="B3185" s="46"/>
      <c r="C3185" s="46"/>
      <c r="D3185" s="48"/>
      <c r="E3185" s="48"/>
      <c r="F3185" s="48"/>
      <c r="G3185" s="48"/>
      <c r="H3185" s="48"/>
      <c r="I3185" s="48"/>
    </row>
    <row r="3186" spans="1:9" hidden="1" x14ac:dyDescent="0.2">
      <c r="A3186" s="46"/>
      <c r="B3186" s="46"/>
      <c r="C3186" s="46"/>
      <c r="D3186" s="48"/>
      <c r="E3186" s="48"/>
      <c r="F3186" s="48"/>
      <c r="G3186" s="48"/>
      <c r="H3186" s="48"/>
      <c r="I3186" s="48"/>
    </row>
    <row r="3187" spans="1:9" hidden="1" x14ac:dyDescent="0.2">
      <c r="A3187" s="46"/>
      <c r="B3187" s="46"/>
      <c r="C3187" s="46"/>
      <c r="D3187" s="48"/>
      <c r="E3187" s="48"/>
      <c r="F3187" s="48"/>
      <c r="G3187" s="48"/>
      <c r="H3187" s="48"/>
      <c r="I3187" s="48"/>
    </row>
    <row r="3188" spans="1:9" hidden="1" x14ac:dyDescent="0.2">
      <c r="A3188" s="46"/>
      <c r="B3188" s="46"/>
      <c r="C3188" s="46"/>
      <c r="D3188" s="48"/>
      <c r="E3188" s="48"/>
      <c r="F3188" s="48"/>
      <c r="G3188" s="48"/>
      <c r="H3188" s="48"/>
      <c r="I3188" s="48"/>
    </row>
    <row r="3189" spans="1:9" hidden="1" x14ac:dyDescent="0.2">
      <c r="A3189" s="46"/>
      <c r="B3189" s="46"/>
      <c r="C3189" s="46"/>
      <c r="D3189" s="48"/>
      <c r="E3189" s="48"/>
      <c r="F3189" s="48"/>
      <c r="G3189" s="48"/>
      <c r="H3189" s="48"/>
      <c r="I3189" s="48"/>
    </row>
    <row r="3190" spans="1:9" hidden="1" x14ac:dyDescent="0.2">
      <c r="A3190" s="46"/>
      <c r="B3190" s="46"/>
      <c r="C3190" s="46"/>
      <c r="D3190" s="48"/>
      <c r="E3190" s="48"/>
      <c r="F3190" s="48"/>
      <c r="G3190" s="48"/>
      <c r="H3190" s="48"/>
      <c r="I3190" s="48"/>
    </row>
    <row r="3191" spans="1:9" hidden="1" x14ac:dyDescent="0.2">
      <c r="A3191" s="46"/>
      <c r="B3191" s="46"/>
      <c r="C3191" s="46"/>
      <c r="D3191" s="48"/>
      <c r="E3191" s="48"/>
      <c r="F3191" s="48"/>
      <c r="G3191" s="48"/>
      <c r="H3191" s="48"/>
      <c r="I3191" s="48"/>
    </row>
    <row r="3192" spans="1:9" hidden="1" x14ac:dyDescent="0.2">
      <c r="A3192" s="46"/>
      <c r="B3192" s="46"/>
      <c r="C3192" s="46"/>
      <c r="D3192" s="48"/>
      <c r="E3192" s="48"/>
      <c r="F3192" s="48"/>
      <c r="G3192" s="48"/>
      <c r="H3192" s="48"/>
      <c r="I3192" s="48"/>
    </row>
    <row r="3193" spans="1:9" hidden="1" x14ac:dyDescent="0.2">
      <c r="A3193" s="46"/>
      <c r="B3193" s="46"/>
      <c r="C3193" s="46"/>
      <c r="D3193" s="48"/>
      <c r="E3193" s="48"/>
      <c r="F3193" s="48"/>
      <c r="G3193" s="48"/>
      <c r="H3193" s="48"/>
      <c r="I3193" s="48"/>
    </row>
    <row r="3194" spans="1:9" hidden="1" x14ac:dyDescent="0.2">
      <c r="A3194" s="46"/>
      <c r="B3194" s="46"/>
      <c r="C3194" s="46"/>
      <c r="D3194" s="48"/>
      <c r="E3194" s="48"/>
      <c r="F3194" s="48"/>
      <c r="G3194" s="48"/>
      <c r="H3194" s="48"/>
      <c r="I3194" s="48"/>
    </row>
    <row r="3195" spans="1:9" hidden="1" x14ac:dyDescent="0.2">
      <c r="A3195" s="46"/>
      <c r="B3195" s="46"/>
      <c r="C3195" s="46"/>
      <c r="D3195" s="48"/>
      <c r="E3195" s="48"/>
      <c r="F3195" s="48"/>
      <c r="G3195" s="48"/>
      <c r="H3195" s="48"/>
      <c r="I3195" s="48"/>
    </row>
    <row r="3196" spans="1:9" hidden="1" x14ac:dyDescent="0.2">
      <c r="A3196" s="46"/>
      <c r="B3196" s="46"/>
      <c r="C3196" s="46"/>
      <c r="D3196" s="48"/>
      <c r="E3196" s="48"/>
      <c r="F3196" s="48"/>
      <c r="G3196" s="48"/>
      <c r="H3196" s="48"/>
      <c r="I3196" s="48"/>
    </row>
    <row r="3197" spans="1:9" hidden="1" x14ac:dyDescent="0.2">
      <c r="A3197" s="46"/>
      <c r="B3197" s="46"/>
      <c r="C3197" s="46"/>
      <c r="D3197" s="48"/>
      <c r="E3197" s="48"/>
      <c r="F3197" s="48"/>
      <c r="G3197" s="48"/>
      <c r="H3197" s="48"/>
      <c r="I3197" s="48"/>
    </row>
    <row r="3198" spans="1:9" hidden="1" x14ac:dyDescent="0.2">
      <c r="A3198" s="46"/>
      <c r="B3198" s="46"/>
      <c r="C3198" s="46"/>
      <c r="D3198" s="48"/>
      <c r="E3198" s="48"/>
      <c r="F3198" s="48"/>
      <c r="G3198" s="48"/>
      <c r="H3198" s="48"/>
      <c r="I3198" s="48"/>
    </row>
    <row r="3199" spans="1:9" hidden="1" x14ac:dyDescent="0.2">
      <c r="A3199" s="46"/>
      <c r="B3199" s="46"/>
      <c r="C3199" s="46"/>
      <c r="D3199" s="48"/>
      <c r="E3199" s="48"/>
      <c r="F3199" s="48"/>
      <c r="G3199" s="48"/>
      <c r="H3199" s="48"/>
      <c r="I3199" s="48"/>
    </row>
    <row r="3200" spans="1:9" hidden="1" x14ac:dyDescent="0.2">
      <c r="A3200" s="46"/>
      <c r="B3200" s="46"/>
      <c r="C3200" s="46"/>
      <c r="D3200" s="48"/>
      <c r="E3200" s="48"/>
      <c r="F3200" s="48"/>
      <c r="G3200" s="48"/>
      <c r="H3200" s="48"/>
      <c r="I3200" s="48"/>
    </row>
    <row r="3201" spans="1:9" hidden="1" x14ac:dyDescent="0.2">
      <c r="A3201" s="46"/>
      <c r="B3201" s="46"/>
      <c r="C3201" s="46"/>
      <c r="D3201" s="48"/>
      <c r="E3201" s="48"/>
      <c r="F3201" s="48"/>
      <c r="G3201" s="48"/>
      <c r="H3201" s="48"/>
      <c r="I3201" s="48"/>
    </row>
    <row r="3202" spans="1:9" hidden="1" x14ac:dyDescent="0.2">
      <c r="A3202" s="46"/>
      <c r="B3202" s="46"/>
      <c r="C3202" s="46"/>
      <c r="D3202" s="48"/>
      <c r="E3202" s="48"/>
      <c r="F3202" s="48"/>
      <c r="G3202" s="48"/>
      <c r="H3202" s="48"/>
      <c r="I3202" s="48"/>
    </row>
    <row r="3203" spans="1:9" hidden="1" x14ac:dyDescent="0.2">
      <c r="A3203" s="46"/>
      <c r="B3203" s="46"/>
      <c r="C3203" s="46"/>
      <c r="D3203" s="48"/>
      <c r="E3203" s="48"/>
      <c r="F3203" s="48"/>
      <c r="G3203" s="48"/>
      <c r="H3203" s="48"/>
      <c r="I3203" s="48"/>
    </row>
    <row r="3204" spans="1:9" hidden="1" x14ac:dyDescent="0.2">
      <c r="A3204" s="46"/>
      <c r="B3204" s="46"/>
      <c r="C3204" s="46"/>
      <c r="D3204" s="48"/>
      <c r="E3204" s="48"/>
      <c r="F3204" s="48"/>
      <c r="G3204" s="48"/>
      <c r="H3204" s="48"/>
      <c r="I3204" s="48"/>
    </row>
    <row r="3205" spans="1:9" hidden="1" x14ac:dyDescent="0.2">
      <c r="A3205" s="46"/>
      <c r="B3205" s="46"/>
      <c r="C3205" s="46"/>
      <c r="D3205" s="48"/>
      <c r="E3205" s="48"/>
      <c r="F3205" s="48"/>
      <c r="G3205" s="48"/>
      <c r="H3205" s="48"/>
      <c r="I3205" s="48"/>
    </row>
    <row r="3206" spans="1:9" hidden="1" x14ac:dyDescent="0.2">
      <c r="A3206" s="46"/>
      <c r="B3206" s="46"/>
      <c r="C3206" s="46"/>
      <c r="D3206" s="48"/>
      <c r="E3206" s="48"/>
      <c r="F3206" s="48"/>
      <c r="G3206" s="48"/>
      <c r="H3206" s="48"/>
      <c r="I3206" s="48"/>
    </row>
    <row r="3207" spans="1:9" hidden="1" x14ac:dyDescent="0.2">
      <c r="A3207" s="46"/>
      <c r="B3207" s="46"/>
      <c r="C3207" s="46"/>
      <c r="D3207" s="48"/>
      <c r="E3207" s="48"/>
      <c r="F3207" s="48"/>
      <c r="G3207" s="48"/>
      <c r="H3207" s="48"/>
      <c r="I3207" s="48"/>
    </row>
    <row r="3208" spans="1:9" hidden="1" x14ac:dyDescent="0.2">
      <c r="A3208" s="46"/>
      <c r="B3208" s="46"/>
      <c r="C3208" s="46"/>
      <c r="D3208" s="48"/>
      <c r="E3208" s="48"/>
      <c r="F3208" s="48"/>
      <c r="G3208" s="48"/>
      <c r="H3208" s="48"/>
      <c r="I3208" s="48"/>
    </row>
    <row r="3209" spans="1:9" hidden="1" x14ac:dyDescent="0.2">
      <c r="A3209" s="46"/>
      <c r="B3209" s="46"/>
      <c r="C3209" s="46"/>
      <c r="D3209" s="48"/>
      <c r="E3209" s="48"/>
      <c r="F3209" s="48"/>
      <c r="G3209" s="48"/>
      <c r="H3209" s="48"/>
      <c r="I3209" s="48"/>
    </row>
    <row r="3210" spans="1:9" hidden="1" x14ac:dyDescent="0.2">
      <c r="A3210" s="46"/>
      <c r="B3210" s="46"/>
      <c r="C3210" s="46"/>
      <c r="D3210" s="48"/>
      <c r="E3210" s="48"/>
      <c r="F3210" s="48"/>
      <c r="G3210" s="48"/>
      <c r="H3210" s="48"/>
      <c r="I3210" s="48"/>
    </row>
    <row r="3211" spans="1:9" hidden="1" x14ac:dyDescent="0.2">
      <c r="A3211" s="46"/>
      <c r="B3211" s="46"/>
      <c r="C3211" s="46"/>
      <c r="D3211" s="48"/>
      <c r="E3211" s="48"/>
      <c r="F3211" s="48"/>
      <c r="G3211" s="48"/>
      <c r="H3211" s="48"/>
      <c r="I3211" s="48"/>
    </row>
    <row r="3212" spans="1:9" hidden="1" x14ac:dyDescent="0.2">
      <c r="A3212" s="46"/>
      <c r="B3212" s="46"/>
      <c r="C3212" s="46"/>
      <c r="D3212" s="48"/>
      <c r="E3212" s="48"/>
      <c r="F3212" s="48"/>
      <c r="G3212" s="48"/>
      <c r="H3212" s="48"/>
      <c r="I3212" s="48"/>
    </row>
    <row r="3213" spans="1:9" hidden="1" x14ac:dyDescent="0.2">
      <c r="A3213" s="46"/>
      <c r="B3213" s="46"/>
      <c r="C3213" s="46"/>
      <c r="D3213" s="48"/>
      <c r="E3213" s="48"/>
      <c r="F3213" s="48"/>
      <c r="G3213" s="48"/>
      <c r="H3213" s="48"/>
      <c r="I3213" s="48"/>
    </row>
    <row r="3214" spans="1:9" hidden="1" x14ac:dyDescent="0.2">
      <c r="A3214" s="46"/>
      <c r="B3214" s="46"/>
      <c r="C3214" s="46"/>
      <c r="D3214" s="48"/>
      <c r="E3214" s="48"/>
      <c r="F3214" s="48"/>
      <c r="G3214" s="48"/>
      <c r="H3214" s="48"/>
      <c r="I3214" s="48"/>
    </row>
    <row r="3215" spans="1:9" hidden="1" x14ac:dyDescent="0.2">
      <c r="A3215" s="46"/>
      <c r="B3215" s="46"/>
      <c r="C3215" s="46"/>
      <c r="D3215" s="48"/>
      <c r="E3215" s="48"/>
      <c r="F3215" s="48"/>
      <c r="G3215" s="48"/>
      <c r="H3215" s="48"/>
      <c r="I3215" s="48"/>
    </row>
    <row r="3216" spans="1:9" hidden="1" x14ac:dyDescent="0.2">
      <c r="A3216" s="46"/>
      <c r="B3216" s="46"/>
      <c r="C3216" s="46"/>
      <c r="D3216" s="48"/>
      <c r="E3216" s="48"/>
      <c r="F3216" s="48"/>
      <c r="G3216" s="48"/>
      <c r="H3216" s="48"/>
      <c r="I3216" s="48"/>
    </row>
    <row r="3217" spans="1:9" hidden="1" x14ac:dyDescent="0.2">
      <c r="A3217" s="46"/>
      <c r="B3217" s="46"/>
      <c r="C3217" s="46"/>
      <c r="D3217" s="48"/>
      <c r="E3217" s="48"/>
      <c r="F3217" s="48"/>
      <c r="G3217" s="48"/>
      <c r="H3217" s="48"/>
      <c r="I3217" s="48"/>
    </row>
    <row r="3218" spans="1:9" hidden="1" x14ac:dyDescent="0.2">
      <c r="A3218" s="46"/>
      <c r="B3218" s="46"/>
      <c r="C3218" s="46"/>
      <c r="D3218" s="48"/>
      <c r="E3218" s="48"/>
      <c r="F3218" s="48"/>
      <c r="G3218" s="48"/>
      <c r="H3218" s="48"/>
      <c r="I3218" s="48"/>
    </row>
    <row r="3219" spans="1:9" hidden="1" x14ac:dyDescent="0.2">
      <c r="A3219" s="46"/>
      <c r="B3219" s="46"/>
      <c r="C3219" s="46"/>
      <c r="D3219" s="48"/>
      <c r="E3219" s="48"/>
      <c r="F3219" s="48"/>
      <c r="G3219" s="48"/>
      <c r="H3219" s="48"/>
      <c r="I3219" s="48"/>
    </row>
    <row r="3220" spans="1:9" hidden="1" x14ac:dyDescent="0.2">
      <c r="A3220" s="46"/>
      <c r="B3220" s="46"/>
      <c r="C3220" s="46"/>
      <c r="D3220" s="48"/>
      <c r="E3220" s="48"/>
      <c r="F3220" s="48"/>
      <c r="G3220" s="48"/>
      <c r="H3220" s="48"/>
      <c r="I3220" s="48"/>
    </row>
    <row r="3221" spans="1:9" hidden="1" x14ac:dyDescent="0.2">
      <c r="A3221" s="46"/>
      <c r="B3221" s="46"/>
      <c r="C3221" s="46"/>
      <c r="D3221" s="48"/>
      <c r="E3221" s="48"/>
      <c r="F3221" s="48"/>
      <c r="G3221" s="48"/>
      <c r="H3221" s="48"/>
      <c r="I3221" s="48"/>
    </row>
    <row r="3222" spans="1:9" hidden="1" x14ac:dyDescent="0.2">
      <c r="A3222" s="46"/>
      <c r="B3222" s="46"/>
      <c r="C3222" s="46"/>
      <c r="D3222" s="48"/>
      <c r="E3222" s="48"/>
      <c r="F3222" s="48"/>
      <c r="G3222" s="48"/>
      <c r="H3222" s="48"/>
      <c r="I3222" s="48"/>
    </row>
    <row r="3223" spans="1:9" hidden="1" x14ac:dyDescent="0.2">
      <c r="A3223" s="46"/>
      <c r="B3223" s="46"/>
      <c r="C3223" s="46"/>
      <c r="D3223" s="48"/>
      <c r="E3223" s="48"/>
      <c r="F3223" s="48"/>
      <c r="G3223" s="48"/>
      <c r="H3223" s="48"/>
      <c r="I3223" s="48"/>
    </row>
    <row r="3224" spans="1:9" hidden="1" x14ac:dyDescent="0.2">
      <c r="A3224" s="46"/>
      <c r="B3224" s="46"/>
      <c r="C3224" s="46"/>
      <c r="D3224" s="48"/>
      <c r="E3224" s="48"/>
      <c r="F3224" s="48"/>
      <c r="G3224" s="48"/>
      <c r="H3224" s="48"/>
      <c r="I3224" s="48"/>
    </row>
    <row r="3225" spans="1:9" hidden="1" x14ac:dyDescent="0.2">
      <c r="A3225" s="46"/>
      <c r="B3225" s="46"/>
      <c r="C3225" s="46"/>
      <c r="D3225" s="48"/>
      <c r="E3225" s="48"/>
      <c r="F3225" s="48"/>
      <c r="G3225" s="48"/>
      <c r="H3225" s="48"/>
      <c r="I3225" s="48"/>
    </row>
    <row r="3226" spans="1:9" hidden="1" x14ac:dyDescent="0.2">
      <c r="A3226" s="46"/>
      <c r="B3226" s="46"/>
      <c r="C3226" s="46"/>
      <c r="D3226" s="48"/>
      <c r="E3226" s="48"/>
      <c r="F3226" s="48"/>
      <c r="G3226" s="48"/>
      <c r="H3226" s="48"/>
      <c r="I3226" s="48"/>
    </row>
    <row r="3227" spans="1:9" hidden="1" x14ac:dyDescent="0.2">
      <c r="A3227" s="46"/>
      <c r="B3227" s="46"/>
      <c r="C3227" s="46"/>
      <c r="D3227" s="48"/>
      <c r="E3227" s="48"/>
      <c r="F3227" s="48"/>
      <c r="G3227" s="48"/>
      <c r="H3227" s="48"/>
      <c r="I3227" s="48"/>
    </row>
    <row r="3228" spans="1:9" hidden="1" x14ac:dyDescent="0.2">
      <c r="A3228" s="46"/>
      <c r="B3228" s="46"/>
      <c r="C3228" s="46"/>
      <c r="D3228" s="48"/>
      <c r="E3228" s="48"/>
      <c r="F3228" s="48"/>
      <c r="G3228" s="48"/>
      <c r="H3228" s="48"/>
      <c r="I3228" s="48"/>
    </row>
    <row r="3229" spans="1:9" hidden="1" x14ac:dyDescent="0.2">
      <c r="A3229" s="46"/>
      <c r="B3229" s="46"/>
      <c r="C3229" s="46"/>
      <c r="D3229" s="48"/>
      <c r="E3229" s="48"/>
      <c r="F3229" s="48"/>
      <c r="G3229" s="48"/>
      <c r="H3229" s="48"/>
      <c r="I3229" s="48"/>
    </row>
    <row r="3230" spans="1:9" hidden="1" x14ac:dyDescent="0.2">
      <c r="A3230" s="46"/>
      <c r="B3230" s="46"/>
      <c r="C3230" s="46"/>
      <c r="D3230" s="48"/>
      <c r="E3230" s="48"/>
      <c r="F3230" s="48"/>
      <c r="G3230" s="48"/>
      <c r="H3230" s="48"/>
      <c r="I3230" s="48"/>
    </row>
    <row r="3231" spans="1:9" hidden="1" x14ac:dyDescent="0.2">
      <c r="A3231" s="46"/>
      <c r="B3231" s="46"/>
      <c r="C3231" s="46"/>
      <c r="D3231" s="48"/>
      <c r="E3231" s="48"/>
      <c r="F3231" s="48"/>
      <c r="G3231" s="48"/>
      <c r="H3231" s="48"/>
      <c r="I3231" s="48"/>
    </row>
    <row r="3232" spans="1:9" hidden="1" x14ac:dyDescent="0.2">
      <c r="A3232" s="46"/>
      <c r="B3232" s="46"/>
      <c r="C3232" s="46"/>
      <c r="D3232" s="48"/>
      <c r="E3232" s="48"/>
      <c r="F3232" s="48"/>
      <c r="G3232" s="48"/>
      <c r="H3232" s="48"/>
      <c r="I3232" s="48"/>
    </row>
    <row r="3233" spans="1:9" hidden="1" x14ac:dyDescent="0.2">
      <c r="A3233" s="46"/>
      <c r="B3233" s="46"/>
      <c r="C3233" s="46"/>
      <c r="D3233" s="48"/>
      <c r="E3233" s="48"/>
      <c r="F3233" s="48"/>
      <c r="G3233" s="48"/>
      <c r="H3233" s="48"/>
      <c r="I3233" s="48"/>
    </row>
    <row r="3234" spans="1:9" hidden="1" x14ac:dyDescent="0.2">
      <c r="A3234" s="46"/>
      <c r="B3234" s="46"/>
      <c r="C3234" s="46"/>
      <c r="D3234" s="48"/>
      <c r="E3234" s="48"/>
      <c r="F3234" s="48"/>
      <c r="G3234" s="48"/>
      <c r="H3234" s="48"/>
      <c r="I3234" s="48"/>
    </row>
    <row r="3235" spans="1:9" hidden="1" x14ac:dyDescent="0.2">
      <c r="A3235" s="46"/>
      <c r="B3235" s="46"/>
      <c r="C3235" s="46"/>
      <c r="D3235" s="48"/>
      <c r="E3235" s="48"/>
      <c r="F3235" s="48"/>
      <c r="G3235" s="48"/>
      <c r="H3235" s="48"/>
      <c r="I3235" s="48"/>
    </row>
    <row r="3236" spans="1:9" hidden="1" x14ac:dyDescent="0.2">
      <c r="A3236" s="46"/>
      <c r="B3236" s="46"/>
      <c r="C3236" s="46"/>
      <c r="D3236" s="48"/>
      <c r="E3236" s="48"/>
      <c r="F3236" s="48"/>
      <c r="G3236" s="48"/>
      <c r="H3236" s="48"/>
      <c r="I3236" s="48"/>
    </row>
    <row r="3237" spans="1:9" hidden="1" x14ac:dyDescent="0.2">
      <c r="A3237" s="46"/>
      <c r="B3237" s="46"/>
      <c r="C3237" s="46"/>
      <c r="D3237" s="48"/>
      <c r="E3237" s="48"/>
      <c r="F3237" s="48"/>
      <c r="G3237" s="48"/>
      <c r="H3237" s="48"/>
      <c r="I3237" s="48"/>
    </row>
    <row r="3238" spans="1:9" hidden="1" x14ac:dyDescent="0.2">
      <c r="A3238" s="46"/>
      <c r="B3238" s="46"/>
      <c r="C3238" s="46"/>
      <c r="D3238" s="48"/>
      <c r="E3238" s="48"/>
      <c r="F3238" s="48"/>
      <c r="G3238" s="48"/>
      <c r="H3238" s="48"/>
      <c r="I3238" s="48"/>
    </row>
    <row r="3239" spans="1:9" hidden="1" x14ac:dyDescent="0.2">
      <c r="A3239" s="46"/>
      <c r="B3239" s="46"/>
      <c r="C3239" s="46"/>
      <c r="D3239" s="48"/>
      <c r="E3239" s="48"/>
      <c r="F3239" s="48"/>
      <c r="G3239" s="48"/>
      <c r="H3239" s="48"/>
      <c r="I3239" s="48"/>
    </row>
    <row r="3240" spans="1:9" hidden="1" x14ac:dyDescent="0.2">
      <c r="A3240" s="46"/>
      <c r="B3240" s="46"/>
      <c r="C3240" s="46"/>
      <c r="D3240" s="48"/>
      <c r="E3240" s="48"/>
      <c r="F3240" s="48"/>
      <c r="G3240" s="48"/>
      <c r="H3240" s="48"/>
      <c r="I3240" s="48"/>
    </row>
    <row r="3241" spans="1:9" hidden="1" x14ac:dyDescent="0.2">
      <c r="A3241" s="46"/>
      <c r="B3241" s="46"/>
      <c r="C3241" s="46"/>
      <c r="D3241" s="48"/>
      <c r="E3241" s="48"/>
      <c r="F3241" s="48"/>
      <c r="G3241" s="48"/>
      <c r="H3241" s="48"/>
      <c r="I3241" s="48"/>
    </row>
    <row r="3242" spans="1:9" hidden="1" x14ac:dyDescent="0.2">
      <c r="A3242" s="46"/>
      <c r="B3242" s="46"/>
      <c r="C3242" s="46"/>
      <c r="D3242" s="48"/>
      <c r="E3242" s="48"/>
      <c r="F3242" s="48"/>
      <c r="G3242" s="48"/>
      <c r="H3242" s="48"/>
      <c r="I3242" s="48"/>
    </row>
    <row r="3243" spans="1:9" hidden="1" x14ac:dyDescent="0.2">
      <c r="A3243" s="46"/>
      <c r="B3243" s="46"/>
      <c r="C3243" s="46"/>
      <c r="D3243" s="48"/>
      <c r="E3243" s="48"/>
      <c r="F3243" s="48"/>
      <c r="G3243" s="48"/>
      <c r="H3243" s="48"/>
      <c r="I3243" s="48"/>
    </row>
    <row r="3244" spans="1:9" hidden="1" x14ac:dyDescent="0.2">
      <c r="A3244" s="46"/>
      <c r="B3244" s="46"/>
      <c r="C3244" s="46"/>
      <c r="D3244" s="48"/>
      <c r="E3244" s="48"/>
      <c r="F3244" s="48"/>
      <c r="G3244" s="48"/>
      <c r="H3244" s="48"/>
      <c r="I3244" s="48"/>
    </row>
    <row r="3245" spans="1:9" hidden="1" x14ac:dyDescent="0.2">
      <c r="A3245" s="46"/>
      <c r="B3245" s="46"/>
      <c r="C3245" s="46"/>
      <c r="D3245" s="48"/>
      <c r="E3245" s="48"/>
      <c r="F3245" s="48"/>
      <c r="G3245" s="48"/>
      <c r="H3245" s="48"/>
      <c r="I3245" s="48"/>
    </row>
    <row r="3246" spans="1:9" hidden="1" x14ac:dyDescent="0.2">
      <c r="A3246" s="46"/>
      <c r="B3246" s="46"/>
      <c r="C3246" s="46"/>
      <c r="D3246" s="48"/>
      <c r="E3246" s="48"/>
      <c r="F3246" s="48"/>
      <c r="G3246" s="48"/>
      <c r="H3246" s="48"/>
      <c r="I3246" s="48"/>
    </row>
    <row r="3247" spans="1:9" hidden="1" x14ac:dyDescent="0.2">
      <c r="A3247" s="46"/>
      <c r="B3247" s="46"/>
      <c r="C3247" s="46"/>
      <c r="D3247" s="48"/>
      <c r="E3247" s="48"/>
      <c r="F3247" s="48"/>
      <c r="G3247" s="48"/>
      <c r="H3247" s="48"/>
      <c r="I3247" s="48"/>
    </row>
    <row r="3248" spans="1:9" hidden="1" x14ac:dyDescent="0.2">
      <c r="A3248" s="46"/>
      <c r="B3248" s="46"/>
      <c r="C3248" s="46"/>
      <c r="D3248" s="48"/>
      <c r="E3248" s="48"/>
      <c r="F3248" s="48"/>
      <c r="G3248" s="48"/>
      <c r="H3248" s="48"/>
      <c r="I3248" s="48"/>
    </row>
    <row r="3249" spans="1:9" hidden="1" x14ac:dyDescent="0.2">
      <c r="A3249" s="46"/>
      <c r="B3249" s="46"/>
      <c r="C3249" s="46"/>
      <c r="D3249" s="48"/>
      <c r="E3249" s="48"/>
      <c r="F3249" s="48"/>
      <c r="G3249" s="48"/>
      <c r="H3249" s="48"/>
      <c r="I3249" s="48"/>
    </row>
    <row r="3250" spans="1:9" hidden="1" x14ac:dyDescent="0.2">
      <c r="A3250" s="46"/>
      <c r="B3250" s="46"/>
      <c r="C3250" s="46"/>
      <c r="D3250" s="48"/>
      <c r="E3250" s="48"/>
      <c r="F3250" s="48"/>
      <c r="G3250" s="48"/>
      <c r="H3250" s="48"/>
      <c r="I3250" s="48"/>
    </row>
    <row r="3251" spans="1:9" hidden="1" x14ac:dyDescent="0.2">
      <c r="A3251" s="46"/>
      <c r="B3251" s="46"/>
      <c r="C3251" s="46"/>
      <c r="D3251" s="48"/>
      <c r="E3251" s="48"/>
      <c r="F3251" s="48"/>
      <c r="G3251" s="48"/>
      <c r="H3251" s="48"/>
      <c r="I3251" s="48"/>
    </row>
    <row r="3252" spans="1:9" hidden="1" x14ac:dyDescent="0.2">
      <c r="A3252" s="46"/>
      <c r="B3252" s="46"/>
      <c r="C3252" s="46"/>
      <c r="D3252" s="48"/>
      <c r="E3252" s="48"/>
      <c r="F3252" s="48"/>
      <c r="G3252" s="48"/>
      <c r="H3252" s="48"/>
      <c r="I3252" s="48"/>
    </row>
    <row r="3253" spans="1:9" hidden="1" x14ac:dyDescent="0.2">
      <c r="A3253" s="46"/>
      <c r="B3253" s="46"/>
      <c r="C3253" s="46"/>
      <c r="D3253" s="48"/>
      <c r="E3253" s="48"/>
      <c r="F3253" s="48"/>
      <c r="G3253" s="48"/>
      <c r="H3253" s="48"/>
      <c r="I3253" s="48"/>
    </row>
    <row r="3254" spans="1:9" hidden="1" x14ac:dyDescent="0.2">
      <c r="A3254" s="46"/>
      <c r="B3254" s="46"/>
      <c r="C3254" s="46"/>
      <c r="D3254" s="48"/>
      <c r="E3254" s="48"/>
      <c r="F3254" s="48"/>
      <c r="G3254" s="48"/>
      <c r="H3254" s="48"/>
      <c r="I3254" s="48"/>
    </row>
    <row r="3255" spans="1:9" hidden="1" x14ac:dyDescent="0.2">
      <c r="A3255" s="46"/>
      <c r="B3255" s="46"/>
      <c r="C3255" s="46"/>
      <c r="D3255" s="48"/>
      <c r="E3255" s="48"/>
      <c r="F3255" s="48"/>
      <c r="G3255" s="48"/>
      <c r="H3255" s="48"/>
      <c r="I3255" s="48"/>
    </row>
    <row r="3256" spans="1:9" hidden="1" x14ac:dyDescent="0.2">
      <c r="A3256" s="46"/>
      <c r="B3256" s="46"/>
      <c r="C3256" s="46"/>
      <c r="D3256" s="48"/>
      <c r="E3256" s="48"/>
      <c r="F3256" s="48"/>
      <c r="G3256" s="48"/>
      <c r="H3256" s="48"/>
      <c r="I3256" s="48"/>
    </row>
    <row r="3257" spans="1:9" hidden="1" x14ac:dyDescent="0.2">
      <c r="A3257" s="46"/>
      <c r="B3257" s="46"/>
      <c r="C3257" s="46"/>
      <c r="D3257" s="48"/>
      <c r="E3257" s="48"/>
      <c r="F3257" s="48"/>
      <c r="G3257" s="48"/>
      <c r="H3257" s="48"/>
      <c r="I3257" s="48"/>
    </row>
    <row r="3258" spans="1:9" hidden="1" x14ac:dyDescent="0.2">
      <c r="A3258" s="46"/>
      <c r="B3258" s="46"/>
      <c r="C3258" s="46"/>
      <c r="D3258" s="48"/>
      <c r="E3258" s="48"/>
      <c r="F3258" s="48"/>
      <c r="G3258" s="48"/>
      <c r="H3258" s="48"/>
      <c r="I3258" s="48"/>
    </row>
    <row r="3259" spans="1:9" hidden="1" x14ac:dyDescent="0.2">
      <c r="A3259" s="46"/>
      <c r="B3259" s="46"/>
      <c r="C3259" s="46"/>
      <c r="D3259" s="48"/>
      <c r="E3259" s="48"/>
      <c r="F3259" s="48"/>
      <c r="G3259" s="48"/>
      <c r="H3259" s="48"/>
      <c r="I3259" s="48"/>
    </row>
    <row r="3260" spans="1:9" hidden="1" x14ac:dyDescent="0.2">
      <c r="A3260" s="46"/>
      <c r="B3260" s="46"/>
      <c r="C3260" s="46"/>
      <c r="D3260" s="48"/>
      <c r="E3260" s="48"/>
      <c r="F3260" s="48"/>
      <c r="G3260" s="48"/>
      <c r="H3260" s="48"/>
      <c r="I3260" s="48"/>
    </row>
    <row r="3261" spans="1:9" hidden="1" x14ac:dyDescent="0.2">
      <c r="A3261" s="46"/>
      <c r="B3261" s="46"/>
      <c r="C3261" s="46"/>
      <c r="D3261" s="48"/>
      <c r="E3261" s="48"/>
      <c r="F3261" s="48"/>
      <c r="G3261" s="48"/>
      <c r="H3261" s="48"/>
      <c r="I3261" s="48"/>
    </row>
    <row r="3262" spans="1:9" hidden="1" x14ac:dyDescent="0.2">
      <c r="A3262" s="46"/>
      <c r="B3262" s="46"/>
      <c r="C3262" s="46"/>
      <c r="D3262" s="48"/>
      <c r="E3262" s="48"/>
      <c r="F3262" s="48"/>
      <c r="G3262" s="48"/>
      <c r="H3262" s="48"/>
      <c r="I3262" s="48"/>
    </row>
    <row r="3263" spans="1:9" hidden="1" x14ac:dyDescent="0.2">
      <c r="A3263" s="46"/>
      <c r="B3263" s="46"/>
      <c r="C3263" s="46"/>
      <c r="D3263" s="48"/>
      <c r="E3263" s="48"/>
      <c r="F3263" s="48"/>
      <c r="G3263" s="48"/>
      <c r="H3263" s="48"/>
      <c r="I3263" s="48"/>
    </row>
    <row r="3264" spans="1:9" hidden="1" x14ac:dyDescent="0.2">
      <c r="A3264" s="46"/>
      <c r="B3264" s="46"/>
      <c r="C3264" s="46"/>
      <c r="D3264" s="48"/>
      <c r="E3264" s="48"/>
      <c r="F3264" s="48"/>
      <c r="G3264" s="48"/>
      <c r="H3264" s="48"/>
      <c r="I3264" s="48"/>
    </row>
    <row r="3265" spans="1:9" hidden="1" x14ac:dyDescent="0.2">
      <c r="A3265" s="46"/>
      <c r="B3265" s="46"/>
      <c r="C3265" s="46"/>
      <c r="D3265" s="48"/>
      <c r="E3265" s="48"/>
      <c r="F3265" s="48"/>
      <c r="G3265" s="48"/>
      <c r="H3265" s="48"/>
      <c r="I3265" s="48"/>
    </row>
    <row r="3266" spans="1:9" hidden="1" x14ac:dyDescent="0.2">
      <c r="A3266" s="46"/>
      <c r="B3266" s="46"/>
      <c r="C3266" s="46"/>
      <c r="D3266" s="48"/>
      <c r="E3266" s="48"/>
      <c r="F3266" s="48"/>
      <c r="G3266" s="48"/>
      <c r="H3266" s="48"/>
      <c r="I3266" s="48"/>
    </row>
    <row r="3267" spans="1:9" hidden="1" x14ac:dyDescent="0.2">
      <c r="A3267" s="46"/>
      <c r="B3267" s="46"/>
      <c r="C3267" s="46"/>
      <c r="D3267" s="48"/>
      <c r="E3267" s="48"/>
      <c r="F3267" s="48"/>
      <c r="G3267" s="48"/>
      <c r="H3267" s="48"/>
      <c r="I3267" s="48"/>
    </row>
    <row r="3268" spans="1:9" hidden="1" x14ac:dyDescent="0.2">
      <c r="A3268" s="46"/>
      <c r="B3268" s="46"/>
      <c r="C3268" s="46"/>
      <c r="D3268" s="48"/>
      <c r="E3268" s="48"/>
      <c r="F3268" s="48"/>
      <c r="G3268" s="48"/>
      <c r="H3268" s="48"/>
      <c r="I3268" s="48"/>
    </row>
    <row r="3269" spans="1:9" hidden="1" x14ac:dyDescent="0.2">
      <c r="A3269" s="46"/>
      <c r="B3269" s="46"/>
      <c r="C3269" s="46"/>
      <c r="D3269" s="48"/>
      <c r="E3269" s="48"/>
      <c r="F3269" s="48"/>
      <c r="G3269" s="48"/>
      <c r="H3269" s="48"/>
      <c r="I3269" s="48"/>
    </row>
    <row r="3270" spans="1:9" hidden="1" x14ac:dyDescent="0.2">
      <c r="A3270" s="46"/>
      <c r="B3270" s="46"/>
      <c r="C3270" s="46"/>
      <c r="D3270" s="48"/>
      <c r="E3270" s="48"/>
      <c r="F3270" s="48"/>
      <c r="G3270" s="48"/>
      <c r="H3270" s="48"/>
      <c r="I3270" s="48"/>
    </row>
    <row r="3271" spans="1:9" hidden="1" x14ac:dyDescent="0.2">
      <c r="A3271" s="46"/>
      <c r="B3271" s="46"/>
      <c r="C3271" s="46"/>
      <c r="D3271" s="48"/>
      <c r="E3271" s="48"/>
      <c r="F3271" s="48"/>
      <c r="G3271" s="48"/>
      <c r="H3271" s="48"/>
      <c r="I3271" s="48"/>
    </row>
    <row r="3272" spans="1:9" hidden="1" x14ac:dyDescent="0.2">
      <c r="A3272" s="46"/>
      <c r="B3272" s="46"/>
      <c r="C3272" s="46"/>
      <c r="D3272" s="48"/>
      <c r="E3272" s="48"/>
      <c r="F3272" s="48"/>
      <c r="G3272" s="48"/>
      <c r="H3272" s="48"/>
      <c r="I3272" s="48"/>
    </row>
    <row r="3273" spans="1:9" hidden="1" x14ac:dyDescent="0.2">
      <c r="A3273" s="46"/>
      <c r="B3273" s="46"/>
      <c r="C3273" s="46"/>
      <c r="D3273" s="48"/>
      <c r="E3273" s="48"/>
      <c r="F3273" s="48"/>
      <c r="G3273" s="48"/>
      <c r="H3273" s="48"/>
      <c r="I3273" s="48"/>
    </row>
    <row r="3274" spans="1:9" hidden="1" x14ac:dyDescent="0.2">
      <c r="A3274" s="46"/>
      <c r="B3274" s="46"/>
      <c r="C3274" s="46"/>
      <c r="D3274" s="48"/>
      <c r="E3274" s="48"/>
      <c r="F3274" s="48"/>
      <c r="G3274" s="48"/>
      <c r="H3274" s="48"/>
      <c r="I3274" s="48"/>
    </row>
    <row r="3275" spans="1:9" hidden="1" x14ac:dyDescent="0.2">
      <c r="A3275" s="46"/>
      <c r="B3275" s="46"/>
      <c r="C3275" s="46"/>
      <c r="D3275" s="48"/>
      <c r="E3275" s="48"/>
      <c r="F3275" s="48"/>
      <c r="G3275" s="48"/>
      <c r="H3275" s="48"/>
      <c r="I3275" s="48"/>
    </row>
    <row r="3276" spans="1:9" hidden="1" x14ac:dyDescent="0.2">
      <c r="A3276" s="46"/>
      <c r="B3276" s="46"/>
      <c r="C3276" s="46"/>
      <c r="D3276" s="48"/>
      <c r="E3276" s="48"/>
      <c r="F3276" s="48"/>
      <c r="G3276" s="48"/>
      <c r="H3276" s="48"/>
      <c r="I3276" s="48"/>
    </row>
    <row r="3277" spans="1:9" hidden="1" x14ac:dyDescent="0.2">
      <c r="A3277" s="46"/>
      <c r="B3277" s="46"/>
      <c r="C3277" s="46"/>
      <c r="D3277" s="48"/>
      <c r="E3277" s="48"/>
      <c r="F3277" s="48"/>
      <c r="G3277" s="48"/>
      <c r="H3277" s="48"/>
      <c r="I3277" s="48"/>
    </row>
    <row r="3278" spans="1:9" hidden="1" x14ac:dyDescent="0.2">
      <c r="A3278" s="46"/>
      <c r="B3278" s="46"/>
      <c r="C3278" s="46"/>
      <c r="D3278" s="48"/>
      <c r="E3278" s="48"/>
      <c r="F3278" s="48"/>
      <c r="G3278" s="48"/>
      <c r="H3278" s="48"/>
      <c r="I3278" s="48"/>
    </row>
    <row r="3279" spans="1:9" hidden="1" x14ac:dyDescent="0.2">
      <c r="A3279" s="46"/>
      <c r="B3279" s="46"/>
      <c r="C3279" s="46"/>
      <c r="D3279" s="48"/>
      <c r="E3279" s="48"/>
      <c r="F3279" s="48"/>
      <c r="G3279" s="48"/>
      <c r="H3279" s="48"/>
      <c r="I3279" s="48"/>
    </row>
    <row r="3280" spans="1:9" hidden="1" x14ac:dyDescent="0.2">
      <c r="A3280" s="46"/>
      <c r="B3280" s="46"/>
      <c r="C3280" s="46"/>
      <c r="D3280" s="48"/>
      <c r="E3280" s="48"/>
      <c r="F3280" s="48"/>
      <c r="G3280" s="48"/>
      <c r="H3280" s="48"/>
      <c r="I3280" s="48"/>
    </row>
    <row r="3281" spans="1:9" hidden="1" x14ac:dyDescent="0.2">
      <c r="A3281" s="46"/>
      <c r="B3281" s="46"/>
      <c r="C3281" s="46"/>
      <c r="D3281" s="48"/>
      <c r="E3281" s="48"/>
      <c r="F3281" s="48"/>
      <c r="G3281" s="48"/>
      <c r="H3281" s="48"/>
      <c r="I3281" s="48"/>
    </row>
    <row r="3282" spans="1:9" hidden="1" x14ac:dyDescent="0.2">
      <c r="A3282" s="46"/>
      <c r="B3282" s="46"/>
      <c r="C3282" s="46"/>
      <c r="D3282" s="48"/>
      <c r="E3282" s="48"/>
      <c r="F3282" s="48"/>
      <c r="G3282" s="48"/>
      <c r="H3282" s="48"/>
      <c r="I3282" s="48"/>
    </row>
    <row r="3283" spans="1:9" hidden="1" x14ac:dyDescent="0.2">
      <c r="A3283" s="46"/>
      <c r="B3283" s="46"/>
      <c r="C3283" s="46"/>
      <c r="D3283" s="48"/>
      <c r="E3283" s="48"/>
      <c r="F3283" s="48"/>
      <c r="G3283" s="48"/>
      <c r="H3283" s="48"/>
      <c r="I3283" s="48"/>
    </row>
    <row r="3284" spans="1:9" hidden="1" x14ac:dyDescent="0.2">
      <c r="A3284" s="46"/>
      <c r="B3284" s="46"/>
      <c r="C3284" s="46"/>
      <c r="D3284" s="48"/>
      <c r="E3284" s="48"/>
      <c r="F3284" s="48"/>
      <c r="G3284" s="48"/>
      <c r="H3284" s="48"/>
      <c r="I3284" s="48"/>
    </row>
    <row r="3285" spans="1:9" hidden="1" x14ac:dyDescent="0.2">
      <c r="A3285" s="46"/>
      <c r="B3285" s="46"/>
      <c r="C3285" s="46"/>
      <c r="D3285" s="48"/>
      <c r="E3285" s="48"/>
      <c r="F3285" s="48"/>
      <c r="G3285" s="48"/>
      <c r="H3285" s="48"/>
      <c r="I3285" s="48"/>
    </row>
    <row r="3286" spans="1:9" hidden="1" x14ac:dyDescent="0.2">
      <c r="A3286" s="46"/>
      <c r="B3286" s="46"/>
      <c r="C3286" s="46"/>
      <c r="D3286" s="48"/>
      <c r="E3286" s="48"/>
      <c r="F3286" s="48"/>
      <c r="G3286" s="48"/>
      <c r="H3286" s="48"/>
      <c r="I3286" s="48"/>
    </row>
    <row r="3287" spans="1:9" hidden="1" x14ac:dyDescent="0.2">
      <c r="A3287" s="46"/>
      <c r="B3287" s="46"/>
      <c r="C3287" s="46"/>
      <c r="D3287" s="48"/>
      <c r="E3287" s="48"/>
      <c r="F3287" s="48"/>
      <c r="G3287" s="48"/>
      <c r="H3287" s="48"/>
      <c r="I3287" s="48"/>
    </row>
    <row r="3288" spans="1:9" hidden="1" x14ac:dyDescent="0.2">
      <c r="A3288" s="46"/>
      <c r="B3288" s="46"/>
      <c r="C3288" s="46"/>
      <c r="D3288" s="48"/>
      <c r="E3288" s="48"/>
      <c r="F3288" s="48"/>
      <c r="G3288" s="48"/>
      <c r="H3288" s="48"/>
      <c r="I3288" s="48"/>
    </row>
    <row r="3289" spans="1:9" hidden="1" x14ac:dyDescent="0.2">
      <c r="A3289" s="46"/>
      <c r="B3289" s="46"/>
      <c r="C3289" s="46"/>
      <c r="D3289" s="48"/>
      <c r="E3289" s="48"/>
      <c r="F3289" s="48"/>
      <c r="G3289" s="48"/>
      <c r="H3289" s="48"/>
      <c r="I3289" s="48"/>
    </row>
    <row r="3290" spans="1:9" hidden="1" x14ac:dyDescent="0.2">
      <c r="A3290" s="46"/>
      <c r="B3290" s="46"/>
      <c r="C3290" s="46"/>
      <c r="D3290" s="48"/>
      <c r="E3290" s="48"/>
      <c r="F3290" s="48"/>
      <c r="G3290" s="48"/>
      <c r="H3290" s="48"/>
      <c r="I3290" s="48"/>
    </row>
    <row r="3291" spans="1:9" hidden="1" x14ac:dyDescent="0.2">
      <c r="A3291" s="46"/>
      <c r="B3291" s="46"/>
      <c r="C3291" s="46"/>
      <c r="D3291" s="48"/>
      <c r="E3291" s="48"/>
      <c r="F3291" s="48"/>
      <c r="G3291" s="48"/>
      <c r="H3291" s="48"/>
      <c r="I3291" s="48"/>
    </row>
    <row r="3292" spans="1:9" hidden="1" x14ac:dyDescent="0.2">
      <c r="A3292" s="46"/>
      <c r="B3292" s="46"/>
      <c r="C3292" s="46"/>
      <c r="D3292" s="48"/>
      <c r="E3292" s="48"/>
      <c r="F3292" s="48"/>
      <c r="G3292" s="48"/>
      <c r="H3292" s="48"/>
      <c r="I3292" s="48"/>
    </row>
    <row r="3293" spans="1:9" hidden="1" x14ac:dyDescent="0.2">
      <c r="A3293" s="46"/>
      <c r="B3293" s="46"/>
      <c r="C3293" s="46"/>
      <c r="D3293" s="48"/>
      <c r="E3293" s="48"/>
      <c r="F3293" s="48"/>
      <c r="G3293" s="48"/>
      <c r="H3293" s="48"/>
      <c r="I3293" s="48"/>
    </row>
    <row r="3294" spans="1:9" hidden="1" x14ac:dyDescent="0.2">
      <c r="A3294" s="46"/>
      <c r="B3294" s="46"/>
      <c r="C3294" s="46"/>
      <c r="D3294" s="48"/>
      <c r="E3294" s="48"/>
      <c r="F3294" s="48"/>
      <c r="G3294" s="48"/>
      <c r="H3294" s="48"/>
      <c r="I3294" s="48"/>
    </row>
    <row r="3295" spans="1:9" hidden="1" x14ac:dyDescent="0.2">
      <c r="A3295" s="46"/>
      <c r="B3295" s="46"/>
      <c r="C3295" s="46"/>
      <c r="D3295" s="48"/>
      <c r="E3295" s="48"/>
      <c r="F3295" s="48"/>
      <c r="G3295" s="48"/>
      <c r="H3295" s="48"/>
      <c r="I3295" s="48"/>
    </row>
    <row r="3296" spans="1:9" hidden="1" x14ac:dyDescent="0.2">
      <c r="A3296" s="46"/>
      <c r="B3296" s="46"/>
      <c r="C3296" s="46"/>
      <c r="D3296" s="48"/>
      <c r="E3296" s="48"/>
      <c r="F3296" s="48"/>
      <c r="G3296" s="48"/>
      <c r="H3296" s="48"/>
      <c r="I3296" s="48"/>
    </row>
    <row r="3297" spans="1:9" hidden="1" x14ac:dyDescent="0.2">
      <c r="A3297" s="46"/>
      <c r="B3297" s="46"/>
      <c r="C3297" s="46"/>
      <c r="D3297" s="48"/>
      <c r="E3297" s="48"/>
      <c r="F3297" s="48"/>
      <c r="G3297" s="48"/>
      <c r="H3297" s="48"/>
      <c r="I3297" s="48"/>
    </row>
    <row r="3298" spans="1:9" hidden="1" x14ac:dyDescent="0.2">
      <c r="A3298" s="46"/>
      <c r="B3298" s="46"/>
      <c r="C3298" s="46"/>
      <c r="D3298" s="48"/>
      <c r="E3298" s="48"/>
      <c r="F3298" s="48"/>
      <c r="G3298" s="48"/>
      <c r="H3298" s="48"/>
      <c r="I3298" s="48"/>
    </row>
    <row r="3299" spans="1:9" hidden="1" x14ac:dyDescent="0.2">
      <c r="A3299" s="46"/>
      <c r="B3299" s="46"/>
      <c r="C3299" s="46"/>
      <c r="D3299" s="48"/>
      <c r="E3299" s="48"/>
      <c r="F3299" s="48"/>
      <c r="G3299" s="48"/>
      <c r="H3299" s="48"/>
      <c r="I3299" s="48"/>
    </row>
    <row r="3300" spans="1:9" hidden="1" x14ac:dyDescent="0.2">
      <c r="A3300" s="46"/>
      <c r="B3300" s="46"/>
      <c r="C3300" s="46"/>
      <c r="D3300" s="48"/>
      <c r="E3300" s="48"/>
      <c r="F3300" s="48"/>
      <c r="G3300" s="48"/>
      <c r="H3300" s="48"/>
      <c r="I3300" s="48"/>
    </row>
    <row r="3301" spans="1:9" hidden="1" x14ac:dyDescent="0.2">
      <c r="A3301" s="46"/>
      <c r="B3301" s="46"/>
      <c r="C3301" s="46"/>
      <c r="D3301" s="48"/>
      <c r="E3301" s="48"/>
      <c r="F3301" s="48"/>
      <c r="G3301" s="48"/>
      <c r="H3301" s="48"/>
      <c r="I3301" s="48"/>
    </row>
    <row r="3302" spans="1:9" hidden="1" x14ac:dyDescent="0.2">
      <c r="A3302" s="46"/>
      <c r="B3302" s="46"/>
      <c r="C3302" s="46"/>
      <c r="D3302" s="48"/>
      <c r="E3302" s="48"/>
      <c r="F3302" s="48"/>
      <c r="G3302" s="48"/>
      <c r="H3302" s="48"/>
      <c r="I3302" s="48"/>
    </row>
    <row r="3303" spans="1:9" hidden="1" x14ac:dyDescent="0.2">
      <c r="A3303" s="46"/>
      <c r="B3303" s="46"/>
      <c r="C3303" s="46"/>
      <c r="D3303" s="48"/>
      <c r="E3303" s="48"/>
      <c r="F3303" s="48"/>
      <c r="G3303" s="48"/>
      <c r="H3303" s="48"/>
      <c r="I3303" s="48"/>
    </row>
    <row r="3304" spans="1:9" hidden="1" x14ac:dyDescent="0.2">
      <c r="A3304" s="46"/>
      <c r="B3304" s="46"/>
      <c r="C3304" s="46"/>
      <c r="D3304" s="48"/>
      <c r="E3304" s="48"/>
      <c r="F3304" s="48"/>
      <c r="G3304" s="48"/>
      <c r="H3304" s="48"/>
      <c r="I3304" s="48"/>
    </row>
    <row r="3305" spans="1:9" hidden="1" x14ac:dyDescent="0.2">
      <c r="A3305" s="46"/>
      <c r="B3305" s="46"/>
      <c r="C3305" s="46"/>
      <c r="D3305" s="48"/>
      <c r="E3305" s="48"/>
      <c r="F3305" s="48"/>
      <c r="G3305" s="48"/>
      <c r="H3305" s="48"/>
      <c r="I3305" s="48"/>
    </row>
    <row r="3306" spans="1:9" hidden="1" x14ac:dyDescent="0.2">
      <c r="A3306" s="46"/>
      <c r="B3306" s="46"/>
      <c r="C3306" s="46"/>
      <c r="D3306" s="48"/>
      <c r="E3306" s="48"/>
      <c r="F3306" s="48"/>
      <c r="G3306" s="48"/>
      <c r="H3306" s="48"/>
      <c r="I3306" s="48"/>
    </row>
    <row r="3307" spans="1:9" hidden="1" x14ac:dyDescent="0.2">
      <c r="A3307" s="46"/>
      <c r="B3307" s="46"/>
      <c r="C3307" s="46"/>
      <c r="D3307" s="48"/>
      <c r="E3307" s="48"/>
      <c r="F3307" s="48"/>
      <c r="G3307" s="48"/>
      <c r="H3307" s="48"/>
      <c r="I3307" s="48"/>
    </row>
    <row r="3308" spans="1:9" hidden="1" x14ac:dyDescent="0.2">
      <c r="A3308" s="46"/>
      <c r="B3308" s="46"/>
      <c r="C3308" s="46"/>
      <c r="D3308" s="48"/>
      <c r="E3308" s="48"/>
      <c r="F3308" s="48"/>
      <c r="G3308" s="48"/>
      <c r="H3308" s="48"/>
      <c r="I3308" s="48"/>
    </row>
    <row r="3309" spans="1:9" hidden="1" x14ac:dyDescent="0.2">
      <c r="A3309" s="46"/>
      <c r="B3309" s="46"/>
      <c r="C3309" s="46"/>
      <c r="D3309" s="48"/>
      <c r="E3309" s="48"/>
      <c r="F3309" s="48"/>
      <c r="G3309" s="48"/>
      <c r="H3309" s="48"/>
      <c r="I3309" s="48"/>
    </row>
    <row r="3310" spans="1:9" hidden="1" x14ac:dyDescent="0.2">
      <c r="A3310" s="46"/>
      <c r="B3310" s="46"/>
      <c r="C3310" s="46"/>
      <c r="D3310" s="48"/>
      <c r="E3310" s="48"/>
      <c r="F3310" s="48"/>
      <c r="G3310" s="48"/>
      <c r="H3310" s="48"/>
      <c r="I3310" s="48"/>
    </row>
    <row r="3311" spans="1:9" hidden="1" x14ac:dyDescent="0.2">
      <c r="A3311" s="46"/>
      <c r="B3311" s="46"/>
      <c r="C3311" s="46"/>
      <c r="D3311" s="48"/>
      <c r="E3311" s="48"/>
      <c r="F3311" s="48"/>
      <c r="G3311" s="48"/>
      <c r="H3311" s="48"/>
      <c r="I3311" s="48"/>
    </row>
    <row r="3312" spans="1:9" hidden="1" x14ac:dyDescent="0.2">
      <c r="A3312" s="46"/>
      <c r="B3312" s="46"/>
      <c r="C3312" s="46"/>
      <c r="D3312" s="48"/>
      <c r="E3312" s="48"/>
      <c r="F3312" s="48"/>
      <c r="G3312" s="48"/>
      <c r="H3312" s="48"/>
      <c r="I3312" s="48"/>
    </row>
    <row r="3313" spans="1:9" hidden="1" x14ac:dyDescent="0.2">
      <c r="A3313" s="46"/>
      <c r="B3313" s="46"/>
      <c r="C3313" s="46"/>
      <c r="D3313" s="48"/>
      <c r="E3313" s="48"/>
      <c r="F3313" s="48"/>
      <c r="G3313" s="48"/>
      <c r="H3313" s="48"/>
      <c r="I3313" s="48"/>
    </row>
    <row r="3314" spans="1:9" hidden="1" x14ac:dyDescent="0.2">
      <c r="A3314" s="46"/>
      <c r="B3314" s="46"/>
      <c r="C3314" s="46"/>
      <c r="D3314" s="48"/>
      <c r="E3314" s="48"/>
      <c r="F3314" s="48"/>
      <c r="G3314" s="48"/>
      <c r="H3314" s="48"/>
      <c r="I3314" s="48"/>
    </row>
    <row r="3315" spans="1:9" hidden="1" x14ac:dyDescent="0.2">
      <c r="A3315" s="46"/>
      <c r="B3315" s="46"/>
      <c r="C3315" s="46"/>
      <c r="D3315" s="48"/>
      <c r="E3315" s="48"/>
      <c r="F3315" s="48"/>
      <c r="G3315" s="48"/>
      <c r="H3315" s="48"/>
      <c r="I3315" s="48"/>
    </row>
    <row r="3316" spans="1:9" hidden="1" x14ac:dyDescent="0.2">
      <c r="A3316" s="46"/>
      <c r="B3316" s="46"/>
      <c r="C3316" s="46"/>
      <c r="D3316" s="48"/>
      <c r="E3316" s="48"/>
      <c r="F3316" s="48"/>
      <c r="G3316" s="48"/>
      <c r="H3316" s="48"/>
      <c r="I3316" s="48"/>
    </row>
    <row r="3317" spans="1:9" hidden="1" x14ac:dyDescent="0.2">
      <c r="A3317" s="46"/>
      <c r="B3317" s="46"/>
      <c r="C3317" s="46"/>
      <c r="D3317" s="48"/>
      <c r="E3317" s="48"/>
      <c r="F3317" s="48"/>
      <c r="G3317" s="48"/>
      <c r="H3317" s="48"/>
      <c r="I3317" s="48"/>
    </row>
    <row r="3318" spans="1:9" hidden="1" x14ac:dyDescent="0.2">
      <c r="A3318" s="46"/>
      <c r="B3318" s="46"/>
      <c r="C3318" s="46"/>
      <c r="D3318" s="48"/>
      <c r="E3318" s="48"/>
      <c r="F3318" s="48"/>
      <c r="G3318" s="48"/>
      <c r="H3318" s="48"/>
      <c r="I3318" s="48"/>
    </row>
    <row r="3319" spans="1:9" hidden="1" x14ac:dyDescent="0.2">
      <c r="A3319" s="46"/>
      <c r="B3319" s="46"/>
      <c r="C3319" s="46"/>
      <c r="D3319" s="48"/>
      <c r="E3319" s="48"/>
      <c r="F3319" s="48"/>
      <c r="G3319" s="48"/>
      <c r="H3319" s="48"/>
      <c r="I3319" s="48"/>
    </row>
    <row r="3320" spans="1:9" hidden="1" x14ac:dyDescent="0.2">
      <c r="A3320" s="46"/>
      <c r="B3320" s="46"/>
      <c r="C3320" s="46"/>
      <c r="D3320" s="48"/>
      <c r="E3320" s="48"/>
      <c r="F3320" s="48"/>
      <c r="G3320" s="48"/>
      <c r="H3320" s="48"/>
      <c r="I3320" s="48"/>
    </row>
    <row r="3321" spans="1:9" hidden="1" x14ac:dyDescent="0.2">
      <c r="A3321" s="46"/>
      <c r="B3321" s="46"/>
      <c r="C3321" s="46"/>
      <c r="D3321" s="48"/>
      <c r="E3321" s="48"/>
      <c r="F3321" s="48"/>
      <c r="G3321" s="48"/>
      <c r="H3321" s="48"/>
      <c r="I3321" s="48"/>
    </row>
    <row r="3322" spans="1:9" hidden="1" x14ac:dyDescent="0.2">
      <c r="A3322" s="46"/>
      <c r="B3322" s="46"/>
      <c r="C3322" s="46"/>
      <c r="D3322" s="48"/>
      <c r="E3322" s="48"/>
      <c r="F3322" s="48"/>
      <c r="G3322" s="48"/>
      <c r="H3322" s="48"/>
      <c r="I3322" s="48"/>
    </row>
    <row r="3323" spans="1:9" hidden="1" x14ac:dyDescent="0.2">
      <c r="A3323" s="46"/>
      <c r="B3323" s="46"/>
      <c r="C3323" s="46"/>
      <c r="D3323" s="48"/>
      <c r="E3323" s="48"/>
      <c r="F3323" s="48"/>
      <c r="G3323" s="48"/>
      <c r="H3323" s="48"/>
      <c r="I3323" s="48"/>
    </row>
    <row r="3324" spans="1:9" hidden="1" x14ac:dyDescent="0.2">
      <c r="A3324" s="46"/>
      <c r="B3324" s="46"/>
      <c r="C3324" s="46"/>
      <c r="D3324" s="48"/>
      <c r="E3324" s="48"/>
      <c r="F3324" s="48"/>
      <c r="G3324" s="48"/>
      <c r="H3324" s="48"/>
      <c r="I3324" s="48"/>
    </row>
    <row r="3325" spans="1:9" hidden="1" x14ac:dyDescent="0.2">
      <c r="A3325" s="46"/>
      <c r="B3325" s="46"/>
      <c r="C3325" s="46"/>
      <c r="D3325" s="48"/>
      <c r="E3325" s="48"/>
      <c r="F3325" s="48"/>
      <c r="G3325" s="48"/>
      <c r="H3325" s="48"/>
      <c r="I3325" s="48"/>
    </row>
    <row r="3326" spans="1:9" hidden="1" x14ac:dyDescent="0.2">
      <c r="A3326" s="46"/>
      <c r="B3326" s="46"/>
      <c r="C3326" s="46"/>
      <c r="D3326" s="48"/>
      <c r="E3326" s="48"/>
      <c r="F3326" s="48"/>
      <c r="G3326" s="48"/>
      <c r="H3326" s="48"/>
      <c r="I3326" s="48"/>
    </row>
    <row r="3327" spans="1:9" hidden="1" x14ac:dyDescent="0.2">
      <c r="A3327" s="46"/>
      <c r="B3327" s="46"/>
      <c r="C3327" s="46"/>
      <c r="D3327" s="48"/>
      <c r="E3327" s="48"/>
      <c r="F3327" s="48"/>
      <c r="G3327" s="48"/>
      <c r="H3327" s="48"/>
      <c r="I3327" s="48"/>
    </row>
    <row r="3328" spans="1:9" hidden="1" x14ac:dyDescent="0.2">
      <c r="A3328" s="46"/>
      <c r="B3328" s="46"/>
      <c r="C3328" s="46"/>
      <c r="D3328" s="48"/>
      <c r="E3328" s="48"/>
      <c r="F3328" s="48"/>
      <c r="G3328" s="48"/>
      <c r="H3328" s="48"/>
      <c r="I3328" s="48"/>
    </row>
    <row r="3329" spans="1:9" hidden="1" x14ac:dyDescent="0.2">
      <c r="A3329" s="46"/>
      <c r="B3329" s="46"/>
      <c r="C3329" s="46"/>
      <c r="D3329" s="48"/>
      <c r="E3329" s="48"/>
      <c r="F3329" s="48"/>
      <c r="G3329" s="48"/>
      <c r="H3329" s="48"/>
      <c r="I3329" s="48"/>
    </row>
    <row r="3330" spans="1:9" hidden="1" x14ac:dyDescent="0.2">
      <c r="A3330" s="46"/>
      <c r="B3330" s="46"/>
      <c r="C3330" s="46"/>
      <c r="D3330" s="48"/>
      <c r="E3330" s="48"/>
      <c r="F3330" s="48"/>
      <c r="G3330" s="48"/>
      <c r="H3330" s="48"/>
      <c r="I3330" s="48"/>
    </row>
    <row r="3331" spans="1:9" hidden="1" x14ac:dyDescent="0.2">
      <c r="A3331" s="46"/>
      <c r="B3331" s="46"/>
      <c r="C3331" s="46"/>
      <c r="D3331" s="48"/>
      <c r="E3331" s="48"/>
      <c r="F3331" s="48"/>
      <c r="G3331" s="48"/>
      <c r="H3331" s="48"/>
      <c r="I3331" s="48"/>
    </row>
    <row r="3332" spans="1:9" hidden="1" x14ac:dyDescent="0.2">
      <c r="A3332" s="46"/>
      <c r="B3332" s="46"/>
      <c r="C3332" s="46"/>
      <c r="D3332" s="48"/>
      <c r="E3332" s="48"/>
      <c r="F3332" s="48"/>
      <c r="G3332" s="48"/>
      <c r="H3332" s="48"/>
      <c r="I3332" s="48"/>
    </row>
    <row r="3333" spans="1:9" hidden="1" x14ac:dyDescent="0.2">
      <c r="A3333" s="46"/>
      <c r="B3333" s="46"/>
      <c r="C3333" s="46"/>
      <c r="D3333" s="48"/>
      <c r="E3333" s="48"/>
      <c r="F3333" s="48"/>
      <c r="G3333" s="48"/>
      <c r="H3333" s="48"/>
      <c r="I3333" s="48"/>
    </row>
    <row r="3334" spans="1:9" hidden="1" x14ac:dyDescent="0.2">
      <c r="A3334" s="46"/>
      <c r="B3334" s="46"/>
      <c r="C3334" s="46"/>
      <c r="D3334" s="48"/>
      <c r="E3334" s="48"/>
      <c r="F3334" s="48"/>
      <c r="G3334" s="48"/>
      <c r="H3334" s="48"/>
      <c r="I3334" s="48"/>
    </row>
    <row r="3335" spans="1:9" hidden="1" x14ac:dyDescent="0.2">
      <c r="A3335" s="46"/>
      <c r="B3335" s="46"/>
      <c r="C3335" s="46"/>
      <c r="D3335" s="48"/>
      <c r="E3335" s="48"/>
      <c r="F3335" s="48"/>
      <c r="G3335" s="48"/>
      <c r="H3335" s="48"/>
      <c r="I3335" s="48"/>
    </row>
    <row r="3336" spans="1:9" hidden="1" x14ac:dyDescent="0.2">
      <c r="A3336" s="46"/>
      <c r="B3336" s="46"/>
      <c r="C3336" s="46"/>
      <c r="D3336" s="48"/>
      <c r="E3336" s="48"/>
      <c r="F3336" s="48"/>
      <c r="G3336" s="48"/>
      <c r="H3336" s="48"/>
      <c r="I3336" s="48"/>
    </row>
    <row r="3337" spans="1:9" hidden="1" x14ac:dyDescent="0.2">
      <c r="A3337" s="46"/>
      <c r="B3337" s="46"/>
      <c r="C3337" s="46"/>
      <c r="D3337" s="48"/>
      <c r="E3337" s="48"/>
      <c r="F3337" s="48"/>
      <c r="G3337" s="48"/>
      <c r="H3337" s="48"/>
      <c r="I3337" s="48"/>
    </row>
    <row r="3338" spans="1:9" hidden="1" x14ac:dyDescent="0.2">
      <c r="A3338" s="46"/>
      <c r="B3338" s="46"/>
      <c r="C3338" s="46"/>
      <c r="D3338" s="48"/>
      <c r="E3338" s="48"/>
      <c r="F3338" s="48"/>
      <c r="G3338" s="48"/>
      <c r="H3338" s="48"/>
      <c r="I3338" s="48"/>
    </row>
    <row r="3339" spans="1:9" hidden="1" x14ac:dyDescent="0.2">
      <c r="A3339" s="46"/>
      <c r="B3339" s="46"/>
      <c r="C3339" s="46"/>
      <c r="D3339" s="48"/>
      <c r="E3339" s="48"/>
      <c r="F3339" s="48"/>
      <c r="G3339" s="48"/>
      <c r="H3339" s="48"/>
      <c r="I3339" s="48"/>
    </row>
    <row r="3340" spans="1:9" hidden="1" x14ac:dyDescent="0.2">
      <c r="A3340" s="46"/>
      <c r="B3340" s="46"/>
      <c r="C3340" s="46"/>
      <c r="D3340" s="48"/>
      <c r="E3340" s="48"/>
      <c r="F3340" s="48"/>
      <c r="G3340" s="48"/>
      <c r="H3340" s="48"/>
      <c r="I3340" s="48"/>
    </row>
    <row r="3341" spans="1:9" hidden="1" x14ac:dyDescent="0.2">
      <c r="A3341" s="46"/>
      <c r="B3341" s="46"/>
      <c r="C3341" s="46"/>
      <c r="D3341" s="48"/>
      <c r="E3341" s="48"/>
      <c r="F3341" s="48"/>
      <c r="G3341" s="48"/>
      <c r="H3341" s="48"/>
      <c r="I3341" s="48"/>
    </row>
    <row r="3342" spans="1:9" hidden="1" x14ac:dyDescent="0.2">
      <c r="A3342" s="46"/>
      <c r="B3342" s="46"/>
      <c r="C3342" s="46"/>
      <c r="D3342" s="48"/>
      <c r="E3342" s="48"/>
      <c r="F3342" s="48"/>
      <c r="G3342" s="48"/>
      <c r="H3342" s="48"/>
      <c r="I3342" s="48"/>
    </row>
    <row r="3343" spans="1:9" hidden="1" x14ac:dyDescent="0.2">
      <c r="A3343" s="46"/>
      <c r="B3343" s="46"/>
      <c r="C3343" s="46"/>
      <c r="D3343" s="48"/>
      <c r="E3343" s="48"/>
      <c r="F3343" s="48"/>
      <c r="G3343" s="48"/>
      <c r="H3343" s="48"/>
      <c r="I3343" s="48"/>
    </row>
    <row r="3344" spans="1:9" hidden="1" x14ac:dyDescent="0.2">
      <c r="A3344" s="46"/>
      <c r="B3344" s="46"/>
      <c r="C3344" s="46"/>
      <c r="D3344" s="48"/>
      <c r="E3344" s="48"/>
      <c r="F3344" s="48"/>
      <c r="G3344" s="48"/>
      <c r="H3344" s="48"/>
      <c r="I3344" s="48"/>
    </row>
    <row r="3345" spans="1:9" hidden="1" x14ac:dyDescent="0.2">
      <c r="A3345" s="46"/>
      <c r="B3345" s="46"/>
      <c r="C3345" s="46"/>
      <c r="D3345" s="48"/>
      <c r="E3345" s="48"/>
      <c r="F3345" s="48"/>
      <c r="G3345" s="48"/>
      <c r="H3345" s="48"/>
      <c r="I3345" s="48"/>
    </row>
    <row r="3346" spans="1:9" hidden="1" x14ac:dyDescent="0.2">
      <c r="A3346" s="46"/>
      <c r="B3346" s="46"/>
      <c r="C3346" s="46"/>
      <c r="D3346" s="48"/>
      <c r="E3346" s="48"/>
      <c r="F3346" s="48"/>
      <c r="G3346" s="48"/>
      <c r="H3346" s="48"/>
      <c r="I3346" s="48"/>
    </row>
    <row r="3347" spans="1:9" hidden="1" x14ac:dyDescent="0.2">
      <c r="A3347" s="46"/>
      <c r="B3347" s="46"/>
      <c r="C3347" s="46"/>
      <c r="D3347" s="48"/>
      <c r="E3347" s="48"/>
      <c r="F3347" s="48"/>
      <c r="G3347" s="48"/>
      <c r="H3347" s="48"/>
      <c r="I3347" s="48"/>
    </row>
    <row r="3348" spans="1:9" hidden="1" x14ac:dyDescent="0.2">
      <c r="A3348" s="46"/>
      <c r="B3348" s="46"/>
      <c r="C3348" s="46"/>
      <c r="D3348" s="48"/>
      <c r="E3348" s="48"/>
      <c r="F3348" s="48"/>
      <c r="G3348" s="48"/>
      <c r="H3348" s="48"/>
      <c r="I3348" s="48"/>
    </row>
    <row r="3349" spans="1:9" hidden="1" x14ac:dyDescent="0.2">
      <c r="A3349" s="46"/>
      <c r="B3349" s="46"/>
      <c r="C3349" s="46"/>
      <c r="D3349" s="48"/>
      <c r="E3349" s="48"/>
      <c r="F3349" s="48"/>
      <c r="G3349" s="48"/>
      <c r="H3349" s="48"/>
      <c r="I3349" s="48"/>
    </row>
    <row r="3350" spans="1:9" hidden="1" x14ac:dyDescent="0.2">
      <c r="A3350" s="46"/>
      <c r="B3350" s="46"/>
      <c r="C3350" s="46"/>
      <c r="D3350" s="48"/>
      <c r="E3350" s="48"/>
      <c r="F3350" s="48"/>
      <c r="G3350" s="48"/>
      <c r="H3350" s="48"/>
      <c r="I3350" s="48"/>
    </row>
    <row r="3351" spans="1:9" hidden="1" x14ac:dyDescent="0.2">
      <c r="A3351" s="46"/>
      <c r="B3351" s="46"/>
      <c r="C3351" s="46"/>
      <c r="D3351" s="48"/>
      <c r="E3351" s="48"/>
      <c r="F3351" s="48"/>
      <c r="G3351" s="48"/>
      <c r="H3351" s="48"/>
      <c r="I3351" s="48"/>
    </row>
    <row r="3352" spans="1:9" hidden="1" x14ac:dyDescent="0.2">
      <c r="A3352" s="46"/>
      <c r="B3352" s="46"/>
      <c r="C3352" s="46"/>
      <c r="D3352" s="48"/>
      <c r="E3352" s="48"/>
      <c r="F3352" s="48"/>
      <c r="G3352" s="48"/>
      <c r="H3352" s="48"/>
      <c r="I3352" s="48"/>
    </row>
    <row r="3353" spans="1:9" hidden="1" x14ac:dyDescent="0.2">
      <c r="A3353" s="46"/>
      <c r="B3353" s="46"/>
      <c r="C3353" s="46"/>
      <c r="D3353" s="48"/>
      <c r="E3353" s="48"/>
      <c r="F3353" s="48"/>
      <c r="G3353" s="48"/>
      <c r="H3353" s="48"/>
      <c r="I3353" s="48"/>
    </row>
    <row r="3354" spans="1:9" hidden="1" x14ac:dyDescent="0.2">
      <c r="A3354" s="46"/>
      <c r="B3354" s="46"/>
      <c r="C3354" s="46"/>
      <c r="D3354" s="48"/>
      <c r="E3354" s="48"/>
      <c r="F3354" s="48"/>
      <c r="G3354" s="48"/>
      <c r="H3354" s="48"/>
      <c r="I3354" s="48"/>
    </row>
    <row r="3355" spans="1:9" hidden="1" x14ac:dyDescent="0.2">
      <c r="A3355" s="46"/>
      <c r="B3355" s="46"/>
      <c r="C3355" s="46"/>
      <c r="D3355" s="48"/>
      <c r="E3355" s="48"/>
      <c r="F3355" s="48"/>
      <c r="G3355" s="48"/>
      <c r="H3355" s="48"/>
      <c r="I3355" s="48"/>
    </row>
    <row r="3356" spans="1:9" hidden="1" x14ac:dyDescent="0.2">
      <c r="A3356" s="46"/>
      <c r="B3356" s="46"/>
      <c r="C3356" s="46"/>
      <c r="D3356" s="48"/>
      <c r="E3356" s="48"/>
      <c r="F3356" s="48"/>
      <c r="G3356" s="48"/>
      <c r="H3356" s="48"/>
      <c r="I3356" s="48"/>
    </row>
    <row r="3357" spans="1:9" hidden="1" x14ac:dyDescent="0.2">
      <c r="A3357" s="46"/>
      <c r="B3357" s="46"/>
      <c r="C3357" s="46"/>
      <c r="D3357" s="48"/>
      <c r="E3357" s="48"/>
      <c r="F3357" s="48"/>
      <c r="G3357" s="48"/>
      <c r="H3357" s="48"/>
      <c r="I3357" s="48"/>
    </row>
    <row r="3358" spans="1:9" hidden="1" x14ac:dyDescent="0.2">
      <c r="A3358" s="46"/>
      <c r="B3358" s="46"/>
      <c r="C3358" s="46"/>
      <c r="D3358" s="48"/>
      <c r="E3358" s="48"/>
      <c r="F3358" s="48"/>
      <c r="G3358" s="48"/>
      <c r="H3358" s="48"/>
      <c r="I3358" s="48"/>
    </row>
    <row r="3359" spans="1:9" hidden="1" x14ac:dyDescent="0.2">
      <c r="A3359" s="46"/>
      <c r="B3359" s="46"/>
      <c r="C3359" s="46"/>
      <c r="D3359" s="48"/>
      <c r="E3359" s="48"/>
      <c r="F3359" s="48"/>
      <c r="G3359" s="48"/>
      <c r="H3359" s="48"/>
      <c r="I3359" s="48"/>
    </row>
    <row r="3360" spans="1:9" hidden="1" x14ac:dyDescent="0.2">
      <c r="A3360" s="46"/>
      <c r="B3360" s="46"/>
      <c r="C3360" s="46"/>
      <c r="D3360" s="48"/>
      <c r="E3360" s="48"/>
      <c r="F3360" s="48"/>
      <c r="G3360" s="48"/>
      <c r="H3360" s="48"/>
      <c r="I3360" s="48"/>
    </row>
    <row r="3361" spans="1:9" hidden="1" x14ac:dyDescent="0.2">
      <c r="A3361" s="46"/>
      <c r="B3361" s="46"/>
      <c r="C3361" s="46"/>
      <c r="D3361" s="48"/>
      <c r="E3361" s="48"/>
      <c r="F3361" s="48"/>
      <c r="G3361" s="48"/>
      <c r="H3361" s="48"/>
      <c r="I3361" s="48"/>
    </row>
    <row r="3362" spans="1:9" hidden="1" x14ac:dyDescent="0.2">
      <c r="A3362" s="46"/>
      <c r="B3362" s="46"/>
      <c r="C3362" s="46"/>
      <c r="D3362" s="48"/>
      <c r="E3362" s="48"/>
      <c r="F3362" s="48"/>
      <c r="G3362" s="48"/>
      <c r="H3362" s="48"/>
      <c r="I3362" s="48"/>
    </row>
    <row r="3363" spans="1:9" hidden="1" x14ac:dyDescent="0.2">
      <c r="A3363" s="46"/>
      <c r="B3363" s="46"/>
      <c r="C3363" s="46"/>
      <c r="D3363" s="48"/>
      <c r="E3363" s="48"/>
      <c r="F3363" s="48"/>
      <c r="G3363" s="48"/>
      <c r="H3363" s="48"/>
      <c r="I3363" s="48"/>
    </row>
    <row r="3364" spans="1:9" hidden="1" x14ac:dyDescent="0.2">
      <c r="A3364" s="46"/>
      <c r="B3364" s="46"/>
      <c r="C3364" s="46"/>
      <c r="D3364" s="48"/>
      <c r="E3364" s="48"/>
      <c r="F3364" s="48"/>
      <c r="G3364" s="48"/>
      <c r="H3364" s="48"/>
      <c r="I3364" s="48"/>
    </row>
    <row r="3365" spans="1:9" hidden="1" x14ac:dyDescent="0.2">
      <c r="A3365" s="46"/>
      <c r="B3365" s="46"/>
      <c r="C3365" s="46"/>
      <c r="D3365" s="48"/>
      <c r="E3365" s="48"/>
      <c r="F3365" s="48"/>
      <c r="G3365" s="48"/>
      <c r="H3365" s="48"/>
      <c r="I3365" s="48"/>
    </row>
    <row r="3366" spans="1:9" hidden="1" x14ac:dyDescent="0.2">
      <c r="A3366" s="46"/>
      <c r="B3366" s="46"/>
      <c r="C3366" s="46"/>
      <c r="D3366" s="48"/>
      <c r="E3366" s="48"/>
      <c r="F3366" s="48"/>
      <c r="G3366" s="48"/>
      <c r="H3366" s="48"/>
      <c r="I3366" s="48"/>
    </row>
    <row r="3367" spans="1:9" hidden="1" x14ac:dyDescent="0.2">
      <c r="A3367" s="46"/>
      <c r="B3367" s="46"/>
      <c r="C3367" s="46"/>
      <c r="D3367" s="48"/>
      <c r="E3367" s="48"/>
      <c r="F3367" s="48"/>
      <c r="G3367" s="48"/>
      <c r="H3367" s="48"/>
      <c r="I3367" s="48"/>
    </row>
    <row r="3368" spans="1:9" hidden="1" x14ac:dyDescent="0.2">
      <c r="A3368" s="46"/>
      <c r="B3368" s="46"/>
      <c r="C3368" s="46"/>
      <c r="D3368" s="48"/>
      <c r="E3368" s="48"/>
      <c r="F3368" s="48"/>
      <c r="G3368" s="48"/>
      <c r="H3368" s="48"/>
      <c r="I3368" s="48"/>
    </row>
    <row r="3369" spans="1:9" hidden="1" x14ac:dyDescent="0.2">
      <c r="A3369" s="46"/>
      <c r="B3369" s="46"/>
      <c r="C3369" s="46"/>
      <c r="D3369" s="48"/>
      <c r="E3369" s="48"/>
      <c r="F3369" s="48"/>
      <c r="G3369" s="48"/>
      <c r="H3369" s="48"/>
      <c r="I3369" s="48"/>
    </row>
    <row r="3370" spans="1:9" hidden="1" x14ac:dyDescent="0.2">
      <c r="A3370" s="46"/>
      <c r="B3370" s="46"/>
      <c r="C3370" s="46"/>
      <c r="D3370" s="48"/>
      <c r="E3370" s="48"/>
      <c r="F3370" s="48"/>
      <c r="G3370" s="48"/>
      <c r="H3370" s="48"/>
      <c r="I3370" s="48"/>
    </row>
    <row r="3371" spans="1:9" hidden="1" x14ac:dyDescent="0.2">
      <c r="A3371" s="46"/>
      <c r="B3371" s="46"/>
      <c r="C3371" s="46"/>
      <c r="D3371" s="48"/>
      <c r="E3371" s="48"/>
      <c r="F3371" s="48"/>
      <c r="G3371" s="48"/>
      <c r="H3371" s="48"/>
      <c r="I3371" s="48"/>
    </row>
    <row r="3372" spans="1:9" hidden="1" x14ac:dyDescent="0.2">
      <c r="A3372" s="46"/>
      <c r="B3372" s="46"/>
      <c r="C3372" s="46"/>
      <c r="D3372" s="48"/>
      <c r="E3372" s="48"/>
      <c r="F3372" s="48"/>
      <c r="G3372" s="48"/>
      <c r="H3372" s="48"/>
      <c r="I3372" s="48"/>
    </row>
    <row r="3373" spans="1:9" hidden="1" x14ac:dyDescent="0.2">
      <c r="A3373" s="46"/>
      <c r="B3373" s="46"/>
      <c r="C3373" s="46"/>
      <c r="D3373" s="48"/>
      <c r="E3373" s="48"/>
      <c r="F3373" s="48"/>
      <c r="G3373" s="48"/>
      <c r="H3373" s="48"/>
      <c r="I3373" s="48"/>
    </row>
    <row r="3374" spans="1:9" hidden="1" x14ac:dyDescent="0.2">
      <c r="A3374" s="46"/>
      <c r="B3374" s="46"/>
      <c r="C3374" s="46"/>
      <c r="D3374" s="48"/>
      <c r="E3374" s="48"/>
      <c r="F3374" s="48"/>
      <c r="G3374" s="48"/>
      <c r="H3374" s="48"/>
      <c r="I3374" s="48"/>
    </row>
    <row r="3375" spans="1:9" hidden="1" x14ac:dyDescent="0.2">
      <c r="A3375" s="46"/>
      <c r="B3375" s="46"/>
      <c r="C3375" s="46"/>
      <c r="D3375" s="48"/>
      <c r="E3375" s="48"/>
      <c r="F3375" s="48"/>
      <c r="G3375" s="48"/>
      <c r="H3375" s="48"/>
      <c r="I3375" s="48"/>
    </row>
    <row r="3376" spans="1:9" hidden="1" x14ac:dyDescent="0.2">
      <c r="A3376" s="46"/>
      <c r="B3376" s="46"/>
      <c r="C3376" s="46"/>
      <c r="D3376" s="48"/>
      <c r="E3376" s="48"/>
      <c r="F3376" s="48"/>
      <c r="G3376" s="48"/>
      <c r="H3376" s="48"/>
      <c r="I3376" s="48"/>
    </row>
    <row r="3377" spans="1:9" hidden="1" x14ac:dyDescent="0.2">
      <c r="A3377" s="46"/>
      <c r="B3377" s="46"/>
      <c r="C3377" s="46"/>
      <c r="D3377" s="48"/>
      <c r="E3377" s="48"/>
      <c r="F3377" s="48"/>
      <c r="G3377" s="48"/>
      <c r="H3377" s="48"/>
      <c r="I3377" s="48"/>
    </row>
    <row r="3378" spans="1:9" hidden="1" x14ac:dyDescent="0.2">
      <c r="A3378" s="46"/>
      <c r="B3378" s="46"/>
      <c r="C3378" s="46"/>
      <c r="D3378" s="48"/>
      <c r="E3378" s="48"/>
      <c r="F3378" s="48"/>
      <c r="G3378" s="48"/>
      <c r="H3378" s="48"/>
      <c r="I3378" s="48"/>
    </row>
    <row r="3379" spans="1:9" hidden="1" x14ac:dyDescent="0.2">
      <c r="A3379" s="46"/>
      <c r="B3379" s="46"/>
      <c r="C3379" s="46"/>
      <c r="D3379" s="48"/>
      <c r="E3379" s="48"/>
      <c r="F3379" s="48"/>
      <c r="G3379" s="48"/>
      <c r="H3379" s="48"/>
      <c r="I3379" s="48"/>
    </row>
    <row r="3380" spans="1:9" hidden="1" x14ac:dyDescent="0.2">
      <c r="A3380" s="46"/>
      <c r="B3380" s="46"/>
      <c r="C3380" s="46"/>
      <c r="D3380" s="48"/>
      <c r="E3380" s="48"/>
      <c r="F3380" s="48"/>
      <c r="G3380" s="48"/>
      <c r="H3380" s="48"/>
      <c r="I3380" s="48"/>
    </row>
    <row r="3381" spans="1:9" hidden="1" x14ac:dyDescent="0.2">
      <c r="A3381" s="46"/>
      <c r="B3381" s="46"/>
      <c r="C3381" s="46"/>
      <c r="D3381" s="48"/>
      <c r="E3381" s="48"/>
      <c r="F3381" s="48"/>
      <c r="G3381" s="48"/>
      <c r="H3381" s="48"/>
      <c r="I3381" s="48"/>
    </row>
    <row r="3382" spans="1:9" hidden="1" x14ac:dyDescent="0.2">
      <c r="A3382" s="46"/>
      <c r="B3382" s="46"/>
      <c r="C3382" s="46"/>
      <c r="D3382" s="48"/>
      <c r="E3382" s="48"/>
      <c r="F3382" s="48"/>
      <c r="G3382" s="48"/>
      <c r="H3382" s="48"/>
      <c r="I3382" s="48"/>
    </row>
    <row r="3383" spans="1:9" hidden="1" x14ac:dyDescent="0.2">
      <c r="A3383" s="46"/>
      <c r="B3383" s="46"/>
      <c r="C3383" s="46"/>
      <c r="D3383" s="48"/>
      <c r="E3383" s="48"/>
      <c r="F3383" s="48"/>
      <c r="G3383" s="48"/>
      <c r="H3383" s="48"/>
      <c r="I3383" s="48"/>
    </row>
    <row r="3384" spans="1:9" hidden="1" x14ac:dyDescent="0.2">
      <c r="A3384" s="46"/>
      <c r="B3384" s="46"/>
      <c r="C3384" s="46"/>
      <c r="D3384" s="48"/>
      <c r="E3384" s="48"/>
      <c r="F3384" s="48"/>
      <c r="G3384" s="48"/>
      <c r="H3384" s="48"/>
      <c r="I3384" s="48"/>
    </row>
    <row r="3385" spans="1:9" hidden="1" x14ac:dyDescent="0.2">
      <c r="A3385" s="46"/>
      <c r="B3385" s="46"/>
      <c r="C3385" s="46"/>
      <c r="D3385" s="48"/>
      <c r="E3385" s="48"/>
      <c r="F3385" s="48"/>
      <c r="G3385" s="48"/>
      <c r="H3385" s="48"/>
      <c r="I3385" s="48"/>
    </row>
    <row r="3386" spans="1:9" hidden="1" x14ac:dyDescent="0.2">
      <c r="A3386" s="46"/>
      <c r="B3386" s="46"/>
      <c r="C3386" s="46"/>
      <c r="D3386" s="48"/>
      <c r="E3386" s="48"/>
      <c r="F3386" s="48"/>
      <c r="G3386" s="48"/>
      <c r="H3386" s="48"/>
      <c r="I3386" s="48"/>
    </row>
    <row r="3387" spans="1:9" hidden="1" x14ac:dyDescent="0.2">
      <c r="A3387" s="46"/>
      <c r="B3387" s="46"/>
      <c r="C3387" s="46"/>
      <c r="D3387" s="48"/>
      <c r="E3387" s="48"/>
      <c r="F3387" s="48"/>
      <c r="G3387" s="48"/>
      <c r="H3387" s="48"/>
      <c r="I3387" s="48"/>
    </row>
    <row r="3388" spans="1:9" hidden="1" x14ac:dyDescent="0.2">
      <c r="A3388" s="46"/>
      <c r="B3388" s="46"/>
      <c r="C3388" s="46"/>
      <c r="D3388" s="48"/>
      <c r="E3388" s="48"/>
      <c r="F3388" s="48"/>
      <c r="G3388" s="48"/>
      <c r="H3388" s="48"/>
      <c r="I3388" s="48"/>
    </row>
    <row r="3389" spans="1:9" hidden="1" x14ac:dyDescent="0.2">
      <c r="A3389" s="46"/>
      <c r="B3389" s="46"/>
      <c r="C3389" s="46"/>
      <c r="D3389" s="48"/>
      <c r="E3389" s="48"/>
      <c r="F3389" s="48"/>
      <c r="G3389" s="48"/>
      <c r="H3389" s="48"/>
      <c r="I3389" s="48"/>
    </row>
    <row r="3390" spans="1:9" hidden="1" x14ac:dyDescent="0.2">
      <c r="A3390" s="46"/>
      <c r="B3390" s="46"/>
      <c r="C3390" s="46"/>
      <c r="D3390" s="48"/>
      <c r="E3390" s="48"/>
      <c r="F3390" s="48"/>
      <c r="G3390" s="48"/>
      <c r="H3390" s="48"/>
      <c r="I3390" s="48"/>
    </row>
    <row r="3391" spans="1:9" hidden="1" x14ac:dyDescent="0.2">
      <c r="A3391" s="46"/>
      <c r="B3391" s="46"/>
      <c r="C3391" s="46"/>
      <c r="D3391" s="48"/>
      <c r="E3391" s="48"/>
      <c r="F3391" s="48"/>
      <c r="G3391" s="48"/>
      <c r="H3391" s="48"/>
      <c r="I3391" s="48"/>
    </row>
    <row r="3392" spans="1:9" hidden="1" x14ac:dyDescent="0.2">
      <c r="A3392" s="46"/>
      <c r="B3392" s="46"/>
      <c r="C3392" s="46"/>
      <c r="D3392" s="48"/>
      <c r="E3392" s="48"/>
      <c r="F3392" s="48"/>
      <c r="G3392" s="48"/>
      <c r="H3392" s="48"/>
      <c r="I3392" s="48"/>
    </row>
    <row r="3393" spans="1:9" hidden="1" x14ac:dyDescent="0.2">
      <c r="A3393" s="46"/>
      <c r="B3393" s="46"/>
      <c r="C3393" s="46"/>
      <c r="D3393" s="48"/>
      <c r="E3393" s="48"/>
      <c r="F3393" s="48"/>
      <c r="G3393" s="48"/>
      <c r="H3393" s="48"/>
      <c r="I3393" s="48"/>
    </row>
    <row r="3394" spans="1:9" hidden="1" x14ac:dyDescent="0.2">
      <c r="A3394" s="46"/>
      <c r="B3394" s="46"/>
      <c r="C3394" s="46"/>
      <c r="D3394" s="48"/>
      <c r="E3394" s="48"/>
      <c r="F3394" s="48"/>
      <c r="G3394" s="48"/>
      <c r="H3394" s="48"/>
      <c r="I3394" s="48"/>
    </row>
    <row r="3395" spans="1:9" hidden="1" x14ac:dyDescent="0.2">
      <c r="A3395" s="46"/>
      <c r="B3395" s="46"/>
      <c r="C3395" s="46"/>
      <c r="D3395" s="48"/>
      <c r="E3395" s="48"/>
      <c r="F3395" s="48"/>
      <c r="G3395" s="48"/>
      <c r="H3395" s="48"/>
      <c r="I3395" s="48"/>
    </row>
    <row r="3396" spans="1:9" hidden="1" x14ac:dyDescent="0.2">
      <c r="A3396" s="46"/>
      <c r="B3396" s="46"/>
      <c r="C3396" s="46"/>
      <c r="D3396" s="48"/>
      <c r="E3396" s="48"/>
      <c r="F3396" s="48"/>
      <c r="G3396" s="48"/>
      <c r="H3396" s="48"/>
      <c r="I3396" s="48"/>
    </row>
    <row r="3397" spans="1:9" hidden="1" x14ac:dyDescent="0.2">
      <c r="A3397" s="46"/>
      <c r="B3397" s="46"/>
      <c r="C3397" s="46"/>
      <c r="D3397" s="48"/>
      <c r="E3397" s="48"/>
      <c r="F3397" s="48"/>
      <c r="G3397" s="48"/>
      <c r="H3397" s="48"/>
      <c r="I3397" s="48"/>
    </row>
    <row r="3398" spans="1:9" hidden="1" x14ac:dyDescent="0.2">
      <c r="A3398" s="46"/>
      <c r="B3398" s="46"/>
      <c r="C3398" s="46"/>
      <c r="D3398" s="48"/>
      <c r="E3398" s="48"/>
      <c r="F3398" s="48"/>
      <c r="G3398" s="48"/>
      <c r="H3398" s="48"/>
      <c r="I3398" s="48"/>
    </row>
    <row r="3399" spans="1:9" hidden="1" x14ac:dyDescent="0.2">
      <c r="A3399" s="46"/>
      <c r="B3399" s="46"/>
      <c r="C3399" s="46"/>
      <c r="D3399" s="48"/>
      <c r="E3399" s="48"/>
      <c r="F3399" s="48"/>
      <c r="G3399" s="48"/>
      <c r="H3399" s="48"/>
      <c r="I3399" s="48"/>
    </row>
    <row r="3400" spans="1:9" hidden="1" x14ac:dyDescent="0.2">
      <c r="A3400" s="46"/>
      <c r="B3400" s="46"/>
      <c r="C3400" s="46"/>
      <c r="D3400" s="48"/>
      <c r="E3400" s="48"/>
      <c r="F3400" s="48"/>
      <c r="G3400" s="48"/>
      <c r="H3400" s="48"/>
      <c r="I3400" s="48"/>
    </row>
    <row r="3401" spans="1:9" hidden="1" x14ac:dyDescent="0.2">
      <c r="A3401" s="46"/>
      <c r="B3401" s="46"/>
      <c r="C3401" s="46"/>
      <c r="D3401" s="48"/>
      <c r="E3401" s="48"/>
      <c r="F3401" s="48"/>
      <c r="G3401" s="48"/>
      <c r="H3401" s="48"/>
      <c r="I3401" s="48"/>
    </row>
    <row r="3402" spans="1:9" hidden="1" x14ac:dyDescent="0.2">
      <c r="A3402" s="46"/>
      <c r="B3402" s="46"/>
      <c r="C3402" s="46"/>
      <c r="D3402" s="48"/>
      <c r="E3402" s="48"/>
      <c r="F3402" s="48"/>
      <c r="G3402" s="48"/>
      <c r="H3402" s="48"/>
      <c r="I3402" s="48"/>
    </row>
    <row r="3403" spans="1:9" hidden="1" x14ac:dyDescent="0.2">
      <c r="A3403" s="46"/>
      <c r="B3403" s="46"/>
      <c r="C3403" s="46"/>
      <c r="D3403" s="48"/>
      <c r="E3403" s="48"/>
      <c r="F3403" s="48"/>
      <c r="G3403" s="48"/>
      <c r="H3403" s="48"/>
      <c r="I3403" s="48"/>
    </row>
    <row r="3404" spans="1:9" hidden="1" x14ac:dyDescent="0.2">
      <c r="A3404" s="46"/>
      <c r="B3404" s="46"/>
      <c r="C3404" s="46"/>
      <c r="D3404" s="48"/>
      <c r="E3404" s="48"/>
      <c r="F3404" s="48"/>
      <c r="G3404" s="48"/>
      <c r="H3404" s="48"/>
      <c r="I3404" s="48"/>
    </row>
    <row r="3405" spans="1:9" hidden="1" x14ac:dyDescent="0.2">
      <c r="A3405" s="46"/>
      <c r="B3405" s="46"/>
      <c r="C3405" s="46"/>
      <c r="D3405" s="48"/>
      <c r="E3405" s="48"/>
      <c r="F3405" s="48"/>
      <c r="G3405" s="48"/>
      <c r="H3405" s="48"/>
      <c r="I3405" s="48"/>
    </row>
    <row r="3406" spans="1:9" hidden="1" x14ac:dyDescent="0.2">
      <c r="A3406" s="46"/>
      <c r="B3406" s="46"/>
      <c r="C3406" s="46"/>
      <c r="D3406" s="48"/>
      <c r="E3406" s="48"/>
      <c r="F3406" s="48"/>
      <c r="G3406" s="48"/>
      <c r="H3406" s="48"/>
      <c r="I3406" s="48"/>
    </row>
    <row r="3407" spans="1:9" hidden="1" x14ac:dyDescent="0.2">
      <c r="A3407" s="46"/>
      <c r="B3407" s="46"/>
      <c r="C3407" s="46"/>
      <c r="D3407" s="48"/>
      <c r="E3407" s="48"/>
      <c r="F3407" s="48"/>
      <c r="G3407" s="48"/>
      <c r="H3407" s="48"/>
      <c r="I3407" s="48"/>
    </row>
    <row r="3408" spans="1:9" hidden="1" x14ac:dyDescent="0.2">
      <c r="A3408" s="46"/>
      <c r="B3408" s="46"/>
      <c r="C3408" s="46"/>
      <c r="D3408" s="48"/>
      <c r="E3408" s="48"/>
      <c r="F3408" s="48"/>
      <c r="G3408" s="48"/>
      <c r="H3408" s="48"/>
      <c r="I3408" s="48"/>
    </row>
    <row r="3409" spans="1:9" hidden="1" x14ac:dyDescent="0.2">
      <c r="A3409" s="46"/>
      <c r="B3409" s="46"/>
      <c r="C3409" s="46"/>
      <c r="D3409" s="48"/>
      <c r="E3409" s="48"/>
      <c r="F3409" s="48"/>
      <c r="G3409" s="48"/>
      <c r="H3409" s="48"/>
      <c r="I3409" s="48"/>
    </row>
    <row r="3410" spans="1:9" hidden="1" x14ac:dyDescent="0.2">
      <c r="A3410" s="46"/>
      <c r="B3410" s="46"/>
      <c r="C3410" s="46"/>
      <c r="D3410" s="48"/>
      <c r="E3410" s="48"/>
      <c r="F3410" s="48"/>
      <c r="G3410" s="48"/>
      <c r="H3410" s="48"/>
      <c r="I3410" s="48"/>
    </row>
    <row r="3411" spans="1:9" hidden="1" x14ac:dyDescent="0.2">
      <c r="A3411" s="46"/>
      <c r="B3411" s="46"/>
      <c r="C3411" s="46"/>
      <c r="D3411" s="48"/>
      <c r="E3411" s="48"/>
      <c r="F3411" s="48"/>
      <c r="G3411" s="48"/>
      <c r="H3411" s="48"/>
      <c r="I3411" s="48"/>
    </row>
    <row r="3412" spans="1:9" hidden="1" x14ac:dyDescent="0.2">
      <c r="A3412" s="46"/>
      <c r="B3412" s="46"/>
      <c r="C3412" s="46"/>
      <c r="D3412" s="48"/>
      <c r="E3412" s="48"/>
      <c r="F3412" s="48"/>
      <c r="G3412" s="48"/>
      <c r="H3412" s="48"/>
      <c r="I3412" s="48"/>
    </row>
    <row r="3413" spans="1:9" hidden="1" x14ac:dyDescent="0.2">
      <c r="A3413" s="46"/>
      <c r="B3413" s="46"/>
      <c r="C3413" s="46"/>
      <c r="D3413" s="48"/>
      <c r="E3413" s="48"/>
      <c r="F3413" s="48"/>
      <c r="G3413" s="48"/>
      <c r="H3413" s="48"/>
      <c r="I3413" s="48"/>
    </row>
    <row r="3414" spans="1:9" hidden="1" x14ac:dyDescent="0.2">
      <c r="A3414" s="46"/>
      <c r="B3414" s="46"/>
      <c r="C3414" s="46"/>
      <c r="D3414" s="48"/>
      <c r="E3414" s="48"/>
      <c r="F3414" s="48"/>
      <c r="G3414" s="48"/>
      <c r="H3414" s="48"/>
      <c r="I3414" s="48"/>
    </row>
    <row r="3415" spans="1:9" hidden="1" x14ac:dyDescent="0.2">
      <c r="A3415" s="46"/>
      <c r="B3415" s="46"/>
      <c r="C3415" s="46"/>
      <c r="D3415" s="48"/>
      <c r="E3415" s="48"/>
      <c r="F3415" s="48"/>
      <c r="G3415" s="48"/>
      <c r="H3415" s="48"/>
      <c r="I3415" s="48"/>
    </row>
    <row r="3416" spans="1:9" hidden="1" x14ac:dyDescent="0.2">
      <c r="A3416" s="46"/>
      <c r="B3416" s="46"/>
      <c r="C3416" s="46"/>
      <c r="D3416" s="48"/>
      <c r="E3416" s="48"/>
      <c r="F3416" s="48"/>
      <c r="G3416" s="48"/>
      <c r="H3416" s="48"/>
      <c r="I3416" s="48"/>
    </row>
    <row r="3417" spans="1:9" hidden="1" x14ac:dyDescent="0.2">
      <c r="A3417" s="46"/>
      <c r="B3417" s="46"/>
      <c r="C3417" s="46"/>
      <c r="D3417" s="48"/>
      <c r="E3417" s="48"/>
      <c r="F3417" s="48"/>
      <c r="G3417" s="48"/>
      <c r="H3417" s="48"/>
      <c r="I3417" s="48"/>
    </row>
    <row r="3418" spans="1:9" hidden="1" x14ac:dyDescent="0.2">
      <c r="A3418" s="46"/>
      <c r="B3418" s="46"/>
      <c r="C3418" s="46"/>
      <c r="D3418" s="48"/>
      <c r="E3418" s="48"/>
      <c r="F3418" s="48"/>
      <c r="G3418" s="48"/>
      <c r="H3418" s="48"/>
      <c r="I3418" s="48"/>
    </row>
    <row r="3419" spans="1:9" hidden="1" x14ac:dyDescent="0.2">
      <c r="A3419" s="46"/>
      <c r="B3419" s="46"/>
      <c r="C3419" s="46"/>
      <c r="D3419" s="48"/>
      <c r="E3419" s="48"/>
      <c r="F3419" s="48"/>
      <c r="G3419" s="48"/>
      <c r="H3419" s="48"/>
      <c r="I3419" s="48"/>
    </row>
    <row r="3420" spans="1:9" hidden="1" x14ac:dyDescent="0.2">
      <c r="A3420" s="46"/>
      <c r="B3420" s="46"/>
      <c r="C3420" s="46"/>
      <c r="D3420" s="48"/>
      <c r="E3420" s="48"/>
      <c r="F3420" s="48"/>
      <c r="G3420" s="48"/>
      <c r="H3420" s="48"/>
      <c r="I3420" s="48"/>
    </row>
    <row r="3421" spans="1:9" hidden="1" x14ac:dyDescent="0.2">
      <c r="A3421" s="46"/>
      <c r="B3421" s="46"/>
      <c r="C3421" s="46"/>
      <c r="D3421" s="48"/>
      <c r="E3421" s="48"/>
      <c r="F3421" s="48"/>
      <c r="G3421" s="48"/>
      <c r="H3421" s="48"/>
      <c r="I3421" s="48"/>
    </row>
    <row r="3422" spans="1:9" hidden="1" x14ac:dyDescent="0.2">
      <c r="A3422" s="46"/>
      <c r="B3422" s="46"/>
      <c r="C3422" s="46"/>
      <c r="D3422" s="48"/>
      <c r="E3422" s="48"/>
      <c r="F3422" s="48"/>
      <c r="G3422" s="48"/>
      <c r="H3422" s="48"/>
      <c r="I3422" s="48"/>
    </row>
    <row r="3423" spans="1:9" hidden="1" x14ac:dyDescent="0.2">
      <c r="A3423" s="46"/>
      <c r="B3423" s="46"/>
      <c r="C3423" s="46"/>
      <c r="D3423" s="48"/>
      <c r="E3423" s="48"/>
      <c r="F3423" s="48"/>
      <c r="G3423" s="48"/>
      <c r="H3423" s="48"/>
      <c r="I3423" s="48"/>
    </row>
    <row r="3424" spans="1:9" hidden="1" x14ac:dyDescent="0.2">
      <c r="A3424" s="46"/>
      <c r="B3424" s="46"/>
      <c r="C3424" s="46"/>
      <c r="D3424" s="48"/>
      <c r="E3424" s="48"/>
      <c r="F3424" s="48"/>
      <c r="G3424" s="48"/>
      <c r="H3424" s="48"/>
      <c r="I3424" s="48"/>
    </row>
    <row r="3425" spans="1:9" hidden="1" x14ac:dyDescent="0.2">
      <c r="A3425" s="46"/>
      <c r="B3425" s="46"/>
      <c r="C3425" s="46"/>
      <c r="D3425" s="48"/>
      <c r="E3425" s="48"/>
      <c r="F3425" s="48"/>
      <c r="G3425" s="48"/>
      <c r="H3425" s="48"/>
      <c r="I3425" s="48"/>
    </row>
    <row r="3426" spans="1:9" hidden="1" x14ac:dyDescent="0.2">
      <c r="A3426" s="46"/>
      <c r="B3426" s="46"/>
      <c r="C3426" s="46"/>
      <c r="D3426" s="48"/>
      <c r="E3426" s="48"/>
      <c r="F3426" s="48"/>
      <c r="G3426" s="48"/>
      <c r="H3426" s="48"/>
      <c r="I3426" s="48"/>
    </row>
    <row r="3427" spans="1:9" hidden="1" x14ac:dyDescent="0.2">
      <c r="A3427" s="46"/>
      <c r="B3427" s="46"/>
      <c r="C3427" s="46"/>
      <c r="D3427" s="48"/>
      <c r="E3427" s="48"/>
      <c r="F3427" s="48"/>
      <c r="G3427" s="48"/>
      <c r="H3427" s="48"/>
      <c r="I3427" s="48"/>
    </row>
    <row r="3428" spans="1:9" hidden="1" x14ac:dyDescent="0.2">
      <c r="A3428" s="46"/>
      <c r="B3428" s="46"/>
      <c r="C3428" s="46"/>
      <c r="D3428" s="48"/>
      <c r="E3428" s="48"/>
      <c r="F3428" s="48"/>
      <c r="G3428" s="48"/>
      <c r="H3428" s="48"/>
      <c r="I3428" s="48"/>
    </row>
    <row r="3429" spans="1:9" hidden="1" x14ac:dyDescent="0.2">
      <c r="A3429" s="46"/>
      <c r="B3429" s="46"/>
      <c r="C3429" s="46"/>
      <c r="D3429" s="48"/>
      <c r="E3429" s="48"/>
      <c r="F3429" s="48"/>
      <c r="G3429" s="48"/>
      <c r="H3429" s="48"/>
      <c r="I3429" s="48"/>
    </row>
    <row r="3430" spans="1:9" hidden="1" x14ac:dyDescent="0.2">
      <c r="A3430" s="46"/>
      <c r="B3430" s="46"/>
      <c r="C3430" s="46"/>
      <c r="D3430" s="48"/>
      <c r="E3430" s="48"/>
      <c r="F3430" s="48"/>
      <c r="G3430" s="48"/>
      <c r="H3430" s="48"/>
      <c r="I3430" s="48"/>
    </row>
    <row r="3431" spans="1:9" hidden="1" x14ac:dyDescent="0.2">
      <c r="A3431" s="46"/>
      <c r="B3431" s="46"/>
      <c r="C3431" s="46"/>
      <c r="D3431" s="48"/>
      <c r="E3431" s="48"/>
      <c r="F3431" s="48"/>
      <c r="G3431" s="48"/>
      <c r="H3431" s="48"/>
      <c r="I3431" s="48"/>
    </row>
    <row r="3432" spans="1:9" hidden="1" x14ac:dyDescent="0.2">
      <c r="A3432" s="46"/>
      <c r="B3432" s="46"/>
      <c r="C3432" s="46"/>
      <c r="D3432" s="48"/>
      <c r="E3432" s="48"/>
      <c r="F3432" s="48"/>
      <c r="G3432" s="48"/>
      <c r="H3432" s="48"/>
      <c r="I3432" s="48"/>
    </row>
    <row r="3433" spans="1:9" hidden="1" x14ac:dyDescent="0.2">
      <c r="A3433" s="46"/>
      <c r="B3433" s="46"/>
      <c r="C3433" s="46"/>
      <c r="D3433" s="48"/>
      <c r="E3433" s="48"/>
      <c r="F3433" s="48"/>
      <c r="G3433" s="48"/>
      <c r="H3433" s="48"/>
      <c r="I3433" s="48"/>
    </row>
    <row r="3434" spans="1:9" hidden="1" x14ac:dyDescent="0.2">
      <c r="A3434" s="46"/>
      <c r="B3434" s="46"/>
      <c r="C3434" s="46"/>
      <c r="D3434" s="48"/>
      <c r="E3434" s="48"/>
      <c r="F3434" s="48"/>
      <c r="G3434" s="48"/>
      <c r="H3434" s="48"/>
      <c r="I3434" s="48"/>
    </row>
    <row r="3435" spans="1:9" hidden="1" x14ac:dyDescent="0.2">
      <c r="A3435" s="46"/>
      <c r="B3435" s="46"/>
      <c r="C3435" s="46"/>
      <c r="D3435" s="48"/>
      <c r="E3435" s="48"/>
      <c r="F3435" s="48"/>
      <c r="G3435" s="48"/>
      <c r="H3435" s="48"/>
      <c r="I3435" s="48"/>
    </row>
    <row r="3436" spans="1:9" hidden="1" x14ac:dyDescent="0.2">
      <c r="A3436" s="46"/>
      <c r="B3436" s="46"/>
      <c r="C3436" s="46"/>
      <c r="D3436" s="48"/>
      <c r="E3436" s="48"/>
      <c r="F3436" s="48"/>
      <c r="G3436" s="48"/>
      <c r="H3436" s="48"/>
      <c r="I3436" s="48"/>
    </row>
    <row r="3437" spans="1:9" hidden="1" x14ac:dyDescent="0.2">
      <c r="A3437" s="46"/>
      <c r="B3437" s="46"/>
      <c r="C3437" s="46"/>
      <c r="D3437" s="48"/>
      <c r="E3437" s="48"/>
      <c r="F3437" s="48"/>
      <c r="G3437" s="48"/>
      <c r="H3437" s="48"/>
      <c r="I3437" s="48"/>
    </row>
    <row r="3438" spans="1:9" hidden="1" x14ac:dyDescent="0.2">
      <c r="A3438" s="46"/>
      <c r="B3438" s="46"/>
      <c r="C3438" s="46"/>
      <c r="D3438" s="48"/>
      <c r="E3438" s="48"/>
      <c r="F3438" s="48"/>
      <c r="G3438" s="48"/>
      <c r="H3438" s="48"/>
      <c r="I3438" s="48"/>
    </row>
    <row r="3439" spans="1:9" hidden="1" x14ac:dyDescent="0.2">
      <c r="A3439" s="46"/>
      <c r="B3439" s="46"/>
      <c r="C3439" s="46"/>
      <c r="D3439" s="48"/>
      <c r="E3439" s="48"/>
      <c r="F3439" s="48"/>
      <c r="G3439" s="48"/>
      <c r="H3439" s="48"/>
      <c r="I3439" s="48"/>
    </row>
    <row r="3440" spans="1:9" hidden="1" x14ac:dyDescent="0.2">
      <c r="A3440" s="46"/>
      <c r="B3440" s="46"/>
      <c r="C3440" s="46"/>
      <c r="D3440" s="48"/>
      <c r="E3440" s="48"/>
      <c r="F3440" s="48"/>
      <c r="G3440" s="48"/>
      <c r="H3440" s="48"/>
      <c r="I3440" s="48"/>
    </row>
    <row r="3441" spans="1:9" hidden="1" x14ac:dyDescent="0.2">
      <c r="A3441" s="46"/>
      <c r="B3441" s="46"/>
      <c r="C3441" s="46"/>
      <c r="D3441" s="48"/>
      <c r="E3441" s="48"/>
      <c r="F3441" s="48"/>
      <c r="G3441" s="48"/>
      <c r="H3441" s="48"/>
      <c r="I3441" s="48"/>
    </row>
    <row r="3442" spans="1:9" hidden="1" x14ac:dyDescent="0.2">
      <c r="A3442" s="46"/>
      <c r="B3442" s="46"/>
      <c r="C3442" s="46"/>
      <c r="D3442" s="48"/>
      <c r="E3442" s="48"/>
      <c r="F3442" s="48"/>
      <c r="G3442" s="48"/>
      <c r="H3442" s="48"/>
      <c r="I3442" s="48"/>
    </row>
    <row r="3443" spans="1:9" hidden="1" x14ac:dyDescent="0.2">
      <c r="A3443" s="46"/>
      <c r="B3443" s="46"/>
      <c r="C3443" s="46"/>
      <c r="D3443" s="48"/>
      <c r="E3443" s="48"/>
      <c r="F3443" s="48"/>
      <c r="G3443" s="48"/>
      <c r="H3443" s="48"/>
      <c r="I3443" s="48"/>
    </row>
    <row r="3444" spans="1:9" hidden="1" x14ac:dyDescent="0.2">
      <c r="A3444" s="46"/>
      <c r="B3444" s="46"/>
      <c r="C3444" s="46"/>
      <c r="D3444" s="48"/>
      <c r="E3444" s="48"/>
      <c r="F3444" s="48"/>
      <c r="G3444" s="48"/>
      <c r="H3444" s="48"/>
      <c r="I3444" s="48"/>
    </row>
    <row r="3445" spans="1:9" hidden="1" x14ac:dyDescent="0.2">
      <c r="A3445" s="46"/>
      <c r="B3445" s="46"/>
      <c r="C3445" s="46"/>
      <c r="D3445" s="48"/>
      <c r="E3445" s="48"/>
      <c r="F3445" s="48"/>
      <c r="G3445" s="48"/>
      <c r="H3445" s="48"/>
      <c r="I3445" s="48"/>
    </row>
    <row r="3446" spans="1:9" hidden="1" x14ac:dyDescent="0.2">
      <c r="A3446" s="46"/>
      <c r="B3446" s="46"/>
      <c r="C3446" s="46"/>
      <c r="D3446" s="48"/>
      <c r="E3446" s="48"/>
      <c r="F3446" s="48"/>
      <c r="G3446" s="48"/>
      <c r="H3446" s="48"/>
      <c r="I3446" s="48"/>
    </row>
    <row r="3447" spans="1:9" hidden="1" x14ac:dyDescent="0.2">
      <c r="A3447" s="46"/>
      <c r="B3447" s="46"/>
      <c r="C3447" s="46"/>
      <c r="D3447" s="48"/>
      <c r="E3447" s="48"/>
      <c r="F3447" s="48"/>
      <c r="G3447" s="48"/>
      <c r="H3447" s="48"/>
      <c r="I3447" s="48"/>
    </row>
    <row r="3448" spans="1:9" hidden="1" x14ac:dyDescent="0.2">
      <c r="A3448" s="46"/>
      <c r="B3448" s="46"/>
      <c r="C3448" s="46"/>
      <c r="D3448" s="48"/>
      <c r="E3448" s="48"/>
      <c r="F3448" s="48"/>
      <c r="G3448" s="48"/>
      <c r="H3448" s="48"/>
      <c r="I3448" s="48"/>
    </row>
    <row r="3449" spans="1:9" hidden="1" x14ac:dyDescent="0.2">
      <c r="A3449" s="46"/>
      <c r="B3449" s="46"/>
      <c r="C3449" s="46"/>
      <c r="D3449" s="48"/>
      <c r="E3449" s="48"/>
      <c r="F3449" s="48"/>
      <c r="G3449" s="48"/>
      <c r="H3449" s="48"/>
      <c r="I3449" s="48"/>
    </row>
    <row r="3450" spans="1:9" hidden="1" x14ac:dyDescent="0.2">
      <c r="A3450" s="46"/>
      <c r="B3450" s="46"/>
      <c r="C3450" s="46"/>
      <c r="D3450" s="48"/>
      <c r="E3450" s="48"/>
      <c r="F3450" s="48"/>
      <c r="G3450" s="48"/>
      <c r="H3450" s="48"/>
      <c r="I3450" s="48"/>
    </row>
    <row r="3451" spans="1:9" hidden="1" x14ac:dyDescent="0.2">
      <c r="A3451" s="46"/>
      <c r="B3451" s="46"/>
      <c r="C3451" s="46"/>
      <c r="D3451" s="48"/>
      <c r="E3451" s="48"/>
      <c r="F3451" s="48"/>
      <c r="G3451" s="48"/>
      <c r="H3451" s="48"/>
      <c r="I3451" s="48"/>
    </row>
    <row r="3452" spans="1:9" hidden="1" x14ac:dyDescent="0.2">
      <c r="A3452" s="46"/>
      <c r="B3452" s="46"/>
      <c r="C3452" s="46"/>
      <c r="D3452" s="48"/>
      <c r="E3452" s="48"/>
      <c r="F3452" s="48"/>
      <c r="G3452" s="48"/>
      <c r="H3452" s="48"/>
      <c r="I3452" s="48"/>
    </row>
    <row r="3453" spans="1:9" hidden="1" x14ac:dyDescent="0.2">
      <c r="A3453" s="46"/>
      <c r="B3453" s="46"/>
      <c r="C3453" s="46"/>
      <c r="D3453" s="48"/>
      <c r="E3453" s="48"/>
      <c r="F3453" s="48"/>
      <c r="G3453" s="48"/>
      <c r="H3453" s="48"/>
      <c r="I3453" s="48"/>
    </row>
    <row r="3454" spans="1:9" hidden="1" x14ac:dyDescent="0.2">
      <c r="A3454" s="46"/>
      <c r="B3454" s="46"/>
      <c r="C3454" s="46"/>
      <c r="D3454" s="48"/>
      <c r="E3454" s="48"/>
      <c r="F3454" s="48"/>
      <c r="G3454" s="48"/>
      <c r="H3454" s="48"/>
      <c r="I3454" s="48"/>
    </row>
    <row r="3455" spans="1:9" hidden="1" x14ac:dyDescent="0.2">
      <c r="A3455" s="46"/>
      <c r="B3455" s="46"/>
      <c r="C3455" s="46"/>
      <c r="D3455" s="48"/>
      <c r="E3455" s="48"/>
      <c r="F3455" s="48"/>
      <c r="G3455" s="48"/>
      <c r="H3455" s="48"/>
      <c r="I3455" s="48"/>
    </row>
    <row r="3456" spans="1:9" hidden="1" x14ac:dyDescent="0.2">
      <c r="A3456" s="46"/>
      <c r="B3456" s="46"/>
      <c r="C3456" s="46"/>
      <c r="D3456" s="48"/>
      <c r="E3456" s="48"/>
      <c r="F3456" s="48"/>
      <c r="G3456" s="48"/>
      <c r="H3456" s="48"/>
      <c r="I3456" s="48"/>
    </row>
    <row r="3457" spans="1:9" hidden="1" x14ac:dyDescent="0.2">
      <c r="A3457" s="46"/>
      <c r="B3457" s="46"/>
      <c r="C3457" s="46"/>
      <c r="D3457" s="48"/>
      <c r="E3457" s="48"/>
      <c r="F3457" s="48"/>
      <c r="G3457" s="48"/>
      <c r="H3457" s="48"/>
      <c r="I3457" s="48"/>
    </row>
    <row r="3458" spans="1:9" hidden="1" x14ac:dyDescent="0.2">
      <c r="A3458" s="46"/>
      <c r="B3458" s="46"/>
      <c r="C3458" s="46"/>
      <c r="D3458" s="48"/>
      <c r="E3458" s="48"/>
      <c r="F3458" s="48"/>
      <c r="G3458" s="48"/>
      <c r="H3458" s="48"/>
      <c r="I3458" s="48"/>
    </row>
    <row r="3459" spans="1:9" hidden="1" x14ac:dyDescent="0.2">
      <c r="A3459" s="46"/>
      <c r="B3459" s="46"/>
      <c r="C3459" s="46"/>
      <c r="D3459" s="48"/>
      <c r="E3459" s="48"/>
      <c r="F3459" s="48"/>
      <c r="G3459" s="48"/>
      <c r="H3459" s="48"/>
      <c r="I3459" s="48"/>
    </row>
    <row r="3460" spans="1:9" hidden="1" x14ac:dyDescent="0.2">
      <c r="A3460" s="46"/>
      <c r="B3460" s="46"/>
      <c r="C3460" s="46"/>
      <c r="D3460" s="48"/>
      <c r="E3460" s="48"/>
      <c r="F3460" s="48"/>
      <c r="G3460" s="48"/>
      <c r="H3460" s="48"/>
      <c r="I3460" s="48"/>
    </row>
    <row r="3461" spans="1:9" hidden="1" x14ac:dyDescent="0.2">
      <c r="A3461" s="46"/>
      <c r="B3461" s="46"/>
      <c r="C3461" s="46"/>
      <c r="D3461" s="48"/>
      <c r="E3461" s="48"/>
      <c r="F3461" s="48"/>
      <c r="G3461" s="48"/>
      <c r="H3461" s="48"/>
      <c r="I3461" s="48"/>
    </row>
    <row r="3462" spans="1:9" hidden="1" x14ac:dyDescent="0.2">
      <c r="A3462" s="46"/>
      <c r="B3462" s="46"/>
      <c r="C3462" s="46"/>
      <c r="D3462" s="48"/>
      <c r="E3462" s="48"/>
      <c r="F3462" s="48"/>
      <c r="G3462" s="48"/>
      <c r="H3462" s="48"/>
      <c r="I3462" s="48"/>
    </row>
    <row r="3463" spans="1:9" hidden="1" x14ac:dyDescent="0.2">
      <c r="A3463" s="46"/>
      <c r="B3463" s="46"/>
      <c r="C3463" s="46"/>
      <c r="D3463" s="48"/>
      <c r="E3463" s="48"/>
      <c r="F3463" s="48"/>
      <c r="G3463" s="48"/>
      <c r="H3463" s="48"/>
      <c r="I3463" s="48"/>
    </row>
    <row r="3464" spans="1:9" hidden="1" x14ac:dyDescent="0.2">
      <c r="A3464" s="46"/>
      <c r="B3464" s="46"/>
      <c r="C3464" s="46"/>
      <c r="D3464" s="48"/>
      <c r="E3464" s="48"/>
      <c r="F3464" s="48"/>
      <c r="G3464" s="48"/>
      <c r="H3464" s="48"/>
      <c r="I3464" s="48"/>
    </row>
    <row r="3465" spans="1:9" hidden="1" x14ac:dyDescent="0.2">
      <c r="A3465" s="46"/>
      <c r="B3465" s="46"/>
      <c r="C3465" s="46"/>
      <c r="D3465" s="48"/>
      <c r="E3465" s="48"/>
      <c r="F3465" s="48"/>
      <c r="G3465" s="48"/>
      <c r="H3465" s="48"/>
      <c r="I3465" s="48"/>
    </row>
    <row r="3466" spans="1:9" hidden="1" x14ac:dyDescent="0.2">
      <c r="A3466" s="46"/>
      <c r="B3466" s="46"/>
      <c r="C3466" s="46"/>
      <c r="D3466" s="48"/>
      <c r="E3466" s="48"/>
      <c r="F3466" s="48"/>
      <c r="G3466" s="48"/>
      <c r="H3466" s="48"/>
      <c r="I3466" s="48"/>
    </row>
    <row r="3467" spans="1:9" hidden="1" x14ac:dyDescent="0.2">
      <c r="A3467" s="46"/>
      <c r="B3467" s="46"/>
      <c r="C3467" s="46"/>
      <c r="D3467" s="48"/>
      <c r="E3467" s="48"/>
      <c r="F3467" s="48"/>
      <c r="G3467" s="48"/>
      <c r="H3467" s="48"/>
      <c r="I3467" s="48"/>
    </row>
    <row r="3468" spans="1:9" hidden="1" x14ac:dyDescent="0.2">
      <c r="A3468" s="46"/>
      <c r="B3468" s="46"/>
      <c r="C3468" s="46"/>
      <c r="D3468" s="48"/>
      <c r="E3468" s="48"/>
      <c r="F3468" s="48"/>
      <c r="G3468" s="48"/>
      <c r="H3468" s="48"/>
      <c r="I3468" s="48"/>
    </row>
    <row r="3469" spans="1:9" hidden="1" x14ac:dyDescent="0.2">
      <c r="A3469" s="46"/>
      <c r="B3469" s="46"/>
      <c r="C3469" s="46"/>
      <c r="D3469" s="48"/>
      <c r="E3469" s="48"/>
      <c r="F3469" s="48"/>
      <c r="G3469" s="48"/>
      <c r="H3469" s="48"/>
      <c r="I3469" s="48"/>
    </row>
    <row r="3470" spans="1:9" hidden="1" x14ac:dyDescent="0.2">
      <c r="A3470" s="46"/>
      <c r="B3470" s="46"/>
      <c r="C3470" s="46"/>
      <c r="D3470" s="48"/>
      <c r="E3470" s="48"/>
      <c r="F3470" s="48"/>
      <c r="G3470" s="48"/>
      <c r="H3470" s="48"/>
      <c r="I3470" s="48"/>
    </row>
    <row r="3471" spans="1:9" hidden="1" x14ac:dyDescent="0.2">
      <c r="A3471" s="46"/>
      <c r="B3471" s="46"/>
      <c r="C3471" s="46"/>
      <c r="D3471" s="48"/>
      <c r="E3471" s="48"/>
      <c r="F3471" s="48"/>
      <c r="G3471" s="48"/>
      <c r="H3471" s="48"/>
      <c r="I3471" s="48"/>
    </row>
    <row r="3472" spans="1:9" hidden="1" x14ac:dyDescent="0.2">
      <c r="A3472" s="46"/>
      <c r="B3472" s="46"/>
      <c r="C3472" s="46"/>
      <c r="D3472" s="48"/>
      <c r="E3472" s="48"/>
      <c r="F3472" s="48"/>
      <c r="G3472" s="48"/>
      <c r="H3472" s="48"/>
      <c r="I3472" s="48"/>
    </row>
    <row r="3473" spans="1:9" hidden="1" x14ac:dyDescent="0.2">
      <c r="A3473" s="46"/>
      <c r="B3473" s="46"/>
      <c r="C3473" s="46"/>
      <c r="D3473" s="48"/>
      <c r="E3473" s="48"/>
      <c r="F3473" s="48"/>
      <c r="G3473" s="48"/>
      <c r="H3473" s="48"/>
      <c r="I3473" s="48"/>
    </row>
    <row r="3474" spans="1:9" hidden="1" x14ac:dyDescent="0.2">
      <c r="A3474" s="46"/>
      <c r="B3474" s="46"/>
      <c r="C3474" s="46"/>
      <c r="D3474" s="48"/>
      <c r="E3474" s="48"/>
      <c r="F3474" s="48"/>
      <c r="G3474" s="48"/>
      <c r="H3474" s="48"/>
      <c r="I3474" s="48"/>
    </row>
    <row r="3475" spans="1:9" hidden="1" x14ac:dyDescent="0.2">
      <c r="A3475" s="46"/>
      <c r="B3475" s="46"/>
      <c r="C3475" s="46"/>
      <c r="D3475" s="48"/>
      <c r="E3475" s="48"/>
      <c r="F3475" s="48"/>
      <c r="G3475" s="48"/>
      <c r="H3475" s="48"/>
      <c r="I3475" s="48"/>
    </row>
    <row r="3476" spans="1:9" hidden="1" x14ac:dyDescent="0.2">
      <c r="A3476" s="46"/>
      <c r="B3476" s="46"/>
      <c r="C3476" s="46"/>
      <c r="D3476" s="48"/>
      <c r="E3476" s="48"/>
      <c r="F3476" s="48"/>
      <c r="G3476" s="48"/>
      <c r="H3476" s="48"/>
      <c r="I3476" s="48"/>
    </row>
    <row r="3477" spans="1:9" hidden="1" x14ac:dyDescent="0.2">
      <c r="A3477" s="46"/>
      <c r="B3477" s="46"/>
      <c r="C3477" s="46"/>
      <c r="D3477" s="48"/>
      <c r="E3477" s="48"/>
      <c r="F3477" s="48"/>
      <c r="G3477" s="48"/>
      <c r="H3477" s="48"/>
      <c r="I3477" s="48"/>
    </row>
    <row r="3478" spans="1:9" hidden="1" x14ac:dyDescent="0.2">
      <c r="A3478" s="46"/>
      <c r="B3478" s="46"/>
      <c r="C3478" s="46"/>
      <c r="D3478" s="48"/>
      <c r="E3478" s="48"/>
      <c r="F3478" s="48"/>
      <c r="G3478" s="48"/>
      <c r="H3478" s="48"/>
      <c r="I3478" s="48"/>
    </row>
    <row r="3479" spans="1:9" hidden="1" x14ac:dyDescent="0.2">
      <c r="A3479" s="46"/>
      <c r="B3479" s="46"/>
      <c r="C3479" s="46"/>
      <c r="D3479" s="48"/>
      <c r="E3479" s="48"/>
      <c r="F3479" s="48"/>
      <c r="G3479" s="48"/>
      <c r="H3479" s="48"/>
      <c r="I3479" s="48"/>
    </row>
    <row r="3480" spans="1:9" hidden="1" x14ac:dyDescent="0.2">
      <c r="A3480" s="46"/>
      <c r="B3480" s="46"/>
      <c r="C3480" s="46"/>
      <c r="D3480" s="48"/>
      <c r="E3480" s="48"/>
      <c r="F3480" s="48"/>
      <c r="G3480" s="48"/>
      <c r="H3480" s="48"/>
      <c r="I3480" s="48"/>
    </row>
    <row r="3481" spans="1:9" hidden="1" x14ac:dyDescent="0.2">
      <c r="A3481" s="46"/>
      <c r="B3481" s="46"/>
      <c r="C3481" s="46"/>
      <c r="D3481" s="48"/>
      <c r="E3481" s="48"/>
      <c r="F3481" s="48"/>
      <c r="G3481" s="48"/>
      <c r="H3481" s="48"/>
      <c r="I3481" s="48"/>
    </row>
    <row r="3482" spans="1:9" hidden="1" x14ac:dyDescent="0.2">
      <c r="A3482" s="46"/>
      <c r="B3482" s="46"/>
      <c r="C3482" s="46"/>
      <c r="D3482" s="48"/>
      <c r="E3482" s="48"/>
      <c r="F3482" s="48"/>
      <c r="G3482" s="48"/>
      <c r="H3482" s="48"/>
      <c r="I3482" s="48"/>
    </row>
    <row r="3483" spans="1:9" hidden="1" x14ac:dyDescent="0.2">
      <c r="A3483" s="46"/>
      <c r="B3483" s="46"/>
      <c r="C3483" s="46"/>
      <c r="D3483" s="48"/>
      <c r="E3483" s="48"/>
      <c r="F3483" s="48"/>
      <c r="G3483" s="48"/>
      <c r="H3483" s="48"/>
      <c r="I3483" s="48"/>
    </row>
    <row r="3484" spans="1:9" hidden="1" x14ac:dyDescent="0.2">
      <c r="A3484" s="46"/>
      <c r="B3484" s="46"/>
      <c r="C3484" s="46"/>
      <c r="D3484" s="48"/>
      <c r="E3484" s="48"/>
      <c r="F3484" s="48"/>
      <c r="G3484" s="48"/>
      <c r="H3484" s="48"/>
      <c r="I3484" s="48"/>
    </row>
    <row r="3485" spans="1:9" hidden="1" x14ac:dyDescent="0.2">
      <c r="A3485" s="46"/>
      <c r="B3485" s="46"/>
      <c r="C3485" s="46"/>
      <c r="D3485" s="48"/>
      <c r="E3485" s="48"/>
      <c r="F3485" s="48"/>
      <c r="G3485" s="48"/>
      <c r="H3485" s="48"/>
      <c r="I3485" s="48"/>
    </row>
    <row r="3486" spans="1:9" hidden="1" x14ac:dyDescent="0.2">
      <c r="A3486" s="46"/>
      <c r="B3486" s="46"/>
      <c r="C3486" s="46"/>
      <c r="D3486" s="48"/>
      <c r="E3486" s="48"/>
      <c r="F3486" s="48"/>
      <c r="G3486" s="48"/>
      <c r="H3486" s="48"/>
      <c r="I3486" s="48"/>
    </row>
    <row r="3487" spans="1:9" hidden="1" x14ac:dyDescent="0.2">
      <c r="A3487" s="46"/>
      <c r="B3487" s="46"/>
      <c r="C3487" s="46"/>
      <c r="D3487" s="48"/>
      <c r="E3487" s="48"/>
      <c r="F3487" s="48"/>
      <c r="G3487" s="48"/>
      <c r="H3487" s="48"/>
      <c r="I3487" s="48"/>
    </row>
    <row r="3488" spans="1:9" hidden="1" x14ac:dyDescent="0.2">
      <c r="A3488" s="46"/>
      <c r="B3488" s="46"/>
      <c r="C3488" s="46"/>
      <c r="D3488" s="48"/>
      <c r="E3488" s="48"/>
      <c r="F3488" s="48"/>
      <c r="G3488" s="48"/>
      <c r="H3488" s="48"/>
      <c r="I3488" s="48"/>
    </row>
    <row r="3489" spans="1:9" hidden="1" x14ac:dyDescent="0.2">
      <c r="A3489" s="46"/>
      <c r="B3489" s="46"/>
      <c r="C3489" s="46"/>
      <c r="D3489" s="48"/>
      <c r="E3489" s="48"/>
      <c r="F3489" s="48"/>
      <c r="G3489" s="48"/>
      <c r="H3489" s="48"/>
      <c r="I3489" s="48"/>
    </row>
    <row r="3490" spans="1:9" hidden="1" x14ac:dyDescent="0.2">
      <c r="A3490" s="46"/>
      <c r="B3490" s="46"/>
      <c r="C3490" s="46"/>
      <c r="D3490" s="48"/>
      <c r="E3490" s="48"/>
      <c r="F3490" s="48"/>
      <c r="G3490" s="48"/>
      <c r="H3490" s="48"/>
      <c r="I3490" s="48"/>
    </row>
    <row r="3491" spans="1:9" hidden="1" x14ac:dyDescent="0.2">
      <c r="A3491" s="46"/>
      <c r="B3491" s="46"/>
      <c r="C3491" s="46"/>
      <c r="D3491" s="48"/>
      <c r="E3491" s="48"/>
      <c r="F3491" s="48"/>
      <c r="G3491" s="48"/>
      <c r="H3491" s="48"/>
      <c r="I3491" s="48"/>
    </row>
    <row r="3492" spans="1:9" hidden="1" x14ac:dyDescent="0.2">
      <c r="A3492" s="46"/>
      <c r="B3492" s="46"/>
      <c r="C3492" s="46"/>
      <c r="D3492" s="48"/>
      <c r="E3492" s="48"/>
      <c r="F3492" s="48"/>
      <c r="G3492" s="48"/>
      <c r="H3492" s="48"/>
      <c r="I3492" s="48"/>
    </row>
    <row r="3493" spans="1:9" hidden="1" x14ac:dyDescent="0.2">
      <c r="A3493" s="46"/>
      <c r="B3493" s="46"/>
      <c r="C3493" s="46"/>
      <c r="D3493" s="48"/>
      <c r="E3493" s="48"/>
      <c r="F3493" s="48"/>
      <c r="G3493" s="48"/>
      <c r="H3493" s="48"/>
      <c r="I3493" s="48"/>
    </row>
    <row r="3494" spans="1:9" hidden="1" x14ac:dyDescent="0.2">
      <c r="A3494" s="46"/>
      <c r="B3494" s="46"/>
      <c r="C3494" s="46"/>
      <c r="D3494" s="48"/>
      <c r="E3494" s="48"/>
      <c r="F3494" s="48"/>
      <c r="G3494" s="48"/>
      <c r="H3494" s="48"/>
      <c r="I3494" s="48"/>
    </row>
    <row r="3495" spans="1:9" hidden="1" x14ac:dyDescent="0.2">
      <c r="A3495" s="46"/>
      <c r="B3495" s="46"/>
      <c r="C3495" s="46"/>
      <c r="D3495" s="48"/>
      <c r="E3495" s="48"/>
      <c r="F3495" s="48"/>
      <c r="G3495" s="48"/>
      <c r="H3495" s="48"/>
      <c r="I3495" s="48"/>
    </row>
    <row r="3496" spans="1:9" hidden="1" x14ac:dyDescent="0.2">
      <c r="A3496" s="46"/>
      <c r="B3496" s="46"/>
      <c r="C3496" s="46"/>
      <c r="D3496" s="48"/>
      <c r="E3496" s="48"/>
      <c r="F3496" s="48"/>
      <c r="G3496" s="48"/>
      <c r="H3496" s="48"/>
      <c r="I3496" s="48"/>
    </row>
    <row r="3497" spans="1:9" hidden="1" x14ac:dyDescent="0.2">
      <c r="A3497" s="46"/>
      <c r="B3497" s="46"/>
      <c r="C3497" s="46"/>
      <c r="D3497" s="48"/>
      <c r="E3497" s="48"/>
      <c r="F3497" s="48"/>
      <c r="G3497" s="48"/>
      <c r="H3497" s="48"/>
      <c r="I3497" s="48"/>
    </row>
    <row r="3498" spans="1:9" hidden="1" x14ac:dyDescent="0.2">
      <c r="A3498" s="46"/>
      <c r="B3498" s="46"/>
      <c r="C3498" s="46"/>
      <c r="D3498" s="48"/>
      <c r="E3498" s="48"/>
      <c r="F3498" s="48"/>
      <c r="G3498" s="48"/>
      <c r="H3498" s="48"/>
      <c r="I3498" s="48"/>
    </row>
    <row r="3499" spans="1:9" hidden="1" x14ac:dyDescent="0.2">
      <c r="A3499" s="46"/>
      <c r="B3499" s="46"/>
      <c r="C3499" s="46"/>
      <c r="D3499" s="48"/>
      <c r="E3499" s="48"/>
      <c r="F3499" s="48"/>
      <c r="G3499" s="48"/>
      <c r="H3499" s="48"/>
      <c r="I3499" s="48"/>
    </row>
    <row r="3500" spans="1:9" hidden="1" x14ac:dyDescent="0.2">
      <c r="A3500" s="46"/>
      <c r="B3500" s="46"/>
      <c r="C3500" s="46"/>
      <c r="D3500" s="48"/>
      <c r="E3500" s="48"/>
      <c r="F3500" s="48"/>
      <c r="G3500" s="48"/>
      <c r="H3500" s="48"/>
      <c r="I3500" s="48"/>
    </row>
    <row r="3501" spans="1:9" hidden="1" x14ac:dyDescent="0.2">
      <c r="A3501" s="46"/>
      <c r="B3501" s="46"/>
      <c r="C3501" s="46"/>
      <c r="D3501" s="48"/>
      <c r="E3501" s="48"/>
      <c r="F3501" s="48"/>
      <c r="G3501" s="48"/>
      <c r="H3501" s="48"/>
      <c r="I3501" s="48"/>
    </row>
    <row r="3502" spans="1:9" hidden="1" x14ac:dyDescent="0.2">
      <c r="A3502" s="46"/>
      <c r="B3502" s="46"/>
      <c r="C3502" s="46"/>
      <c r="D3502" s="48"/>
      <c r="E3502" s="48"/>
      <c r="F3502" s="48"/>
      <c r="G3502" s="48"/>
      <c r="H3502" s="48"/>
      <c r="I3502" s="48"/>
    </row>
    <row r="3503" spans="1:9" hidden="1" x14ac:dyDescent="0.2">
      <c r="A3503" s="46"/>
      <c r="B3503" s="46"/>
      <c r="C3503" s="46"/>
      <c r="D3503" s="48"/>
      <c r="E3503" s="48"/>
      <c r="F3503" s="48"/>
      <c r="G3503" s="48"/>
      <c r="H3503" s="48"/>
      <c r="I3503" s="48"/>
    </row>
    <row r="3504" spans="1:9" hidden="1" x14ac:dyDescent="0.2">
      <c r="A3504" s="46"/>
      <c r="B3504" s="46"/>
      <c r="C3504" s="46"/>
      <c r="D3504" s="48"/>
      <c r="E3504" s="48"/>
      <c r="F3504" s="48"/>
      <c r="G3504" s="48"/>
      <c r="H3504" s="48"/>
      <c r="I3504" s="48"/>
    </row>
    <row r="3505" spans="1:9" hidden="1" x14ac:dyDescent="0.2">
      <c r="A3505" s="46"/>
      <c r="B3505" s="46"/>
      <c r="C3505" s="46"/>
      <c r="D3505" s="48"/>
      <c r="E3505" s="48"/>
      <c r="F3505" s="48"/>
      <c r="G3505" s="48"/>
      <c r="H3505" s="48"/>
      <c r="I3505" s="48"/>
    </row>
    <row r="3506" spans="1:9" hidden="1" x14ac:dyDescent="0.2">
      <c r="A3506" s="46"/>
      <c r="B3506" s="46"/>
      <c r="C3506" s="46"/>
      <c r="D3506" s="48"/>
      <c r="E3506" s="48"/>
      <c r="F3506" s="48"/>
      <c r="G3506" s="48"/>
      <c r="H3506" s="48"/>
      <c r="I3506" s="48"/>
    </row>
    <row r="3507" spans="1:9" hidden="1" x14ac:dyDescent="0.2">
      <c r="A3507" s="46"/>
      <c r="B3507" s="46"/>
      <c r="C3507" s="46"/>
      <c r="D3507" s="48"/>
      <c r="E3507" s="48"/>
      <c r="F3507" s="48"/>
      <c r="G3507" s="48"/>
      <c r="H3507" s="48"/>
      <c r="I3507" s="48"/>
    </row>
    <row r="3508" spans="1:9" hidden="1" x14ac:dyDescent="0.2">
      <c r="A3508" s="46"/>
      <c r="B3508" s="46"/>
      <c r="C3508" s="46"/>
      <c r="D3508" s="48"/>
      <c r="E3508" s="48"/>
      <c r="F3508" s="48"/>
      <c r="G3508" s="48"/>
      <c r="H3508" s="48"/>
      <c r="I3508" s="48"/>
    </row>
    <row r="3509" spans="1:9" hidden="1" x14ac:dyDescent="0.2">
      <c r="A3509" s="46"/>
      <c r="B3509" s="46"/>
      <c r="C3509" s="46"/>
      <c r="D3509" s="48"/>
      <c r="E3509" s="48"/>
      <c r="F3509" s="48"/>
      <c r="G3509" s="48"/>
      <c r="H3509" s="48"/>
      <c r="I3509" s="48"/>
    </row>
    <row r="3510" spans="1:9" hidden="1" x14ac:dyDescent="0.2">
      <c r="A3510" s="46"/>
      <c r="B3510" s="46"/>
      <c r="C3510" s="46"/>
      <c r="D3510" s="48"/>
      <c r="E3510" s="48"/>
      <c r="F3510" s="48"/>
      <c r="G3510" s="48"/>
      <c r="H3510" s="48"/>
      <c r="I3510" s="48"/>
    </row>
    <row r="3511" spans="1:9" hidden="1" x14ac:dyDescent="0.2">
      <c r="A3511" s="46"/>
      <c r="B3511" s="46"/>
      <c r="C3511" s="46"/>
      <c r="D3511" s="48"/>
      <c r="E3511" s="48"/>
      <c r="F3511" s="48"/>
      <c r="G3511" s="48"/>
      <c r="H3511" s="48"/>
      <c r="I3511" s="48"/>
    </row>
    <row r="3512" spans="1:9" hidden="1" x14ac:dyDescent="0.2">
      <c r="A3512" s="46"/>
      <c r="B3512" s="46"/>
      <c r="C3512" s="46"/>
      <c r="D3512" s="48"/>
      <c r="E3512" s="48"/>
      <c r="F3512" s="48"/>
      <c r="G3512" s="48"/>
      <c r="H3512" s="48"/>
      <c r="I3512" s="48"/>
    </row>
    <row r="3513" spans="1:9" hidden="1" x14ac:dyDescent="0.2">
      <c r="A3513" s="46"/>
      <c r="B3513" s="46"/>
      <c r="C3513" s="46"/>
      <c r="D3513" s="48"/>
      <c r="E3513" s="48"/>
      <c r="F3513" s="48"/>
      <c r="G3513" s="48"/>
      <c r="H3513" s="48"/>
      <c r="I3513" s="48"/>
    </row>
    <row r="3514" spans="1:9" hidden="1" x14ac:dyDescent="0.2">
      <c r="A3514" s="46"/>
      <c r="B3514" s="46"/>
      <c r="C3514" s="46"/>
      <c r="D3514" s="48"/>
      <c r="E3514" s="48"/>
      <c r="F3514" s="48"/>
      <c r="G3514" s="48"/>
      <c r="H3514" s="48"/>
      <c r="I3514" s="48"/>
    </row>
    <row r="3515" spans="1:9" hidden="1" x14ac:dyDescent="0.2">
      <c r="A3515" s="46"/>
      <c r="B3515" s="46"/>
      <c r="C3515" s="46"/>
      <c r="D3515" s="48"/>
      <c r="E3515" s="48"/>
      <c r="F3515" s="48"/>
      <c r="G3515" s="48"/>
      <c r="H3515" s="48"/>
      <c r="I3515" s="48"/>
    </row>
    <row r="3516" spans="1:9" hidden="1" x14ac:dyDescent="0.2">
      <c r="A3516" s="46"/>
      <c r="B3516" s="46"/>
      <c r="C3516" s="46"/>
      <c r="D3516" s="48"/>
      <c r="E3516" s="48"/>
      <c r="F3516" s="48"/>
      <c r="G3516" s="48"/>
      <c r="H3516" s="48"/>
      <c r="I3516" s="48"/>
    </row>
    <row r="3517" spans="1:9" hidden="1" x14ac:dyDescent="0.2">
      <c r="A3517" s="46"/>
      <c r="B3517" s="46"/>
      <c r="C3517" s="46"/>
      <c r="D3517" s="48"/>
      <c r="E3517" s="48"/>
      <c r="F3517" s="48"/>
      <c r="G3517" s="48"/>
      <c r="H3517" s="48"/>
      <c r="I3517" s="48"/>
    </row>
    <row r="3518" spans="1:9" hidden="1" x14ac:dyDescent="0.2">
      <c r="A3518" s="46"/>
      <c r="B3518" s="46"/>
      <c r="C3518" s="46"/>
      <c r="D3518" s="48"/>
      <c r="E3518" s="48"/>
      <c r="F3518" s="48"/>
      <c r="G3518" s="48"/>
      <c r="H3518" s="48"/>
      <c r="I3518" s="48"/>
    </row>
    <row r="3519" spans="1:9" hidden="1" x14ac:dyDescent="0.2">
      <c r="A3519" s="46"/>
      <c r="B3519" s="46"/>
      <c r="C3519" s="46"/>
      <c r="D3519" s="48"/>
      <c r="E3519" s="48"/>
      <c r="F3519" s="48"/>
      <c r="G3519" s="48"/>
      <c r="H3519" s="48"/>
      <c r="I3519" s="48"/>
    </row>
    <row r="3520" spans="1:9" hidden="1" x14ac:dyDescent="0.2">
      <c r="A3520" s="46"/>
      <c r="B3520" s="46"/>
      <c r="C3520" s="46"/>
      <c r="D3520" s="48"/>
      <c r="E3520" s="48"/>
      <c r="F3520" s="48"/>
      <c r="G3520" s="48"/>
      <c r="H3520" s="48"/>
      <c r="I3520" s="48"/>
    </row>
    <row r="3521" spans="1:9" hidden="1" x14ac:dyDescent="0.2">
      <c r="A3521" s="46"/>
      <c r="B3521" s="46"/>
      <c r="C3521" s="46"/>
      <c r="D3521" s="48"/>
      <c r="E3521" s="48"/>
      <c r="F3521" s="48"/>
      <c r="G3521" s="48"/>
      <c r="H3521" s="48"/>
      <c r="I3521" s="48"/>
    </row>
    <row r="3522" spans="1:9" hidden="1" x14ac:dyDescent="0.2">
      <c r="A3522" s="46"/>
      <c r="B3522" s="46"/>
      <c r="C3522" s="46"/>
      <c r="D3522" s="48"/>
      <c r="E3522" s="48"/>
      <c r="F3522" s="48"/>
      <c r="G3522" s="48"/>
      <c r="H3522" s="48"/>
      <c r="I3522" s="48"/>
    </row>
    <row r="3523" spans="1:9" hidden="1" x14ac:dyDescent="0.2">
      <c r="A3523" s="46"/>
      <c r="B3523" s="46"/>
      <c r="C3523" s="46"/>
      <c r="D3523" s="48"/>
      <c r="E3523" s="48"/>
      <c r="F3523" s="48"/>
      <c r="G3523" s="48"/>
      <c r="H3523" s="48"/>
      <c r="I3523" s="48"/>
    </row>
    <row r="3524" spans="1:9" hidden="1" x14ac:dyDescent="0.2">
      <c r="A3524" s="46"/>
      <c r="B3524" s="46"/>
      <c r="C3524" s="46"/>
      <c r="D3524" s="48"/>
      <c r="E3524" s="48"/>
      <c r="F3524" s="48"/>
      <c r="G3524" s="48"/>
      <c r="H3524" s="48"/>
      <c r="I3524" s="48"/>
    </row>
    <row r="3525" spans="1:9" hidden="1" x14ac:dyDescent="0.2">
      <c r="A3525" s="46"/>
      <c r="B3525" s="46"/>
      <c r="C3525" s="46"/>
      <c r="D3525" s="48"/>
      <c r="E3525" s="48"/>
      <c r="F3525" s="48"/>
      <c r="G3525" s="48"/>
      <c r="H3525" s="48"/>
      <c r="I3525" s="48"/>
    </row>
    <row r="3526" spans="1:9" hidden="1" x14ac:dyDescent="0.2">
      <c r="A3526" s="46"/>
      <c r="B3526" s="46"/>
      <c r="C3526" s="46"/>
      <c r="D3526" s="48"/>
      <c r="E3526" s="48"/>
      <c r="F3526" s="48"/>
      <c r="G3526" s="48"/>
      <c r="H3526" s="48"/>
      <c r="I3526" s="48"/>
    </row>
    <row r="3527" spans="1:9" hidden="1" x14ac:dyDescent="0.2">
      <c r="A3527" s="46"/>
      <c r="B3527" s="46"/>
      <c r="C3527" s="46"/>
      <c r="D3527" s="48"/>
      <c r="E3527" s="48"/>
      <c r="F3527" s="48"/>
      <c r="G3527" s="48"/>
      <c r="H3527" s="48"/>
      <c r="I3527" s="48"/>
    </row>
    <row r="3528" spans="1:9" hidden="1" x14ac:dyDescent="0.2">
      <c r="A3528" s="46"/>
      <c r="B3528" s="46"/>
      <c r="C3528" s="46"/>
      <c r="D3528" s="48"/>
      <c r="E3528" s="48"/>
      <c r="F3528" s="48"/>
      <c r="G3528" s="48"/>
      <c r="H3528" s="48"/>
      <c r="I3528" s="48"/>
    </row>
    <row r="3529" spans="1:9" hidden="1" x14ac:dyDescent="0.2">
      <c r="A3529" s="46"/>
      <c r="B3529" s="46"/>
      <c r="C3529" s="46"/>
      <c r="D3529" s="48"/>
      <c r="E3529" s="48"/>
      <c r="F3529" s="48"/>
      <c r="G3529" s="48"/>
      <c r="H3529" s="48"/>
      <c r="I3529" s="48"/>
    </row>
    <row r="3530" spans="1:9" hidden="1" x14ac:dyDescent="0.2">
      <c r="A3530" s="46"/>
      <c r="B3530" s="46"/>
      <c r="C3530" s="46"/>
      <c r="D3530" s="48"/>
      <c r="E3530" s="48"/>
      <c r="F3530" s="48"/>
      <c r="G3530" s="48"/>
      <c r="H3530" s="48"/>
      <c r="I3530" s="48"/>
    </row>
    <row r="3531" spans="1:9" hidden="1" x14ac:dyDescent="0.2">
      <c r="A3531" s="46"/>
      <c r="B3531" s="46"/>
      <c r="C3531" s="46"/>
      <c r="D3531" s="48"/>
      <c r="E3531" s="48"/>
      <c r="F3531" s="48"/>
      <c r="G3531" s="48"/>
      <c r="H3531" s="48"/>
      <c r="I3531" s="48"/>
    </row>
    <row r="3532" spans="1:9" hidden="1" x14ac:dyDescent="0.2">
      <c r="A3532" s="46"/>
      <c r="B3532" s="46"/>
      <c r="C3532" s="46"/>
      <c r="D3532" s="48"/>
      <c r="E3532" s="48"/>
      <c r="F3532" s="48"/>
      <c r="G3532" s="48"/>
      <c r="H3532" s="48"/>
      <c r="I3532" s="48"/>
    </row>
    <row r="3533" spans="1:9" hidden="1" x14ac:dyDescent="0.2">
      <c r="A3533" s="46"/>
      <c r="B3533" s="46"/>
      <c r="C3533" s="46"/>
      <c r="D3533" s="48"/>
      <c r="E3533" s="48"/>
      <c r="F3533" s="48"/>
      <c r="G3533" s="48"/>
      <c r="H3533" s="48"/>
      <c r="I3533" s="48"/>
    </row>
    <row r="3534" spans="1:9" hidden="1" x14ac:dyDescent="0.2">
      <c r="A3534" s="46"/>
      <c r="B3534" s="46"/>
      <c r="C3534" s="46"/>
      <c r="D3534" s="48"/>
      <c r="E3534" s="48"/>
      <c r="F3534" s="48"/>
      <c r="G3534" s="48"/>
      <c r="H3534" s="48"/>
      <c r="I3534" s="48"/>
    </row>
    <row r="3535" spans="1:9" hidden="1" x14ac:dyDescent="0.2">
      <c r="A3535" s="46"/>
      <c r="B3535" s="46"/>
      <c r="C3535" s="46"/>
      <c r="D3535" s="48"/>
      <c r="E3535" s="48"/>
      <c r="F3535" s="48"/>
      <c r="G3535" s="48"/>
      <c r="H3535" s="48"/>
      <c r="I3535" s="48"/>
    </row>
    <row r="3536" spans="1:9" hidden="1" x14ac:dyDescent="0.2">
      <c r="A3536" s="46"/>
      <c r="B3536" s="46"/>
      <c r="C3536" s="46"/>
      <c r="D3536" s="48"/>
      <c r="E3536" s="48"/>
      <c r="F3536" s="48"/>
      <c r="G3536" s="48"/>
      <c r="H3536" s="48"/>
      <c r="I3536" s="48"/>
    </row>
    <row r="3537" spans="1:9" hidden="1" x14ac:dyDescent="0.2">
      <c r="A3537" s="46"/>
      <c r="B3537" s="46"/>
      <c r="C3537" s="46"/>
      <c r="D3537" s="48"/>
      <c r="E3537" s="48"/>
      <c r="F3537" s="48"/>
      <c r="G3537" s="48"/>
      <c r="H3537" s="48"/>
      <c r="I3537" s="48"/>
    </row>
    <row r="3538" spans="1:9" hidden="1" x14ac:dyDescent="0.2">
      <c r="A3538" s="46"/>
      <c r="B3538" s="46"/>
      <c r="C3538" s="46"/>
      <c r="D3538" s="48"/>
      <c r="E3538" s="48"/>
      <c r="F3538" s="48"/>
      <c r="G3538" s="48"/>
      <c r="H3538" s="48"/>
      <c r="I3538" s="48"/>
    </row>
    <row r="3539" spans="1:9" hidden="1" x14ac:dyDescent="0.2">
      <c r="A3539" s="46"/>
      <c r="B3539" s="46"/>
      <c r="C3539" s="46"/>
      <c r="D3539" s="48"/>
      <c r="E3539" s="48"/>
      <c r="F3539" s="48"/>
      <c r="G3539" s="48"/>
      <c r="H3539" s="48"/>
      <c r="I3539" s="48"/>
    </row>
    <row r="3540" spans="1:9" hidden="1" x14ac:dyDescent="0.2">
      <c r="A3540" s="46"/>
      <c r="B3540" s="46"/>
      <c r="C3540" s="46"/>
      <c r="D3540" s="48"/>
      <c r="E3540" s="48"/>
      <c r="F3540" s="48"/>
      <c r="G3540" s="48"/>
      <c r="H3540" s="48"/>
      <c r="I3540" s="48"/>
    </row>
    <row r="3541" spans="1:9" hidden="1" x14ac:dyDescent="0.2">
      <c r="A3541" s="46"/>
      <c r="B3541" s="46"/>
      <c r="C3541" s="46"/>
      <c r="D3541" s="48"/>
      <c r="E3541" s="48"/>
      <c r="F3541" s="48"/>
      <c r="G3541" s="48"/>
      <c r="H3541" s="48"/>
      <c r="I3541" s="48"/>
    </row>
    <row r="3542" spans="1:9" hidden="1" x14ac:dyDescent="0.2">
      <c r="A3542" s="46"/>
      <c r="B3542" s="46"/>
      <c r="C3542" s="46"/>
      <c r="D3542" s="48"/>
      <c r="E3542" s="48"/>
      <c r="F3542" s="48"/>
      <c r="G3542" s="48"/>
      <c r="H3542" s="48"/>
      <c r="I3542" s="48"/>
    </row>
    <row r="3543" spans="1:9" hidden="1" x14ac:dyDescent="0.2">
      <c r="A3543" s="46"/>
      <c r="B3543" s="46"/>
      <c r="C3543" s="46"/>
      <c r="D3543" s="48"/>
      <c r="E3543" s="48"/>
      <c r="F3543" s="48"/>
      <c r="G3543" s="48"/>
      <c r="H3543" s="48"/>
      <c r="I3543" s="48"/>
    </row>
    <row r="3544" spans="1:9" hidden="1" x14ac:dyDescent="0.2">
      <c r="A3544" s="46"/>
      <c r="B3544" s="46"/>
      <c r="C3544" s="46"/>
      <c r="D3544" s="48"/>
      <c r="E3544" s="48"/>
      <c r="F3544" s="48"/>
      <c r="G3544" s="48"/>
      <c r="H3544" s="48"/>
      <c r="I3544" s="48"/>
    </row>
    <row r="3545" spans="1:9" hidden="1" x14ac:dyDescent="0.2">
      <c r="A3545" s="46"/>
      <c r="B3545" s="46"/>
      <c r="C3545" s="46"/>
      <c r="D3545" s="48"/>
      <c r="E3545" s="48"/>
      <c r="F3545" s="48"/>
      <c r="G3545" s="48"/>
      <c r="H3545" s="48"/>
      <c r="I3545" s="48"/>
    </row>
    <row r="3546" spans="1:9" hidden="1" x14ac:dyDescent="0.2">
      <c r="A3546" s="46"/>
      <c r="B3546" s="46"/>
      <c r="C3546" s="46"/>
      <c r="D3546" s="48"/>
      <c r="E3546" s="48"/>
      <c r="F3546" s="48"/>
      <c r="G3546" s="48"/>
      <c r="H3546" s="48"/>
      <c r="I3546" s="48"/>
    </row>
    <row r="3547" spans="1:9" hidden="1" x14ac:dyDescent="0.2">
      <c r="A3547" s="46"/>
      <c r="B3547" s="46"/>
      <c r="C3547" s="46"/>
      <c r="D3547" s="48"/>
      <c r="E3547" s="48"/>
      <c r="F3547" s="48"/>
      <c r="G3547" s="48"/>
      <c r="H3547" s="48"/>
      <c r="I3547" s="48"/>
    </row>
    <row r="3548" spans="1:9" hidden="1" x14ac:dyDescent="0.2">
      <c r="A3548" s="46"/>
      <c r="B3548" s="46"/>
      <c r="C3548" s="46"/>
      <c r="D3548" s="48"/>
      <c r="E3548" s="48"/>
      <c r="F3548" s="48"/>
      <c r="G3548" s="48"/>
      <c r="H3548" s="48"/>
      <c r="I3548" s="48"/>
    </row>
    <row r="3549" spans="1:9" hidden="1" x14ac:dyDescent="0.2">
      <c r="A3549" s="46"/>
      <c r="B3549" s="46"/>
      <c r="C3549" s="46"/>
      <c r="D3549" s="48"/>
      <c r="E3549" s="48"/>
      <c r="F3549" s="48"/>
      <c r="G3549" s="48"/>
      <c r="H3549" s="48"/>
      <c r="I3549" s="48"/>
    </row>
    <row r="3550" spans="1:9" hidden="1" x14ac:dyDescent="0.2">
      <c r="A3550" s="46"/>
      <c r="B3550" s="46"/>
      <c r="C3550" s="46"/>
      <c r="D3550" s="48"/>
      <c r="E3550" s="48"/>
      <c r="F3550" s="48"/>
      <c r="G3550" s="48"/>
      <c r="H3550" s="48"/>
      <c r="I3550" s="48"/>
    </row>
    <row r="3551" spans="1:9" hidden="1" x14ac:dyDescent="0.2">
      <c r="A3551" s="46"/>
      <c r="B3551" s="46"/>
      <c r="C3551" s="46"/>
      <c r="D3551" s="48"/>
      <c r="E3551" s="48"/>
      <c r="F3551" s="48"/>
      <c r="G3551" s="48"/>
      <c r="H3551" s="48"/>
      <c r="I3551" s="48"/>
    </row>
    <row r="3552" spans="1:9" hidden="1" x14ac:dyDescent="0.2">
      <c r="A3552" s="46"/>
      <c r="B3552" s="46"/>
      <c r="C3552" s="46"/>
      <c r="D3552" s="48"/>
      <c r="E3552" s="48"/>
      <c r="F3552" s="48"/>
      <c r="G3552" s="48"/>
      <c r="H3552" s="48"/>
      <c r="I3552" s="48"/>
    </row>
    <row r="3553" spans="1:9" hidden="1" x14ac:dyDescent="0.2">
      <c r="A3553" s="46"/>
      <c r="B3553" s="46"/>
      <c r="C3553" s="46"/>
      <c r="D3553" s="48"/>
      <c r="E3553" s="48"/>
      <c r="F3553" s="48"/>
      <c r="G3553" s="48"/>
      <c r="H3553" s="48"/>
      <c r="I3553" s="48"/>
    </row>
    <row r="3554" spans="1:9" hidden="1" x14ac:dyDescent="0.2">
      <c r="A3554" s="46"/>
      <c r="B3554" s="46"/>
      <c r="C3554" s="46"/>
      <c r="D3554" s="48"/>
      <c r="E3554" s="48"/>
      <c r="F3554" s="48"/>
      <c r="G3554" s="48"/>
      <c r="H3554" s="48"/>
      <c r="I3554" s="48"/>
    </row>
    <row r="3555" spans="1:9" hidden="1" x14ac:dyDescent="0.2">
      <c r="A3555" s="46"/>
      <c r="B3555" s="46"/>
      <c r="C3555" s="46"/>
      <c r="D3555" s="48"/>
      <c r="E3555" s="48"/>
      <c r="F3555" s="48"/>
      <c r="G3555" s="48"/>
      <c r="H3555" s="48"/>
      <c r="I3555" s="48"/>
    </row>
    <row r="3556" spans="1:9" hidden="1" x14ac:dyDescent="0.2">
      <c r="A3556" s="46"/>
      <c r="B3556" s="46"/>
      <c r="C3556" s="46"/>
      <c r="D3556" s="48"/>
      <c r="E3556" s="48"/>
      <c r="F3556" s="48"/>
      <c r="G3556" s="48"/>
      <c r="H3556" s="48"/>
      <c r="I3556" s="48"/>
    </row>
    <row r="3557" spans="1:9" hidden="1" x14ac:dyDescent="0.2">
      <c r="A3557" s="46"/>
      <c r="B3557" s="46"/>
      <c r="C3557" s="46"/>
      <c r="D3557" s="48"/>
      <c r="E3557" s="48"/>
      <c r="F3557" s="48"/>
      <c r="G3557" s="48"/>
      <c r="H3557" s="48"/>
      <c r="I3557" s="48"/>
    </row>
    <row r="3558" spans="1:9" hidden="1" x14ac:dyDescent="0.2">
      <c r="A3558" s="46"/>
      <c r="B3558" s="46"/>
      <c r="C3558" s="46"/>
      <c r="D3558" s="48"/>
      <c r="E3558" s="48"/>
      <c r="F3558" s="48"/>
      <c r="G3558" s="48"/>
      <c r="H3558" s="48"/>
      <c r="I3558" s="48"/>
    </row>
    <row r="3559" spans="1:9" hidden="1" x14ac:dyDescent="0.2">
      <c r="A3559" s="46"/>
      <c r="B3559" s="46"/>
      <c r="C3559" s="46"/>
      <c r="D3559" s="48"/>
      <c r="E3559" s="48"/>
      <c r="F3559" s="48"/>
      <c r="G3559" s="48"/>
      <c r="H3559" s="48"/>
      <c r="I3559" s="48"/>
    </row>
    <row r="3560" spans="1:9" hidden="1" x14ac:dyDescent="0.2">
      <c r="A3560" s="46"/>
      <c r="B3560" s="46"/>
      <c r="C3560" s="46"/>
      <c r="D3560" s="48"/>
      <c r="E3560" s="48"/>
      <c r="F3560" s="48"/>
      <c r="G3560" s="48"/>
      <c r="H3560" s="48"/>
      <c r="I3560" s="48"/>
    </row>
    <row r="3561" spans="1:9" hidden="1" x14ac:dyDescent="0.2">
      <c r="A3561" s="46"/>
      <c r="B3561" s="46"/>
      <c r="C3561" s="46"/>
      <c r="D3561" s="48"/>
      <c r="E3561" s="48"/>
      <c r="F3561" s="48"/>
      <c r="G3561" s="48"/>
      <c r="H3561" s="48"/>
      <c r="I3561" s="48"/>
    </row>
    <row r="3562" spans="1:9" hidden="1" x14ac:dyDescent="0.2">
      <c r="A3562" s="46"/>
      <c r="B3562" s="46"/>
      <c r="C3562" s="46"/>
      <c r="D3562" s="48"/>
      <c r="E3562" s="48"/>
      <c r="F3562" s="48"/>
      <c r="G3562" s="48"/>
      <c r="H3562" s="48"/>
      <c r="I3562" s="48"/>
    </row>
    <row r="3563" spans="1:9" hidden="1" x14ac:dyDescent="0.2">
      <c r="A3563" s="46"/>
      <c r="B3563" s="46"/>
      <c r="C3563" s="46"/>
      <c r="D3563" s="48"/>
      <c r="E3563" s="48"/>
      <c r="F3563" s="48"/>
      <c r="G3563" s="48"/>
      <c r="H3563" s="48"/>
      <c r="I3563" s="48"/>
    </row>
    <row r="3564" spans="1:9" hidden="1" x14ac:dyDescent="0.2">
      <c r="A3564" s="46"/>
      <c r="B3564" s="46"/>
      <c r="C3564" s="46"/>
      <c r="D3564" s="48"/>
      <c r="E3564" s="48"/>
      <c r="F3564" s="48"/>
      <c r="G3564" s="48"/>
      <c r="H3564" s="48"/>
      <c r="I3564" s="48"/>
    </row>
    <row r="3565" spans="1:9" hidden="1" x14ac:dyDescent="0.2">
      <c r="A3565" s="46"/>
      <c r="B3565" s="46"/>
      <c r="C3565" s="46"/>
      <c r="D3565" s="48"/>
      <c r="E3565" s="48"/>
      <c r="F3565" s="48"/>
      <c r="G3565" s="48"/>
      <c r="H3565" s="48"/>
      <c r="I3565" s="48"/>
    </row>
    <row r="3566" spans="1:9" hidden="1" x14ac:dyDescent="0.2">
      <c r="A3566" s="46"/>
      <c r="B3566" s="46"/>
      <c r="C3566" s="46"/>
      <c r="D3566" s="48"/>
      <c r="E3566" s="48"/>
      <c r="F3566" s="48"/>
      <c r="G3566" s="48"/>
      <c r="H3566" s="48"/>
      <c r="I3566" s="48"/>
    </row>
    <row r="3567" spans="1:9" hidden="1" x14ac:dyDescent="0.2">
      <c r="A3567" s="46"/>
      <c r="B3567" s="46"/>
      <c r="C3567" s="46"/>
      <c r="D3567" s="48"/>
      <c r="E3567" s="48"/>
      <c r="F3567" s="48"/>
      <c r="G3567" s="48"/>
      <c r="H3567" s="48"/>
      <c r="I3567" s="48"/>
    </row>
    <row r="3568" spans="1:9" hidden="1" x14ac:dyDescent="0.2">
      <c r="A3568" s="46"/>
      <c r="B3568" s="46"/>
      <c r="C3568" s="46"/>
      <c r="D3568" s="48"/>
      <c r="E3568" s="48"/>
      <c r="F3568" s="48"/>
      <c r="G3568" s="48"/>
      <c r="H3568" s="48"/>
      <c r="I3568" s="48"/>
    </row>
    <row r="3569" spans="1:9" hidden="1" x14ac:dyDescent="0.2">
      <c r="A3569" s="46"/>
      <c r="B3569" s="46"/>
      <c r="C3569" s="46"/>
      <c r="D3569" s="48"/>
      <c r="E3569" s="48"/>
      <c r="F3569" s="48"/>
      <c r="G3569" s="48"/>
      <c r="H3569" s="48"/>
      <c r="I3569" s="48"/>
    </row>
    <row r="3570" spans="1:9" hidden="1" x14ac:dyDescent="0.2">
      <c r="A3570" s="46"/>
      <c r="B3570" s="46"/>
      <c r="C3570" s="46"/>
      <c r="D3570" s="48"/>
      <c r="E3570" s="48"/>
      <c r="F3570" s="48"/>
      <c r="G3570" s="48"/>
      <c r="H3570" s="48"/>
      <c r="I3570" s="48"/>
    </row>
    <row r="3571" spans="1:9" hidden="1" x14ac:dyDescent="0.2">
      <c r="A3571" s="46"/>
      <c r="B3571" s="46"/>
      <c r="C3571" s="46"/>
      <c r="D3571" s="48"/>
      <c r="E3571" s="48"/>
      <c r="F3571" s="48"/>
      <c r="G3571" s="48"/>
      <c r="H3571" s="48"/>
      <c r="I3571" s="48"/>
    </row>
    <row r="3572" spans="1:9" hidden="1" x14ac:dyDescent="0.2">
      <c r="A3572" s="46"/>
      <c r="B3572" s="46"/>
      <c r="C3572" s="46"/>
      <c r="D3572" s="48"/>
      <c r="E3572" s="48"/>
      <c r="F3572" s="48"/>
      <c r="G3572" s="48"/>
      <c r="H3572" s="48"/>
      <c r="I3572" s="48"/>
    </row>
    <row r="3573" spans="1:9" hidden="1" x14ac:dyDescent="0.2">
      <c r="A3573" s="46"/>
      <c r="B3573" s="46"/>
      <c r="C3573" s="46"/>
      <c r="D3573" s="48"/>
      <c r="E3573" s="48"/>
      <c r="F3573" s="48"/>
      <c r="G3573" s="48"/>
      <c r="H3573" s="48"/>
      <c r="I3573" s="48"/>
    </row>
    <row r="3574" spans="1:9" hidden="1" x14ac:dyDescent="0.2">
      <c r="A3574" s="46"/>
      <c r="B3574" s="46"/>
      <c r="C3574" s="46"/>
      <c r="D3574" s="48"/>
      <c r="E3574" s="48"/>
      <c r="F3574" s="48"/>
      <c r="G3574" s="48"/>
      <c r="H3574" s="48"/>
      <c r="I3574" s="48"/>
    </row>
    <row r="3575" spans="1:9" hidden="1" x14ac:dyDescent="0.2">
      <c r="A3575" s="46"/>
      <c r="B3575" s="46"/>
      <c r="C3575" s="46"/>
      <c r="D3575" s="48"/>
      <c r="E3575" s="48"/>
      <c r="F3575" s="48"/>
      <c r="G3575" s="48"/>
      <c r="H3575" s="48"/>
      <c r="I3575" s="48"/>
    </row>
    <row r="3576" spans="1:9" hidden="1" x14ac:dyDescent="0.2">
      <c r="A3576" s="46"/>
      <c r="B3576" s="46"/>
      <c r="C3576" s="46"/>
      <c r="D3576" s="48"/>
      <c r="E3576" s="48"/>
      <c r="F3576" s="48"/>
      <c r="G3576" s="48"/>
      <c r="H3576" s="48"/>
      <c r="I3576" s="48"/>
    </row>
    <row r="3577" spans="1:9" hidden="1" x14ac:dyDescent="0.2">
      <c r="A3577" s="46"/>
      <c r="B3577" s="46"/>
      <c r="C3577" s="46"/>
      <c r="D3577" s="48"/>
      <c r="E3577" s="48"/>
      <c r="F3577" s="48"/>
      <c r="G3577" s="48"/>
      <c r="H3577" s="48"/>
      <c r="I3577" s="48"/>
    </row>
    <row r="3578" spans="1:9" hidden="1" x14ac:dyDescent="0.2">
      <c r="A3578" s="46"/>
      <c r="B3578" s="46"/>
      <c r="C3578" s="46"/>
      <c r="D3578" s="48"/>
      <c r="E3578" s="48"/>
      <c r="F3578" s="48"/>
      <c r="G3578" s="48"/>
      <c r="H3578" s="48"/>
      <c r="I3578" s="48"/>
    </row>
    <row r="3579" spans="1:9" hidden="1" x14ac:dyDescent="0.2">
      <c r="A3579" s="46"/>
      <c r="B3579" s="46"/>
      <c r="C3579" s="46"/>
      <c r="D3579" s="48"/>
      <c r="E3579" s="48"/>
      <c r="F3579" s="48"/>
      <c r="G3579" s="48"/>
      <c r="H3579" s="48"/>
      <c r="I3579" s="48"/>
    </row>
    <row r="3580" spans="1:9" hidden="1" x14ac:dyDescent="0.2">
      <c r="A3580" s="46"/>
      <c r="B3580" s="46"/>
      <c r="C3580" s="46"/>
      <c r="D3580" s="48"/>
      <c r="E3580" s="48"/>
      <c r="F3580" s="48"/>
      <c r="G3580" s="48"/>
      <c r="H3580" s="48"/>
      <c r="I3580" s="48"/>
    </row>
    <row r="3581" spans="1:9" hidden="1" x14ac:dyDescent="0.2">
      <c r="A3581" s="46"/>
      <c r="B3581" s="46"/>
      <c r="C3581" s="46"/>
      <c r="D3581" s="48"/>
      <c r="E3581" s="48"/>
      <c r="F3581" s="48"/>
      <c r="G3581" s="48"/>
      <c r="H3581" s="48"/>
      <c r="I3581" s="48"/>
    </row>
    <row r="3582" spans="1:9" hidden="1" x14ac:dyDescent="0.2">
      <c r="A3582" s="46"/>
      <c r="B3582" s="46"/>
      <c r="C3582" s="46"/>
      <c r="D3582" s="48"/>
      <c r="E3582" s="48"/>
      <c r="F3582" s="48"/>
      <c r="G3582" s="48"/>
      <c r="H3582" s="48"/>
      <c r="I3582" s="48"/>
    </row>
    <row r="3583" spans="1:9" hidden="1" x14ac:dyDescent="0.2">
      <c r="A3583" s="46"/>
      <c r="B3583" s="46"/>
      <c r="C3583" s="46"/>
      <c r="D3583" s="48"/>
      <c r="E3583" s="48"/>
      <c r="F3583" s="48"/>
      <c r="G3583" s="48"/>
      <c r="H3583" s="48"/>
      <c r="I3583" s="48"/>
    </row>
    <row r="3584" spans="1:9" hidden="1" x14ac:dyDescent="0.2">
      <c r="A3584" s="46"/>
      <c r="B3584" s="46"/>
      <c r="C3584" s="46"/>
      <c r="D3584" s="48"/>
      <c r="E3584" s="48"/>
      <c r="F3584" s="48"/>
      <c r="G3584" s="48"/>
      <c r="H3584" s="48"/>
      <c r="I3584" s="48"/>
    </row>
    <row r="3585" spans="1:9" hidden="1" x14ac:dyDescent="0.2">
      <c r="A3585" s="46"/>
      <c r="B3585" s="46"/>
      <c r="C3585" s="46"/>
      <c r="D3585" s="48"/>
      <c r="E3585" s="48"/>
      <c r="F3585" s="48"/>
      <c r="G3585" s="48"/>
      <c r="H3585" s="48"/>
      <c r="I3585" s="48"/>
    </row>
    <row r="3586" spans="1:9" hidden="1" x14ac:dyDescent="0.2">
      <c r="A3586" s="46"/>
      <c r="B3586" s="46"/>
      <c r="C3586" s="46"/>
      <c r="D3586" s="48"/>
      <c r="E3586" s="48"/>
      <c r="F3586" s="48"/>
      <c r="G3586" s="48"/>
      <c r="H3586" s="48"/>
      <c r="I3586" s="48"/>
    </row>
    <row r="3587" spans="1:9" hidden="1" x14ac:dyDescent="0.2">
      <c r="A3587" s="46"/>
      <c r="B3587" s="46"/>
      <c r="C3587" s="46"/>
      <c r="D3587" s="48"/>
      <c r="E3587" s="48"/>
      <c r="F3587" s="48"/>
      <c r="G3587" s="48"/>
      <c r="H3587" s="48"/>
      <c r="I3587" s="48"/>
    </row>
    <row r="3588" spans="1:9" hidden="1" x14ac:dyDescent="0.2">
      <c r="A3588" s="46"/>
      <c r="B3588" s="46"/>
      <c r="C3588" s="46"/>
      <c r="D3588" s="48"/>
      <c r="E3588" s="48"/>
      <c r="F3588" s="48"/>
      <c r="G3588" s="48"/>
      <c r="H3588" s="48"/>
      <c r="I3588" s="48"/>
    </row>
    <row r="3589" spans="1:9" hidden="1" x14ac:dyDescent="0.2">
      <c r="A3589" s="46"/>
      <c r="B3589" s="46"/>
      <c r="C3589" s="46"/>
      <c r="D3589" s="48"/>
      <c r="E3589" s="48"/>
      <c r="F3589" s="48"/>
      <c r="G3589" s="48"/>
      <c r="H3589" s="48"/>
      <c r="I3589" s="48"/>
    </row>
    <row r="3590" spans="1:9" hidden="1" x14ac:dyDescent="0.2">
      <c r="A3590" s="46"/>
      <c r="B3590" s="46"/>
      <c r="C3590" s="46"/>
      <c r="D3590" s="48"/>
      <c r="E3590" s="48"/>
      <c r="F3590" s="48"/>
      <c r="G3590" s="48"/>
      <c r="H3590" s="48"/>
      <c r="I3590" s="48"/>
    </row>
    <row r="3591" spans="1:9" hidden="1" x14ac:dyDescent="0.2">
      <c r="A3591" s="46"/>
      <c r="B3591" s="46"/>
      <c r="C3591" s="46"/>
      <c r="D3591" s="48"/>
      <c r="E3591" s="48"/>
      <c r="F3591" s="48"/>
      <c r="G3591" s="48"/>
      <c r="H3591" s="48"/>
      <c r="I3591" s="48"/>
    </row>
    <row r="3592" spans="1:9" hidden="1" x14ac:dyDescent="0.2">
      <c r="A3592" s="46"/>
      <c r="B3592" s="46"/>
      <c r="C3592" s="46"/>
      <c r="D3592" s="48"/>
      <c r="E3592" s="48"/>
      <c r="F3592" s="48"/>
      <c r="G3592" s="48"/>
      <c r="H3592" s="48"/>
      <c r="I3592" s="48"/>
    </row>
    <row r="3593" spans="1:9" hidden="1" x14ac:dyDescent="0.2">
      <c r="A3593" s="46"/>
      <c r="B3593" s="46"/>
      <c r="C3593" s="46"/>
      <c r="D3593" s="48"/>
      <c r="E3593" s="48"/>
      <c r="F3593" s="48"/>
      <c r="G3593" s="48"/>
      <c r="H3593" s="48"/>
      <c r="I3593" s="48"/>
    </row>
    <row r="3594" spans="1:9" hidden="1" x14ac:dyDescent="0.2">
      <c r="A3594" s="46"/>
      <c r="B3594" s="46"/>
      <c r="C3594" s="46"/>
      <c r="D3594" s="48"/>
      <c r="E3594" s="48"/>
      <c r="F3594" s="48"/>
      <c r="G3594" s="48"/>
      <c r="H3594" s="48"/>
      <c r="I3594" s="48"/>
    </row>
    <row r="3595" spans="1:9" hidden="1" x14ac:dyDescent="0.2">
      <c r="A3595" s="46"/>
      <c r="B3595" s="46"/>
      <c r="C3595" s="46"/>
      <c r="D3595" s="48"/>
      <c r="E3595" s="48"/>
      <c r="F3595" s="48"/>
      <c r="G3595" s="48"/>
      <c r="H3595" s="48"/>
      <c r="I3595" s="48"/>
    </row>
    <row r="3596" spans="1:9" hidden="1" x14ac:dyDescent="0.2">
      <c r="A3596" s="46"/>
      <c r="B3596" s="46"/>
      <c r="C3596" s="46"/>
      <c r="D3596" s="48"/>
      <c r="E3596" s="48"/>
      <c r="F3596" s="48"/>
      <c r="G3596" s="48"/>
      <c r="H3596" s="48"/>
      <c r="I3596" s="48"/>
    </row>
    <row r="3597" spans="1:9" hidden="1" x14ac:dyDescent="0.2">
      <c r="A3597" s="46"/>
      <c r="B3597" s="46"/>
      <c r="C3597" s="46"/>
      <c r="D3597" s="48"/>
      <c r="E3597" s="48"/>
      <c r="F3597" s="48"/>
      <c r="G3597" s="48"/>
      <c r="H3597" s="48"/>
      <c r="I3597" s="48"/>
    </row>
    <row r="3598" spans="1:9" hidden="1" x14ac:dyDescent="0.2">
      <c r="A3598" s="46"/>
      <c r="B3598" s="46"/>
      <c r="C3598" s="46"/>
      <c r="D3598" s="48"/>
      <c r="E3598" s="48"/>
      <c r="F3598" s="48"/>
      <c r="G3598" s="48"/>
      <c r="H3598" s="48"/>
      <c r="I3598" s="48"/>
    </row>
    <row r="3599" spans="1:9" hidden="1" x14ac:dyDescent="0.2">
      <c r="A3599" s="46"/>
      <c r="B3599" s="46"/>
      <c r="C3599" s="46"/>
      <c r="D3599" s="48"/>
      <c r="E3599" s="48"/>
      <c r="F3599" s="48"/>
      <c r="G3599" s="48"/>
      <c r="H3599" s="48"/>
      <c r="I3599" s="48"/>
    </row>
    <row r="3600" spans="1:9" hidden="1" x14ac:dyDescent="0.2">
      <c r="A3600" s="46"/>
      <c r="B3600" s="46"/>
      <c r="C3600" s="46"/>
      <c r="D3600" s="48"/>
      <c r="E3600" s="48"/>
      <c r="F3600" s="48"/>
      <c r="G3600" s="48"/>
      <c r="H3600" s="48"/>
      <c r="I3600" s="48"/>
    </row>
    <row r="3601" spans="1:9" hidden="1" x14ac:dyDescent="0.2">
      <c r="A3601" s="46"/>
      <c r="B3601" s="46"/>
      <c r="C3601" s="46"/>
      <c r="D3601" s="48"/>
      <c r="E3601" s="48"/>
      <c r="F3601" s="48"/>
      <c r="G3601" s="48"/>
      <c r="H3601" s="48"/>
      <c r="I3601" s="48"/>
    </row>
    <row r="3602" spans="1:9" hidden="1" x14ac:dyDescent="0.2">
      <c r="A3602" s="46"/>
      <c r="B3602" s="46"/>
      <c r="C3602" s="46"/>
      <c r="D3602" s="48"/>
      <c r="E3602" s="48"/>
      <c r="F3602" s="48"/>
      <c r="G3602" s="48"/>
      <c r="H3602" s="48"/>
      <c r="I3602" s="48"/>
    </row>
    <row r="3603" spans="1:9" hidden="1" x14ac:dyDescent="0.2">
      <c r="A3603" s="46"/>
      <c r="B3603" s="46"/>
      <c r="C3603" s="46"/>
      <c r="D3603" s="48"/>
      <c r="E3603" s="48"/>
      <c r="F3603" s="48"/>
      <c r="G3603" s="48"/>
      <c r="H3603" s="48"/>
      <c r="I3603" s="48"/>
    </row>
    <row r="3604" spans="1:9" hidden="1" x14ac:dyDescent="0.2">
      <c r="A3604" s="46"/>
      <c r="B3604" s="46"/>
      <c r="C3604" s="46"/>
      <c r="D3604" s="48"/>
      <c r="E3604" s="48"/>
      <c r="F3604" s="48"/>
      <c r="G3604" s="48"/>
      <c r="H3604" s="48"/>
      <c r="I3604" s="48"/>
    </row>
    <row r="3605" spans="1:9" hidden="1" x14ac:dyDescent="0.2">
      <c r="A3605" s="46"/>
      <c r="B3605" s="46"/>
      <c r="C3605" s="46"/>
      <c r="D3605" s="48"/>
      <c r="E3605" s="48"/>
      <c r="F3605" s="48"/>
      <c r="G3605" s="48"/>
      <c r="H3605" s="48"/>
      <c r="I3605" s="48"/>
    </row>
    <row r="3606" spans="1:9" hidden="1" x14ac:dyDescent="0.2">
      <c r="A3606" s="46"/>
      <c r="B3606" s="46"/>
      <c r="C3606" s="46"/>
      <c r="D3606" s="48"/>
      <c r="E3606" s="48"/>
      <c r="F3606" s="48"/>
      <c r="G3606" s="48"/>
      <c r="H3606" s="48"/>
      <c r="I3606" s="48"/>
    </row>
    <row r="3607" spans="1:9" hidden="1" x14ac:dyDescent="0.2">
      <c r="A3607" s="46"/>
      <c r="B3607" s="46"/>
      <c r="C3607" s="46"/>
      <c r="D3607" s="48"/>
      <c r="E3607" s="48"/>
      <c r="F3607" s="48"/>
      <c r="G3607" s="48"/>
      <c r="H3607" s="48"/>
      <c r="I3607" s="48"/>
    </row>
    <row r="3608" spans="1:9" hidden="1" x14ac:dyDescent="0.2">
      <c r="A3608" s="46"/>
      <c r="B3608" s="46"/>
      <c r="C3608" s="46"/>
      <c r="D3608" s="48"/>
      <c r="E3608" s="48"/>
      <c r="F3608" s="48"/>
      <c r="G3608" s="48"/>
      <c r="H3608" s="48"/>
      <c r="I3608" s="48"/>
    </row>
    <row r="3609" spans="1:9" hidden="1" x14ac:dyDescent="0.2">
      <c r="A3609" s="46"/>
      <c r="B3609" s="46"/>
      <c r="C3609" s="46"/>
      <c r="D3609" s="48"/>
      <c r="E3609" s="48"/>
      <c r="F3609" s="48"/>
      <c r="G3609" s="48"/>
      <c r="H3609" s="48"/>
      <c r="I3609" s="48"/>
    </row>
    <row r="3610" spans="1:9" hidden="1" x14ac:dyDescent="0.2">
      <c r="A3610" s="46"/>
      <c r="B3610" s="46"/>
      <c r="C3610" s="46"/>
      <c r="D3610" s="48"/>
      <c r="E3610" s="48"/>
      <c r="F3610" s="48"/>
      <c r="G3610" s="48"/>
      <c r="H3610" s="48"/>
      <c r="I3610" s="48"/>
    </row>
    <row r="3611" spans="1:9" hidden="1" x14ac:dyDescent="0.2">
      <c r="A3611" s="46"/>
      <c r="B3611" s="46"/>
      <c r="C3611" s="46"/>
      <c r="D3611" s="48"/>
      <c r="E3611" s="48"/>
      <c r="F3611" s="48"/>
      <c r="G3611" s="48"/>
      <c r="H3611" s="48"/>
      <c r="I3611" s="48"/>
    </row>
    <row r="3612" spans="1:9" hidden="1" x14ac:dyDescent="0.2">
      <c r="A3612" s="46"/>
      <c r="B3612" s="46"/>
      <c r="C3612" s="46"/>
      <c r="D3612" s="48"/>
      <c r="E3612" s="48"/>
      <c r="F3612" s="48"/>
      <c r="G3612" s="48"/>
      <c r="H3612" s="48"/>
      <c r="I3612" s="48"/>
    </row>
    <row r="3613" spans="1:9" hidden="1" x14ac:dyDescent="0.2">
      <c r="A3613" s="46"/>
      <c r="B3613" s="46"/>
      <c r="C3613" s="46"/>
      <c r="D3613" s="48"/>
      <c r="E3613" s="48"/>
      <c r="F3613" s="48"/>
      <c r="G3613" s="48"/>
      <c r="H3613" s="48"/>
      <c r="I3613" s="48"/>
    </row>
    <row r="3614" spans="1:9" hidden="1" x14ac:dyDescent="0.2">
      <c r="A3614" s="46"/>
      <c r="B3614" s="46"/>
      <c r="C3614" s="46"/>
      <c r="D3614" s="48"/>
      <c r="E3614" s="48"/>
      <c r="F3614" s="48"/>
      <c r="G3614" s="48"/>
      <c r="H3614" s="48"/>
      <c r="I3614" s="48"/>
    </row>
    <row r="3615" spans="1:9" hidden="1" x14ac:dyDescent="0.2">
      <c r="A3615" s="46"/>
      <c r="B3615" s="46"/>
      <c r="C3615" s="46"/>
      <c r="D3615" s="48"/>
      <c r="E3615" s="48"/>
      <c r="F3615" s="48"/>
      <c r="G3615" s="48"/>
      <c r="H3615" s="48"/>
      <c r="I3615" s="48"/>
    </row>
    <row r="3616" spans="1:9" hidden="1" x14ac:dyDescent="0.2">
      <c r="A3616" s="46"/>
      <c r="B3616" s="46"/>
      <c r="C3616" s="46"/>
      <c r="D3616" s="48"/>
      <c r="E3616" s="48"/>
      <c r="F3616" s="48"/>
      <c r="G3616" s="48"/>
      <c r="H3616" s="48"/>
      <c r="I3616" s="48"/>
    </row>
    <row r="3617" spans="1:9" hidden="1" x14ac:dyDescent="0.2">
      <c r="A3617" s="46"/>
      <c r="B3617" s="46"/>
      <c r="C3617" s="46"/>
      <c r="D3617" s="48"/>
      <c r="E3617" s="48"/>
      <c r="F3617" s="48"/>
      <c r="G3617" s="48"/>
      <c r="H3617" s="48"/>
      <c r="I3617" s="48"/>
    </row>
    <row r="3618" spans="1:9" hidden="1" x14ac:dyDescent="0.2">
      <c r="A3618" s="46"/>
      <c r="B3618" s="46"/>
      <c r="C3618" s="46"/>
      <c r="D3618" s="48"/>
      <c r="E3618" s="48"/>
      <c r="F3618" s="48"/>
      <c r="G3618" s="48"/>
      <c r="H3618" s="48"/>
      <c r="I3618" s="48"/>
    </row>
    <row r="3619" spans="1:9" hidden="1" x14ac:dyDescent="0.2">
      <c r="A3619" s="46"/>
      <c r="B3619" s="46"/>
      <c r="C3619" s="46"/>
      <c r="D3619" s="48"/>
      <c r="E3619" s="48"/>
      <c r="F3619" s="48"/>
      <c r="G3619" s="48"/>
      <c r="H3619" s="48"/>
      <c r="I3619" s="48"/>
    </row>
    <row r="3620" spans="1:9" hidden="1" x14ac:dyDescent="0.2">
      <c r="A3620" s="46"/>
      <c r="B3620" s="46"/>
      <c r="C3620" s="46"/>
      <c r="D3620" s="48"/>
      <c r="E3620" s="48"/>
      <c r="F3620" s="48"/>
      <c r="G3620" s="48"/>
      <c r="H3620" s="48"/>
      <c r="I3620" s="48"/>
    </row>
    <row r="3621" spans="1:9" hidden="1" x14ac:dyDescent="0.2">
      <c r="A3621" s="46"/>
      <c r="B3621" s="46"/>
      <c r="C3621" s="46"/>
      <c r="D3621" s="48"/>
      <c r="E3621" s="48"/>
      <c r="F3621" s="48"/>
      <c r="G3621" s="48"/>
      <c r="H3621" s="48"/>
      <c r="I3621" s="48"/>
    </row>
    <row r="3622" spans="1:9" hidden="1" x14ac:dyDescent="0.2">
      <c r="A3622" s="46"/>
      <c r="B3622" s="46"/>
      <c r="C3622" s="46"/>
      <c r="D3622" s="48"/>
      <c r="E3622" s="48"/>
      <c r="F3622" s="48"/>
      <c r="G3622" s="48"/>
      <c r="H3622" s="48"/>
      <c r="I3622" s="48"/>
    </row>
    <row r="3623" spans="1:9" hidden="1" x14ac:dyDescent="0.2">
      <c r="A3623" s="46"/>
      <c r="B3623" s="46"/>
      <c r="C3623" s="46"/>
      <c r="D3623" s="48"/>
      <c r="E3623" s="48"/>
      <c r="F3623" s="48"/>
      <c r="G3623" s="48"/>
      <c r="H3623" s="48"/>
      <c r="I3623" s="48"/>
    </row>
    <row r="3624" spans="1:9" hidden="1" x14ac:dyDescent="0.2">
      <c r="A3624" s="46"/>
      <c r="B3624" s="46"/>
      <c r="C3624" s="46"/>
      <c r="D3624" s="48"/>
      <c r="E3624" s="48"/>
      <c r="F3624" s="48"/>
      <c r="G3624" s="48"/>
      <c r="H3624" s="48"/>
      <c r="I3624" s="48"/>
    </row>
    <row r="3625" spans="1:9" hidden="1" x14ac:dyDescent="0.2">
      <c r="A3625" s="46"/>
      <c r="B3625" s="46"/>
      <c r="C3625" s="46"/>
      <c r="D3625" s="48"/>
      <c r="E3625" s="48"/>
      <c r="F3625" s="48"/>
      <c r="G3625" s="48"/>
      <c r="H3625" s="48"/>
      <c r="I3625" s="48"/>
    </row>
    <row r="3626" spans="1:9" hidden="1" x14ac:dyDescent="0.2">
      <c r="A3626" s="46"/>
      <c r="B3626" s="46"/>
      <c r="C3626" s="46"/>
      <c r="D3626" s="48"/>
      <c r="E3626" s="48"/>
      <c r="F3626" s="48"/>
      <c r="G3626" s="48"/>
      <c r="H3626" s="48"/>
      <c r="I3626" s="48"/>
    </row>
    <row r="3627" spans="1:9" hidden="1" x14ac:dyDescent="0.2">
      <c r="A3627" s="46"/>
      <c r="B3627" s="46"/>
      <c r="C3627" s="46"/>
      <c r="D3627" s="48"/>
      <c r="E3627" s="48"/>
      <c r="F3627" s="48"/>
      <c r="G3627" s="48"/>
      <c r="H3627" s="48"/>
      <c r="I3627" s="48"/>
    </row>
    <row r="3628" spans="1:9" hidden="1" x14ac:dyDescent="0.2">
      <c r="A3628" s="46"/>
      <c r="B3628" s="46"/>
      <c r="C3628" s="46"/>
      <c r="D3628" s="48"/>
      <c r="E3628" s="48"/>
      <c r="F3628" s="48"/>
      <c r="G3628" s="48"/>
      <c r="H3628" s="48"/>
      <c r="I3628" s="48"/>
    </row>
    <row r="3629" spans="1:9" hidden="1" x14ac:dyDescent="0.2">
      <c r="A3629" s="46"/>
      <c r="B3629" s="46"/>
      <c r="C3629" s="46"/>
      <c r="D3629" s="48"/>
      <c r="E3629" s="48"/>
      <c r="F3629" s="48"/>
      <c r="G3629" s="48"/>
      <c r="H3629" s="48"/>
      <c r="I3629" s="48"/>
    </row>
    <row r="3630" spans="1:9" hidden="1" x14ac:dyDescent="0.2">
      <c r="A3630" s="46"/>
      <c r="B3630" s="46"/>
      <c r="C3630" s="46"/>
      <c r="D3630" s="48"/>
      <c r="E3630" s="48"/>
      <c r="F3630" s="48"/>
      <c r="G3630" s="48"/>
      <c r="H3630" s="48"/>
      <c r="I3630" s="48"/>
    </row>
    <row r="3631" spans="1:9" hidden="1" x14ac:dyDescent="0.2">
      <c r="A3631" s="46"/>
      <c r="B3631" s="46"/>
      <c r="C3631" s="46"/>
      <c r="D3631" s="48"/>
      <c r="E3631" s="48"/>
      <c r="F3631" s="48"/>
      <c r="G3631" s="48"/>
      <c r="H3631" s="48"/>
      <c r="I3631" s="48"/>
    </row>
    <row r="3632" spans="1:9" hidden="1" x14ac:dyDescent="0.2">
      <c r="A3632" s="46"/>
      <c r="B3632" s="46"/>
      <c r="C3632" s="46"/>
      <c r="D3632" s="48"/>
      <c r="E3632" s="48"/>
      <c r="F3632" s="48"/>
      <c r="G3632" s="48"/>
      <c r="H3632" s="48"/>
      <c r="I3632" s="48"/>
    </row>
    <row r="3633" spans="1:9" hidden="1" x14ac:dyDescent="0.2">
      <c r="A3633" s="46"/>
      <c r="B3633" s="46"/>
      <c r="C3633" s="46"/>
      <c r="D3633" s="48"/>
      <c r="E3633" s="48"/>
      <c r="F3633" s="48"/>
      <c r="G3633" s="48"/>
      <c r="H3633" s="48"/>
      <c r="I3633" s="48"/>
    </row>
    <row r="3634" spans="1:9" hidden="1" x14ac:dyDescent="0.2">
      <c r="A3634" s="46"/>
      <c r="B3634" s="46"/>
      <c r="C3634" s="46"/>
      <c r="D3634" s="48"/>
      <c r="E3634" s="48"/>
      <c r="F3634" s="48"/>
      <c r="G3634" s="48"/>
      <c r="H3634" s="48"/>
      <c r="I3634" s="48"/>
    </row>
    <row r="3635" spans="1:9" hidden="1" x14ac:dyDescent="0.2">
      <c r="A3635" s="46"/>
      <c r="B3635" s="46"/>
      <c r="C3635" s="46"/>
      <c r="D3635" s="48"/>
      <c r="E3635" s="48"/>
      <c r="F3635" s="48"/>
      <c r="G3635" s="48"/>
      <c r="H3635" s="48"/>
      <c r="I3635" s="48"/>
    </row>
    <row r="3636" spans="1:9" hidden="1" x14ac:dyDescent="0.2">
      <c r="A3636" s="46"/>
      <c r="B3636" s="46"/>
      <c r="C3636" s="46"/>
      <c r="D3636" s="48"/>
      <c r="E3636" s="48"/>
      <c r="F3636" s="48"/>
      <c r="G3636" s="48"/>
      <c r="H3636" s="48"/>
      <c r="I3636" s="48"/>
    </row>
    <row r="3637" spans="1:9" hidden="1" x14ac:dyDescent="0.2">
      <c r="A3637" s="46"/>
      <c r="B3637" s="46"/>
      <c r="C3637" s="46"/>
      <c r="D3637" s="48"/>
      <c r="E3637" s="48"/>
      <c r="F3637" s="48"/>
      <c r="G3637" s="48"/>
      <c r="H3637" s="48"/>
      <c r="I3637" s="48"/>
    </row>
    <row r="3638" spans="1:9" hidden="1" x14ac:dyDescent="0.2">
      <c r="A3638" s="46"/>
      <c r="B3638" s="46"/>
      <c r="C3638" s="46"/>
      <c r="D3638" s="48"/>
      <c r="E3638" s="48"/>
      <c r="F3638" s="48"/>
      <c r="G3638" s="48"/>
      <c r="H3638" s="48"/>
      <c r="I3638" s="48"/>
    </row>
    <row r="3639" spans="1:9" hidden="1" x14ac:dyDescent="0.2">
      <c r="A3639" s="46"/>
      <c r="B3639" s="46"/>
      <c r="C3639" s="46"/>
      <c r="D3639" s="48"/>
      <c r="E3639" s="48"/>
      <c r="F3639" s="48"/>
      <c r="G3639" s="48"/>
      <c r="H3639" s="48"/>
      <c r="I3639" s="48"/>
    </row>
    <row r="3640" spans="1:9" hidden="1" x14ac:dyDescent="0.2">
      <c r="A3640" s="46"/>
      <c r="B3640" s="46"/>
      <c r="C3640" s="46"/>
      <c r="D3640" s="48"/>
      <c r="E3640" s="48"/>
      <c r="F3640" s="48"/>
      <c r="G3640" s="48"/>
      <c r="H3640" s="48"/>
      <c r="I3640" s="48"/>
    </row>
    <row r="3641" spans="1:9" hidden="1" x14ac:dyDescent="0.2">
      <c r="A3641" s="46"/>
      <c r="B3641" s="46"/>
      <c r="C3641" s="46"/>
      <c r="D3641" s="48"/>
      <c r="E3641" s="48"/>
      <c r="F3641" s="48"/>
      <c r="G3641" s="48"/>
      <c r="H3641" s="48"/>
      <c r="I3641" s="48"/>
    </row>
    <row r="3642" spans="1:9" hidden="1" x14ac:dyDescent="0.2">
      <c r="A3642" s="46"/>
      <c r="B3642" s="46"/>
      <c r="C3642" s="46"/>
      <c r="D3642" s="48"/>
      <c r="E3642" s="48"/>
      <c r="F3642" s="48"/>
      <c r="G3642" s="48"/>
      <c r="H3642" s="48"/>
      <c r="I3642" s="48"/>
    </row>
    <row r="3643" spans="1:9" hidden="1" x14ac:dyDescent="0.2">
      <c r="A3643" s="46"/>
      <c r="B3643" s="46"/>
      <c r="C3643" s="46"/>
      <c r="D3643" s="48"/>
      <c r="E3643" s="48"/>
      <c r="F3643" s="48"/>
      <c r="G3643" s="48"/>
      <c r="H3643" s="48"/>
      <c r="I3643" s="48"/>
    </row>
    <row r="3644" spans="1:9" hidden="1" x14ac:dyDescent="0.2">
      <c r="A3644" s="46"/>
      <c r="B3644" s="46"/>
      <c r="C3644" s="46"/>
      <c r="D3644" s="48"/>
      <c r="E3644" s="48"/>
      <c r="F3644" s="48"/>
      <c r="G3644" s="48"/>
      <c r="H3644" s="48"/>
      <c r="I3644" s="48"/>
    </row>
    <row r="3645" spans="1:9" hidden="1" x14ac:dyDescent="0.2">
      <c r="A3645" s="46"/>
      <c r="B3645" s="46"/>
      <c r="C3645" s="46"/>
      <c r="D3645" s="48"/>
      <c r="E3645" s="48"/>
      <c r="F3645" s="48"/>
      <c r="G3645" s="48"/>
      <c r="H3645" s="48"/>
      <c r="I3645" s="48"/>
    </row>
    <row r="3646" spans="1:9" hidden="1" x14ac:dyDescent="0.2">
      <c r="A3646" s="46"/>
      <c r="B3646" s="46"/>
      <c r="C3646" s="46"/>
      <c r="D3646" s="48"/>
      <c r="E3646" s="48"/>
      <c r="F3646" s="48"/>
      <c r="G3646" s="48"/>
      <c r="H3646" s="48"/>
      <c r="I3646" s="48"/>
    </row>
    <row r="3647" spans="1:9" hidden="1" x14ac:dyDescent="0.2">
      <c r="A3647" s="46"/>
      <c r="B3647" s="46"/>
      <c r="C3647" s="46"/>
      <c r="D3647" s="48"/>
      <c r="E3647" s="48"/>
      <c r="F3647" s="48"/>
      <c r="G3647" s="48"/>
      <c r="H3647" s="48"/>
      <c r="I3647" s="48"/>
    </row>
    <row r="3648" spans="1:9" hidden="1" x14ac:dyDescent="0.2">
      <c r="A3648" s="46"/>
      <c r="B3648" s="46"/>
      <c r="C3648" s="46"/>
      <c r="D3648" s="48"/>
      <c r="E3648" s="48"/>
      <c r="F3648" s="48"/>
      <c r="G3648" s="48"/>
      <c r="H3648" s="48"/>
      <c r="I3648" s="48"/>
    </row>
    <row r="3649" spans="1:9" hidden="1" x14ac:dyDescent="0.2">
      <c r="A3649" s="46"/>
      <c r="B3649" s="46"/>
      <c r="C3649" s="46"/>
      <c r="D3649" s="48"/>
      <c r="E3649" s="48"/>
      <c r="F3649" s="48"/>
      <c r="G3649" s="48"/>
      <c r="H3649" s="48"/>
      <c r="I3649" s="48"/>
    </row>
    <row r="3650" spans="1:9" hidden="1" x14ac:dyDescent="0.2">
      <c r="A3650" s="46"/>
      <c r="B3650" s="46"/>
      <c r="C3650" s="46"/>
      <c r="D3650" s="48"/>
      <c r="E3650" s="48"/>
      <c r="F3650" s="48"/>
      <c r="G3650" s="48"/>
      <c r="H3650" s="48"/>
      <c r="I3650" s="48"/>
    </row>
    <row r="3651" spans="1:9" hidden="1" x14ac:dyDescent="0.2">
      <c r="A3651" s="46"/>
      <c r="B3651" s="46"/>
      <c r="C3651" s="46"/>
      <c r="D3651" s="48"/>
      <c r="E3651" s="48"/>
      <c r="F3651" s="48"/>
      <c r="G3651" s="48"/>
      <c r="H3651" s="48"/>
      <c r="I3651" s="48"/>
    </row>
    <row r="3652" spans="1:9" hidden="1" x14ac:dyDescent="0.2">
      <c r="A3652" s="46"/>
      <c r="B3652" s="46"/>
      <c r="C3652" s="46"/>
      <c r="D3652" s="48"/>
      <c r="E3652" s="48"/>
      <c r="F3652" s="48"/>
      <c r="G3652" s="48"/>
      <c r="H3652" s="48"/>
      <c r="I3652" s="48"/>
    </row>
    <row r="3653" spans="1:9" hidden="1" x14ac:dyDescent="0.2">
      <c r="A3653" s="46"/>
      <c r="B3653" s="46"/>
      <c r="C3653" s="46"/>
      <c r="D3653" s="48"/>
      <c r="E3653" s="48"/>
      <c r="F3653" s="48"/>
      <c r="G3653" s="48"/>
      <c r="H3653" s="48"/>
      <c r="I3653" s="48"/>
    </row>
    <row r="3654" spans="1:9" hidden="1" x14ac:dyDescent="0.2">
      <c r="A3654" s="46"/>
      <c r="B3654" s="46"/>
      <c r="C3654" s="46"/>
      <c r="D3654" s="48"/>
      <c r="E3654" s="48"/>
      <c r="F3654" s="48"/>
      <c r="G3654" s="48"/>
      <c r="H3654" s="48"/>
      <c r="I3654" s="48"/>
    </row>
    <row r="3655" spans="1:9" hidden="1" x14ac:dyDescent="0.2">
      <c r="A3655" s="46"/>
      <c r="B3655" s="46"/>
      <c r="C3655" s="46"/>
      <c r="D3655" s="48"/>
      <c r="E3655" s="48"/>
      <c r="F3655" s="48"/>
      <c r="G3655" s="48"/>
      <c r="H3655" s="48"/>
      <c r="I3655" s="48"/>
    </row>
    <row r="3656" spans="1:9" hidden="1" x14ac:dyDescent="0.2">
      <c r="A3656" s="46"/>
      <c r="B3656" s="46"/>
      <c r="C3656" s="46"/>
      <c r="D3656" s="48"/>
      <c r="E3656" s="48"/>
      <c r="F3656" s="48"/>
      <c r="G3656" s="48"/>
      <c r="H3656" s="48"/>
      <c r="I3656" s="48"/>
    </row>
    <row r="3657" spans="1:9" hidden="1" x14ac:dyDescent="0.2">
      <c r="A3657" s="46"/>
      <c r="B3657" s="46"/>
      <c r="C3657" s="46"/>
      <c r="D3657" s="48"/>
      <c r="E3657" s="48"/>
      <c r="F3657" s="48"/>
      <c r="G3657" s="48"/>
      <c r="H3657" s="48"/>
      <c r="I3657" s="48"/>
    </row>
    <row r="3658" spans="1:9" hidden="1" x14ac:dyDescent="0.2">
      <c r="A3658" s="46"/>
      <c r="B3658" s="46"/>
      <c r="C3658" s="46"/>
      <c r="D3658" s="48"/>
      <c r="E3658" s="48"/>
      <c r="F3658" s="48"/>
      <c r="G3658" s="48"/>
      <c r="H3658" s="48"/>
      <c r="I3658" s="48"/>
    </row>
    <row r="3659" spans="1:9" hidden="1" x14ac:dyDescent="0.2">
      <c r="A3659" s="46"/>
      <c r="B3659" s="46"/>
      <c r="C3659" s="46"/>
      <c r="D3659" s="48"/>
      <c r="E3659" s="48"/>
      <c r="F3659" s="48"/>
      <c r="G3659" s="48"/>
      <c r="H3659" s="48"/>
      <c r="I3659" s="48"/>
    </row>
    <row r="3660" spans="1:9" hidden="1" x14ac:dyDescent="0.2">
      <c r="A3660" s="46"/>
      <c r="B3660" s="46"/>
      <c r="C3660" s="46"/>
      <c r="D3660" s="48"/>
      <c r="E3660" s="48"/>
      <c r="F3660" s="48"/>
      <c r="G3660" s="48"/>
      <c r="H3660" s="48"/>
      <c r="I3660" s="48"/>
    </row>
    <row r="3661" spans="1:9" hidden="1" x14ac:dyDescent="0.2">
      <c r="A3661" s="46"/>
      <c r="B3661" s="46"/>
      <c r="C3661" s="46"/>
      <c r="D3661" s="48"/>
      <c r="E3661" s="48"/>
      <c r="F3661" s="48"/>
      <c r="G3661" s="48"/>
      <c r="H3661" s="48"/>
      <c r="I3661" s="48"/>
    </row>
    <row r="3662" spans="1:9" hidden="1" x14ac:dyDescent="0.2">
      <c r="A3662" s="46"/>
      <c r="B3662" s="46"/>
      <c r="C3662" s="46"/>
      <c r="D3662" s="48"/>
      <c r="E3662" s="48"/>
      <c r="F3662" s="48"/>
      <c r="G3662" s="48"/>
      <c r="H3662" s="48"/>
      <c r="I3662" s="48"/>
    </row>
    <row r="3663" spans="1:9" hidden="1" x14ac:dyDescent="0.2">
      <c r="A3663" s="46"/>
      <c r="B3663" s="46"/>
      <c r="C3663" s="46"/>
      <c r="D3663" s="48"/>
      <c r="E3663" s="48"/>
      <c r="F3663" s="48"/>
      <c r="G3663" s="48"/>
      <c r="H3663" s="48"/>
      <c r="I3663" s="48"/>
    </row>
    <row r="3664" spans="1:9" hidden="1" x14ac:dyDescent="0.2">
      <c r="A3664" s="46"/>
      <c r="B3664" s="46"/>
      <c r="C3664" s="46"/>
      <c r="D3664" s="48"/>
      <c r="E3664" s="48"/>
      <c r="F3664" s="48"/>
      <c r="G3664" s="48"/>
      <c r="H3664" s="48"/>
      <c r="I3664" s="48"/>
    </row>
    <row r="3665" spans="1:9" hidden="1" x14ac:dyDescent="0.2">
      <c r="A3665" s="46"/>
      <c r="B3665" s="46"/>
      <c r="C3665" s="46"/>
      <c r="D3665" s="48"/>
      <c r="E3665" s="48"/>
      <c r="F3665" s="48"/>
      <c r="G3665" s="48"/>
      <c r="H3665" s="48"/>
      <c r="I3665" s="48"/>
    </row>
    <row r="3666" spans="1:9" hidden="1" x14ac:dyDescent="0.2">
      <c r="A3666" s="46"/>
      <c r="B3666" s="46"/>
      <c r="C3666" s="46"/>
      <c r="D3666" s="48"/>
      <c r="E3666" s="48"/>
      <c r="F3666" s="48"/>
      <c r="G3666" s="48"/>
      <c r="H3666" s="48"/>
      <c r="I3666" s="48"/>
    </row>
    <row r="3667" spans="1:9" hidden="1" x14ac:dyDescent="0.2">
      <c r="A3667" s="46"/>
      <c r="B3667" s="46"/>
      <c r="C3667" s="46"/>
      <c r="D3667" s="48"/>
      <c r="E3667" s="48"/>
      <c r="F3667" s="48"/>
      <c r="G3667" s="48"/>
      <c r="H3667" s="48"/>
      <c r="I3667" s="48"/>
    </row>
    <row r="3668" spans="1:9" hidden="1" x14ac:dyDescent="0.2">
      <c r="A3668" s="46"/>
      <c r="B3668" s="46"/>
      <c r="C3668" s="46"/>
      <c r="D3668" s="48"/>
      <c r="E3668" s="48"/>
      <c r="F3668" s="48"/>
      <c r="G3668" s="48"/>
      <c r="H3668" s="48"/>
      <c r="I3668" s="48"/>
    </row>
    <row r="3669" spans="1:9" hidden="1" x14ac:dyDescent="0.2">
      <c r="A3669" s="46"/>
      <c r="B3669" s="46"/>
      <c r="C3669" s="46"/>
      <c r="D3669" s="48"/>
      <c r="E3669" s="48"/>
      <c r="F3669" s="48"/>
      <c r="G3669" s="48"/>
      <c r="H3669" s="48"/>
      <c r="I3669" s="48"/>
    </row>
    <row r="3670" spans="1:9" hidden="1" x14ac:dyDescent="0.2">
      <c r="A3670" s="46"/>
      <c r="B3670" s="46"/>
      <c r="C3670" s="46"/>
      <c r="D3670" s="48"/>
      <c r="E3670" s="48"/>
      <c r="F3670" s="48"/>
      <c r="G3670" s="48"/>
      <c r="H3670" s="48"/>
      <c r="I3670" s="48"/>
    </row>
    <row r="3671" spans="1:9" hidden="1" x14ac:dyDescent="0.2">
      <c r="A3671" s="46"/>
      <c r="B3671" s="46"/>
      <c r="C3671" s="46"/>
      <c r="D3671" s="48"/>
      <c r="E3671" s="48"/>
      <c r="F3671" s="48"/>
      <c r="G3671" s="48"/>
      <c r="H3671" s="48"/>
      <c r="I3671" s="48"/>
    </row>
    <row r="3672" spans="1:9" hidden="1" x14ac:dyDescent="0.2">
      <c r="A3672" s="46"/>
      <c r="B3672" s="46"/>
      <c r="C3672" s="46"/>
      <c r="D3672" s="48"/>
      <c r="E3672" s="48"/>
      <c r="F3672" s="48"/>
      <c r="G3672" s="48"/>
      <c r="H3672" s="48"/>
      <c r="I3672" s="48"/>
    </row>
    <row r="3673" spans="1:9" hidden="1" x14ac:dyDescent="0.2">
      <c r="A3673" s="46"/>
      <c r="B3673" s="46"/>
      <c r="C3673" s="46"/>
      <c r="D3673" s="48"/>
      <c r="E3673" s="48"/>
      <c r="F3673" s="48"/>
      <c r="G3673" s="48"/>
      <c r="H3673" s="48"/>
      <c r="I3673" s="48"/>
    </row>
    <row r="3674" spans="1:9" hidden="1" x14ac:dyDescent="0.2">
      <c r="A3674" s="46"/>
      <c r="B3674" s="46"/>
      <c r="C3674" s="46"/>
      <c r="D3674" s="48"/>
      <c r="E3674" s="48"/>
      <c r="F3674" s="48"/>
      <c r="G3674" s="48"/>
      <c r="H3674" s="48"/>
      <c r="I3674" s="48"/>
    </row>
    <row r="3675" spans="1:9" hidden="1" x14ac:dyDescent="0.2">
      <c r="A3675" s="46"/>
      <c r="B3675" s="46"/>
      <c r="C3675" s="46"/>
      <c r="D3675" s="48"/>
      <c r="E3675" s="48"/>
      <c r="F3675" s="48"/>
      <c r="G3675" s="48"/>
      <c r="H3675" s="48"/>
      <c r="I3675" s="48"/>
    </row>
    <row r="3676" spans="1:9" hidden="1" x14ac:dyDescent="0.2">
      <c r="A3676" s="46"/>
      <c r="B3676" s="46"/>
      <c r="C3676" s="46"/>
      <c r="D3676" s="48"/>
      <c r="E3676" s="48"/>
      <c r="F3676" s="48"/>
      <c r="G3676" s="48"/>
      <c r="H3676" s="48"/>
      <c r="I3676" s="48"/>
    </row>
    <row r="3677" spans="1:9" hidden="1" x14ac:dyDescent="0.2">
      <c r="A3677" s="46"/>
      <c r="B3677" s="46"/>
      <c r="C3677" s="46"/>
      <c r="D3677" s="48"/>
      <c r="E3677" s="48"/>
      <c r="F3677" s="48"/>
      <c r="G3677" s="48"/>
      <c r="H3677" s="48"/>
      <c r="I3677" s="48"/>
    </row>
    <row r="3678" spans="1:9" hidden="1" x14ac:dyDescent="0.2">
      <c r="A3678" s="46"/>
      <c r="B3678" s="46"/>
      <c r="C3678" s="46"/>
      <c r="D3678" s="48"/>
      <c r="E3678" s="48"/>
      <c r="F3678" s="48"/>
      <c r="G3678" s="48"/>
      <c r="H3678" s="48"/>
      <c r="I3678" s="48"/>
    </row>
    <row r="3679" spans="1:9" hidden="1" x14ac:dyDescent="0.2">
      <c r="A3679" s="46"/>
      <c r="B3679" s="46"/>
      <c r="C3679" s="46"/>
      <c r="D3679" s="48"/>
      <c r="E3679" s="48"/>
      <c r="F3679" s="48"/>
      <c r="G3679" s="48"/>
      <c r="H3679" s="48"/>
      <c r="I3679" s="48"/>
    </row>
    <row r="3680" spans="1:9" hidden="1" x14ac:dyDescent="0.2">
      <c r="A3680" s="46"/>
      <c r="B3680" s="46"/>
      <c r="C3680" s="46"/>
      <c r="D3680" s="48"/>
      <c r="E3680" s="48"/>
      <c r="F3680" s="48"/>
      <c r="G3680" s="48"/>
      <c r="H3680" s="48"/>
      <c r="I3680" s="48"/>
    </row>
    <row r="3681" spans="1:9" hidden="1" x14ac:dyDescent="0.2">
      <c r="A3681" s="46"/>
      <c r="B3681" s="46"/>
      <c r="C3681" s="46"/>
      <c r="D3681" s="48"/>
      <c r="E3681" s="48"/>
      <c r="F3681" s="48"/>
      <c r="G3681" s="48"/>
      <c r="H3681" s="48"/>
      <c r="I3681" s="48"/>
    </row>
    <row r="3682" spans="1:9" hidden="1" x14ac:dyDescent="0.2">
      <c r="A3682" s="46"/>
      <c r="B3682" s="46"/>
      <c r="C3682" s="46"/>
      <c r="D3682" s="48"/>
      <c r="E3682" s="48"/>
      <c r="F3682" s="48"/>
      <c r="G3682" s="48"/>
      <c r="H3682" s="48"/>
      <c r="I3682" s="48"/>
    </row>
    <row r="3683" spans="1:9" hidden="1" x14ac:dyDescent="0.2">
      <c r="A3683" s="46"/>
      <c r="B3683" s="46"/>
      <c r="C3683" s="46"/>
      <c r="D3683" s="48"/>
      <c r="E3683" s="48"/>
      <c r="F3683" s="48"/>
      <c r="G3683" s="48"/>
      <c r="H3683" s="48"/>
      <c r="I3683" s="48"/>
    </row>
    <row r="3684" spans="1:9" hidden="1" x14ac:dyDescent="0.2">
      <c r="A3684" s="46"/>
      <c r="B3684" s="46"/>
      <c r="C3684" s="46"/>
      <c r="D3684" s="48"/>
      <c r="E3684" s="48"/>
      <c r="F3684" s="48"/>
      <c r="G3684" s="48"/>
      <c r="H3684" s="48"/>
      <c r="I3684" s="48"/>
    </row>
    <row r="3685" spans="1:9" hidden="1" x14ac:dyDescent="0.2">
      <c r="A3685" s="46"/>
      <c r="B3685" s="46"/>
      <c r="C3685" s="46"/>
      <c r="D3685" s="48"/>
      <c r="E3685" s="48"/>
      <c r="F3685" s="48"/>
      <c r="G3685" s="48"/>
      <c r="H3685" s="48"/>
      <c r="I3685" s="48"/>
    </row>
    <row r="3686" spans="1:9" hidden="1" x14ac:dyDescent="0.2">
      <c r="A3686" s="46"/>
      <c r="B3686" s="46"/>
      <c r="C3686" s="46"/>
      <c r="D3686" s="48"/>
      <c r="E3686" s="48"/>
      <c r="F3686" s="48"/>
      <c r="G3686" s="48"/>
      <c r="H3686" s="48"/>
      <c r="I3686" s="48"/>
    </row>
    <row r="3687" spans="1:9" hidden="1" x14ac:dyDescent="0.2">
      <c r="A3687" s="46"/>
      <c r="B3687" s="46"/>
      <c r="C3687" s="46"/>
      <c r="D3687" s="48"/>
      <c r="E3687" s="48"/>
      <c r="F3687" s="48"/>
      <c r="G3687" s="48"/>
      <c r="H3687" s="48"/>
      <c r="I3687" s="48"/>
    </row>
    <row r="3688" spans="1:9" hidden="1" x14ac:dyDescent="0.2">
      <c r="A3688" s="46"/>
      <c r="B3688" s="46"/>
      <c r="C3688" s="46"/>
      <c r="D3688" s="48"/>
      <c r="E3688" s="48"/>
      <c r="F3688" s="48"/>
      <c r="G3688" s="48"/>
      <c r="H3688" s="48"/>
      <c r="I3688" s="48"/>
    </row>
    <row r="3689" spans="1:9" hidden="1" x14ac:dyDescent="0.2">
      <c r="A3689" s="46"/>
      <c r="B3689" s="46"/>
      <c r="C3689" s="46"/>
      <c r="D3689" s="48"/>
      <c r="E3689" s="48"/>
      <c r="F3689" s="48"/>
      <c r="G3689" s="48"/>
      <c r="H3689" s="48"/>
      <c r="I3689" s="48"/>
    </row>
    <row r="3690" spans="1:9" hidden="1" x14ac:dyDescent="0.2">
      <c r="A3690" s="46"/>
      <c r="B3690" s="46"/>
      <c r="C3690" s="46"/>
      <c r="D3690" s="48"/>
      <c r="E3690" s="48"/>
      <c r="F3690" s="48"/>
      <c r="G3690" s="48"/>
      <c r="H3690" s="48"/>
      <c r="I3690" s="48"/>
    </row>
    <row r="3691" spans="1:9" hidden="1" x14ac:dyDescent="0.2">
      <c r="A3691" s="46"/>
      <c r="B3691" s="46"/>
      <c r="C3691" s="46"/>
      <c r="D3691" s="48"/>
      <c r="E3691" s="48"/>
      <c r="F3691" s="48"/>
      <c r="G3691" s="48"/>
      <c r="H3691" s="48"/>
      <c r="I3691" s="48"/>
    </row>
    <row r="3692" spans="1:9" hidden="1" x14ac:dyDescent="0.2">
      <c r="A3692" s="46"/>
      <c r="B3692" s="46"/>
      <c r="C3692" s="46"/>
      <c r="D3692" s="48"/>
      <c r="E3692" s="48"/>
      <c r="F3692" s="48"/>
      <c r="G3692" s="48"/>
      <c r="H3692" s="48"/>
      <c r="I3692" s="48"/>
    </row>
    <row r="3693" spans="1:9" hidden="1" x14ac:dyDescent="0.2">
      <c r="A3693" s="46"/>
      <c r="B3693" s="46"/>
      <c r="C3693" s="46"/>
      <c r="D3693" s="48"/>
      <c r="E3693" s="48"/>
      <c r="F3693" s="48"/>
      <c r="G3693" s="48"/>
      <c r="H3693" s="48"/>
      <c r="I3693" s="48"/>
    </row>
    <row r="3694" spans="1:9" hidden="1" x14ac:dyDescent="0.2">
      <c r="A3694" s="46"/>
      <c r="B3694" s="46"/>
      <c r="C3694" s="46"/>
      <c r="D3694" s="48"/>
      <c r="E3694" s="48"/>
      <c r="F3694" s="48"/>
      <c r="G3694" s="48"/>
      <c r="H3694" s="48"/>
      <c r="I3694" s="48"/>
    </row>
    <row r="3695" spans="1:9" hidden="1" x14ac:dyDescent="0.2">
      <c r="A3695" s="46"/>
      <c r="B3695" s="46"/>
      <c r="C3695" s="46"/>
      <c r="D3695" s="48"/>
      <c r="E3695" s="48"/>
      <c r="F3695" s="48"/>
      <c r="G3695" s="48"/>
      <c r="H3695" s="48"/>
      <c r="I3695" s="48"/>
    </row>
    <row r="3696" spans="1:9" hidden="1" x14ac:dyDescent="0.2">
      <c r="A3696" s="46"/>
      <c r="B3696" s="46"/>
      <c r="C3696" s="46"/>
      <c r="D3696" s="48"/>
      <c r="E3696" s="48"/>
      <c r="F3696" s="48"/>
      <c r="G3696" s="48"/>
      <c r="H3696" s="48"/>
      <c r="I3696" s="48"/>
    </row>
    <row r="3697" spans="1:9" hidden="1" x14ac:dyDescent="0.2">
      <c r="A3697" s="46"/>
      <c r="B3697" s="46"/>
      <c r="C3697" s="46"/>
      <c r="D3697" s="48"/>
      <c r="E3697" s="48"/>
      <c r="F3697" s="48"/>
      <c r="G3697" s="48"/>
      <c r="H3697" s="48"/>
      <c r="I3697" s="48"/>
    </row>
    <row r="3698" spans="1:9" hidden="1" x14ac:dyDescent="0.2">
      <c r="A3698" s="46"/>
      <c r="B3698" s="46"/>
      <c r="C3698" s="46"/>
      <c r="D3698" s="48"/>
      <c r="E3698" s="48"/>
      <c r="F3698" s="48"/>
      <c r="G3698" s="48"/>
      <c r="H3698" s="48"/>
      <c r="I3698" s="48"/>
    </row>
    <row r="3699" spans="1:9" hidden="1" x14ac:dyDescent="0.2">
      <c r="A3699" s="46"/>
      <c r="B3699" s="46"/>
      <c r="C3699" s="46"/>
      <c r="D3699" s="48"/>
      <c r="E3699" s="48"/>
      <c r="F3699" s="48"/>
      <c r="G3699" s="48"/>
      <c r="H3699" s="48"/>
      <c r="I3699" s="48"/>
    </row>
    <row r="3700" spans="1:9" hidden="1" x14ac:dyDescent="0.2">
      <c r="A3700" s="46"/>
      <c r="B3700" s="46"/>
      <c r="C3700" s="46"/>
      <c r="D3700" s="48"/>
      <c r="E3700" s="48"/>
      <c r="F3700" s="48"/>
      <c r="G3700" s="48"/>
      <c r="H3700" s="48"/>
      <c r="I3700" s="48"/>
    </row>
    <row r="3701" spans="1:9" hidden="1" x14ac:dyDescent="0.2">
      <c r="A3701" s="46"/>
      <c r="B3701" s="46"/>
      <c r="C3701" s="46"/>
      <c r="D3701" s="48"/>
      <c r="E3701" s="48"/>
      <c r="F3701" s="48"/>
      <c r="G3701" s="48"/>
      <c r="H3701" s="48"/>
      <c r="I3701" s="48"/>
    </row>
    <row r="3702" spans="1:9" hidden="1" x14ac:dyDescent="0.2">
      <c r="A3702" s="46"/>
      <c r="B3702" s="46"/>
      <c r="C3702" s="46"/>
      <c r="D3702" s="48"/>
      <c r="E3702" s="48"/>
      <c r="F3702" s="48"/>
      <c r="G3702" s="48"/>
      <c r="H3702" s="48"/>
      <c r="I3702" s="48"/>
    </row>
    <row r="3703" spans="1:9" hidden="1" x14ac:dyDescent="0.2">
      <c r="A3703" s="46"/>
      <c r="B3703" s="46"/>
      <c r="C3703" s="46"/>
      <c r="D3703" s="48"/>
      <c r="E3703" s="48"/>
      <c r="F3703" s="48"/>
      <c r="G3703" s="48"/>
      <c r="H3703" s="48"/>
      <c r="I3703" s="48"/>
    </row>
    <row r="3704" spans="1:9" hidden="1" x14ac:dyDescent="0.2">
      <c r="A3704" s="46"/>
      <c r="B3704" s="46"/>
      <c r="C3704" s="46"/>
      <c r="D3704" s="48"/>
      <c r="E3704" s="48"/>
      <c r="F3704" s="48"/>
      <c r="G3704" s="48"/>
      <c r="H3704" s="48"/>
      <c r="I3704" s="48"/>
    </row>
    <row r="3705" spans="1:9" hidden="1" x14ac:dyDescent="0.2">
      <c r="A3705" s="46"/>
      <c r="B3705" s="46"/>
      <c r="C3705" s="46"/>
      <c r="D3705" s="48"/>
      <c r="E3705" s="48"/>
      <c r="F3705" s="48"/>
      <c r="G3705" s="48"/>
      <c r="H3705" s="48"/>
      <c r="I3705" s="48"/>
    </row>
    <row r="3706" spans="1:9" hidden="1" x14ac:dyDescent="0.2">
      <c r="A3706" s="46"/>
      <c r="B3706" s="46"/>
      <c r="C3706" s="46"/>
      <c r="D3706" s="48"/>
      <c r="E3706" s="48"/>
      <c r="F3706" s="48"/>
      <c r="G3706" s="48"/>
      <c r="H3706" s="48"/>
      <c r="I3706" s="48"/>
    </row>
    <row r="3707" spans="1:9" hidden="1" x14ac:dyDescent="0.2">
      <c r="A3707" s="46"/>
      <c r="B3707" s="46"/>
      <c r="C3707" s="46"/>
      <c r="D3707" s="48"/>
      <c r="E3707" s="48"/>
      <c r="F3707" s="48"/>
      <c r="G3707" s="48"/>
      <c r="H3707" s="48"/>
      <c r="I3707" s="48"/>
    </row>
    <row r="3708" spans="1:9" hidden="1" x14ac:dyDescent="0.2">
      <c r="A3708" s="46"/>
      <c r="B3708" s="46"/>
      <c r="C3708" s="46"/>
      <c r="D3708" s="48"/>
      <c r="E3708" s="48"/>
      <c r="F3708" s="48"/>
      <c r="G3708" s="48"/>
      <c r="H3708" s="48"/>
      <c r="I3708" s="48"/>
    </row>
    <row r="3709" spans="1:9" hidden="1" x14ac:dyDescent="0.2">
      <c r="A3709" s="46"/>
      <c r="B3709" s="46"/>
      <c r="C3709" s="46"/>
      <c r="D3709" s="48"/>
      <c r="E3709" s="48"/>
      <c r="F3709" s="48"/>
      <c r="G3709" s="48"/>
      <c r="H3709" s="48"/>
      <c r="I3709" s="48"/>
    </row>
    <row r="3710" spans="1:9" hidden="1" x14ac:dyDescent="0.2">
      <c r="A3710" s="46"/>
      <c r="B3710" s="46"/>
      <c r="C3710" s="46"/>
      <c r="D3710" s="48"/>
      <c r="E3710" s="48"/>
      <c r="F3710" s="48"/>
      <c r="G3710" s="48"/>
      <c r="H3710" s="48"/>
      <c r="I3710" s="48"/>
    </row>
    <row r="3711" spans="1:9" hidden="1" x14ac:dyDescent="0.2">
      <c r="A3711" s="46"/>
      <c r="B3711" s="46"/>
      <c r="C3711" s="46"/>
      <c r="D3711" s="48"/>
      <c r="E3711" s="48"/>
      <c r="F3711" s="48"/>
      <c r="G3711" s="48"/>
      <c r="H3711" s="48"/>
      <c r="I3711" s="48"/>
    </row>
    <row r="3712" spans="1:9" hidden="1" x14ac:dyDescent="0.2">
      <c r="A3712" s="46"/>
      <c r="B3712" s="46"/>
      <c r="C3712" s="46"/>
      <c r="D3712" s="48"/>
      <c r="E3712" s="48"/>
      <c r="F3712" s="48"/>
      <c r="G3712" s="48"/>
      <c r="H3712" s="48"/>
      <c r="I3712" s="48"/>
    </row>
    <row r="3713" spans="1:9" hidden="1" x14ac:dyDescent="0.2">
      <c r="A3713" s="46"/>
      <c r="B3713" s="46"/>
      <c r="C3713" s="46"/>
      <c r="D3713" s="48"/>
      <c r="E3713" s="48"/>
      <c r="F3713" s="48"/>
      <c r="G3713" s="48"/>
      <c r="H3713" s="48"/>
      <c r="I3713" s="48"/>
    </row>
    <row r="3714" spans="1:9" hidden="1" x14ac:dyDescent="0.2">
      <c r="A3714" s="46"/>
      <c r="B3714" s="46"/>
      <c r="C3714" s="46"/>
      <c r="D3714" s="48"/>
      <c r="E3714" s="48"/>
      <c r="F3714" s="48"/>
      <c r="G3714" s="48"/>
      <c r="H3714" s="48"/>
      <c r="I3714" s="48"/>
    </row>
    <row r="3715" spans="1:9" hidden="1" x14ac:dyDescent="0.2">
      <c r="A3715" s="46"/>
      <c r="B3715" s="46"/>
      <c r="C3715" s="46"/>
      <c r="D3715" s="48"/>
      <c r="E3715" s="48"/>
      <c r="F3715" s="48"/>
      <c r="G3715" s="48"/>
      <c r="H3715" s="48"/>
      <c r="I3715" s="48"/>
    </row>
    <row r="3716" spans="1:9" hidden="1" x14ac:dyDescent="0.2">
      <c r="A3716" s="46"/>
      <c r="B3716" s="46"/>
      <c r="C3716" s="46"/>
      <c r="D3716" s="48"/>
      <c r="E3716" s="48"/>
      <c r="F3716" s="48"/>
      <c r="G3716" s="48"/>
      <c r="H3716" s="48"/>
      <c r="I3716" s="48"/>
    </row>
    <row r="3717" spans="1:9" hidden="1" x14ac:dyDescent="0.2">
      <c r="A3717" s="46"/>
      <c r="B3717" s="46"/>
      <c r="C3717" s="46"/>
      <c r="D3717" s="48"/>
      <c r="E3717" s="48"/>
      <c r="F3717" s="48"/>
      <c r="G3717" s="48"/>
      <c r="H3717" s="48"/>
      <c r="I3717" s="48"/>
    </row>
    <row r="3718" spans="1:9" hidden="1" x14ac:dyDescent="0.2">
      <c r="A3718" s="46"/>
      <c r="B3718" s="46"/>
      <c r="C3718" s="46"/>
      <c r="D3718" s="48"/>
      <c r="E3718" s="48"/>
      <c r="F3718" s="48"/>
      <c r="G3718" s="48"/>
      <c r="H3718" s="48"/>
      <c r="I3718" s="48"/>
    </row>
    <row r="3719" spans="1:9" hidden="1" x14ac:dyDescent="0.2">
      <c r="A3719" s="46"/>
      <c r="B3719" s="46"/>
      <c r="C3719" s="46"/>
      <c r="D3719" s="48"/>
      <c r="E3719" s="48"/>
      <c r="F3719" s="48"/>
      <c r="G3719" s="48"/>
      <c r="H3719" s="48"/>
      <c r="I3719" s="48"/>
    </row>
    <row r="3720" spans="1:9" hidden="1" x14ac:dyDescent="0.2">
      <c r="A3720" s="46"/>
      <c r="B3720" s="46"/>
      <c r="C3720" s="46"/>
      <c r="D3720" s="48"/>
      <c r="E3720" s="48"/>
      <c r="F3720" s="48"/>
      <c r="G3720" s="48"/>
      <c r="H3720" s="48"/>
      <c r="I3720" s="48"/>
    </row>
    <row r="3721" spans="1:9" hidden="1" x14ac:dyDescent="0.2">
      <c r="A3721" s="46"/>
      <c r="B3721" s="46"/>
      <c r="C3721" s="46"/>
      <c r="D3721" s="48"/>
      <c r="E3721" s="48"/>
      <c r="F3721" s="48"/>
      <c r="G3721" s="48"/>
      <c r="H3721" s="48"/>
      <c r="I3721" s="48"/>
    </row>
    <row r="3722" spans="1:9" hidden="1" x14ac:dyDescent="0.2">
      <c r="A3722" s="46"/>
      <c r="B3722" s="46"/>
      <c r="C3722" s="46"/>
      <c r="D3722" s="48"/>
      <c r="E3722" s="48"/>
      <c r="F3722" s="48"/>
      <c r="G3722" s="48"/>
      <c r="H3722" s="48"/>
      <c r="I3722" s="48"/>
    </row>
    <row r="3723" spans="1:9" hidden="1" x14ac:dyDescent="0.2">
      <c r="A3723" s="46"/>
      <c r="B3723" s="46"/>
      <c r="C3723" s="46"/>
      <c r="D3723" s="48"/>
      <c r="E3723" s="48"/>
      <c r="F3723" s="48"/>
      <c r="G3723" s="48"/>
      <c r="H3723" s="48"/>
      <c r="I3723" s="48"/>
    </row>
    <row r="3724" spans="1:9" hidden="1" x14ac:dyDescent="0.2">
      <c r="A3724" s="46"/>
      <c r="B3724" s="46"/>
      <c r="C3724" s="46"/>
      <c r="D3724" s="48"/>
      <c r="E3724" s="48"/>
      <c r="F3724" s="48"/>
      <c r="G3724" s="48"/>
      <c r="H3724" s="48"/>
      <c r="I3724" s="48"/>
    </row>
    <row r="3725" spans="1:9" hidden="1" x14ac:dyDescent="0.2">
      <c r="A3725" s="46"/>
      <c r="B3725" s="46"/>
      <c r="C3725" s="46"/>
      <c r="D3725" s="48"/>
      <c r="E3725" s="48"/>
      <c r="F3725" s="48"/>
      <c r="G3725" s="48"/>
      <c r="H3725" s="48"/>
      <c r="I3725" s="48"/>
    </row>
    <row r="3726" spans="1:9" hidden="1" x14ac:dyDescent="0.2">
      <c r="A3726" s="46"/>
      <c r="B3726" s="46"/>
      <c r="C3726" s="46"/>
      <c r="D3726" s="48"/>
      <c r="E3726" s="48"/>
      <c r="F3726" s="48"/>
      <c r="G3726" s="48"/>
      <c r="H3726" s="48"/>
      <c r="I3726" s="48"/>
    </row>
    <row r="3727" spans="1:9" hidden="1" x14ac:dyDescent="0.2">
      <c r="A3727" s="46"/>
      <c r="B3727" s="46"/>
      <c r="C3727" s="46"/>
      <c r="D3727" s="48"/>
      <c r="E3727" s="48"/>
      <c r="F3727" s="48"/>
      <c r="G3727" s="48"/>
      <c r="H3727" s="48"/>
      <c r="I3727" s="48"/>
    </row>
    <row r="3728" spans="1:9" hidden="1" x14ac:dyDescent="0.2">
      <c r="A3728" s="46"/>
      <c r="B3728" s="46"/>
      <c r="C3728" s="46"/>
      <c r="D3728" s="48"/>
      <c r="E3728" s="48"/>
      <c r="F3728" s="48"/>
      <c r="G3728" s="48"/>
      <c r="H3728" s="48"/>
      <c r="I3728" s="48"/>
    </row>
    <row r="3729" spans="1:9" hidden="1" x14ac:dyDescent="0.2">
      <c r="A3729" s="46"/>
      <c r="B3729" s="46"/>
      <c r="C3729" s="46"/>
      <c r="D3729" s="48"/>
      <c r="E3729" s="48"/>
      <c r="F3729" s="48"/>
      <c r="G3729" s="48"/>
      <c r="H3729" s="48"/>
      <c r="I3729" s="48"/>
    </row>
    <row r="3730" spans="1:9" hidden="1" x14ac:dyDescent="0.2">
      <c r="A3730" s="46"/>
      <c r="B3730" s="46"/>
      <c r="C3730" s="46"/>
      <c r="D3730" s="48"/>
      <c r="E3730" s="48"/>
      <c r="F3730" s="48"/>
      <c r="G3730" s="48"/>
      <c r="H3730" s="48"/>
      <c r="I3730" s="48"/>
    </row>
    <row r="3731" spans="1:9" hidden="1" x14ac:dyDescent="0.2">
      <c r="A3731" s="46"/>
      <c r="B3731" s="46"/>
      <c r="C3731" s="46"/>
      <c r="D3731" s="48"/>
      <c r="E3731" s="48"/>
      <c r="F3731" s="48"/>
      <c r="G3731" s="48"/>
      <c r="H3731" s="48"/>
      <c r="I3731" s="48"/>
    </row>
    <row r="3732" spans="1:9" hidden="1" x14ac:dyDescent="0.2">
      <c r="A3732" s="46"/>
      <c r="B3732" s="46"/>
      <c r="C3732" s="46"/>
      <c r="D3732" s="48"/>
      <c r="E3732" s="48"/>
      <c r="F3732" s="48"/>
      <c r="G3732" s="48"/>
      <c r="H3732" s="48"/>
      <c r="I3732" s="48"/>
    </row>
    <row r="3733" spans="1:9" hidden="1" x14ac:dyDescent="0.2">
      <c r="A3733" s="46"/>
      <c r="B3733" s="46"/>
      <c r="C3733" s="46"/>
      <c r="D3733" s="48"/>
      <c r="E3733" s="48"/>
      <c r="F3733" s="48"/>
      <c r="G3733" s="48"/>
      <c r="H3733" s="48"/>
      <c r="I3733" s="48"/>
    </row>
    <row r="3734" spans="1:9" hidden="1" x14ac:dyDescent="0.2">
      <c r="A3734" s="46"/>
      <c r="B3734" s="46"/>
      <c r="C3734" s="46"/>
      <c r="D3734" s="48"/>
      <c r="E3734" s="48"/>
      <c r="F3734" s="48"/>
      <c r="G3734" s="48"/>
      <c r="H3734" s="48"/>
      <c r="I3734" s="48"/>
    </row>
    <row r="3735" spans="1:9" hidden="1" x14ac:dyDescent="0.2">
      <c r="A3735" s="46"/>
      <c r="B3735" s="46"/>
      <c r="C3735" s="46"/>
      <c r="D3735" s="48"/>
      <c r="E3735" s="48"/>
      <c r="F3735" s="48"/>
      <c r="G3735" s="48"/>
      <c r="H3735" s="48"/>
      <c r="I3735" s="48"/>
    </row>
    <row r="3736" spans="1:9" hidden="1" x14ac:dyDescent="0.2">
      <c r="A3736" s="46"/>
      <c r="B3736" s="46"/>
      <c r="C3736" s="46"/>
      <c r="D3736" s="48"/>
      <c r="E3736" s="48"/>
      <c r="F3736" s="48"/>
      <c r="G3736" s="48"/>
      <c r="H3736" s="48"/>
      <c r="I3736" s="48"/>
    </row>
    <row r="3737" spans="1:9" hidden="1" x14ac:dyDescent="0.2">
      <c r="A3737" s="46"/>
      <c r="B3737" s="46"/>
      <c r="C3737" s="46"/>
      <c r="D3737" s="48"/>
      <c r="E3737" s="48"/>
      <c r="F3737" s="48"/>
      <c r="G3737" s="48"/>
      <c r="H3737" s="48"/>
      <c r="I3737" s="48"/>
    </row>
    <row r="3738" spans="1:9" hidden="1" x14ac:dyDescent="0.2">
      <c r="A3738" s="46"/>
      <c r="B3738" s="46"/>
      <c r="C3738" s="46"/>
      <c r="D3738" s="48"/>
      <c r="E3738" s="48"/>
      <c r="F3738" s="48"/>
      <c r="G3738" s="48"/>
      <c r="H3738" s="48"/>
      <c r="I3738" s="48"/>
    </row>
    <row r="3739" spans="1:9" hidden="1" x14ac:dyDescent="0.2">
      <c r="A3739" s="46"/>
      <c r="B3739" s="46"/>
      <c r="C3739" s="46"/>
      <c r="D3739" s="48"/>
      <c r="E3739" s="48"/>
      <c r="F3739" s="48"/>
      <c r="G3739" s="48"/>
      <c r="H3739" s="48"/>
      <c r="I3739" s="48"/>
    </row>
    <row r="3740" spans="1:9" hidden="1" x14ac:dyDescent="0.2">
      <c r="A3740" s="46"/>
      <c r="B3740" s="46"/>
      <c r="C3740" s="46"/>
      <c r="D3740" s="48"/>
      <c r="E3740" s="48"/>
      <c r="F3740" s="48"/>
      <c r="G3740" s="48"/>
      <c r="H3740" s="48"/>
      <c r="I3740" s="48"/>
    </row>
    <row r="3741" spans="1:9" hidden="1" x14ac:dyDescent="0.2">
      <c r="A3741" s="46"/>
      <c r="B3741" s="46"/>
      <c r="C3741" s="46"/>
      <c r="D3741" s="48"/>
      <c r="E3741" s="48"/>
      <c r="F3741" s="48"/>
      <c r="G3741" s="48"/>
      <c r="H3741" s="48"/>
      <c r="I3741" s="48"/>
    </row>
    <row r="3742" spans="1:9" hidden="1" x14ac:dyDescent="0.2">
      <c r="A3742" s="46"/>
      <c r="B3742" s="46"/>
      <c r="C3742" s="46"/>
      <c r="D3742" s="48"/>
      <c r="E3742" s="48"/>
      <c r="F3742" s="48"/>
      <c r="G3742" s="48"/>
      <c r="H3742" s="48"/>
      <c r="I3742" s="48"/>
    </row>
    <row r="3743" spans="1:9" hidden="1" x14ac:dyDescent="0.2">
      <c r="A3743" s="46"/>
      <c r="B3743" s="46"/>
      <c r="C3743" s="46"/>
      <c r="D3743" s="48"/>
      <c r="E3743" s="48"/>
      <c r="F3743" s="48"/>
      <c r="G3743" s="48"/>
      <c r="H3743" s="48"/>
      <c r="I3743" s="48"/>
    </row>
    <row r="3744" spans="1:9" hidden="1" x14ac:dyDescent="0.2">
      <c r="A3744" s="46"/>
      <c r="B3744" s="46"/>
      <c r="C3744" s="46"/>
      <c r="D3744" s="48"/>
      <c r="E3744" s="48"/>
      <c r="F3744" s="48"/>
      <c r="G3744" s="48"/>
      <c r="H3744" s="48"/>
      <c r="I3744" s="48"/>
    </row>
    <row r="3745" spans="1:9" hidden="1" x14ac:dyDescent="0.2">
      <c r="A3745" s="46"/>
      <c r="B3745" s="46"/>
      <c r="C3745" s="46"/>
      <c r="D3745" s="48"/>
      <c r="E3745" s="48"/>
      <c r="F3745" s="48"/>
      <c r="G3745" s="48"/>
      <c r="H3745" s="48"/>
      <c r="I3745" s="48"/>
    </row>
    <row r="3746" spans="1:9" hidden="1" x14ac:dyDescent="0.2">
      <c r="A3746" s="46"/>
      <c r="B3746" s="46"/>
      <c r="C3746" s="46"/>
      <c r="D3746" s="48"/>
      <c r="E3746" s="48"/>
      <c r="F3746" s="48"/>
      <c r="G3746" s="48"/>
      <c r="H3746" s="48"/>
      <c r="I3746" s="48"/>
    </row>
    <row r="3747" spans="1:9" hidden="1" x14ac:dyDescent="0.2">
      <c r="A3747" s="46"/>
      <c r="B3747" s="46"/>
      <c r="C3747" s="46"/>
      <c r="D3747" s="48"/>
      <c r="E3747" s="48"/>
      <c r="F3747" s="48"/>
      <c r="G3747" s="48"/>
      <c r="H3747" s="48"/>
      <c r="I3747" s="48"/>
    </row>
    <row r="3748" spans="1:9" hidden="1" x14ac:dyDescent="0.2">
      <c r="A3748" s="46"/>
      <c r="B3748" s="46"/>
      <c r="C3748" s="46"/>
      <c r="D3748" s="48"/>
      <c r="E3748" s="48"/>
      <c r="F3748" s="48"/>
      <c r="G3748" s="48"/>
      <c r="H3748" s="48"/>
      <c r="I3748" s="48"/>
    </row>
    <row r="3749" spans="1:9" hidden="1" x14ac:dyDescent="0.2">
      <c r="A3749" s="46"/>
      <c r="B3749" s="46"/>
      <c r="C3749" s="46"/>
      <c r="D3749" s="48"/>
      <c r="E3749" s="48"/>
      <c r="F3749" s="48"/>
      <c r="G3749" s="48"/>
      <c r="H3749" s="48"/>
      <c r="I3749" s="48"/>
    </row>
    <row r="3750" spans="1:9" hidden="1" x14ac:dyDescent="0.2">
      <c r="A3750" s="46"/>
      <c r="B3750" s="46"/>
      <c r="C3750" s="46"/>
      <c r="D3750" s="48"/>
      <c r="E3750" s="48"/>
      <c r="F3750" s="48"/>
      <c r="G3750" s="48"/>
      <c r="H3750" s="48"/>
      <c r="I3750" s="48"/>
    </row>
    <row r="3751" spans="1:9" hidden="1" x14ac:dyDescent="0.2">
      <c r="A3751" s="46"/>
      <c r="B3751" s="46"/>
      <c r="C3751" s="46"/>
      <c r="D3751" s="48"/>
      <c r="E3751" s="48"/>
      <c r="F3751" s="48"/>
      <c r="G3751" s="48"/>
      <c r="H3751" s="48"/>
      <c r="I3751" s="48"/>
    </row>
    <row r="3752" spans="1:9" hidden="1" x14ac:dyDescent="0.2">
      <c r="A3752" s="46"/>
      <c r="B3752" s="46"/>
      <c r="C3752" s="46"/>
      <c r="D3752" s="48"/>
      <c r="E3752" s="48"/>
      <c r="F3752" s="48"/>
      <c r="G3752" s="48"/>
      <c r="H3752" s="48"/>
      <c r="I3752" s="48"/>
    </row>
    <row r="3753" spans="1:9" hidden="1" x14ac:dyDescent="0.2">
      <c r="A3753" s="46"/>
      <c r="B3753" s="46"/>
      <c r="C3753" s="46"/>
      <c r="D3753" s="48"/>
      <c r="E3753" s="48"/>
      <c r="F3753" s="48"/>
      <c r="G3753" s="48"/>
      <c r="H3753" s="48"/>
      <c r="I3753" s="48"/>
    </row>
    <row r="3754" spans="1:9" hidden="1" x14ac:dyDescent="0.2">
      <c r="A3754" s="46"/>
      <c r="B3754" s="46"/>
      <c r="C3754" s="46"/>
      <c r="D3754" s="48"/>
      <c r="E3754" s="48"/>
      <c r="F3754" s="48"/>
      <c r="G3754" s="48"/>
      <c r="H3754" s="48"/>
      <c r="I3754" s="48"/>
    </row>
    <row r="3755" spans="1:9" hidden="1" x14ac:dyDescent="0.2">
      <c r="A3755" s="46"/>
      <c r="B3755" s="46"/>
      <c r="C3755" s="46"/>
      <c r="D3755" s="48"/>
      <c r="E3755" s="48"/>
      <c r="F3755" s="48"/>
      <c r="G3755" s="48"/>
      <c r="H3755" s="48"/>
      <c r="I3755" s="48"/>
    </row>
    <row r="3756" spans="1:9" hidden="1" x14ac:dyDescent="0.2">
      <c r="A3756" s="46"/>
      <c r="B3756" s="46"/>
      <c r="C3756" s="46"/>
      <c r="D3756" s="48"/>
      <c r="E3756" s="48"/>
      <c r="F3756" s="48"/>
      <c r="G3756" s="48"/>
      <c r="H3756" s="48"/>
      <c r="I3756" s="48"/>
    </row>
    <row r="3757" spans="1:9" hidden="1" x14ac:dyDescent="0.2">
      <c r="A3757" s="46"/>
      <c r="B3757" s="46"/>
      <c r="C3757" s="46"/>
      <c r="D3757" s="48"/>
      <c r="E3757" s="48"/>
      <c r="F3757" s="48"/>
      <c r="G3757" s="48"/>
      <c r="H3757" s="48"/>
      <c r="I3757" s="48"/>
    </row>
    <row r="3758" spans="1:9" hidden="1" x14ac:dyDescent="0.2">
      <c r="A3758" s="46"/>
      <c r="B3758" s="46"/>
      <c r="C3758" s="46"/>
      <c r="D3758" s="48"/>
      <c r="E3758" s="48"/>
      <c r="F3758" s="48"/>
      <c r="G3758" s="48"/>
      <c r="H3758" s="48"/>
      <c r="I3758" s="48"/>
    </row>
    <row r="3759" spans="1:9" hidden="1" x14ac:dyDescent="0.2">
      <c r="A3759" s="46"/>
      <c r="B3759" s="46"/>
      <c r="C3759" s="46"/>
      <c r="D3759" s="48"/>
      <c r="E3759" s="48"/>
      <c r="F3759" s="48"/>
      <c r="G3759" s="48"/>
      <c r="H3759" s="48"/>
      <c r="I3759" s="48"/>
    </row>
    <row r="3760" spans="1:9" hidden="1" x14ac:dyDescent="0.2">
      <c r="A3760" s="46"/>
      <c r="B3760" s="46"/>
      <c r="C3760" s="46"/>
      <c r="D3760" s="48"/>
      <c r="E3760" s="48"/>
      <c r="F3760" s="48"/>
      <c r="G3760" s="48"/>
      <c r="H3760" s="48"/>
      <c r="I3760" s="48"/>
    </row>
    <row r="3761" spans="1:9" hidden="1" x14ac:dyDescent="0.2">
      <c r="A3761" s="46"/>
      <c r="B3761" s="46"/>
      <c r="C3761" s="46"/>
      <c r="D3761" s="48"/>
      <c r="E3761" s="48"/>
      <c r="F3761" s="48"/>
      <c r="G3761" s="48"/>
      <c r="H3761" s="48"/>
      <c r="I3761" s="48"/>
    </row>
    <row r="3762" spans="1:9" hidden="1" x14ac:dyDescent="0.2">
      <c r="A3762" s="46"/>
      <c r="B3762" s="46"/>
      <c r="C3762" s="46"/>
      <c r="D3762" s="48"/>
      <c r="E3762" s="48"/>
      <c r="F3762" s="48"/>
      <c r="G3762" s="48"/>
      <c r="H3762" s="48"/>
      <c r="I3762" s="48"/>
    </row>
    <row r="3763" spans="1:9" hidden="1" x14ac:dyDescent="0.2">
      <c r="A3763" s="46"/>
      <c r="B3763" s="46"/>
      <c r="C3763" s="46"/>
      <c r="D3763" s="48"/>
      <c r="E3763" s="48"/>
      <c r="F3763" s="48"/>
      <c r="G3763" s="48"/>
      <c r="H3763" s="48"/>
      <c r="I3763" s="48"/>
    </row>
    <row r="3764" spans="1:9" hidden="1" x14ac:dyDescent="0.2">
      <c r="A3764" s="46"/>
      <c r="B3764" s="46"/>
      <c r="C3764" s="46"/>
      <c r="D3764" s="48"/>
      <c r="E3764" s="48"/>
      <c r="F3764" s="48"/>
      <c r="G3764" s="48"/>
      <c r="H3764" s="48"/>
      <c r="I3764" s="48"/>
    </row>
    <row r="3765" spans="1:9" hidden="1" x14ac:dyDescent="0.2">
      <c r="A3765" s="46"/>
      <c r="B3765" s="46"/>
      <c r="C3765" s="46"/>
      <c r="D3765" s="48"/>
      <c r="E3765" s="48"/>
      <c r="F3765" s="48"/>
      <c r="G3765" s="48"/>
      <c r="H3765" s="48"/>
      <c r="I3765" s="48"/>
    </row>
    <row r="3766" spans="1:9" hidden="1" x14ac:dyDescent="0.2">
      <c r="A3766" s="46"/>
      <c r="B3766" s="46"/>
      <c r="C3766" s="46"/>
      <c r="D3766" s="48"/>
      <c r="E3766" s="48"/>
      <c r="F3766" s="48"/>
      <c r="G3766" s="48"/>
      <c r="H3766" s="48"/>
      <c r="I3766" s="48"/>
    </row>
    <row r="3767" spans="1:9" hidden="1" x14ac:dyDescent="0.2">
      <c r="A3767" s="46"/>
      <c r="B3767" s="46"/>
      <c r="C3767" s="46"/>
      <c r="D3767" s="48"/>
      <c r="E3767" s="48"/>
      <c r="F3767" s="48"/>
      <c r="G3767" s="48"/>
      <c r="H3767" s="48"/>
      <c r="I3767" s="48"/>
    </row>
    <row r="3768" spans="1:9" hidden="1" x14ac:dyDescent="0.2">
      <c r="A3768" s="46"/>
      <c r="B3768" s="46"/>
      <c r="C3768" s="46"/>
      <c r="D3768" s="48"/>
      <c r="E3768" s="48"/>
      <c r="F3768" s="48"/>
      <c r="G3768" s="48"/>
      <c r="H3768" s="48"/>
      <c r="I3768" s="48"/>
    </row>
    <row r="3769" spans="1:9" hidden="1" x14ac:dyDescent="0.2">
      <c r="A3769" s="46"/>
      <c r="B3769" s="46"/>
      <c r="C3769" s="46"/>
      <c r="D3769" s="48"/>
      <c r="E3769" s="48"/>
      <c r="F3769" s="48"/>
      <c r="G3769" s="48"/>
      <c r="H3769" s="48"/>
      <c r="I3769" s="48"/>
    </row>
    <row r="3770" spans="1:9" hidden="1" x14ac:dyDescent="0.2">
      <c r="A3770" s="46"/>
      <c r="B3770" s="46"/>
      <c r="C3770" s="46"/>
      <c r="D3770" s="48"/>
      <c r="E3770" s="48"/>
      <c r="F3770" s="48"/>
      <c r="G3770" s="48"/>
      <c r="H3770" s="48"/>
      <c r="I3770" s="48"/>
    </row>
    <row r="3771" spans="1:9" hidden="1" x14ac:dyDescent="0.2">
      <c r="A3771" s="46"/>
      <c r="B3771" s="46"/>
      <c r="C3771" s="46"/>
      <c r="D3771" s="48"/>
      <c r="E3771" s="48"/>
      <c r="F3771" s="48"/>
      <c r="G3771" s="48"/>
      <c r="H3771" s="48"/>
      <c r="I3771" s="48"/>
    </row>
    <row r="3772" spans="1:9" hidden="1" x14ac:dyDescent="0.2">
      <c r="A3772" s="46"/>
      <c r="B3772" s="46"/>
      <c r="C3772" s="46"/>
      <c r="D3772" s="48"/>
      <c r="E3772" s="48"/>
      <c r="F3772" s="48"/>
      <c r="G3772" s="48"/>
      <c r="H3772" s="48"/>
      <c r="I3772" s="48"/>
    </row>
    <row r="3773" spans="1:9" hidden="1" x14ac:dyDescent="0.2">
      <c r="A3773" s="46"/>
      <c r="B3773" s="46"/>
      <c r="C3773" s="46"/>
      <c r="D3773" s="48"/>
      <c r="E3773" s="48"/>
      <c r="F3773" s="48"/>
      <c r="G3773" s="48"/>
      <c r="H3773" s="48"/>
      <c r="I3773" s="48"/>
    </row>
    <row r="3774" spans="1:9" hidden="1" x14ac:dyDescent="0.2">
      <c r="A3774" s="46"/>
      <c r="B3774" s="46"/>
      <c r="C3774" s="46"/>
      <c r="D3774" s="48"/>
      <c r="E3774" s="48"/>
      <c r="F3774" s="48"/>
      <c r="G3774" s="48"/>
      <c r="H3774" s="48"/>
      <c r="I3774" s="48"/>
    </row>
    <row r="3775" spans="1:9" hidden="1" x14ac:dyDescent="0.2">
      <c r="A3775" s="46"/>
      <c r="B3775" s="46"/>
      <c r="C3775" s="46"/>
      <c r="D3775" s="48"/>
      <c r="E3775" s="48"/>
      <c r="F3775" s="48"/>
      <c r="G3775" s="48"/>
      <c r="H3775" s="48"/>
      <c r="I3775" s="48"/>
    </row>
    <row r="3776" spans="1:9" hidden="1" x14ac:dyDescent="0.2">
      <c r="A3776" s="46"/>
      <c r="B3776" s="46"/>
      <c r="C3776" s="46"/>
      <c r="D3776" s="48"/>
      <c r="E3776" s="48"/>
      <c r="F3776" s="48"/>
      <c r="G3776" s="48"/>
      <c r="H3776" s="48"/>
      <c r="I3776" s="48"/>
    </row>
    <row r="3777" spans="1:9" hidden="1" x14ac:dyDescent="0.2">
      <c r="A3777" s="46"/>
      <c r="B3777" s="46"/>
      <c r="C3777" s="46"/>
      <c r="D3777" s="48"/>
      <c r="E3777" s="48"/>
      <c r="F3777" s="48"/>
      <c r="G3777" s="48"/>
      <c r="H3777" s="48"/>
      <c r="I3777" s="48"/>
    </row>
    <row r="3778" spans="1:9" hidden="1" x14ac:dyDescent="0.2">
      <c r="A3778" s="46"/>
      <c r="B3778" s="46"/>
      <c r="C3778" s="46"/>
      <c r="D3778" s="48"/>
      <c r="E3778" s="48"/>
      <c r="F3778" s="48"/>
      <c r="G3778" s="48"/>
      <c r="H3778" s="48"/>
      <c r="I3778" s="48"/>
    </row>
    <row r="3779" spans="1:9" hidden="1" x14ac:dyDescent="0.2">
      <c r="A3779" s="46"/>
      <c r="B3779" s="46"/>
      <c r="C3779" s="46"/>
      <c r="D3779" s="48"/>
      <c r="E3779" s="48"/>
      <c r="F3779" s="48"/>
      <c r="G3779" s="48"/>
      <c r="H3779" s="48"/>
      <c r="I3779" s="48"/>
    </row>
    <row r="3780" spans="1:9" hidden="1" x14ac:dyDescent="0.2">
      <c r="A3780" s="46"/>
      <c r="B3780" s="46"/>
      <c r="C3780" s="46"/>
      <c r="D3780" s="48"/>
      <c r="E3780" s="48"/>
      <c r="F3780" s="48"/>
      <c r="G3780" s="48"/>
      <c r="H3780" s="48"/>
      <c r="I3780" s="48"/>
    </row>
    <row r="3781" spans="1:9" hidden="1" x14ac:dyDescent="0.2">
      <c r="A3781" s="46"/>
      <c r="B3781" s="46"/>
      <c r="C3781" s="46"/>
      <c r="D3781" s="48"/>
      <c r="E3781" s="48"/>
      <c r="F3781" s="48"/>
      <c r="G3781" s="48"/>
      <c r="H3781" s="48"/>
      <c r="I3781" s="48"/>
    </row>
    <row r="3782" spans="1:9" hidden="1" x14ac:dyDescent="0.2">
      <c r="A3782" s="46"/>
      <c r="B3782" s="46"/>
      <c r="C3782" s="46"/>
      <c r="D3782" s="48"/>
      <c r="E3782" s="48"/>
      <c r="F3782" s="48"/>
      <c r="G3782" s="48"/>
      <c r="H3782" s="48"/>
      <c r="I3782" s="48"/>
    </row>
    <row r="3783" spans="1:9" hidden="1" x14ac:dyDescent="0.2">
      <c r="A3783" s="46"/>
      <c r="B3783" s="46"/>
      <c r="C3783" s="46"/>
      <c r="D3783" s="48"/>
      <c r="E3783" s="48"/>
      <c r="F3783" s="48"/>
      <c r="G3783" s="48"/>
      <c r="H3783" s="48"/>
      <c r="I3783" s="48"/>
    </row>
    <row r="3784" spans="1:9" hidden="1" x14ac:dyDescent="0.2">
      <c r="A3784" s="46"/>
      <c r="B3784" s="46"/>
      <c r="C3784" s="46"/>
      <c r="D3784" s="48"/>
      <c r="E3784" s="48"/>
      <c r="F3784" s="48"/>
      <c r="G3784" s="48"/>
      <c r="H3784" s="48"/>
      <c r="I3784" s="48"/>
    </row>
    <row r="3785" spans="1:9" hidden="1" x14ac:dyDescent="0.2">
      <c r="A3785" s="46"/>
      <c r="B3785" s="46"/>
      <c r="C3785" s="46"/>
      <c r="D3785" s="48"/>
      <c r="E3785" s="48"/>
      <c r="F3785" s="48"/>
      <c r="G3785" s="48"/>
      <c r="H3785" s="48"/>
      <c r="I3785" s="48"/>
    </row>
    <row r="3786" spans="1:9" hidden="1" x14ac:dyDescent="0.2">
      <c r="A3786" s="46"/>
      <c r="B3786" s="46"/>
      <c r="C3786" s="46"/>
      <c r="D3786" s="48"/>
      <c r="E3786" s="48"/>
      <c r="F3786" s="48"/>
      <c r="G3786" s="48"/>
      <c r="H3786" s="48"/>
      <c r="I3786" s="48"/>
    </row>
    <row r="3787" spans="1:9" hidden="1" x14ac:dyDescent="0.2">
      <c r="A3787" s="46"/>
      <c r="B3787" s="46"/>
      <c r="C3787" s="46"/>
      <c r="D3787" s="48"/>
      <c r="E3787" s="48"/>
      <c r="F3787" s="48"/>
      <c r="G3787" s="48"/>
      <c r="H3787" s="48"/>
      <c r="I3787" s="48"/>
    </row>
    <row r="3788" spans="1:9" hidden="1" x14ac:dyDescent="0.2">
      <c r="A3788" s="46"/>
      <c r="B3788" s="46"/>
      <c r="C3788" s="46"/>
      <c r="D3788" s="48"/>
      <c r="E3788" s="48"/>
      <c r="F3788" s="48"/>
      <c r="G3788" s="48"/>
      <c r="H3788" s="48"/>
      <c r="I3788" s="48"/>
    </row>
    <row r="3789" spans="1:9" hidden="1" x14ac:dyDescent="0.2">
      <c r="A3789" s="46"/>
      <c r="B3789" s="46"/>
      <c r="C3789" s="46"/>
      <c r="D3789" s="48"/>
      <c r="E3789" s="48"/>
      <c r="F3789" s="48"/>
      <c r="G3789" s="48"/>
      <c r="H3789" s="48"/>
      <c r="I3789" s="48"/>
    </row>
    <row r="3790" spans="1:9" hidden="1" x14ac:dyDescent="0.2">
      <c r="A3790" s="46"/>
      <c r="B3790" s="46"/>
      <c r="C3790" s="46"/>
      <c r="D3790" s="48"/>
      <c r="E3790" s="48"/>
      <c r="F3790" s="48"/>
      <c r="G3790" s="48"/>
      <c r="H3790" s="48"/>
      <c r="I3790" s="48"/>
    </row>
    <row r="3791" spans="1:9" hidden="1" x14ac:dyDescent="0.2">
      <c r="A3791" s="46"/>
      <c r="B3791" s="46"/>
      <c r="C3791" s="46"/>
      <c r="D3791" s="48"/>
      <c r="E3791" s="48"/>
      <c r="F3791" s="48"/>
      <c r="G3791" s="48"/>
      <c r="H3791" s="48"/>
      <c r="I3791" s="48"/>
    </row>
    <row r="3792" spans="1:9" hidden="1" x14ac:dyDescent="0.2">
      <c r="A3792" s="46"/>
      <c r="B3792" s="46"/>
      <c r="C3792" s="46"/>
      <c r="D3792" s="48"/>
      <c r="E3792" s="48"/>
      <c r="F3792" s="48"/>
      <c r="G3792" s="48"/>
      <c r="H3792" s="48"/>
      <c r="I3792" s="48"/>
    </row>
    <row r="3793" spans="1:9" hidden="1" x14ac:dyDescent="0.2">
      <c r="A3793" s="46"/>
      <c r="B3793" s="46"/>
      <c r="C3793" s="46"/>
      <c r="D3793" s="48"/>
      <c r="E3793" s="48"/>
      <c r="F3793" s="48"/>
      <c r="G3793" s="48"/>
      <c r="H3793" s="48"/>
      <c r="I3793" s="48"/>
    </row>
    <row r="3794" spans="1:9" hidden="1" x14ac:dyDescent="0.2">
      <c r="A3794" s="46"/>
      <c r="B3794" s="46"/>
      <c r="C3794" s="46"/>
      <c r="D3794" s="48"/>
      <c r="E3794" s="48"/>
      <c r="F3794" s="48"/>
      <c r="G3794" s="48"/>
      <c r="H3794" s="48"/>
      <c r="I3794" s="48"/>
    </row>
    <row r="3795" spans="1:9" hidden="1" x14ac:dyDescent="0.2">
      <c r="A3795" s="46"/>
      <c r="B3795" s="46"/>
      <c r="C3795" s="46"/>
      <c r="D3795" s="48"/>
      <c r="E3795" s="48"/>
      <c r="F3795" s="48"/>
      <c r="G3795" s="48"/>
      <c r="H3795" s="48"/>
      <c r="I3795" s="48"/>
    </row>
    <row r="3796" spans="1:9" hidden="1" x14ac:dyDescent="0.2">
      <c r="A3796" s="46"/>
      <c r="B3796" s="46"/>
      <c r="C3796" s="46"/>
      <c r="D3796" s="48"/>
      <c r="E3796" s="48"/>
      <c r="F3796" s="48"/>
      <c r="G3796" s="48"/>
      <c r="H3796" s="48"/>
      <c r="I3796" s="48"/>
    </row>
    <row r="3797" spans="1:9" hidden="1" x14ac:dyDescent="0.2">
      <c r="A3797" s="46"/>
      <c r="B3797" s="46"/>
      <c r="C3797" s="46"/>
      <c r="D3797" s="48"/>
      <c r="E3797" s="48"/>
      <c r="F3797" s="48"/>
      <c r="G3797" s="48"/>
      <c r="H3797" s="48"/>
      <c r="I3797" s="48"/>
    </row>
    <row r="3798" spans="1:9" hidden="1" x14ac:dyDescent="0.2">
      <c r="A3798" s="46"/>
      <c r="B3798" s="46"/>
      <c r="C3798" s="46"/>
      <c r="D3798" s="48"/>
      <c r="E3798" s="48"/>
      <c r="F3798" s="48"/>
      <c r="G3798" s="48"/>
      <c r="H3798" s="48"/>
      <c r="I3798" s="48"/>
    </row>
    <row r="3799" spans="1:9" hidden="1" x14ac:dyDescent="0.2">
      <c r="A3799" s="46"/>
      <c r="B3799" s="46"/>
      <c r="C3799" s="46"/>
      <c r="D3799" s="48"/>
      <c r="E3799" s="48"/>
      <c r="F3799" s="48"/>
      <c r="G3799" s="48"/>
      <c r="H3799" s="48"/>
      <c r="I3799" s="48"/>
    </row>
    <row r="3800" spans="1:9" hidden="1" x14ac:dyDescent="0.2">
      <c r="A3800" s="46"/>
      <c r="B3800" s="46"/>
      <c r="C3800" s="46"/>
      <c r="D3800" s="48"/>
      <c r="E3800" s="48"/>
      <c r="F3800" s="48"/>
      <c r="G3800" s="48"/>
      <c r="H3800" s="48"/>
      <c r="I3800" s="48"/>
    </row>
    <row r="3801" spans="1:9" hidden="1" x14ac:dyDescent="0.2">
      <c r="A3801" s="46"/>
      <c r="B3801" s="46"/>
      <c r="C3801" s="46"/>
      <c r="D3801" s="48"/>
      <c r="E3801" s="48"/>
      <c r="F3801" s="48"/>
      <c r="G3801" s="48"/>
      <c r="H3801" s="48"/>
      <c r="I3801" s="48"/>
    </row>
    <row r="3802" spans="1:9" hidden="1" x14ac:dyDescent="0.2">
      <c r="A3802" s="46"/>
      <c r="B3802" s="46"/>
      <c r="C3802" s="46"/>
      <c r="D3802" s="48"/>
      <c r="E3802" s="48"/>
      <c r="F3802" s="48"/>
      <c r="G3802" s="48"/>
      <c r="H3802" s="48"/>
      <c r="I3802" s="48"/>
    </row>
    <row r="3803" spans="1:9" hidden="1" x14ac:dyDescent="0.2">
      <c r="A3803" s="46"/>
      <c r="B3803" s="46"/>
      <c r="C3803" s="46"/>
      <c r="D3803" s="48"/>
      <c r="E3803" s="48"/>
      <c r="F3803" s="48"/>
      <c r="G3803" s="48"/>
      <c r="H3803" s="48"/>
      <c r="I3803" s="48"/>
    </row>
    <row r="3804" spans="1:9" hidden="1" x14ac:dyDescent="0.2">
      <c r="A3804" s="46"/>
      <c r="B3804" s="46"/>
      <c r="C3804" s="46"/>
      <c r="D3804" s="48"/>
      <c r="E3804" s="48"/>
      <c r="F3804" s="48"/>
      <c r="G3804" s="48"/>
      <c r="H3804" s="48"/>
      <c r="I3804" s="48"/>
    </row>
    <row r="3805" spans="1:9" hidden="1" x14ac:dyDescent="0.2">
      <c r="A3805" s="46"/>
      <c r="B3805" s="46"/>
      <c r="C3805" s="46"/>
      <c r="D3805" s="48"/>
      <c r="E3805" s="48"/>
      <c r="F3805" s="48"/>
      <c r="G3805" s="48"/>
      <c r="H3805" s="48"/>
      <c r="I3805" s="48"/>
    </row>
    <row r="3806" spans="1:9" hidden="1" x14ac:dyDescent="0.2">
      <c r="A3806" s="46"/>
      <c r="B3806" s="46"/>
      <c r="C3806" s="46"/>
      <c r="D3806" s="48"/>
      <c r="E3806" s="48"/>
      <c r="F3806" s="48"/>
      <c r="G3806" s="48"/>
      <c r="H3806" s="48"/>
      <c r="I3806" s="48"/>
    </row>
    <row r="3807" spans="1:9" hidden="1" x14ac:dyDescent="0.2">
      <c r="A3807" s="46"/>
      <c r="B3807" s="46"/>
      <c r="C3807" s="46"/>
      <c r="D3807" s="48"/>
      <c r="E3807" s="48"/>
      <c r="F3807" s="48"/>
      <c r="G3807" s="48"/>
      <c r="H3807" s="48"/>
      <c r="I3807" s="48"/>
    </row>
    <row r="3808" spans="1:9" hidden="1" x14ac:dyDescent="0.2">
      <c r="A3808" s="46"/>
      <c r="B3808" s="46"/>
      <c r="C3808" s="46"/>
      <c r="D3808" s="48"/>
      <c r="E3808" s="48"/>
      <c r="F3808" s="48"/>
      <c r="G3808" s="48"/>
      <c r="H3808" s="48"/>
      <c r="I3808" s="48"/>
    </row>
    <row r="3809" spans="1:9" hidden="1" x14ac:dyDescent="0.2">
      <c r="A3809" s="46"/>
      <c r="B3809" s="46"/>
      <c r="C3809" s="46"/>
      <c r="D3809" s="48"/>
      <c r="E3809" s="48"/>
      <c r="F3809" s="48"/>
      <c r="G3809" s="48"/>
      <c r="H3809" s="48"/>
      <c r="I3809" s="48"/>
    </row>
    <row r="3810" spans="1:9" hidden="1" x14ac:dyDescent="0.2">
      <c r="A3810" s="46"/>
      <c r="B3810" s="46"/>
      <c r="C3810" s="46"/>
      <c r="D3810" s="48"/>
      <c r="E3810" s="48"/>
      <c r="F3810" s="48"/>
      <c r="G3810" s="48"/>
      <c r="H3810" s="48"/>
      <c r="I3810" s="48"/>
    </row>
    <row r="3811" spans="1:9" hidden="1" x14ac:dyDescent="0.2">
      <c r="A3811" s="46"/>
      <c r="B3811" s="46"/>
      <c r="C3811" s="46"/>
      <c r="D3811" s="48"/>
      <c r="E3811" s="48"/>
      <c r="F3811" s="48"/>
      <c r="G3811" s="48"/>
      <c r="H3811" s="48"/>
      <c r="I3811" s="48"/>
    </row>
    <row r="3812" spans="1:9" hidden="1" x14ac:dyDescent="0.2">
      <c r="A3812" s="46"/>
      <c r="B3812" s="46"/>
      <c r="C3812" s="46"/>
      <c r="D3812" s="48"/>
      <c r="E3812" s="48"/>
      <c r="F3812" s="48"/>
      <c r="G3812" s="48"/>
      <c r="H3812" s="48"/>
      <c r="I3812" s="48"/>
    </row>
    <row r="3813" spans="1:9" hidden="1" x14ac:dyDescent="0.2">
      <c r="A3813" s="46"/>
      <c r="B3813" s="46"/>
      <c r="C3813" s="46"/>
      <c r="D3813" s="48"/>
      <c r="E3813" s="48"/>
      <c r="F3813" s="48"/>
      <c r="G3813" s="48"/>
      <c r="H3813" s="48"/>
      <c r="I3813" s="48"/>
    </row>
    <row r="3814" spans="1:9" hidden="1" x14ac:dyDescent="0.2">
      <c r="A3814" s="46"/>
      <c r="B3814" s="46"/>
      <c r="C3814" s="46"/>
      <c r="D3814" s="48"/>
      <c r="E3814" s="48"/>
      <c r="F3814" s="48"/>
      <c r="G3814" s="48"/>
      <c r="H3814" s="48"/>
      <c r="I3814" s="48"/>
    </row>
    <row r="3815" spans="1:9" hidden="1" x14ac:dyDescent="0.2">
      <c r="A3815" s="46"/>
      <c r="B3815" s="46"/>
      <c r="C3815" s="46"/>
      <c r="D3815" s="48"/>
      <c r="E3815" s="48"/>
      <c r="F3815" s="48"/>
      <c r="G3815" s="48"/>
      <c r="H3815" s="48"/>
      <c r="I3815" s="48"/>
    </row>
    <row r="3816" spans="1:9" hidden="1" x14ac:dyDescent="0.2">
      <c r="A3816" s="46"/>
      <c r="B3816" s="46"/>
      <c r="C3816" s="46"/>
      <c r="D3816" s="48"/>
      <c r="E3816" s="48"/>
      <c r="F3816" s="48"/>
      <c r="G3816" s="48"/>
      <c r="H3816" s="48"/>
      <c r="I3816" s="48"/>
    </row>
    <row r="3817" spans="1:9" hidden="1" x14ac:dyDescent="0.2">
      <c r="A3817" s="46"/>
      <c r="B3817" s="46"/>
      <c r="C3817" s="46"/>
      <c r="D3817" s="48"/>
      <c r="E3817" s="48"/>
      <c r="F3817" s="48"/>
      <c r="G3817" s="48"/>
      <c r="H3817" s="48"/>
      <c r="I3817" s="48"/>
    </row>
    <row r="3818" spans="1:9" hidden="1" x14ac:dyDescent="0.2">
      <c r="A3818" s="46"/>
      <c r="B3818" s="46"/>
      <c r="C3818" s="46"/>
      <c r="D3818" s="48"/>
      <c r="E3818" s="48"/>
      <c r="F3818" s="48"/>
      <c r="G3818" s="48"/>
      <c r="H3818" s="48"/>
      <c r="I3818" s="48"/>
    </row>
    <row r="3819" spans="1:9" hidden="1" x14ac:dyDescent="0.2">
      <c r="A3819" s="46"/>
      <c r="B3819" s="46"/>
      <c r="C3819" s="46"/>
      <c r="D3819" s="48"/>
      <c r="E3819" s="48"/>
      <c r="F3819" s="48"/>
      <c r="G3819" s="48"/>
      <c r="H3819" s="48"/>
      <c r="I3819" s="48"/>
    </row>
    <row r="3820" spans="1:9" hidden="1" x14ac:dyDescent="0.2">
      <c r="A3820" s="46"/>
      <c r="B3820" s="46"/>
      <c r="C3820" s="46"/>
      <c r="D3820" s="48"/>
      <c r="E3820" s="48"/>
      <c r="F3820" s="48"/>
      <c r="G3820" s="48"/>
      <c r="H3820" s="48"/>
      <c r="I3820" s="48"/>
    </row>
    <row r="3821" spans="1:9" hidden="1" x14ac:dyDescent="0.2">
      <c r="A3821" s="46"/>
      <c r="B3821" s="46"/>
      <c r="C3821" s="46"/>
      <c r="D3821" s="48"/>
      <c r="E3821" s="48"/>
      <c r="F3821" s="48"/>
      <c r="G3821" s="48"/>
      <c r="H3821" s="48"/>
      <c r="I3821" s="48"/>
    </row>
    <row r="3822" spans="1:9" hidden="1" x14ac:dyDescent="0.2">
      <c r="A3822" s="46"/>
      <c r="B3822" s="46"/>
      <c r="C3822" s="46"/>
      <c r="D3822" s="48"/>
      <c r="E3822" s="48"/>
      <c r="F3822" s="48"/>
      <c r="G3822" s="48"/>
      <c r="H3822" s="48"/>
      <c r="I3822" s="48"/>
    </row>
    <row r="3823" spans="1:9" hidden="1" x14ac:dyDescent="0.2">
      <c r="A3823" s="46"/>
      <c r="B3823" s="46"/>
      <c r="C3823" s="46"/>
      <c r="D3823" s="48"/>
      <c r="E3823" s="48"/>
      <c r="F3823" s="48"/>
      <c r="G3823" s="48"/>
      <c r="H3823" s="48"/>
      <c r="I3823" s="48"/>
    </row>
    <row r="3824" spans="1:9" hidden="1" x14ac:dyDescent="0.2">
      <c r="A3824" s="46"/>
      <c r="B3824" s="46"/>
      <c r="C3824" s="46"/>
      <c r="D3824" s="48"/>
      <c r="E3824" s="48"/>
      <c r="F3824" s="48"/>
      <c r="G3824" s="48"/>
      <c r="H3824" s="48"/>
      <c r="I3824" s="48"/>
    </row>
    <row r="3825" spans="1:9" hidden="1" x14ac:dyDescent="0.2">
      <c r="A3825" s="46"/>
      <c r="B3825" s="46"/>
      <c r="C3825" s="46"/>
      <c r="D3825" s="48"/>
      <c r="E3825" s="48"/>
      <c r="F3825" s="48"/>
      <c r="G3825" s="48"/>
      <c r="H3825" s="48"/>
      <c r="I3825" s="48"/>
    </row>
    <row r="3826" spans="1:9" hidden="1" x14ac:dyDescent="0.2">
      <c r="A3826" s="46"/>
      <c r="B3826" s="46"/>
      <c r="C3826" s="46"/>
      <c r="D3826" s="48"/>
      <c r="E3826" s="48"/>
      <c r="F3826" s="48"/>
      <c r="G3826" s="48"/>
      <c r="H3826" s="48"/>
      <c r="I3826" s="48"/>
    </row>
    <row r="3827" spans="1:9" hidden="1" x14ac:dyDescent="0.2">
      <c r="A3827" s="46"/>
      <c r="B3827" s="46"/>
      <c r="C3827" s="46"/>
      <c r="D3827" s="48"/>
      <c r="E3827" s="48"/>
      <c r="F3827" s="48"/>
      <c r="G3827" s="48"/>
      <c r="H3827" s="48"/>
      <c r="I3827" s="48"/>
    </row>
    <row r="3828" spans="1:9" hidden="1" x14ac:dyDescent="0.2">
      <c r="A3828" s="46"/>
      <c r="B3828" s="46"/>
      <c r="C3828" s="46"/>
      <c r="D3828" s="48"/>
      <c r="E3828" s="48"/>
      <c r="F3828" s="48"/>
      <c r="G3828" s="48"/>
      <c r="H3828" s="48"/>
      <c r="I3828" s="48"/>
    </row>
    <row r="3829" spans="1:9" hidden="1" x14ac:dyDescent="0.2">
      <c r="A3829" s="46"/>
      <c r="B3829" s="46"/>
      <c r="C3829" s="46"/>
      <c r="D3829" s="48"/>
      <c r="E3829" s="48"/>
      <c r="F3829" s="48"/>
      <c r="G3829" s="48"/>
      <c r="H3829" s="48"/>
      <c r="I3829" s="48"/>
    </row>
    <row r="3830" spans="1:9" hidden="1" x14ac:dyDescent="0.2">
      <c r="A3830" s="46"/>
      <c r="B3830" s="46"/>
      <c r="C3830" s="46"/>
      <c r="D3830" s="48"/>
      <c r="E3830" s="48"/>
      <c r="F3830" s="48"/>
      <c r="G3830" s="48"/>
      <c r="H3830" s="48"/>
      <c r="I3830" s="48"/>
    </row>
    <row r="3831" spans="1:9" hidden="1" x14ac:dyDescent="0.2">
      <c r="A3831" s="46"/>
      <c r="B3831" s="46"/>
      <c r="C3831" s="46"/>
      <c r="D3831" s="48"/>
      <c r="E3831" s="48"/>
      <c r="F3831" s="48"/>
      <c r="G3831" s="48"/>
      <c r="H3831" s="48"/>
      <c r="I3831" s="48"/>
    </row>
    <row r="3832" spans="1:9" hidden="1" x14ac:dyDescent="0.2">
      <c r="A3832" s="46"/>
      <c r="B3832" s="46"/>
      <c r="C3832" s="46"/>
      <c r="D3832" s="48"/>
      <c r="E3832" s="48"/>
      <c r="F3832" s="48"/>
      <c r="G3832" s="48"/>
      <c r="H3832" s="48"/>
      <c r="I3832" s="48"/>
    </row>
    <row r="3833" spans="1:9" hidden="1" x14ac:dyDescent="0.2">
      <c r="A3833" s="46"/>
      <c r="B3833" s="46"/>
      <c r="C3833" s="46"/>
      <c r="D3833" s="48"/>
      <c r="E3833" s="48"/>
      <c r="F3833" s="48"/>
      <c r="G3833" s="48"/>
      <c r="H3833" s="48"/>
      <c r="I3833" s="48"/>
    </row>
    <row r="3834" spans="1:9" hidden="1" x14ac:dyDescent="0.2">
      <c r="A3834" s="46"/>
      <c r="B3834" s="46"/>
      <c r="C3834" s="46"/>
      <c r="D3834" s="48"/>
      <c r="E3834" s="48"/>
      <c r="F3834" s="48"/>
      <c r="G3834" s="48"/>
      <c r="H3834" s="48"/>
      <c r="I3834" s="48"/>
    </row>
    <row r="3835" spans="1:9" hidden="1" x14ac:dyDescent="0.2">
      <c r="A3835" s="46"/>
      <c r="B3835" s="46"/>
      <c r="C3835" s="46"/>
      <c r="D3835" s="48"/>
      <c r="E3835" s="48"/>
      <c r="F3835" s="48"/>
      <c r="G3835" s="48"/>
      <c r="H3835" s="48"/>
      <c r="I3835" s="48"/>
    </row>
    <row r="3836" spans="1:9" hidden="1" x14ac:dyDescent="0.2">
      <c r="A3836" s="46"/>
      <c r="B3836" s="46"/>
      <c r="C3836" s="46"/>
      <c r="D3836" s="48"/>
      <c r="E3836" s="48"/>
      <c r="F3836" s="48"/>
      <c r="G3836" s="48"/>
      <c r="H3836" s="48"/>
      <c r="I3836" s="48"/>
    </row>
    <row r="3837" spans="1:9" hidden="1" x14ac:dyDescent="0.2">
      <c r="A3837" s="46"/>
      <c r="B3837" s="46"/>
      <c r="C3837" s="46"/>
      <c r="D3837" s="48"/>
      <c r="E3837" s="48"/>
      <c r="F3837" s="48"/>
      <c r="G3837" s="48"/>
      <c r="H3837" s="48"/>
      <c r="I3837" s="48"/>
    </row>
    <row r="3838" spans="1:9" hidden="1" x14ac:dyDescent="0.2">
      <c r="A3838" s="46"/>
      <c r="B3838" s="46"/>
      <c r="C3838" s="46"/>
      <c r="D3838" s="48"/>
      <c r="E3838" s="48"/>
      <c r="F3838" s="48"/>
      <c r="G3838" s="48"/>
      <c r="H3838" s="48"/>
      <c r="I3838" s="48"/>
    </row>
    <row r="3839" spans="1:9" hidden="1" x14ac:dyDescent="0.2">
      <c r="A3839" s="46"/>
      <c r="B3839" s="46"/>
      <c r="C3839" s="46"/>
      <c r="D3839" s="48"/>
      <c r="E3839" s="48"/>
      <c r="F3839" s="48"/>
      <c r="G3839" s="48"/>
      <c r="H3839" s="48"/>
      <c r="I3839" s="48"/>
    </row>
    <row r="3840" spans="1:9" hidden="1" x14ac:dyDescent="0.2">
      <c r="A3840" s="46"/>
      <c r="B3840" s="46"/>
      <c r="C3840" s="46"/>
      <c r="D3840" s="48"/>
      <c r="E3840" s="48"/>
      <c r="F3840" s="48"/>
      <c r="G3840" s="48"/>
      <c r="H3840" s="48"/>
      <c r="I3840" s="48"/>
    </row>
    <row r="3841" spans="1:9" hidden="1" x14ac:dyDescent="0.2">
      <c r="A3841" s="46"/>
      <c r="B3841" s="46"/>
      <c r="C3841" s="46"/>
      <c r="D3841" s="48"/>
      <c r="E3841" s="48"/>
      <c r="F3841" s="48"/>
      <c r="G3841" s="48"/>
      <c r="H3841" s="48"/>
      <c r="I3841" s="48"/>
    </row>
    <row r="3842" spans="1:9" hidden="1" x14ac:dyDescent="0.2">
      <c r="A3842" s="46"/>
      <c r="B3842" s="46"/>
      <c r="C3842" s="46"/>
      <c r="D3842" s="48"/>
      <c r="E3842" s="48"/>
      <c r="F3842" s="48"/>
      <c r="G3842" s="48"/>
      <c r="H3842" s="48"/>
      <c r="I3842" s="48"/>
    </row>
    <row r="3843" spans="1:9" hidden="1" x14ac:dyDescent="0.2">
      <c r="A3843" s="46"/>
      <c r="B3843" s="46"/>
      <c r="C3843" s="46"/>
      <c r="D3843" s="48"/>
      <c r="E3843" s="48"/>
      <c r="F3843" s="48"/>
      <c r="G3843" s="48"/>
      <c r="H3843" s="48"/>
      <c r="I3843" s="48"/>
    </row>
    <row r="3844" spans="1:9" hidden="1" x14ac:dyDescent="0.2">
      <c r="A3844" s="46"/>
      <c r="B3844" s="46"/>
      <c r="C3844" s="46"/>
      <c r="D3844" s="48"/>
      <c r="E3844" s="48"/>
      <c r="F3844" s="48"/>
      <c r="G3844" s="48"/>
      <c r="H3844" s="48"/>
      <c r="I3844" s="48"/>
    </row>
    <row r="3845" spans="1:9" hidden="1" x14ac:dyDescent="0.2">
      <c r="A3845" s="46"/>
      <c r="B3845" s="46"/>
      <c r="C3845" s="46"/>
      <c r="D3845" s="48"/>
      <c r="E3845" s="48"/>
      <c r="F3845" s="48"/>
      <c r="G3845" s="48"/>
      <c r="H3845" s="48"/>
      <c r="I3845" s="48"/>
    </row>
    <row r="3846" spans="1:9" hidden="1" x14ac:dyDescent="0.2">
      <c r="A3846" s="46"/>
      <c r="B3846" s="46"/>
      <c r="C3846" s="46"/>
      <c r="D3846" s="48"/>
      <c r="E3846" s="48"/>
      <c r="F3846" s="48"/>
      <c r="G3846" s="48"/>
      <c r="H3846" s="48"/>
      <c r="I3846" s="48"/>
    </row>
    <row r="3847" spans="1:9" hidden="1" x14ac:dyDescent="0.2">
      <c r="A3847" s="46"/>
      <c r="B3847" s="46"/>
      <c r="C3847" s="46"/>
      <c r="D3847" s="48"/>
      <c r="E3847" s="48"/>
      <c r="F3847" s="48"/>
      <c r="G3847" s="48"/>
      <c r="H3847" s="48"/>
      <c r="I3847" s="48"/>
    </row>
    <row r="3848" spans="1:9" hidden="1" x14ac:dyDescent="0.2">
      <c r="A3848" s="46"/>
      <c r="B3848" s="46"/>
      <c r="C3848" s="46"/>
      <c r="D3848" s="48"/>
      <c r="E3848" s="48"/>
      <c r="F3848" s="48"/>
      <c r="G3848" s="48"/>
      <c r="H3848" s="48"/>
      <c r="I3848" s="48"/>
    </row>
    <row r="3849" spans="1:9" hidden="1" x14ac:dyDescent="0.2">
      <c r="A3849" s="46"/>
      <c r="B3849" s="46"/>
      <c r="C3849" s="46"/>
      <c r="D3849" s="48"/>
      <c r="E3849" s="48"/>
      <c r="F3849" s="48"/>
      <c r="G3849" s="48"/>
      <c r="H3849" s="48"/>
      <c r="I3849" s="48"/>
    </row>
    <row r="3850" spans="1:9" hidden="1" x14ac:dyDescent="0.2">
      <c r="A3850" s="46"/>
      <c r="B3850" s="46"/>
      <c r="C3850" s="46"/>
      <c r="D3850" s="48"/>
      <c r="E3850" s="48"/>
      <c r="F3850" s="48"/>
      <c r="G3850" s="48"/>
      <c r="H3850" s="48"/>
      <c r="I3850" s="48"/>
    </row>
    <row r="3851" spans="1:9" hidden="1" x14ac:dyDescent="0.2">
      <c r="A3851" s="46"/>
      <c r="B3851" s="46"/>
      <c r="C3851" s="46"/>
      <c r="D3851" s="48"/>
      <c r="E3851" s="48"/>
      <c r="F3851" s="48"/>
      <c r="G3851" s="48"/>
      <c r="H3851" s="48"/>
      <c r="I3851" s="48"/>
    </row>
    <row r="3852" spans="1:9" hidden="1" x14ac:dyDescent="0.2">
      <c r="A3852" s="46"/>
      <c r="B3852" s="46"/>
      <c r="C3852" s="46"/>
      <c r="D3852" s="48"/>
      <c r="E3852" s="48"/>
      <c r="F3852" s="48"/>
      <c r="G3852" s="48"/>
      <c r="H3852" s="48"/>
      <c r="I3852" s="48"/>
    </row>
    <row r="3853" spans="1:9" hidden="1" x14ac:dyDescent="0.2">
      <c r="A3853" s="46"/>
      <c r="B3853" s="46"/>
      <c r="C3853" s="46"/>
      <c r="D3853" s="48"/>
      <c r="E3853" s="48"/>
      <c r="F3853" s="48"/>
      <c r="G3853" s="48"/>
      <c r="H3853" s="48"/>
      <c r="I3853" s="48"/>
    </row>
    <row r="3854" spans="1:9" hidden="1" x14ac:dyDescent="0.2">
      <c r="A3854" s="46"/>
      <c r="B3854" s="46"/>
      <c r="C3854" s="46"/>
      <c r="D3854" s="48"/>
      <c r="E3854" s="48"/>
      <c r="F3854" s="48"/>
      <c r="G3854" s="48"/>
      <c r="H3854" s="48"/>
      <c r="I3854" s="48"/>
    </row>
    <row r="3855" spans="1:9" hidden="1" x14ac:dyDescent="0.2">
      <c r="A3855" s="46"/>
      <c r="B3855" s="46"/>
      <c r="C3855" s="46"/>
      <c r="D3855" s="48"/>
      <c r="E3855" s="48"/>
      <c r="F3855" s="48"/>
      <c r="G3855" s="48"/>
      <c r="H3855" s="48"/>
      <c r="I3855" s="48"/>
    </row>
    <row r="3856" spans="1:9" hidden="1" x14ac:dyDescent="0.2">
      <c r="A3856" s="46"/>
      <c r="B3856" s="46"/>
      <c r="C3856" s="46"/>
      <c r="D3856" s="48"/>
      <c r="E3856" s="48"/>
      <c r="F3856" s="48"/>
      <c r="G3856" s="48"/>
      <c r="H3856" s="48"/>
      <c r="I3856" s="48"/>
    </row>
    <row r="3857" spans="1:9" hidden="1" x14ac:dyDescent="0.2">
      <c r="A3857" s="46"/>
      <c r="B3857" s="46"/>
      <c r="C3857" s="46"/>
      <c r="D3857" s="48"/>
      <c r="E3857" s="48"/>
      <c r="F3857" s="48"/>
      <c r="G3857" s="48"/>
      <c r="H3857" s="48"/>
      <c r="I3857" s="48"/>
    </row>
    <row r="3858" spans="1:9" hidden="1" x14ac:dyDescent="0.2">
      <c r="A3858" s="46"/>
      <c r="B3858" s="46"/>
      <c r="C3858" s="46"/>
      <c r="D3858" s="48"/>
      <c r="E3858" s="48"/>
      <c r="F3858" s="48"/>
      <c r="G3858" s="48"/>
      <c r="H3858" s="48"/>
      <c r="I3858" s="48"/>
    </row>
    <row r="3859" spans="1:9" hidden="1" x14ac:dyDescent="0.2">
      <c r="A3859" s="46"/>
      <c r="B3859" s="46"/>
      <c r="C3859" s="46"/>
      <c r="D3859" s="48"/>
      <c r="E3859" s="48"/>
      <c r="F3859" s="48"/>
      <c r="G3859" s="48"/>
      <c r="H3859" s="48"/>
      <c r="I3859" s="48"/>
    </row>
    <row r="3860" spans="1:9" hidden="1" x14ac:dyDescent="0.2">
      <c r="A3860" s="46"/>
      <c r="B3860" s="46"/>
      <c r="C3860" s="46"/>
      <c r="D3860" s="48"/>
      <c r="E3860" s="48"/>
      <c r="F3860" s="48"/>
      <c r="G3860" s="48"/>
      <c r="H3860" s="48"/>
      <c r="I3860" s="48"/>
    </row>
    <row r="3861" spans="1:9" hidden="1" x14ac:dyDescent="0.2">
      <c r="A3861" s="46"/>
      <c r="B3861" s="46"/>
      <c r="C3861" s="46"/>
      <c r="D3861" s="48"/>
      <c r="E3861" s="48"/>
      <c r="F3861" s="48"/>
      <c r="G3861" s="48"/>
      <c r="H3861" s="48"/>
      <c r="I3861" s="48"/>
    </row>
    <row r="3862" spans="1:9" hidden="1" x14ac:dyDescent="0.2">
      <c r="A3862" s="46"/>
      <c r="B3862" s="46"/>
      <c r="C3862" s="46"/>
      <c r="D3862" s="48"/>
      <c r="E3862" s="48"/>
      <c r="F3862" s="48"/>
      <c r="G3862" s="48"/>
      <c r="H3862" s="48"/>
      <c r="I3862" s="48"/>
    </row>
    <row r="3863" spans="1:9" hidden="1" x14ac:dyDescent="0.2">
      <c r="A3863" s="46"/>
      <c r="B3863" s="46"/>
      <c r="C3863" s="46"/>
      <c r="D3863" s="48"/>
      <c r="E3863" s="48"/>
      <c r="F3863" s="48"/>
      <c r="G3863" s="48"/>
      <c r="H3863" s="48"/>
      <c r="I3863" s="48"/>
    </row>
    <row r="3864" spans="1:9" hidden="1" x14ac:dyDescent="0.2">
      <c r="A3864" s="46"/>
      <c r="B3864" s="46"/>
      <c r="C3864" s="46"/>
      <c r="D3864" s="48"/>
      <c r="E3864" s="48"/>
      <c r="F3864" s="48"/>
      <c r="G3864" s="48"/>
      <c r="H3864" s="48"/>
      <c r="I3864" s="48"/>
    </row>
    <row r="3865" spans="1:9" hidden="1" x14ac:dyDescent="0.2">
      <c r="A3865" s="46"/>
      <c r="B3865" s="46"/>
      <c r="C3865" s="46"/>
      <c r="D3865" s="48"/>
      <c r="E3865" s="48"/>
      <c r="F3865" s="48"/>
      <c r="G3865" s="48"/>
      <c r="H3865" s="48"/>
      <c r="I3865" s="48"/>
    </row>
    <row r="3866" spans="1:9" hidden="1" x14ac:dyDescent="0.2">
      <c r="A3866" s="46"/>
      <c r="B3866" s="46"/>
      <c r="C3866" s="46"/>
      <c r="D3866" s="48"/>
      <c r="E3866" s="48"/>
      <c r="F3866" s="48"/>
      <c r="G3866" s="48"/>
      <c r="H3866" s="48"/>
      <c r="I3866" s="48"/>
    </row>
    <row r="3867" spans="1:9" hidden="1" x14ac:dyDescent="0.2">
      <c r="A3867" s="46"/>
      <c r="B3867" s="46"/>
      <c r="C3867" s="46"/>
      <c r="D3867" s="48"/>
      <c r="E3867" s="48"/>
      <c r="F3867" s="48"/>
      <c r="G3867" s="48"/>
      <c r="H3867" s="48"/>
      <c r="I3867" s="48"/>
    </row>
    <row r="3868" spans="1:9" hidden="1" x14ac:dyDescent="0.2">
      <c r="A3868" s="46"/>
      <c r="B3868" s="46"/>
      <c r="C3868" s="46"/>
      <c r="D3868" s="48"/>
      <c r="E3868" s="48"/>
      <c r="F3868" s="48"/>
      <c r="G3868" s="48"/>
      <c r="H3868" s="48"/>
      <c r="I3868" s="48"/>
    </row>
    <row r="3869" spans="1:9" hidden="1" x14ac:dyDescent="0.2">
      <c r="A3869" s="46"/>
      <c r="B3869" s="46"/>
      <c r="C3869" s="46"/>
      <c r="D3869" s="48"/>
      <c r="E3869" s="48"/>
      <c r="F3869" s="48"/>
      <c r="G3869" s="48"/>
      <c r="H3869" s="48"/>
      <c r="I3869" s="48"/>
    </row>
    <row r="3870" spans="1:9" hidden="1" x14ac:dyDescent="0.2">
      <c r="A3870" s="46"/>
      <c r="B3870" s="46"/>
      <c r="C3870" s="46"/>
      <c r="D3870" s="48"/>
      <c r="E3870" s="48"/>
      <c r="F3870" s="48"/>
      <c r="G3870" s="48"/>
      <c r="H3870" s="48"/>
      <c r="I3870" s="48"/>
    </row>
    <row r="3871" spans="1:9" hidden="1" x14ac:dyDescent="0.2">
      <c r="A3871" s="46"/>
      <c r="B3871" s="46"/>
      <c r="C3871" s="46"/>
      <c r="D3871" s="48"/>
      <c r="E3871" s="48"/>
      <c r="F3871" s="48"/>
      <c r="G3871" s="48"/>
      <c r="H3871" s="48"/>
      <c r="I3871" s="48"/>
    </row>
    <row r="3872" spans="1:9" hidden="1" x14ac:dyDescent="0.2">
      <c r="A3872" s="46"/>
      <c r="B3872" s="46"/>
      <c r="C3872" s="46"/>
      <c r="D3872" s="48"/>
      <c r="E3872" s="48"/>
      <c r="F3872" s="48"/>
      <c r="G3872" s="48"/>
      <c r="H3872" s="48"/>
      <c r="I3872" s="48"/>
    </row>
    <row r="3873" spans="1:9" hidden="1" x14ac:dyDescent="0.2">
      <c r="A3873" s="46"/>
      <c r="B3873" s="46"/>
      <c r="C3873" s="46"/>
      <c r="D3873" s="48"/>
      <c r="E3873" s="48"/>
      <c r="F3873" s="48"/>
      <c r="G3873" s="48"/>
      <c r="H3873" s="48"/>
      <c r="I3873" s="48"/>
    </row>
    <row r="3874" spans="1:9" hidden="1" x14ac:dyDescent="0.2">
      <c r="A3874" s="46"/>
      <c r="B3874" s="46"/>
      <c r="C3874" s="46"/>
      <c r="D3874" s="48"/>
      <c r="E3874" s="48"/>
      <c r="F3874" s="48"/>
      <c r="G3874" s="48"/>
      <c r="H3874" s="48"/>
      <c r="I3874" s="48"/>
    </row>
    <row r="3875" spans="1:9" hidden="1" x14ac:dyDescent="0.2">
      <c r="A3875" s="46"/>
      <c r="B3875" s="46"/>
      <c r="C3875" s="46"/>
      <c r="D3875" s="48"/>
      <c r="E3875" s="48"/>
      <c r="F3875" s="48"/>
      <c r="G3875" s="48"/>
      <c r="H3875" s="48"/>
      <c r="I3875" s="48"/>
    </row>
    <row r="3876" spans="1:9" hidden="1" x14ac:dyDescent="0.2">
      <c r="A3876" s="46"/>
      <c r="B3876" s="46"/>
      <c r="C3876" s="46"/>
      <c r="D3876" s="48"/>
      <c r="E3876" s="48"/>
      <c r="F3876" s="48"/>
      <c r="G3876" s="48"/>
      <c r="H3876" s="48"/>
      <c r="I3876" s="48"/>
    </row>
    <row r="3877" spans="1:9" hidden="1" x14ac:dyDescent="0.2">
      <c r="A3877" s="46"/>
      <c r="B3877" s="46"/>
      <c r="C3877" s="46"/>
      <c r="D3877" s="48"/>
      <c r="E3877" s="48"/>
      <c r="F3877" s="48"/>
      <c r="G3877" s="48"/>
      <c r="H3877" s="48"/>
      <c r="I3877" s="48"/>
    </row>
    <row r="3878" spans="1:9" hidden="1" x14ac:dyDescent="0.2">
      <c r="A3878" s="46"/>
      <c r="B3878" s="46"/>
      <c r="C3878" s="46"/>
      <c r="D3878" s="48"/>
      <c r="E3878" s="48"/>
      <c r="F3878" s="48"/>
      <c r="G3878" s="48"/>
      <c r="H3878" s="48"/>
      <c r="I3878" s="48"/>
    </row>
    <row r="3879" spans="1:9" hidden="1" x14ac:dyDescent="0.2">
      <c r="A3879" s="46"/>
      <c r="B3879" s="46"/>
      <c r="C3879" s="46"/>
      <c r="D3879" s="48"/>
      <c r="E3879" s="48"/>
      <c r="F3879" s="48"/>
      <c r="G3879" s="48"/>
      <c r="H3879" s="48"/>
      <c r="I3879" s="48"/>
    </row>
    <row r="3880" spans="1:9" hidden="1" x14ac:dyDescent="0.2">
      <c r="A3880" s="46"/>
      <c r="B3880" s="46"/>
      <c r="C3880" s="46"/>
      <c r="D3880" s="48"/>
      <c r="E3880" s="48"/>
      <c r="F3880" s="48"/>
      <c r="G3880" s="48"/>
      <c r="H3880" s="48"/>
      <c r="I3880" s="48"/>
    </row>
    <row r="3881" spans="1:9" hidden="1" x14ac:dyDescent="0.2">
      <c r="A3881" s="46"/>
      <c r="B3881" s="46"/>
      <c r="C3881" s="46"/>
      <c r="D3881" s="48"/>
      <c r="E3881" s="48"/>
      <c r="F3881" s="48"/>
      <c r="G3881" s="48"/>
      <c r="H3881" s="48"/>
      <c r="I3881" s="48"/>
    </row>
    <row r="3882" spans="1:9" hidden="1" x14ac:dyDescent="0.2">
      <c r="A3882" s="46"/>
      <c r="B3882" s="46"/>
      <c r="C3882" s="46"/>
      <c r="D3882" s="48"/>
      <c r="E3882" s="48"/>
      <c r="F3882" s="48"/>
      <c r="G3882" s="48"/>
      <c r="H3882" s="48"/>
      <c r="I3882" s="48"/>
    </row>
    <row r="3883" spans="1:9" hidden="1" x14ac:dyDescent="0.2">
      <c r="A3883" s="46"/>
      <c r="B3883" s="46"/>
      <c r="C3883" s="46"/>
      <c r="D3883" s="48"/>
      <c r="E3883" s="48"/>
      <c r="F3883" s="48"/>
      <c r="G3883" s="48"/>
      <c r="H3883" s="48"/>
      <c r="I3883" s="48"/>
    </row>
    <row r="3884" spans="1:9" hidden="1" x14ac:dyDescent="0.2">
      <c r="A3884" s="46"/>
      <c r="B3884" s="46"/>
      <c r="C3884" s="46"/>
      <c r="D3884" s="48"/>
      <c r="E3884" s="48"/>
      <c r="F3884" s="48"/>
      <c r="G3884" s="48"/>
      <c r="H3884" s="48"/>
      <c r="I3884" s="48"/>
    </row>
    <row r="3885" spans="1:9" hidden="1" x14ac:dyDescent="0.2">
      <c r="A3885" s="46"/>
      <c r="B3885" s="46"/>
      <c r="C3885" s="46"/>
      <c r="D3885" s="48"/>
      <c r="E3885" s="48"/>
      <c r="F3885" s="48"/>
      <c r="G3885" s="48"/>
      <c r="H3885" s="48"/>
      <c r="I3885" s="48"/>
    </row>
    <row r="3886" spans="1:9" hidden="1" x14ac:dyDescent="0.2">
      <c r="A3886" s="46"/>
      <c r="B3886" s="46"/>
      <c r="C3886" s="46"/>
      <c r="D3886" s="48"/>
      <c r="E3886" s="48"/>
      <c r="F3886" s="48"/>
      <c r="G3886" s="48"/>
      <c r="H3886" s="48"/>
      <c r="I3886" s="48"/>
    </row>
    <row r="3887" spans="1:9" hidden="1" x14ac:dyDescent="0.2">
      <c r="A3887" s="46"/>
      <c r="B3887" s="46"/>
      <c r="C3887" s="46"/>
      <c r="D3887" s="48"/>
      <c r="E3887" s="48"/>
      <c r="F3887" s="48"/>
      <c r="G3887" s="48"/>
      <c r="H3887" s="48"/>
      <c r="I3887" s="48"/>
    </row>
    <row r="3888" spans="1:9" hidden="1" x14ac:dyDescent="0.2">
      <c r="A3888" s="46"/>
      <c r="B3888" s="46"/>
      <c r="C3888" s="46"/>
      <c r="D3888" s="48"/>
      <c r="E3888" s="48"/>
      <c r="F3888" s="48"/>
      <c r="G3888" s="48"/>
      <c r="H3888" s="48"/>
      <c r="I3888" s="48"/>
    </row>
    <row r="3889" spans="1:9" hidden="1" x14ac:dyDescent="0.2">
      <c r="A3889" s="46"/>
      <c r="B3889" s="46"/>
      <c r="C3889" s="46"/>
      <c r="D3889" s="48"/>
      <c r="E3889" s="48"/>
      <c r="F3889" s="48"/>
      <c r="G3889" s="48"/>
      <c r="H3889" s="48"/>
      <c r="I3889" s="48"/>
    </row>
    <row r="3890" spans="1:9" hidden="1" x14ac:dyDescent="0.2">
      <c r="A3890" s="46"/>
      <c r="B3890" s="46"/>
      <c r="C3890" s="46"/>
      <c r="D3890" s="48"/>
      <c r="E3890" s="48"/>
      <c r="F3890" s="48"/>
      <c r="G3890" s="48"/>
      <c r="H3890" s="48"/>
      <c r="I3890" s="48"/>
    </row>
    <row r="3891" spans="1:9" hidden="1" x14ac:dyDescent="0.2">
      <c r="A3891" s="46"/>
      <c r="B3891" s="46"/>
      <c r="C3891" s="46"/>
      <c r="D3891" s="48"/>
      <c r="E3891" s="48"/>
      <c r="F3891" s="48"/>
      <c r="G3891" s="48"/>
      <c r="H3891" s="48"/>
      <c r="I3891" s="48"/>
    </row>
    <row r="3892" spans="1:9" hidden="1" x14ac:dyDescent="0.2">
      <c r="A3892" s="46"/>
      <c r="B3892" s="46"/>
      <c r="C3892" s="46"/>
      <c r="D3892" s="48"/>
      <c r="E3892" s="48"/>
      <c r="F3892" s="48"/>
      <c r="G3892" s="48"/>
      <c r="H3892" s="48"/>
      <c r="I3892" s="48"/>
    </row>
    <row r="3893" spans="1:9" hidden="1" x14ac:dyDescent="0.2">
      <c r="A3893" s="46"/>
      <c r="B3893" s="46"/>
      <c r="C3893" s="46"/>
      <c r="D3893" s="48"/>
      <c r="E3893" s="48"/>
      <c r="F3893" s="48"/>
      <c r="G3893" s="48"/>
      <c r="H3893" s="48"/>
      <c r="I3893" s="48"/>
    </row>
    <row r="3894" spans="1:9" hidden="1" x14ac:dyDescent="0.2">
      <c r="A3894" s="46"/>
      <c r="B3894" s="46"/>
      <c r="C3894" s="46"/>
      <c r="D3894" s="48"/>
      <c r="E3894" s="48"/>
      <c r="F3894" s="48"/>
      <c r="G3894" s="48"/>
      <c r="H3894" s="48"/>
      <c r="I3894" s="48"/>
    </row>
    <row r="3895" spans="1:9" hidden="1" x14ac:dyDescent="0.2">
      <c r="A3895" s="46"/>
      <c r="B3895" s="46"/>
      <c r="C3895" s="46"/>
      <c r="D3895" s="48"/>
      <c r="E3895" s="48"/>
      <c r="F3895" s="48"/>
      <c r="G3895" s="48"/>
      <c r="H3895" s="48"/>
      <c r="I3895" s="48"/>
    </row>
    <row r="3896" spans="1:9" hidden="1" x14ac:dyDescent="0.2">
      <c r="A3896" s="46"/>
      <c r="B3896" s="46"/>
      <c r="C3896" s="46"/>
      <c r="D3896" s="48"/>
      <c r="E3896" s="48"/>
      <c r="F3896" s="48"/>
      <c r="G3896" s="48"/>
      <c r="H3896" s="48"/>
      <c r="I3896" s="48"/>
    </row>
    <row r="3897" spans="1:9" hidden="1" x14ac:dyDescent="0.2">
      <c r="A3897" s="46"/>
      <c r="B3897" s="46"/>
      <c r="C3897" s="46"/>
      <c r="D3897" s="48"/>
      <c r="E3897" s="48"/>
      <c r="F3897" s="48"/>
      <c r="G3897" s="48"/>
      <c r="H3897" s="48"/>
      <c r="I3897" s="48"/>
    </row>
    <row r="3898" spans="1:9" hidden="1" x14ac:dyDescent="0.2">
      <c r="A3898" s="46"/>
      <c r="B3898" s="46"/>
      <c r="C3898" s="46"/>
      <c r="D3898" s="48"/>
      <c r="E3898" s="48"/>
      <c r="F3898" s="48"/>
      <c r="G3898" s="48"/>
      <c r="H3898" s="48"/>
      <c r="I3898" s="48"/>
    </row>
    <row r="3899" spans="1:9" hidden="1" x14ac:dyDescent="0.2">
      <c r="A3899" s="46"/>
      <c r="B3899" s="46"/>
      <c r="C3899" s="46"/>
      <c r="D3899" s="48"/>
      <c r="E3899" s="48"/>
      <c r="F3899" s="48"/>
      <c r="G3899" s="48"/>
      <c r="H3899" s="48"/>
      <c r="I3899" s="48"/>
    </row>
    <row r="3900" spans="1:9" hidden="1" x14ac:dyDescent="0.2">
      <c r="A3900" s="46"/>
      <c r="B3900" s="46"/>
      <c r="C3900" s="46"/>
      <c r="D3900" s="48"/>
      <c r="E3900" s="48"/>
      <c r="F3900" s="48"/>
      <c r="G3900" s="48"/>
      <c r="H3900" s="48"/>
      <c r="I3900" s="48"/>
    </row>
    <row r="3901" spans="1:9" hidden="1" x14ac:dyDescent="0.2">
      <c r="A3901" s="46"/>
      <c r="B3901" s="46"/>
      <c r="C3901" s="46"/>
      <c r="D3901" s="48"/>
      <c r="E3901" s="48"/>
      <c r="F3901" s="48"/>
      <c r="G3901" s="48"/>
      <c r="H3901" s="48"/>
      <c r="I3901" s="48"/>
    </row>
    <row r="3902" spans="1:9" hidden="1" x14ac:dyDescent="0.2">
      <c r="A3902" s="46"/>
      <c r="B3902" s="46"/>
      <c r="C3902" s="46"/>
      <c r="D3902" s="48"/>
      <c r="E3902" s="48"/>
      <c r="F3902" s="48"/>
      <c r="G3902" s="48"/>
      <c r="H3902" s="48"/>
      <c r="I3902" s="48"/>
    </row>
    <row r="3903" spans="1:9" hidden="1" x14ac:dyDescent="0.2">
      <c r="A3903" s="46"/>
      <c r="B3903" s="46"/>
      <c r="C3903" s="46"/>
      <c r="D3903" s="48"/>
      <c r="E3903" s="48"/>
      <c r="F3903" s="48"/>
      <c r="G3903" s="48"/>
      <c r="H3903" s="48"/>
      <c r="I3903" s="48"/>
    </row>
    <row r="3904" spans="1:9" hidden="1" x14ac:dyDescent="0.2">
      <c r="A3904" s="46"/>
      <c r="B3904" s="46"/>
      <c r="C3904" s="46"/>
      <c r="D3904" s="48"/>
      <c r="E3904" s="48"/>
      <c r="F3904" s="48"/>
      <c r="G3904" s="48"/>
      <c r="H3904" s="48"/>
      <c r="I3904" s="48"/>
    </row>
    <row r="3905" spans="1:9" hidden="1" x14ac:dyDescent="0.2">
      <c r="A3905" s="46"/>
      <c r="B3905" s="46"/>
      <c r="C3905" s="46"/>
      <c r="D3905" s="48"/>
      <c r="E3905" s="48"/>
      <c r="F3905" s="48"/>
      <c r="G3905" s="48"/>
      <c r="H3905" s="48"/>
      <c r="I3905" s="48"/>
    </row>
    <row r="3906" spans="1:9" hidden="1" x14ac:dyDescent="0.2">
      <c r="A3906" s="46"/>
      <c r="B3906" s="46"/>
      <c r="C3906" s="46"/>
      <c r="D3906" s="48"/>
      <c r="E3906" s="48"/>
      <c r="F3906" s="48"/>
      <c r="G3906" s="48"/>
      <c r="H3906" s="48"/>
      <c r="I3906" s="48"/>
    </row>
    <row r="3907" spans="1:9" hidden="1" x14ac:dyDescent="0.2">
      <c r="A3907" s="46"/>
      <c r="B3907" s="46"/>
      <c r="C3907" s="46"/>
      <c r="D3907" s="48"/>
      <c r="E3907" s="48"/>
      <c r="F3907" s="48"/>
      <c r="G3907" s="48"/>
      <c r="H3907" s="48"/>
      <c r="I3907" s="48"/>
    </row>
    <row r="3908" spans="1:9" hidden="1" x14ac:dyDescent="0.2">
      <c r="A3908" s="46"/>
      <c r="B3908" s="46"/>
      <c r="C3908" s="46"/>
      <c r="D3908" s="48"/>
      <c r="E3908" s="48"/>
      <c r="F3908" s="48"/>
      <c r="G3908" s="48"/>
      <c r="H3908" s="48"/>
      <c r="I3908" s="48"/>
    </row>
    <row r="3909" spans="1:9" hidden="1" x14ac:dyDescent="0.2">
      <c r="A3909" s="46"/>
      <c r="B3909" s="46"/>
      <c r="C3909" s="46"/>
      <c r="D3909" s="48"/>
      <c r="E3909" s="48"/>
      <c r="F3909" s="48"/>
      <c r="G3909" s="48"/>
      <c r="H3909" s="48"/>
      <c r="I3909" s="48"/>
    </row>
    <row r="3910" spans="1:9" hidden="1" x14ac:dyDescent="0.2">
      <c r="A3910" s="46"/>
      <c r="B3910" s="46"/>
      <c r="C3910" s="46"/>
      <c r="D3910" s="48"/>
      <c r="E3910" s="48"/>
      <c r="F3910" s="48"/>
      <c r="G3910" s="48"/>
      <c r="H3910" s="48"/>
      <c r="I3910" s="48"/>
    </row>
    <row r="3911" spans="1:9" hidden="1" x14ac:dyDescent="0.2">
      <c r="A3911" s="46"/>
      <c r="B3911" s="46"/>
      <c r="C3911" s="46"/>
      <c r="D3911" s="48"/>
      <c r="E3911" s="48"/>
      <c r="F3911" s="48"/>
      <c r="G3911" s="48"/>
      <c r="H3911" s="48"/>
      <c r="I3911" s="48"/>
    </row>
    <row r="3912" spans="1:9" hidden="1" x14ac:dyDescent="0.2">
      <c r="A3912" s="46"/>
      <c r="B3912" s="46"/>
      <c r="C3912" s="46"/>
      <c r="D3912" s="48"/>
      <c r="E3912" s="48"/>
      <c r="F3912" s="48"/>
      <c r="G3912" s="48"/>
      <c r="H3912" s="48"/>
      <c r="I3912" s="48"/>
    </row>
    <row r="3913" spans="1:9" hidden="1" x14ac:dyDescent="0.2">
      <c r="A3913" s="46"/>
      <c r="B3913" s="46"/>
      <c r="C3913" s="46"/>
      <c r="D3913" s="48"/>
      <c r="E3913" s="48"/>
      <c r="F3913" s="48"/>
      <c r="G3913" s="48"/>
      <c r="H3913" s="48"/>
      <c r="I3913" s="48"/>
    </row>
    <row r="3914" spans="1:9" hidden="1" x14ac:dyDescent="0.2">
      <c r="A3914" s="46"/>
      <c r="B3914" s="46"/>
      <c r="C3914" s="46"/>
      <c r="D3914" s="48"/>
      <c r="E3914" s="48"/>
      <c r="F3914" s="48"/>
      <c r="G3914" s="48"/>
      <c r="H3914" s="48"/>
      <c r="I3914" s="48"/>
    </row>
    <row r="3915" spans="1:9" hidden="1" x14ac:dyDescent="0.2">
      <c r="A3915" s="46"/>
      <c r="B3915" s="46"/>
      <c r="C3915" s="46"/>
      <c r="D3915" s="48"/>
      <c r="E3915" s="48"/>
      <c r="F3915" s="48"/>
      <c r="G3915" s="48"/>
      <c r="H3915" s="48"/>
      <c r="I3915" s="48"/>
    </row>
    <row r="3916" spans="1:9" hidden="1" x14ac:dyDescent="0.2">
      <c r="A3916" s="46"/>
      <c r="B3916" s="46"/>
      <c r="C3916" s="46"/>
      <c r="D3916" s="48"/>
      <c r="E3916" s="48"/>
      <c r="F3916" s="48"/>
      <c r="G3916" s="48"/>
      <c r="H3916" s="48"/>
      <c r="I3916" s="48"/>
    </row>
    <row r="3917" spans="1:9" hidden="1" x14ac:dyDescent="0.2">
      <c r="A3917" s="46"/>
      <c r="B3917" s="46"/>
      <c r="C3917" s="46"/>
      <c r="D3917" s="48"/>
      <c r="E3917" s="48"/>
      <c r="F3917" s="48"/>
      <c r="G3917" s="48"/>
      <c r="H3917" s="48"/>
      <c r="I3917" s="48"/>
    </row>
    <row r="3918" spans="1:9" hidden="1" x14ac:dyDescent="0.2">
      <c r="A3918" s="46"/>
      <c r="B3918" s="46"/>
      <c r="C3918" s="46"/>
      <c r="D3918" s="48"/>
      <c r="E3918" s="48"/>
      <c r="F3918" s="48"/>
      <c r="G3918" s="48"/>
      <c r="H3918" s="48"/>
      <c r="I3918" s="48"/>
    </row>
    <row r="3919" spans="1:9" hidden="1" x14ac:dyDescent="0.2">
      <c r="A3919" s="46"/>
      <c r="B3919" s="46"/>
      <c r="C3919" s="46"/>
      <c r="D3919" s="48"/>
      <c r="E3919" s="48"/>
      <c r="F3919" s="48"/>
      <c r="G3919" s="48"/>
      <c r="H3919" s="48"/>
      <c r="I3919" s="48"/>
    </row>
    <row r="3920" spans="1:9" hidden="1" x14ac:dyDescent="0.2">
      <c r="A3920" s="46"/>
      <c r="B3920" s="46"/>
      <c r="C3920" s="46"/>
      <c r="D3920" s="48"/>
      <c r="E3920" s="48"/>
      <c r="F3920" s="48"/>
      <c r="G3920" s="48"/>
      <c r="H3920" s="48"/>
      <c r="I3920" s="48"/>
    </row>
    <row r="3921" spans="1:9" hidden="1" x14ac:dyDescent="0.2">
      <c r="A3921" s="46"/>
      <c r="B3921" s="46"/>
      <c r="C3921" s="46"/>
      <c r="D3921" s="48"/>
      <c r="E3921" s="48"/>
      <c r="F3921" s="48"/>
      <c r="G3921" s="48"/>
      <c r="H3921" s="48"/>
      <c r="I3921" s="48"/>
    </row>
    <row r="3922" spans="1:9" hidden="1" x14ac:dyDescent="0.2">
      <c r="A3922" s="46"/>
      <c r="B3922" s="46"/>
      <c r="C3922" s="46"/>
      <c r="D3922" s="48"/>
      <c r="E3922" s="48"/>
      <c r="F3922" s="48"/>
      <c r="G3922" s="48"/>
      <c r="H3922" s="48"/>
      <c r="I3922" s="48"/>
    </row>
    <row r="3923" spans="1:9" hidden="1" x14ac:dyDescent="0.2">
      <c r="A3923" s="46"/>
      <c r="B3923" s="46"/>
      <c r="C3923" s="46"/>
      <c r="D3923" s="48"/>
      <c r="E3923" s="48"/>
      <c r="F3923" s="48"/>
      <c r="G3923" s="48"/>
      <c r="H3923" s="48"/>
      <c r="I3923" s="48"/>
    </row>
    <row r="3924" spans="1:9" hidden="1" x14ac:dyDescent="0.2">
      <c r="A3924" s="46"/>
      <c r="B3924" s="46"/>
      <c r="C3924" s="46"/>
      <c r="D3924" s="48"/>
      <c r="E3924" s="48"/>
      <c r="F3924" s="48"/>
      <c r="G3924" s="48"/>
      <c r="H3924" s="48"/>
      <c r="I3924" s="48"/>
    </row>
    <row r="3925" spans="1:9" hidden="1" x14ac:dyDescent="0.2">
      <c r="A3925" s="46"/>
      <c r="B3925" s="46"/>
      <c r="C3925" s="46"/>
      <c r="D3925" s="48"/>
      <c r="E3925" s="48"/>
      <c r="F3925" s="48"/>
      <c r="G3925" s="48"/>
      <c r="H3925" s="48"/>
      <c r="I3925" s="48"/>
    </row>
    <row r="3926" spans="1:9" hidden="1" x14ac:dyDescent="0.2">
      <c r="A3926" s="46"/>
      <c r="B3926" s="46"/>
      <c r="C3926" s="46"/>
      <c r="D3926" s="48"/>
      <c r="E3926" s="48"/>
      <c r="F3926" s="48"/>
      <c r="G3926" s="48"/>
      <c r="H3926" s="48"/>
      <c r="I3926" s="48"/>
    </row>
    <row r="3927" spans="1:9" hidden="1" x14ac:dyDescent="0.2">
      <c r="A3927" s="46"/>
      <c r="B3927" s="46"/>
      <c r="C3927" s="46"/>
      <c r="D3927" s="48"/>
      <c r="E3927" s="48"/>
      <c r="F3927" s="48"/>
      <c r="G3927" s="48"/>
      <c r="H3927" s="48"/>
      <c r="I3927" s="48"/>
    </row>
    <row r="3928" spans="1:9" hidden="1" x14ac:dyDescent="0.2">
      <c r="A3928" s="46"/>
      <c r="B3928" s="46"/>
      <c r="C3928" s="46"/>
      <c r="D3928" s="48"/>
      <c r="E3928" s="48"/>
      <c r="F3928" s="48"/>
      <c r="G3928" s="48"/>
      <c r="H3928" s="48"/>
      <c r="I3928" s="48"/>
    </row>
    <row r="3929" spans="1:9" hidden="1" x14ac:dyDescent="0.2">
      <c r="A3929" s="46"/>
      <c r="B3929" s="46"/>
      <c r="C3929" s="46"/>
      <c r="D3929" s="48"/>
      <c r="E3929" s="48"/>
      <c r="F3929" s="48"/>
      <c r="G3929" s="48"/>
      <c r="H3929" s="48"/>
      <c r="I3929" s="48"/>
    </row>
    <row r="3930" spans="1:9" hidden="1" x14ac:dyDescent="0.2">
      <c r="A3930" s="46"/>
      <c r="B3930" s="46"/>
      <c r="C3930" s="46"/>
      <c r="D3930" s="48"/>
      <c r="E3930" s="48"/>
      <c r="F3930" s="48"/>
      <c r="G3930" s="48"/>
      <c r="H3930" s="48"/>
      <c r="I3930" s="48"/>
    </row>
    <row r="3931" spans="1:9" hidden="1" x14ac:dyDescent="0.2">
      <c r="A3931" s="46"/>
      <c r="B3931" s="46"/>
      <c r="C3931" s="46"/>
      <c r="D3931" s="48"/>
      <c r="E3931" s="48"/>
      <c r="F3931" s="48"/>
      <c r="G3931" s="48"/>
      <c r="H3931" s="48"/>
      <c r="I3931" s="48"/>
    </row>
    <row r="3932" spans="1:9" hidden="1" x14ac:dyDescent="0.2">
      <c r="A3932" s="46"/>
      <c r="B3932" s="46"/>
      <c r="C3932" s="46"/>
      <c r="D3932" s="48"/>
      <c r="E3932" s="48"/>
      <c r="F3932" s="48"/>
      <c r="G3932" s="48"/>
      <c r="H3932" s="48"/>
      <c r="I3932" s="48"/>
    </row>
    <row r="3933" spans="1:9" hidden="1" x14ac:dyDescent="0.2">
      <c r="A3933" s="46"/>
      <c r="B3933" s="46"/>
      <c r="C3933" s="46"/>
      <c r="D3933" s="48"/>
      <c r="E3933" s="48"/>
      <c r="F3933" s="48"/>
      <c r="G3933" s="48"/>
      <c r="H3933" s="48"/>
      <c r="I3933" s="48"/>
    </row>
    <row r="3934" spans="1:9" hidden="1" x14ac:dyDescent="0.2">
      <c r="A3934" s="46"/>
      <c r="B3934" s="46"/>
      <c r="C3934" s="46"/>
      <c r="D3934" s="48"/>
      <c r="E3934" s="48"/>
      <c r="F3934" s="48"/>
      <c r="G3934" s="48"/>
      <c r="H3934" s="48"/>
      <c r="I3934" s="48"/>
    </row>
    <row r="3935" spans="1:9" hidden="1" x14ac:dyDescent="0.2">
      <c r="A3935" s="46"/>
      <c r="B3935" s="46"/>
      <c r="C3935" s="46"/>
      <c r="D3935" s="48"/>
      <c r="E3935" s="48"/>
      <c r="F3935" s="48"/>
      <c r="G3935" s="48"/>
      <c r="H3935" s="48"/>
      <c r="I3935" s="48"/>
    </row>
    <row r="3936" spans="1:9" hidden="1" x14ac:dyDescent="0.2">
      <c r="A3936" s="46"/>
      <c r="B3936" s="46"/>
      <c r="C3936" s="46"/>
      <c r="D3936" s="48"/>
      <c r="E3936" s="48"/>
      <c r="F3936" s="48"/>
      <c r="G3936" s="48"/>
      <c r="H3936" s="48"/>
      <c r="I3936" s="48"/>
    </row>
    <row r="3937" spans="1:9" hidden="1" x14ac:dyDescent="0.2">
      <c r="A3937" s="46"/>
      <c r="B3937" s="46"/>
      <c r="C3937" s="46"/>
      <c r="D3937" s="48"/>
      <c r="E3937" s="48"/>
      <c r="F3937" s="48"/>
      <c r="G3937" s="48"/>
      <c r="H3937" s="48"/>
      <c r="I3937" s="48"/>
    </row>
    <row r="3938" spans="1:9" hidden="1" x14ac:dyDescent="0.2">
      <c r="A3938" s="46"/>
      <c r="B3938" s="46"/>
      <c r="C3938" s="46"/>
      <c r="D3938" s="48"/>
      <c r="E3938" s="48"/>
      <c r="F3938" s="48"/>
      <c r="G3938" s="48"/>
      <c r="H3938" s="48"/>
      <c r="I3938" s="48"/>
    </row>
    <row r="3939" spans="1:9" hidden="1" x14ac:dyDescent="0.2">
      <c r="A3939" s="46"/>
      <c r="B3939" s="46"/>
      <c r="C3939" s="46"/>
      <c r="D3939" s="48"/>
      <c r="E3939" s="48"/>
      <c r="F3939" s="48"/>
      <c r="G3939" s="48"/>
      <c r="H3939" s="48"/>
      <c r="I3939" s="48"/>
    </row>
    <row r="3940" spans="1:9" hidden="1" x14ac:dyDescent="0.2">
      <c r="A3940" s="46"/>
      <c r="B3940" s="46"/>
      <c r="C3940" s="46"/>
      <c r="D3940" s="48"/>
      <c r="E3940" s="48"/>
      <c r="F3940" s="48"/>
      <c r="G3940" s="48"/>
      <c r="H3940" s="48"/>
      <c r="I3940" s="48"/>
    </row>
    <row r="3941" spans="1:9" hidden="1" x14ac:dyDescent="0.2">
      <c r="A3941" s="46"/>
      <c r="B3941" s="46"/>
      <c r="C3941" s="46"/>
      <c r="D3941" s="48"/>
      <c r="E3941" s="48"/>
      <c r="F3941" s="48"/>
      <c r="G3941" s="48"/>
      <c r="H3941" s="48"/>
      <c r="I3941" s="48"/>
    </row>
    <row r="3942" spans="1:9" hidden="1" x14ac:dyDescent="0.2">
      <c r="A3942" s="46"/>
      <c r="B3942" s="46"/>
      <c r="C3942" s="46"/>
      <c r="D3942" s="48"/>
      <c r="E3942" s="48"/>
      <c r="F3942" s="48"/>
      <c r="G3942" s="48"/>
      <c r="H3942" s="48"/>
      <c r="I3942" s="48"/>
    </row>
    <row r="3943" spans="1:9" hidden="1" x14ac:dyDescent="0.2">
      <c r="A3943" s="46"/>
      <c r="B3943" s="46"/>
      <c r="C3943" s="46"/>
      <c r="D3943" s="48"/>
      <c r="E3943" s="48"/>
      <c r="F3943" s="48"/>
      <c r="G3943" s="48"/>
      <c r="H3943" s="48"/>
      <c r="I3943" s="48"/>
    </row>
    <row r="3944" spans="1:9" hidden="1" x14ac:dyDescent="0.2">
      <c r="A3944" s="46"/>
      <c r="B3944" s="46"/>
      <c r="C3944" s="46"/>
      <c r="D3944" s="48"/>
      <c r="E3944" s="48"/>
      <c r="F3944" s="48"/>
      <c r="G3944" s="48"/>
      <c r="H3944" s="48"/>
      <c r="I3944" s="48"/>
    </row>
    <row r="3945" spans="1:9" hidden="1" x14ac:dyDescent="0.2">
      <c r="A3945" s="46"/>
      <c r="B3945" s="46"/>
      <c r="C3945" s="46"/>
      <c r="D3945" s="48"/>
      <c r="E3945" s="48"/>
      <c r="F3945" s="48"/>
      <c r="G3945" s="48"/>
      <c r="H3945" s="48"/>
      <c r="I3945" s="48"/>
    </row>
    <row r="3946" spans="1:9" hidden="1" x14ac:dyDescent="0.2">
      <c r="A3946" s="46"/>
      <c r="B3946" s="46"/>
      <c r="C3946" s="46"/>
      <c r="D3946" s="48"/>
      <c r="E3946" s="48"/>
      <c r="F3946" s="48"/>
      <c r="G3946" s="48"/>
      <c r="H3946" s="48"/>
      <c r="I3946" s="48"/>
    </row>
    <row r="3947" spans="1:9" hidden="1" x14ac:dyDescent="0.2">
      <c r="A3947" s="46"/>
      <c r="B3947" s="46"/>
      <c r="C3947" s="46"/>
      <c r="D3947" s="48"/>
      <c r="E3947" s="48"/>
      <c r="F3947" s="48"/>
      <c r="G3947" s="48"/>
      <c r="H3947" s="48"/>
      <c r="I3947" s="48"/>
    </row>
    <row r="3948" spans="1:9" hidden="1" x14ac:dyDescent="0.2">
      <c r="A3948" s="46"/>
      <c r="B3948" s="46"/>
      <c r="C3948" s="46"/>
      <c r="D3948" s="48"/>
      <c r="E3948" s="48"/>
      <c r="F3948" s="48"/>
      <c r="G3948" s="48"/>
      <c r="H3948" s="48"/>
      <c r="I3948" s="48"/>
    </row>
    <row r="3949" spans="1:9" hidden="1" x14ac:dyDescent="0.2">
      <c r="A3949" s="46"/>
      <c r="B3949" s="46"/>
      <c r="C3949" s="46"/>
      <c r="D3949" s="48"/>
      <c r="E3949" s="48"/>
      <c r="F3949" s="48"/>
      <c r="G3949" s="48"/>
      <c r="H3949" s="48"/>
      <c r="I3949" s="48"/>
    </row>
    <row r="3950" spans="1:9" hidden="1" x14ac:dyDescent="0.2">
      <c r="A3950" s="46"/>
      <c r="B3950" s="46"/>
      <c r="C3950" s="46"/>
      <c r="D3950" s="48"/>
      <c r="E3950" s="48"/>
      <c r="F3950" s="48"/>
      <c r="G3950" s="48"/>
      <c r="H3950" s="48"/>
      <c r="I3950" s="48"/>
    </row>
    <row r="3951" spans="1:9" hidden="1" x14ac:dyDescent="0.2">
      <c r="A3951" s="46"/>
      <c r="B3951" s="46"/>
      <c r="C3951" s="46"/>
      <c r="D3951" s="48"/>
      <c r="E3951" s="48"/>
      <c r="F3951" s="48"/>
      <c r="G3951" s="48"/>
      <c r="H3951" s="48"/>
      <c r="I3951" s="48"/>
    </row>
    <row r="3952" spans="1:9" hidden="1" x14ac:dyDescent="0.2">
      <c r="A3952" s="46"/>
      <c r="B3952" s="46"/>
      <c r="C3952" s="46"/>
      <c r="D3952" s="48"/>
      <c r="E3952" s="48"/>
      <c r="F3952" s="48"/>
      <c r="G3952" s="48"/>
      <c r="H3952" s="48"/>
      <c r="I3952" s="48"/>
    </row>
    <row r="3953" spans="1:9" hidden="1" x14ac:dyDescent="0.2">
      <c r="A3953" s="46"/>
      <c r="B3953" s="46"/>
      <c r="C3953" s="46"/>
      <c r="D3953" s="48"/>
      <c r="E3953" s="48"/>
      <c r="F3953" s="48"/>
      <c r="G3953" s="48"/>
      <c r="H3953" s="48"/>
      <c r="I3953" s="48"/>
    </row>
    <row r="3954" spans="1:9" hidden="1" x14ac:dyDescent="0.2">
      <c r="A3954" s="46"/>
      <c r="B3954" s="46"/>
      <c r="C3954" s="46"/>
      <c r="D3954" s="48"/>
      <c r="E3954" s="48"/>
      <c r="F3954" s="48"/>
      <c r="G3954" s="48"/>
      <c r="H3954" s="48"/>
      <c r="I3954" s="48"/>
    </row>
    <row r="3955" spans="1:9" hidden="1" x14ac:dyDescent="0.2">
      <c r="A3955" s="46"/>
      <c r="B3955" s="46"/>
      <c r="C3955" s="46"/>
      <c r="D3955" s="48"/>
      <c r="E3955" s="48"/>
      <c r="F3955" s="48"/>
      <c r="G3955" s="48"/>
      <c r="H3955" s="48"/>
      <c r="I3955" s="48"/>
    </row>
    <row r="3956" spans="1:9" hidden="1" x14ac:dyDescent="0.2">
      <c r="A3956" s="46"/>
      <c r="B3956" s="46"/>
      <c r="C3956" s="46"/>
      <c r="D3956" s="48"/>
      <c r="E3956" s="48"/>
      <c r="F3956" s="48"/>
      <c r="G3956" s="48"/>
      <c r="H3956" s="48"/>
      <c r="I3956" s="48"/>
    </row>
    <row r="3957" spans="1:9" hidden="1" x14ac:dyDescent="0.2">
      <c r="A3957" s="46"/>
      <c r="B3957" s="46"/>
      <c r="C3957" s="46"/>
      <c r="D3957" s="48"/>
      <c r="E3957" s="48"/>
      <c r="F3957" s="48"/>
      <c r="G3957" s="48"/>
      <c r="H3957" s="48"/>
      <c r="I3957" s="48"/>
    </row>
    <row r="3958" spans="1:9" hidden="1" x14ac:dyDescent="0.2">
      <c r="A3958" s="46"/>
      <c r="B3958" s="46"/>
      <c r="C3958" s="46"/>
      <c r="D3958" s="48"/>
      <c r="E3958" s="48"/>
      <c r="F3958" s="48"/>
      <c r="G3958" s="48"/>
      <c r="H3958" s="48"/>
      <c r="I3958" s="48"/>
    </row>
    <row r="3959" spans="1:9" hidden="1" x14ac:dyDescent="0.2">
      <c r="A3959" s="46"/>
      <c r="B3959" s="46"/>
      <c r="C3959" s="46"/>
      <c r="D3959" s="48"/>
      <c r="E3959" s="48"/>
      <c r="F3959" s="48"/>
      <c r="G3959" s="48"/>
      <c r="H3959" s="48"/>
      <c r="I3959" s="48"/>
    </row>
    <row r="3960" spans="1:9" hidden="1" x14ac:dyDescent="0.2">
      <c r="A3960" s="46"/>
      <c r="B3960" s="46"/>
      <c r="C3960" s="46"/>
      <c r="D3960" s="48"/>
      <c r="E3960" s="48"/>
      <c r="F3960" s="48"/>
      <c r="G3960" s="48"/>
      <c r="H3960" s="48"/>
      <c r="I3960" s="48"/>
    </row>
    <row r="3961" spans="1:9" hidden="1" x14ac:dyDescent="0.2">
      <c r="A3961" s="46"/>
      <c r="B3961" s="46"/>
      <c r="C3961" s="46"/>
      <c r="D3961" s="48"/>
      <c r="E3961" s="48"/>
      <c r="F3961" s="48"/>
      <c r="G3961" s="48"/>
      <c r="H3961" s="48"/>
      <c r="I3961" s="48"/>
    </row>
    <row r="3962" spans="1:9" hidden="1" x14ac:dyDescent="0.2">
      <c r="A3962" s="46"/>
      <c r="B3962" s="46"/>
      <c r="C3962" s="46"/>
      <c r="D3962" s="48"/>
      <c r="E3962" s="48"/>
      <c r="F3962" s="48"/>
      <c r="G3962" s="48"/>
      <c r="H3962" s="48"/>
      <c r="I3962" s="48"/>
    </row>
    <row r="3963" spans="1:9" hidden="1" x14ac:dyDescent="0.2">
      <c r="A3963" s="46"/>
      <c r="B3963" s="46"/>
      <c r="C3963" s="46"/>
      <c r="D3963" s="48"/>
      <c r="E3963" s="48"/>
      <c r="F3963" s="48"/>
      <c r="G3963" s="48"/>
      <c r="H3963" s="48"/>
      <c r="I3963" s="48"/>
    </row>
    <row r="3964" spans="1:9" hidden="1" x14ac:dyDescent="0.2">
      <c r="A3964" s="46"/>
      <c r="B3964" s="46"/>
      <c r="C3964" s="46"/>
      <c r="D3964" s="48"/>
      <c r="E3964" s="48"/>
      <c r="F3964" s="48"/>
      <c r="G3964" s="48"/>
      <c r="H3964" s="48"/>
      <c r="I3964" s="48"/>
    </row>
    <row r="3965" spans="1:9" hidden="1" x14ac:dyDescent="0.2">
      <c r="A3965" s="46"/>
      <c r="B3965" s="46"/>
      <c r="C3965" s="46"/>
      <c r="D3965" s="48"/>
      <c r="E3965" s="48"/>
      <c r="F3965" s="48"/>
      <c r="G3965" s="48"/>
      <c r="H3965" s="48"/>
      <c r="I3965" s="48"/>
    </row>
    <row r="3966" spans="1:9" hidden="1" x14ac:dyDescent="0.2">
      <c r="A3966" s="46"/>
      <c r="B3966" s="46"/>
      <c r="C3966" s="46"/>
      <c r="D3966" s="48"/>
      <c r="E3966" s="48"/>
      <c r="F3966" s="48"/>
      <c r="G3966" s="48"/>
      <c r="H3966" s="48"/>
      <c r="I3966" s="48"/>
    </row>
    <row r="3967" spans="1:9" hidden="1" x14ac:dyDescent="0.2">
      <c r="A3967" s="46"/>
      <c r="B3967" s="46"/>
      <c r="C3967" s="46"/>
      <c r="D3967" s="48"/>
      <c r="E3967" s="48"/>
      <c r="F3967" s="48"/>
      <c r="G3967" s="48"/>
      <c r="H3967" s="48"/>
      <c r="I3967" s="48"/>
    </row>
    <row r="3968" spans="1:9" hidden="1" x14ac:dyDescent="0.2">
      <c r="A3968" s="46"/>
      <c r="B3968" s="46"/>
      <c r="C3968" s="46"/>
      <c r="D3968" s="48"/>
      <c r="E3968" s="48"/>
      <c r="F3968" s="48"/>
      <c r="G3968" s="48"/>
      <c r="H3968" s="48"/>
      <c r="I3968" s="48"/>
    </row>
    <row r="3969" spans="1:9" hidden="1" x14ac:dyDescent="0.2">
      <c r="A3969" s="46"/>
      <c r="B3969" s="46"/>
      <c r="C3969" s="46"/>
      <c r="D3969" s="48"/>
      <c r="E3969" s="48"/>
      <c r="F3969" s="48"/>
      <c r="G3969" s="48"/>
      <c r="H3969" s="48"/>
      <c r="I3969" s="48"/>
    </row>
    <row r="3970" spans="1:9" hidden="1" x14ac:dyDescent="0.2">
      <c r="A3970" s="46"/>
      <c r="B3970" s="46"/>
      <c r="C3970" s="46"/>
      <c r="D3970" s="48"/>
      <c r="E3970" s="48"/>
      <c r="F3970" s="48"/>
      <c r="G3970" s="48"/>
      <c r="H3970" s="48"/>
      <c r="I3970" s="48"/>
    </row>
    <row r="3971" spans="1:9" hidden="1" x14ac:dyDescent="0.2">
      <c r="A3971" s="46"/>
      <c r="B3971" s="46"/>
      <c r="C3971" s="46"/>
      <c r="D3971" s="48"/>
      <c r="E3971" s="48"/>
      <c r="F3971" s="48"/>
      <c r="G3971" s="48"/>
      <c r="H3971" s="48"/>
      <c r="I3971" s="48"/>
    </row>
    <row r="3972" spans="1:9" hidden="1" x14ac:dyDescent="0.2">
      <c r="A3972" s="46"/>
      <c r="B3972" s="46"/>
      <c r="C3972" s="46"/>
      <c r="D3972" s="48"/>
      <c r="E3972" s="48"/>
      <c r="F3972" s="48"/>
      <c r="G3972" s="48"/>
      <c r="H3972" s="48"/>
      <c r="I3972" s="48"/>
    </row>
    <row r="3973" spans="1:9" hidden="1" x14ac:dyDescent="0.2">
      <c r="A3973" s="46"/>
      <c r="B3973" s="46"/>
      <c r="C3973" s="46"/>
      <c r="D3973" s="48"/>
      <c r="E3973" s="48"/>
      <c r="F3973" s="48"/>
      <c r="G3973" s="48"/>
      <c r="H3973" s="48"/>
      <c r="I3973" s="48"/>
    </row>
    <row r="3974" spans="1:9" hidden="1" x14ac:dyDescent="0.2">
      <c r="A3974" s="46"/>
      <c r="B3974" s="46"/>
      <c r="C3974" s="46"/>
      <c r="D3974" s="48"/>
      <c r="E3974" s="48"/>
      <c r="F3974" s="48"/>
      <c r="G3974" s="48"/>
      <c r="H3974" s="48"/>
      <c r="I3974" s="48"/>
    </row>
    <row r="3975" spans="1:9" hidden="1" x14ac:dyDescent="0.2">
      <c r="A3975" s="46"/>
      <c r="B3975" s="46"/>
      <c r="C3975" s="46"/>
      <c r="D3975" s="48"/>
      <c r="E3975" s="48"/>
      <c r="F3975" s="48"/>
      <c r="G3975" s="48"/>
      <c r="H3975" s="48"/>
      <c r="I3975" s="48"/>
    </row>
    <row r="3976" spans="1:9" hidden="1" x14ac:dyDescent="0.2">
      <c r="A3976" s="46"/>
      <c r="B3976" s="46"/>
      <c r="C3976" s="46"/>
      <c r="D3976" s="48"/>
      <c r="E3976" s="48"/>
      <c r="F3976" s="48"/>
      <c r="G3976" s="48"/>
      <c r="H3976" s="48"/>
      <c r="I3976" s="48"/>
    </row>
    <row r="3977" spans="1:9" hidden="1" x14ac:dyDescent="0.2">
      <c r="A3977" s="46"/>
      <c r="B3977" s="46"/>
      <c r="C3977" s="46"/>
      <c r="D3977" s="48"/>
      <c r="E3977" s="48"/>
      <c r="F3977" s="48"/>
      <c r="G3977" s="48"/>
      <c r="H3977" s="48"/>
      <c r="I3977" s="48"/>
    </row>
    <row r="3978" spans="1:9" hidden="1" x14ac:dyDescent="0.2">
      <c r="A3978" s="46"/>
      <c r="B3978" s="46"/>
      <c r="C3978" s="46"/>
      <c r="D3978" s="48"/>
      <c r="E3978" s="48"/>
      <c r="F3978" s="48"/>
      <c r="G3978" s="48"/>
      <c r="H3978" s="48"/>
      <c r="I3978" s="48"/>
    </row>
    <row r="3979" spans="1:9" hidden="1" x14ac:dyDescent="0.2">
      <c r="A3979" s="46"/>
      <c r="B3979" s="46"/>
      <c r="C3979" s="46"/>
      <c r="D3979" s="48"/>
      <c r="E3979" s="48"/>
      <c r="F3979" s="48"/>
      <c r="G3979" s="48"/>
      <c r="H3979" s="48"/>
      <c r="I3979" s="48"/>
    </row>
    <row r="3980" spans="1:9" hidden="1" x14ac:dyDescent="0.2">
      <c r="A3980" s="46"/>
      <c r="B3980" s="46"/>
      <c r="C3980" s="46"/>
      <c r="D3980" s="48"/>
      <c r="E3980" s="48"/>
      <c r="F3980" s="48"/>
      <c r="G3980" s="48"/>
      <c r="H3980" s="48"/>
      <c r="I3980" s="48"/>
    </row>
    <row r="3981" spans="1:9" hidden="1" x14ac:dyDescent="0.2">
      <c r="A3981" s="46"/>
      <c r="B3981" s="46"/>
      <c r="C3981" s="46"/>
      <c r="D3981" s="48"/>
      <c r="E3981" s="48"/>
      <c r="F3981" s="48"/>
      <c r="G3981" s="48"/>
      <c r="H3981" s="48"/>
      <c r="I3981" s="48"/>
    </row>
    <row r="3982" spans="1:9" hidden="1" x14ac:dyDescent="0.2">
      <c r="A3982" s="46"/>
      <c r="B3982" s="46"/>
      <c r="C3982" s="46"/>
      <c r="D3982" s="48"/>
      <c r="E3982" s="48"/>
      <c r="F3982" s="48"/>
      <c r="G3982" s="48"/>
      <c r="H3982" s="48"/>
      <c r="I3982" s="48"/>
    </row>
    <row r="3983" spans="1:9" hidden="1" x14ac:dyDescent="0.2">
      <c r="A3983" s="46"/>
      <c r="B3983" s="46"/>
      <c r="C3983" s="46"/>
      <c r="D3983" s="48"/>
      <c r="E3983" s="48"/>
      <c r="F3983" s="48"/>
      <c r="G3983" s="48"/>
      <c r="H3983" s="48"/>
      <c r="I3983" s="48"/>
    </row>
    <row r="3984" spans="1:9" hidden="1" x14ac:dyDescent="0.2">
      <c r="A3984" s="46"/>
      <c r="B3984" s="46"/>
      <c r="C3984" s="46"/>
      <c r="D3984" s="48"/>
      <c r="E3984" s="48"/>
      <c r="F3984" s="48"/>
      <c r="G3984" s="48"/>
      <c r="H3984" s="48"/>
      <c r="I3984" s="48"/>
    </row>
    <row r="3985" spans="1:9" hidden="1" x14ac:dyDescent="0.2">
      <c r="A3985" s="46"/>
      <c r="B3985" s="46"/>
      <c r="C3985" s="46"/>
      <c r="D3985" s="48"/>
      <c r="E3985" s="48"/>
      <c r="F3985" s="48"/>
      <c r="G3985" s="48"/>
      <c r="H3985" s="48"/>
      <c r="I3985" s="48"/>
    </row>
    <row r="3986" spans="1:9" hidden="1" x14ac:dyDescent="0.2">
      <c r="A3986" s="46"/>
      <c r="B3986" s="46"/>
      <c r="C3986" s="46"/>
      <c r="D3986" s="48"/>
      <c r="E3986" s="48"/>
      <c r="F3986" s="48"/>
      <c r="G3986" s="48"/>
      <c r="H3986" s="48"/>
      <c r="I3986" s="48"/>
    </row>
    <row r="3987" spans="1:9" hidden="1" x14ac:dyDescent="0.2">
      <c r="A3987" s="46"/>
      <c r="B3987" s="46"/>
      <c r="C3987" s="46"/>
      <c r="D3987" s="48"/>
      <c r="E3987" s="48"/>
      <c r="F3987" s="48"/>
      <c r="G3987" s="48"/>
      <c r="H3987" s="48"/>
      <c r="I3987" s="48"/>
    </row>
    <row r="3988" spans="1:9" hidden="1" x14ac:dyDescent="0.2">
      <c r="A3988" s="46"/>
      <c r="B3988" s="46"/>
      <c r="C3988" s="46"/>
      <c r="D3988" s="48"/>
      <c r="E3988" s="48"/>
      <c r="F3988" s="48"/>
      <c r="G3988" s="48"/>
      <c r="H3988" s="48"/>
      <c r="I3988" s="48"/>
    </row>
    <row r="3989" spans="1:9" hidden="1" x14ac:dyDescent="0.2">
      <c r="A3989" s="46"/>
      <c r="B3989" s="46"/>
      <c r="C3989" s="46"/>
      <c r="D3989" s="48"/>
      <c r="E3989" s="48"/>
      <c r="F3989" s="48"/>
      <c r="G3989" s="48"/>
      <c r="H3989" s="48"/>
      <c r="I3989" s="48"/>
    </row>
    <row r="3990" spans="1:9" hidden="1" x14ac:dyDescent="0.2">
      <c r="A3990" s="46"/>
      <c r="B3990" s="46"/>
      <c r="C3990" s="46"/>
      <c r="D3990" s="48"/>
      <c r="E3990" s="48"/>
      <c r="F3990" s="48"/>
      <c r="G3990" s="48"/>
      <c r="H3990" s="48"/>
      <c r="I3990" s="48"/>
    </row>
    <row r="3991" spans="1:9" hidden="1" x14ac:dyDescent="0.2">
      <c r="A3991" s="46"/>
      <c r="B3991" s="46"/>
      <c r="C3991" s="46"/>
      <c r="D3991" s="48"/>
      <c r="E3991" s="48"/>
      <c r="F3991" s="48"/>
      <c r="G3991" s="48"/>
      <c r="H3991" s="48"/>
      <c r="I3991" s="48"/>
    </row>
    <row r="3992" spans="1:9" hidden="1" x14ac:dyDescent="0.2">
      <c r="A3992" s="46"/>
      <c r="B3992" s="46"/>
      <c r="C3992" s="46"/>
      <c r="D3992" s="48"/>
      <c r="E3992" s="48"/>
      <c r="F3992" s="48"/>
      <c r="G3992" s="48"/>
      <c r="H3992" s="48"/>
      <c r="I3992" s="48"/>
    </row>
    <row r="3993" spans="1:9" hidden="1" x14ac:dyDescent="0.2">
      <c r="A3993" s="46"/>
      <c r="B3993" s="46"/>
      <c r="C3993" s="46"/>
      <c r="D3993" s="48"/>
      <c r="E3993" s="48"/>
      <c r="F3993" s="48"/>
      <c r="G3993" s="48"/>
      <c r="H3993" s="48"/>
      <c r="I3993" s="48"/>
    </row>
    <row r="3994" spans="1:9" hidden="1" x14ac:dyDescent="0.2">
      <c r="A3994" s="46"/>
      <c r="B3994" s="46"/>
      <c r="C3994" s="46"/>
      <c r="D3994" s="48"/>
      <c r="E3994" s="48"/>
      <c r="F3994" s="48"/>
      <c r="G3994" s="48"/>
      <c r="H3994" s="48"/>
      <c r="I3994" s="48"/>
    </row>
    <row r="3995" spans="1:9" hidden="1" x14ac:dyDescent="0.2">
      <c r="A3995" s="46"/>
      <c r="B3995" s="46"/>
      <c r="C3995" s="46"/>
      <c r="D3995" s="48"/>
      <c r="E3995" s="48"/>
      <c r="F3995" s="48"/>
      <c r="G3995" s="48"/>
      <c r="H3995" s="48"/>
      <c r="I3995" s="48"/>
    </row>
    <row r="3996" spans="1:9" hidden="1" x14ac:dyDescent="0.2">
      <c r="A3996" s="46"/>
      <c r="B3996" s="46"/>
      <c r="C3996" s="46"/>
      <c r="D3996" s="48"/>
      <c r="E3996" s="48"/>
      <c r="F3996" s="48"/>
      <c r="G3996" s="48"/>
      <c r="H3996" s="48"/>
      <c r="I3996" s="48"/>
    </row>
    <row r="3997" spans="1:9" hidden="1" x14ac:dyDescent="0.2">
      <c r="A3997" s="46"/>
      <c r="B3997" s="46"/>
      <c r="C3997" s="46"/>
      <c r="D3997" s="48"/>
      <c r="E3997" s="48"/>
      <c r="F3997" s="48"/>
      <c r="G3997" s="48"/>
      <c r="H3997" s="48"/>
      <c r="I3997" s="48"/>
    </row>
    <row r="3998" spans="1:9" hidden="1" x14ac:dyDescent="0.2">
      <c r="A3998" s="46"/>
      <c r="B3998" s="46"/>
      <c r="C3998" s="46"/>
      <c r="D3998" s="48"/>
      <c r="E3998" s="48"/>
      <c r="F3998" s="48"/>
      <c r="G3998" s="48"/>
      <c r="H3998" s="48"/>
      <c r="I3998" s="48"/>
    </row>
    <row r="3999" spans="1:9" hidden="1" x14ac:dyDescent="0.2">
      <c r="A3999" s="46"/>
      <c r="B3999" s="46"/>
      <c r="C3999" s="46"/>
      <c r="D3999" s="48"/>
      <c r="E3999" s="48"/>
      <c r="F3999" s="48"/>
      <c r="G3999" s="48"/>
      <c r="H3999" s="48"/>
      <c r="I3999" s="48"/>
    </row>
    <row r="4000" spans="1:9" hidden="1" x14ac:dyDescent="0.2">
      <c r="A4000" s="46"/>
      <c r="B4000" s="46"/>
      <c r="C4000" s="46"/>
      <c r="D4000" s="48"/>
      <c r="E4000" s="48"/>
      <c r="F4000" s="48"/>
      <c r="G4000" s="48"/>
      <c r="H4000" s="48"/>
      <c r="I4000" s="48"/>
    </row>
    <row r="4001" spans="1:9" hidden="1" x14ac:dyDescent="0.2">
      <c r="A4001" s="46"/>
      <c r="B4001" s="46"/>
      <c r="C4001" s="46"/>
      <c r="D4001" s="48"/>
      <c r="E4001" s="48"/>
      <c r="F4001" s="48"/>
      <c r="G4001" s="48"/>
      <c r="H4001" s="48"/>
      <c r="I4001" s="48"/>
    </row>
    <row r="4002" spans="1:9" hidden="1" x14ac:dyDescent="0.2">
      <c r="A4002" s="46"/>
      <c r="B4002" s="46"/>
      <c r="C4002" s="46"/>
      <c r="D4002" s="48"/>
      <c r="E4002" s="48"/>
      <c r="F4002" s="48"/>
      <c r="G4002" s="48"/>
      <c r="H4002" s="48"/>
      <c r="I4002" s="48"/>
    </row>
    <row r="4003" spans="1:9" hidden="1" x14ac:dyDescent="0.2">
      <c r="A4003" s="46"/>
      <c r="B4003" s="46"/>
      <c r="C4003" s="46"/>
      <c r="D4003" s="48"/>
      <c r="E4003" s="48"/>
      <c r="F4003" s="48"/>
      <c r="G4003" s="48"/>
      <c r="H4003" s="48"/>
      <c r="I4003" s="48"/>
    </row>
    <row r="4004" spans="1:9" hidden="1" x14ac:dyDescent="0.2">
      <c r="A4004" s="46"/>
      <c r="B4004" s="46"/>
      <c r="C4004" s="46"/>
      <c r="D4004" s="48"/>
      <c r="E4004" s="48"/>
      <c r="F4004" s="48"/>
      <c r="G4004" s="48"/>
      <c r="H4004" s="48"/>
      <c r="I4004" s="48"/>
    </row>
    <row r="4005" spans="1:9" hidden="1" x14ac:dyDescent="0.2">
      <c r="A4005" s="46"/>
      <c r="B4005" s="46"/>
      <c r="C4005" s="46"/>
      <c r="D4005" s="48"/>
      <c r="E4005" s="48"/>
      <c r="F4005" s="48"/>
      <c r="G4005" s="48"/>
      <c r="H4005" s="48"/>
      <c r="I4005" s="48"/>
    </row>
    <row r="4006" spans="1:9" hidden="1" x14ac:dyDescent="0.2">
      <c r="A4006" s="46"/>
      <c r="B4006" s="46"/>
      <c r="C4006" s="46"/>
      <c r="D4006" s="48"/>
      <c r="E4006" s="48"/>
      <c r="F4006" s="48"/>
      <c r="G4006" s="48"/>
      <c r="H4006" s="48"/>
      <c r="I4006" s="48"/>
    </row>
    <row r="4007" spans="1:9" hidden="1" x14ac:dyDescent="0.2">
      <c r="A4007" s="46"/>
      <c r="B4007" s="46"/>
      <c r="C4007" s="46"/>
      <c r="D4007" s="48"/>
      <c r="E4007" s="48"/>
      <c r="F4007" s="48"/>
      <c r="G4007" s="48"/>
      <c r="H4007" s="48"/>
      <c r="I4007" s="48"/>
    </row>
    <row r="4008" spans="1:9" hidden="1" x14ac:dyDescent="0.2">
      <c r="A4008" s="46"/>
      <c r="B4008" s="46"/>
      <c r="C4008" s="46"/>
      <c r="D4008" s="48"/>
      <c r="E4008" s="48"/>
      <c r="F4008" s="48"/>
      <c r="G4008" s="48"/>
      <c r="H4008" s="48"/>
      <c r="I4008" s="48"/>
    </row>
    <row r="4009" spans="1:9" hidden="1" x14ac:dyDescent="0.2">
      <c r="A4009" s="46"/>
      <c r="B4009" s="46"/>
      <c r="C4009" s="46"/>
      <c r="D4009" s="48"/>
      <c r="E4009" s="48"/>
      <c r="F4009" s="48"/>
      <c r="G4009" s="48"/>
      <c r="H4009" s="48"/>
      <c r="I4009" s="48"/>
    </row>
    <row r="4010" spans="1:9" hidden="1" x14ac:dyDescent="0.2">
      <c r="A4010" s="46"/>
      <c r="B4010" s="46"/>
      <c r="C4010" s="46"/>
      <c r="D4010" s="48"/>
      <c r="E4010" s="48"/>
      <c r="F4010" s="48"/>
      <c r="G4010" s="48"/>
      <c r="H4010" s="48"/>
      <c r="I4010" s="48"/>
    </row>
    <row r="4011" spans="1:9" hidden="1" x14ac:dyDescent="0.2">
      <c r="A4011" s="46"/>
      <c r="B4011" s="46"/>
      <c r="C4011" s="46"/>
      <c r="D4011" s="48"/>
      <c r="E4011" s="48"/>
      <c r="F4011" s="48"/>
      <c r="G4011" s="48"/>
      <c r="H4011" s="48"/>
      <c r="I4011" s="48"/>
    </row>
    <row r="4012" spans="1:9" hidden="1" x14ac:dyDescent="0.2">
      <c r="A4012" s="46"/>
      <c r="B4012" s="46"/>
      <c r="C4012" s="46"/>
      <c r="D4012" s="48"/>
      <c r="E4012" s="48"/>
      <c r="F4012" s="48"/>
      <c r="G4012" s="48"/>
      <c r="H4012" s="48"/>
      <c r="I4012" s="48"/>
    </row>
    <row r="4013" spans="1:9" hidden="1" x14ac:dyDescent="0.2">
      <c r="A4013" s="46"/>
      <c r="B4013" s="46"/>
      <c r="C4013" s="46"/>
      <c r="D4013" s="48"/>
      <c r="E4013" s="48"/>
      <c r="F4013" s="48"/>
      <c r="G4013" s="48"/>
      <c r="H4013" s="48"/>
      <c r="I4013" s="48"/>
    </row>
    <row r="4014" spans="1:9" hidden="1" x14ac:dyDescent="0.2">
      <c r="A4014" s="46"/>
      <c r="B4014" s="46"/>
      <c r="C4014" s="46"/>
      <c r="D4014" s="48"/>
      <c r="E4014" s="48"/>
      <c r="F4014" s="48"/>
      <c r="G4014" s="48"/>
      <c r="H4014" s="48"/>
      <c r="I4014" s="48"/>
    </row>
    <row r="4015" spans="1:9" hidden="1" x14ac:dyDescent="0.2">
      <c r="A4015" s="46"/>
      <c r="B4015" s="46"/>
      <c r="C4015" s="46"/>
      <c r="D4015" s="48"/>
      <c r="E4015" s="48"/>
      <c r="F4015" s="48"/>
      <c r="G4015" s="48"/>
      <c r="H4015" s="48"/>
      <c r="I4015" s="48"/>
    </row>
    <row r="4016" spans="1:9" hidden="1" x14ac:dyDescent="0.2">
      <c r="A4016" s="46"/>
      <c r="B4016" s="46"/>
      <c r="C4016" s="46"/>
      <c r="D4016" s="48"/>
      <c r="E4016" s="48"/>
      <c r="F4016" s="48"/>
      <c r="G4016" s="48"/>
      <c r="H4016" s="48"/>
      <c r="I4016" s="48"/>
    </row>
    <row r="4017" spans="1:9" hidden="1" x14ac:dyDescent="0.2">
      <c r="A4017" s="46"/>
      <c r="B4017" s="46"/>
      <c r="C4017" s="46"/>
      <c r="D4017" s="48"/>
      <c r="E4017" s="48"/>
      <c r="F4017" s="48"/>
      <c r="G4017" s="48"/>
      <c r="H4017" s="48"/>
      <c r="I4017" s="48"/>
    </row>
    <row r="4018" spans="1:9" hidden="1" x14ac:dyDescent="0.2">
      <c r="A4018" s="46"/>
      <c r="B4018" s="46"/>
      <c r="C4018" s="46"/>
      <c r="D4018" s="48"/>
      <c r="E4018" s="48"/>
      <c r="F4018" s="48"/>
      <c r="G4018" s="48"/>
      <c r="H4018" s="48"/>
      <c r="I4018" s="48"/>
    </row>
    <row r="4019" spans="1:9" hidden="1" x14ac:dyDescent="0.2">
      <c r="A4019" s="46"/>
      <c r="B4019" s="46"/>
      <c r="C4019" s="46"/>
      <c r="D4019" s="48"/>
      <c r="E4019" s="48"/>
      <c r="F4019" s="48"/>
      <c r="G4019" s="48"/>
      <c r="H4019" s="48"/>
      <c r="I4019" s="48"/>
    </row>
    <row r="4020" spans="1:9" hidden="1" x14ac:dyDescent="0.2">
      <c r="A4020" s="46"/>
      <c r="B4020" s="46"/>
      <c r="C4020" s="46"/>
      <c r="D4020" s="48"/>
      <c r="E4020" s="48"/>
      <c r="F4020" s="48"/>
      <c r="G4020" s="48"/>
      <c r="H4020" s="48"/>
      <c r="I4020" s="48"/>
    </row>
    <row r="4021" spans="1:9" hidden="1" x14ac:dyDescent="0.2">
      <c r="A4021" s="46"/>
      <c r="B4021" s="46"/>
      <c r="C4021" s="46"/>
      <c r="D4021" s="48"/>
      <c r="E4021" s="48"/>
      <c r="F4021" s="48"/>
      <c r="G4021" s="48"/>
      <c r="H4021" s="48"/>
      <c r="I4021" s="48"/>
    </row>
    <row r="4022" spans="1:9" hidden="1" x14ac:dyDescent="0.2">
      <c r="A4022" s="46"/>
      <c r="B4022" s="46"/>
      <c r="C4022" s="46"/>
      <c r="D4022" s="48"/>
      <c r="E4022" s="48"/>
      <c r="F4022" s="48"/>
      <c r="G4022" s="48"/>
      <c r="H4022" s="48"/>
      <c r="I4022" s="48"/>
    </row>
    <row r="4023" spans="1:9" hidden="1" x14ac:dyDescent="0.2">
      <c r="A4023" s="46"/>
      <c r="B4023" s="46"/>
      <c r="C4023" s="46"/>
      <c r="D4023" s="48"/>
      <c r="E4023" s="48"/>
      <c r="F4023" s="48"/>
      <c r="G4023" s="48"/>
      <c r="H4023" s="48"/>
      <c r="I4023" s="48"/>
    </row>
    <row r="4024" spans="1:9" hidden="1" x14ac:dyDescent="0.2">
      <c r="A4024" s="46"/>
      <c r="B4024" s="46"/>
      <c r="C4024" s="46"/>
      <c r="D4024" s="48"/>
      <c r="E4024" s="48"/>
      <c r="F4024" s="48"/>
      <c r="G4024" s="48"/>
      <c r="H4024" s="48"/>
      <c r="I4024" s="48"/>
    </row>
    <row r="4025" spans="1:9" hidden="1" x14ac:dyDescent="0.2">
      <c r="A4025" s="46"/>
      <c r="B4025" s="46"/>
      <c r="C4025" s="46"/>
      <c r="D4025" s="48"/>
      <c r="E4025" s="48"/>
      <c r="F4025" s="48"/>
      <c r="G4025" s="48"/>
      <c r="H4025" s="48"/>
      <c r="I4025" s="48"/>
    </row>
    <row r="4026" spans="1:9" hidden="1" x14ac:dyDescent="0.2">
      <c r="A4026" s="46"/>
      <c r="B4026" s="46"/>
      <c r="C4026" s="46"/>
      <c r="D4026" s="48"/>
      <c r="E4026" s="48"/>
      <c r="F4026" s="48"/>
      <c r="G4026" s="48"/>
      <c r="H4026" s="48"/>
      <c r="I4026" s="48"/>
    </row>
    <row r="4027" spans="1:9" hidden="1" x14ac:dyDescent="0.2">
      <c r="A4027" s="46"/>
      <c r="B4027" s="46"/>
      <c r="C4027" s="46"/>
      <c r="D4027" s="48"/>
      <c r="E4027" s="48"/>
      <c r="F4027" s="48"/>
      <c r="G4027" s="48"/>
      <c r="H4027" s="48"/>
      <c r="I4027" s="48"/>
    </row>
    <row r="4028" spans="1:9" hidden="1" x14ac:dyDescent="0.2">
      <c r="A4028" s="46"/>
      <c r="B4028" s="46"/>
      <c r="C4028" s="46"/>
      <c r="D4028" s="48"/>
      <c r="E4028" s="48"/>
      <c r="F4028" s="48"/>
      <c r="G4028" s="48"/>
      <c r="H4028" s="48"/>
      <c r="I4028" s="48"/>
    </row>
    <row r="4029" spans="1:9" hidden="1" x14ac:dyDescent="0.2">
      <c r="A4029" s="46"/>
      <c r="B4029" s="46"/>
      <c r="C4029" s="46"/>
      <c r="D4029" s="48"/>
      <c r="E4029" s="48"/>
      <c r="F4029" s="48"/>
      <c r="G4029" s="48"/>
      <c r="H4029" s="48"/>
      <c r="I4029" s="48"/>
    </row>
    <row r="4030" spans="1:9" hidden="1" x14ac:dyDescent="0.2">
      <c r="A4030" s="46"/>
      <c r="B4030" s="46"/>
      <c r="C4030" s="46"/>
      <c r="D4030" s="48"/>
      <c r="E4030" s="48"/>
      <c r="F4030" s="48"/>
      <c r="G4030" s="48"/>
      <c r="H4030" s="48"/>
      <c r="I4030" s="48"/>
    </row>
    <row r="4031" spans="1:9" hidden="1" x14ac:dyDescent="0.2">
      <c r="A4031" s="46"/>
      <c r="B4031" s="46"/>
      <c r="C4031" s="46"/>
      <c r="D4031" s="48"/>
      <c r="E4031" s="48"/>
      <c r="F4031" s="48"/>
      <c r="G4031" s="48"/>
      <c r="H4031" s="48"/>
      <c r="I4031" s="48"/>
    </row>
    <row r="4032" spans="1:9" hidden="1" x14ac:dyDescent="0.2">
      <c r="A4032" s="46"/>
      <c r="B4032" s="46"/>
      <c r="C4032" s="46"/>
      <c r="D4032" s="48"/>
      <c r="E4032" s="48"/>
      <c r="F4032" s="48"/>
      <c r="G4032" s="48"/>
      <c r="H4032" s="48"/>
      <c r="I4032" s="48"/>
    </row>
    <row r="4033" spans="1:9" hidden="1" x14ac:dyDescent="0.2">
      <c r="A4033" s="46"/>
      <c r="B4033" s="46"/>
      <c r="C4033" s="46"/>
      <c r="D4033" s="48"/>
      <c r="E4033" s="48"/>
      <c r="F4033" s="48"/>
      <c r="G4033" s="48"/>
      <c r="H4033" s="48"/>
      <c r="I4033" s="48"/>
    </row>
    <row r="4034" spans="1:9" hidden="1" x14ac:dyDescent="0.2">
      <c r="A4034" s="46"/>
      <c r="B4034" s="46"/>
      <c r="C4034" s="46"/>
      <c r="D4034" s="48"/>
      <c r="E4034" s="48"/>
      <c r="F4034" s="48"/>
      <c r="G4034" s="48"/>
      <c r="H4034" s="48"/>
      <c r="I4034" s="48"/>
    </row>
    <row r="4035" spans="1:9" hidden="1" x14ac:dyDescent="0.2">
      <c r="A4035" s="46"/>
      <c r="B4035" s="46"/>
      <c r="C4035" s="46"/>
      <c r="D4035" s="48"/>
      <c r="E4035" s="48"/>
      <c r="F4035" s="48"/>
      <c r="G4035" s="48"/>
      <c r="H4035" s="48"/>
      <c r="I4035" s="48"/>
    </row>
    <row r="4036" spans="1:9" hidden="1" x14ac:dyDescent="0.2">
      <c r="A4036" s="46"/>
      <c r="B4036" s="46"/>
      <c r="C4036" s="46"/>
      <c r="D4036" s="48"/>
      <c r="E4036" s="48"/>
      <c r="F4036" s="48"/>
      <c r="G4036" s="48"/>
      <c r="H4036" s="48"/>
      <c r="I4036" s="48"/>
    </row>
    <row r="4037" spans="1:9" hidden="1" x14ac:dyDescent="0.2">
      <c r="A4037" s="46"/>
      <c r="B4037" s="46"/>
      <c r="C4037" s="46"/>
      <c r="D4037" s="48"/>
      <c r="E4037" s="48"/>
      <c r="F4037" s="48"/>
      <c r="G4037" s="48"/>
      <c r="H4037" s="48"/>
      <c r="I4037" s="48"/>
    </row>
    <row r="4038" spans="1:9" hidden="1" x14ac:dyDescent="0.2">
      <c r="A4038" s="46"/>
      <c r="B4038" s="46"/>
      <c r="C4038" s="46"/>
      <c r="D4038" s="48"/>
      <c r="E4038" s="48"/>
      <c r="F4038" s="48"/>
      <c r="G4038" s="48"/>
      <c r="H4038" s="48"/>
      <c r="I4038" s="48"/>
    </row>
    <row r="4039" spans="1:9" hidden="1" x14ac:dyDescent="0.2">
      <c r="A4039" s="46"/>
      <c r="B4039" s="46"/>
      <c r="C4039" s="46"/>
      <c r="D4039" s="48"/>
      <c r="E4039" s="48"/>
      <c r="F4039" s="48"/>
      <c r="G4039" s="48"/>
      <c r="H4039" s="48"/>
      <c r="I4039" s="48"/>
    </row>
    <row r="4040" spans="1:9" hidden="1" x14ac:dyDescent="0.2">
      <c r="A4040" s="46"/>
      <c r="B4040" s="46"/>
      <c r="C4040" s="46"/>
      <c r="D4040" s="48"/>
      <c r="E4040" s="48"/>
      <c r="F4040" s="48"/>
      <c r="G4040" s="48"/>
      <c r="H4040" s="48"/>
      <c r="I4040" s="48"/>
    </row>
    <row r="4041" spans="1:9" hidden="1" x14ac:dyDescent="0.2">
      <c r="A4041" s="46"/>
      <c r="B4041" s="46"/>
      <c r="C4041" s="46"/>
      <c r="D4041" s="48"/>
      <c r="E4041" s="48"/>
      <c r="F4041" s="48"/>
      <c r="G4041" s="48"/>
      <c r="H4041" s="48"/>
      <c r="I4041" s="48"/>
    </row>
    <row r="4042" spans="1:9" hidden="1" x14ac:dyDescent="0.2">
      <c r="A4042" s="46"/>
      <c r="B4042" s="46"/>
      <c r="C4042" s="46"/>
      <c r="D4042" s="48"/>
      <c r="E4042" s="48"/>
      <c r="F4042" s="48"/>
      <c r="G4042" s="48"/>
      <c r="H4042" s="48"/>
      <c r="I4042" s="48"/>
    </row>
    <row r="4043" spans="1:9" hidden="1" x14ac:dyDescent="0.2">
      <c r="A4043" s="46"/>
      <c r="B4043" s="46"/>
      <c r="C4043" s="46"/>
      <c r="D4043" s="48"/>
      <c r="E4043" s="48"/>
      <c r="F4043" s="48"/>
      <c r="G4043" s="48"/>
      <c r="H4043" s="48"/>
      <c r="I4043" s="48"/>
    </row>
    <row r="4044" spans="1:9" hidden="1" x14ac:dyDescent="0.2">
      <c r="A4044" s="46"/>
      <c r="B4044" s="46"/>
      <c r="C4044" s="46"/>
      <c r="D4044" s="48"/>
      <c r="E4044" s="48"/>
      <c r="F4044" s="48"/>
      <c r="G4044" s="48"/>
      <c r="H4044" s="48"/>
      <c r="I4044" s="48"/>
    </row>
    <row r="4045" spans="1:9" hidden="1" x14ac:dyDescent="0.2">
      <c r="A4045" s="46"/>
      <c r="B4045" s="46"/>
      <c r="C4045" s="46"/>
      <c r="D4045" s="48"/>
      <c r="E4045" s="48"/>
      <c r="F4045" s="48"/>
      <c r="G4045" s="48"/>
      <c r="H4045" s="48"/>
      <c r="I4045" s="48"/>
    </row>
    <row r="4046" spans="1:9" hidden="1" x14ac:dyDescent="0.2">
      <c r="A4046" s="46"/>
      <c r="B4046" s="46"/>
      <c r="C4046" s="46"/>
      <c r="D4046" s="48"/>
      <c r="E4046" s="48"/>
      <c r="F4046" s="48"/>
      <c r="G4046" s="48"/>
      <c r="H4046" s="48"/>
      <c r="I4046" s="48"/>
    </row>
    <row r="4047" spans="1:9" hidden="1" x14ac:dyDescent="0.2">
      <c r="A4047" s="46"/>
      <c r="B4047" s="46"/>
      <c r="C4047" s="46"/>
      <c r="D4047" s="48"/>
      <c r="E4047" s="48"/>
      <c r="F4047" s="48"/>
      <c r="G4047" s="48"/>
      <c r="H4047" s="48"/>
      <c r="I4047" s="48"/>
    </row>
    <row r="4048" spans="1:9" hidden="1" x14ac:dyDescent="0.2">
      <c r="A4048" s="46"/>
      <c r="B4048" s="46"/>
      <c r="C4048" s="46"/>
      <c r="D4048" s="48"/>
      <c r="E4048" s="48"/>
      <c r="F4048" s="48"/>
      <c r="G4048" s="48"/>
      <c r="H4048" s="48"/>
      <c r="I4048" s="48"/>
    </row>
    <row r="4049" spans="1:9" hidden="1" x14ac:dyDescent="0.2">
      <c r="A4049" s="46"/>
      <c r="B4049" s="46"/>
      <c r="C4049" s="46"/>
      <c r="D4049" s="48"/>
      <c r="E4049" s="48"/>
      <c r="F4049" s="48"/>
      <c r="G4049" s="48"/>
      <c r="H4049" s="48"/>
      <c r="I4049" s="48"/>
    </row>
    <row r="4050" spans="1:9" hidden="1" x14ac:dyDescent="0.2">
      <c r="A4050" s="46"/>
      <c r="B4050" s="46"/>
      <c r="C4050" s="46"/>
      <c r="D4050" s="48"/>
      <c r="E4050" s="48"/>
      <c r="F4050" s="48"/>
      <c r="G4050" s="48"/>
      <c r="H4050" s="48"/>
      <c r="I4050" s="48"/>
    </row>
    <row r="4051" spans="1:9" hidden="1" x14ac:dyDescent="0.2">
      <c r="A4051" s="46"/>
      <c r="B4051" s="46"/>
      <c r="C4051" s="46"/>
      <c r="D4051" s="48"/>
      <c r="E4051" s="48"/>
      <c r="F4051" s="48"/>
      <c r="G4051" s="48"/>
      <c r="H4051" s="48"/>
      <c r="I4051" s="48"/>
    </row>
    <row r="4052" spans="1:9" hidden="1" x14ac:dyDescent="0.2">
      <c r="A4052" s="46"/>
      <c r="B4052" s="46"/>
      <c r="C4052" s="46"/>
      <c r="D4052" s="48"/>
      <c r="E4052" s="48"/>
      <c r="F4052" s="48"/>
      <c r="G4052" s="48"/>
      <c r="H4052" s="48"/>
      <c r="I4052" s="48"/>
    </row>
    <row r="4053" spans="1:9" hidden="1" x14ac:dyDescent="0.2">
      <c r="A4053" s="46"/>
      <c r="B4053" s="46"/>
      <c r="C4053" s="46"/>
      <c r="D4053" s="48"/>
      <c r="E4053" s="48"/>
      <c r="F4053" s="48"/>
      <c r="G4053" s="48"/>
      <c r="H4053" s="48"/>
      <c r="I4053" s="48"/>
    </row>
    <row r="4054" spans="1:9" hidden="1" x14ac:dyDescent="0.2">
      <c r="A4054" s="46"/>
      <c r="B4054" s="46"/>
      <c r="C4054" s="46"/>
      <c r="D4054" s="48"/>
      <c r="E4054" s="48"/>
      <c r="F4054" s="48"/>
      <c r="G4054" s="48"/>
      <c r="H4054" s="48"/>
      <c r="I4054" s="48"/>
    </row>
    <row r="4055" spans="1:9" hidden="1" x14ac:dyDescent="0.2">
      <c r="A4055" s="46"/>
      <c r="B4055" s="46"/>
      <c r="C4055" s="46"/>
      <c r="D4055" s="48"/>
      <c r="E4055" s="48"/>
      <c r="F4055" s="48"/>
      <c r="G4055" s="48"/>
      <c r="H4055" s="48"/>
      <c r="I4055" s="48"/>
    </row>
    <row r="4056" spans="1:9" hidden="1" x14ac:dyDescent="0.2">
      <c r="A4056" s="46"/>
      <c r="B4056" s="46"/>
      <c r="C4056" s="46"/>
      <c r="D4056" s="48"/>
      <c r="E4056" s="48"/>
      <c r="F4056" s="48"/>
      <c r="G4056" s="48"/>
      <c r="H4056" s="48"/>
      <c r="I4056" s="48"/>
    </row>
    <row r="4057" spans="1:9" hidden="1" x14ac:dyDescent="0.2">
      <c r="A4057" s="46"/>
      <c r="B4057" s="46"/>
      <c r="C4057" s="46"/>
      <c r="D4057" s="48"/>
      <c r="E4057" s="48"/>
      <c r="F4057" s="48"/>
      <c r="G4057" s="48"/>
      <c r="H4057" s="48"/>
      <c r="I4057" s="48"/>
    </row>
    <row r="4058" spans="1:9" hidden="1" x14ac:dyDescent="0.2">
      <c r="A4058" s="46"/>
      <c r="B4058" s="46"/>
      <c r="C4058" s="46"/>
      <c r="D4058" s="48"/>
      <c r="E4058" s="48"/>
      <c r="F4058" s="48"/>
      <c r="G4058" s="48"/>
      <c r="H4058" s="48"/>
      <c r="I4058" s="48"/>
    </row>
    <row r="4059" spans="1:9" hidden="1" x14ac:dyDescent="0.2">
      <c r="A4059" s="46"/>
      <c r="B4059" s="46"/>
      <c r="C4059" s="46"/>
      <c r="D4059" s="48"/>
      <c r="E4059" s="48"/>
      <c r="F4059" s="48"/>
      <c r="G4059" s="48"/>
      <c r="H4059" s="48"/>
      <c r="I4059" s="48"/>
    </row>
    <row r="4060" spans="1:9" hidden="1" x14ac:dyDescent="0.2">
      <c r="A4060" s="46"/>
      <c r="B4060" s="46"/>
      <c r="C4060" s="46"/>
      <c r="D4060" s="48"/>
      <c r="E4060" s="48"/>
      <c r="F4060" s="48"/>
      <c r="G4060" s="48"/>
      <c r="H4060" s="48"/>
      <c r="I4060" s="48"/>
    </row>
    <row r="4061" spans="1:9" hidden="1" x14ac:dyDescent="0.2">
      <c r="A4061" s="46"/>
      <c r="B4061" s="46"/>
      <c r="C4061" s="46"/>
      <c r="D4061" s="48"/>
      <c r="E4061" s="48"/>
      <c r="F4061" s="48"/>
      <c r="G4061" s="48"/>
      <c r="H4061" s="48"/>
      <c r="I4061" s="48"/>
    </row>
    <row r="4062" spans="1:9" hidden="1" x14ac:dyDescent="0.2">
      <c r="A4062" s="46"/>
      <c r="B4062" s="46"/>
      <c r="C4062" s="46"/>
      <c r="D4062" s="48"/>
      <c r="E4062" s="48"/>
      <c r="F4062" s="48"/>
      <c r="G4062" s="48"/>
      <c r="H4062" s="48"/>
      <c r="I4062" s="48"/>
    </row>
    <row r="4063" spans="1:9" hidden="1" x14ac:dyDescent="0.2">
      <c r="A4063" s="46"/>
      <c r="B4063" s="46"/>
      <c r="C4063" s="46"/>
      <c r="D4063" s="48"/>
      <c r="E4063" s="48"/>
      <c r="F4063" s="48"/>
      <c r="G4063" s="48"/>
      <c r="H4063" s="48"/>
      <c r="I4063" s="48"/>
    </row>
    <row r="4064" spans="1:9" hidden="1" x14ac:dyDescent="0.2">
      <c r="A4064" s="46"/>
      <c r="B4064" s="46"/>
      <c r="C4064" s="46"/>
      <c r="D4064" s="48"/>
      <c r="E4064" s="48"/>
      <c r="F4064" s="48"/>
      <c r="G4064" s="48"/>
      <c r="H4064" s="48"/>
      <c r="I4064" s="48"/>
    </row>
    <row r="4065" spans="1:9" hidden="1" x14ac:dyDescent="0.2">
      <c r="A4065" s="46"/>
      <c r="B4065" s="46"/>
      <c r="C4065" s="46"/>
      <c r="D4065" s="48"/>
      <c r="E4065" s="48"/>
      <c r="F4065" s="48"/>
      <c r="G4065" s="48"/>
      <c r="H4065" s="48"/>
      <c r="I4065" s="48"/>
    </row>
    <row r="4066" spans="1:9" hidden="1" x14ac:dyDescent="0.2">
      <c r="A4066" s="46"/>
      <c r="B4066" s="46"/>
      <c r="C4066" s="46"/>
      <c r="D4066" s="48"/>
      <c r="E4066" s="48"/>
      <c r="F4066" s="48"/>
      <c r="G4066" s="48"/>
      <c r="H4066" s="48"/>
      <c r="I4066" s="48"/>
    </row>
    <row r="4067" spans="1:9" hidden="1" x14ac:dyDescent="0.2">
      <c r="A4067" s="46"/>
      <c r="B4067" s="46"/>
      <c r="C4067" s="46"/>
      <c r="D4067" s="48"/>
      <c r="E4067" s="48"/>
      <c r="F4067" s="48"/>
      <c r="G4067" s="48"/>
      <c r="H4067" s="48"/>
      <c r="I4067" s="48"/>
    </row>
    <row r="4068" spans="1:9" hidden="1" x14ac:dyDescent="0.2">
      <c r="A4068" s="46"/>
      <c r="B4068" s="46"/>
      <c r="C4068" s="46"/>
      <c r="D4068" s="48"/>
      <c r="E4068" s="48"/>
      <c r="F4068" s="48"/>
      <c r="G4068" s="48"/>
      <c r="H4068" s="48"/>
      <c r="I4068" s="48"/>
    </row>
    <row r="4069" spans="1:9" hidden="1" x14ac:dyDescent="0.2">
      <c r="A4069" s="46"/>
      <c r="B4069" s="46"/>
      <c r="C4069" s="46"/>
      <c r="D4069" s="48"/>
      <c r="E4069" s="48"/>
      <c r="F4069" s="48"/>
      <c r="G4069" s="48"/>
      <c r="H4069" s="48"/>
      <c r="I4069" s="48"/>
    </row>
    <row r="4070" spans="1:9" hidden="1" x14ac:dyDescent="0.2">
      <c r="A4070" s="46"/>
      <c r="B4070" s="46"/>
      <c r="C4070" s="46"/>
      <c r="D4070" s="48"/>
      <c r="E4070" s="48"/>
      <c r="F4070" s="48"/>
      <c r="G4070" s="48"/>
      <c r="H4070" s="48"/>
      <c r="I4070" s="48"/>
    </row>
    <row r="4071" spans="1:9" hidden="1" x14ac:dyDescent="0.2">
      <c r="A4071" s="46"/>
      <c r="B4071" s="46"/>
      <c r="C4071" s="46"/>
      <c r="D4071" s="48"/>
      <c r="E4071" s="48"/>
      <c r="F4071" s="48"/>
      <c r="G4071" s="48"/>
      <c r="H4071" s="48"/>
      <c r="I4071" s="48"/>
    </row>
    <row r="4072" spans="1:9" hidden="1" x14ac:dyDescent="0.2">
      <c r="A4072" s="46"/>
      <c r="B4072" s="46"/>
      <c r="C4072" s="46"/>
      <c r="D4072" s="48"/>
      <c r="E4072" s="48"/>
      <c r="F4072" s="48"/>
      <c r="G4072" s="48"/>
      <c r="H4072" s="48"/>
      <c r="I4072" s="48"/>
    </row>
    <row r="4073" spans="1:9" hidden="1" x14ac:dyDescent="0.2">
      <c r="A4073" s="46"/>
      <c r="B4073" s="46"/>
      <c r="C4073" s="46"/>
      <c r="D4073" s="48"/>
      <c r="E4073" s="48"/>
      <c r="F4073" s="48"/>
      <c r="G4073" s="48"/>
      <c r="H4073" s="48"/>
      <c r="I4073" s="48"/>
    </row>
    <row r="4074" spans="1:9" hidden="1" x14ac:dyDescent="0.2">
      <c r="A4074" s="46"/>
      <c r="B4074" s="46"/>
      <c r="C4074" s="46"/>
      <c r="D4074" s="48"/>
      <c r="E4074" s="48"/>
      <c r="F4074" s="48"/>
      <c r="G4074" s="48"/>
      <c r="H4074" s="48"/>
      <c r="I4074" s="48"/>
    </row>
    <row r="4075" spans="1:9" hidden="1" x14ac:dyDescent="0.2">
      <c r="A4075" s="46"/>
      <c r="B4075" s="46"/>
      <c r="C4075" s="46"/>
      <c r="D4075" s="48"/>
      <c r="E4075" s="48"/>
      <c r="F4075" s="48"/>
      <c r="G4075" s="48"/>
      <c r="H4075" s="48"/>
      <c r="I4075" s="48"/>
    </row>
    <row r="4076" spans="1:9" hidden="1" x14ac:dyDescent="0.2">
      <c r="A4076" s="46"/>
      <c r="B4076" s="46"/>
      <c r="C4076" s="46"/>
      <c r="D4076" s="48"/>
      <c r="E4076" s="48"/>
      <c r="F4076" s="48"/>
      <c r="G4076" s="48"/>
      <c r="H4076" s="48"/>
      <c r="I4076" s="48"/>
    </row>
    <row r="4077" spans="1:9" hidden="1" x14ac:dyDescent="0.2">
      <c r="A4077" s="46"/>
      <c r="B4077" s="46"/>
      <c r="C4077" s="46"/>
      <c r="D4077" s="48"/>
      <c r="E4077" s="48"/>
      <c r="F4077" s="48"/>
      <c r="G4077" s="48"/>
      <c r="H4077" s="48"/>
      <c r="I4077" s="48"/>
    </row>
    <row r="4078" spans="1:9" hidden="1" x14ac:dyDescent="0.2">
      <c r="A4078" s="46"/>
      <c r="B4078" s="46"/>
      <c r="C4078" s="46"/>
      <c r="D4078" s="48"/>
      <c r="E4078" s="48"/>
      <c r="F4078" s="48"/>
      <c r="G4078" s="48"/>
      <c r="H4078" s="48"/>
      <c r="I4078" s="48"/>
    </row>
    <row r="4079" spans="1:9" hidden="1" x14ac:dyDescent="0.2">
      <c r="A4079" s="46"/>
      <c r="B4079" s="46"/>
      <c r="C4079" s="46"/>
      <c r="D4079" s="48"/>
      <c r="E4079" s="48"/>
      <c r="F4079" s="48"/>
      <c r="G4079" s="48"/>
      <c r="H4079" s="48"/>
      <c r="I4079" s="48"/>
    </row>
    <row r="4080" spans="1:9" hidden="1" x14ac:dyDescent="0.2">
      <c r="A4080" s="46"/>
      <c r="B4080" s="46"/>
      <c r="C4080" s="46"/>
      <c r="D4080" s="48"/>
      <c r="E4080" s="48"/>
      <c r="F4080" s="48"/>
      <c r="G4080" s="48"/>
      <c r="H4080" s="48"/>
      <c r="I4080" s="48"/>
    </row>
    <row r="4081" spans="1:9" hidden="1" x14ac:dyDescent="0.2">
      <c r="A4081" s="46"/>
      <c r="B4081" s="46"/>
      <c r="C4081" s="46"/>
      <c r="D4081" s="48"/>
      <c r="E4081" s="48"/>
      <c r="F4081" s="48"/>
      <c r="G4081" s="48"/>
      <c r="H4081" s="48"/>
      <c r="I4081" s="48"/>
    </row>
    <row r="4082" spans="1:9" hidden="1" x14ac:dyDescent="0.2">
      <c r="A4082" s="46"/>
      <c r="B4082" s="46"/>
      <c r="C4082" s="46"/>
      <c r="D4082" s="48"/>
      <c r="E4082" s="48"/>
      <c r="F4082" s="48"/>
      <c r="G4082" s="48"/>
      <c r="H4082" s="48"/>
      <c r="I4082" s="48"/>
    </row>
    <row r="4083" spans="1:9" hidden="1" x14ac:dyDescent="0.2">
      <c r="A4083" s="46"/>
      <c r="B4083" s="46"/>
      <c r="C4083" s="46"/>
      <c r="D4083" s="48"/>
      <c r="E4083" s="48"/>
      <c r="F4083" s="48"/>
      <c r="G4083" s="48"/>
      <c r="H4083" s="48"/>
      <c r="I4083" s="48"/>
    </row>
    <row r="4084" spans="1:9" hidden="1" x14ac:dyDescent="0.2">
      <c r="A4084" s="46"/>
      <c r="B4084" s="46"/>
      <c r="C4084" s="46"/>
      <c r="D4084" s="48"/>
      <c r="E4084" s="48"/>
      <c r="F4084" s="48"/>
      <c r="G4084" s="48"/>
      <c r="H4084" s="48"/>
      <c r="I4084" s="48"/>
    </row>
    <row r="4085" spans="1:9" hidden="1" x14ac:dyDescent="0.2">
      <c r="A4085" s="46"/>
      <c r="B4085" s="46"/>
      <c r="C4085" s="46"/>
      <c r="D4085" s="48"/>
      <c r="E4085" s="48"/>
      <c r="F4085" s="48"/>
      <c r="G4085" s="48"/>
      <c r="H4085" s="48"/>
      <c r="I4085" s="48"/>
    </row>
    <row r="4086" spans="1:9" hidden="1" x14ac:dyDescent="0.2">
      <c r="A4086" s="46"/>
      <c r="B4086" s="46"/>
      <c r="C4086" s="46"/>
      <c r="D4086" s="48"/>
      <c r="E4086" s="48"/>
      <c r="F4086" s="48"/>
      <c r="G4086" s="48"/>
      <c r="H4086" s="48"/>
      <c r="I4086" s="48"/>
    </row>
    <row r="4087" spans="1:9" hidden="1" x14ac:dyDescent="0.2">
      <c r="A4087" s="46"/>
      <c r="B4087" s="46"/>
      <c r="C4087" s="46"/>
      <c r="D4087" s="48"/>
      <c r="E4087" s="48"/>
      <c r="F4087" s="48"/>
      <c r="G4087" s="48"/>
      <c r="H4087" s="48"/>
      <c r="I4087" s="48"/>
    </row>
    <row r="4088" spans="1:9" hidden="1" x14ac:dyDescent="0.2">
      <c r="A4088" s="46"/>
      <c r="B4088" s="46"/>
      <c r="C4088" s="46"/>
      <c r="D4088" s="48"/>
      <c r="E4088" s="48"/>
      <c r="F4088" s="48"/>
      <c r="G4088" s="48"/>
      <c r="H4088" s="48"/>
      <c r="I4088" s="48"/>
    </row>
    <row r="4089" spans="1:9" hidden="1" x14ac:dyDescent="0.2">
      <c r="A4089" s="46"/>
      <c r="B4089" s="46"/>
      <c r="C4089" s="46"/>
      <c r="D4089" s="48"/>
      <c r="E4089" s="48"/>
      <c r="F4089" s="48"/>
      <c r="G4089" s="48"/>
      <c r="H4089" s="48"/>
      <c r="I4089" s="48"/>
    </row>
    <row r="4090" spans="1:9" hidden="1" x14ac:dyDescent="0.2">
      <c r="A4090" s="46"/>
      <c r="B4090" s="46"/>
      <c r="C4090" s="46"/>
      <c r="D4090" s="48"/>
      <c r="E4090" s="48"/>
      <c r="F4090" s="48"/>
      <c r="G4090" s="48"/>
      <c r="H4090" s="48"/>
      <c r="I4090" s="48"/>
    </row>
    <row r="4091" spans="1:9" hidden="1" x14ac:dyDescent="0.2">
      <c r="A4091" s="46"/>
      <c r="B4091" s="46"/>
      <c r="C4091" s="46"/>
      <c r="D4091" s="48"/>
      <c r="E4091" s="48"/>
      <c r="F4091" s="48"/>
      <c r="G4091" s="48"/>
      <c r="H4091" s="48"/>
      <c r="I4091" s="48"/>
    </row>
    <row r="4092" spans="1:9" hidden="1" x14ac:dyDescent="0.2">
      <c r="A4092" s="46"/>
      <c r="B4092" s="46"/>
      <c r="C4092" s="46"/>
      <c r="D4092" s="48"/>
      <c r="E4092" s="48"/>
      <c r="F4092" s="48"/>
      <c r="G4092" s="48"/>
      <c r="H4092" s="48"/>
      <c r="I4092" s="48"/>
    </row>
    <row r="4093" spans="1:9" hidden="1" x14ac:dyDescent="0.2">
      <c r="A4093" s="46"/>
      <c r="B4093" s="46"/>
      <c r="C4093" s="46"/>
      <c r="D4093" s="48"/>
      <c r="E4093" s="48"/>
      <c r="F4093" s="48"/>
      <c r="G4093" s="48"/>
      <c r="H4093" s="48"/>
      <c r="I4093" s="48"/>
    </row>
    <row r="4094" spans="1:9" hidden="1" x14ac:dyDescent="0.2">
      <c r="A4094" s="46"/>
      <c r="B4094" s="46"/>
      <c r="C4094" s="46"/>
      <c r="D4094" s="48"/>
      <c r="E4094" s="48"/>
      <c r="F4094" s="48"/>
      <c r="G4094" s="48"/>
      <c r="H4094" s="48"/>
      <c r="I4094" s="48"/>
    </row>
    <row r="4095" spans="1:9" hidden="1" x14ac:dyDescent="0.2">
      <c r="A4095" s="46"/>
      <c r="B4095" s="46"/>
      <c r="C4095" s="46"/>
      <c r="D4095" s="48"/>
      <c r="E4095" s="48"/>
      <c r="F4095" s="48"/>
      <c r="G4095" s="48"/>
      <c r="H4095" s="48"/>
      <c r="I4095" s="48"/>
    </row>
    <row r="4096" spans="1:9" hidden="1" x14ac:dyDescent="0.2">
      <c r="A4096" s="46"/>
      <c r="B4096" s="46"/>
      <c r="C4096" s="46"/>
      <c r="D4096" s="48"/>
      <c r="E4096" s="48"/>
      <c r="F4096" s="48"/>
      <c r="G4096" s="48"/>
      <c r="H4096" s="48"/>
      <c r="I4096" s="48"/>
    </row>
    <row r="4097" spans="1:9" hidden="1" x14ac:dyDescent="0.2">
      <c r="A4097" s="46"/>
      <c r="B4097" s="46"/>
      <c r="C4097" s="46"/>
      <c r="D4097" s="48"/>
      <c r="E4097" s="48"/>
      <c r="F4097" s="48"/>
      <c r="G4097" s="48"/>
      <c r="H4097" s="48"/>
      <c r="I4097" s="48"/>
    </row>
    <row r="4098" spans="1:9" hidden="1" x14ac:dyDescent="0.2">
      <c r="A4098" s="46"/>
      <c r="B4098" s="46"/>
      <c r="C4098" s="46"/>
      <c r="D4098" s="48"/>
      <c r="E4098" s="48"/>
      <c r="F4098" s="48"/>
      <c r="G4098" s="48"/>
      <c r="H4098" s="48"/>
      <c r="I4098" s="48"/>
    </row>
    <row r="4099" spans="1:9" hidden="1" x14ac:dyDescent="0.2">
      <c r="A4099" s="46"/>
      <c r="B4099" s="46"/>
      <c r="C4099" s="46"/>
      <c r="D4099" s="48"/>
      <c r="E4099" s="48"/>
      <c r="F4099" s="48"/>
      <c r="G4099" s="48"/>
      <c r="H4099" s="48"/>
      <c r="I4099" s="48"/>
    </row>
    <row r="4100" spans="1:9" hidden="1" x14ac:dyDescent="0.2">
      <c r="A4100" s="46"/>
      <c r="B4100" s="46"/>
      <c r="C4100" s="46"/>
      <c r="D4100" s="48"/>
      <c r="E4100" s="48"/>
      <c r="F4100" s="48"/>
      <c r="G4100" s="48"/>
      <c r="H4100" s="48"/>
      <c r="I4100" s="48"/>
    </row>
    <row r="4101" spans="1:9" hidden="1" x14ac:dyDescent="0.2">
      <c r="A4101" s="46"/>
      <c r="B4101" s="46"/>
      <c r="C4101" s="46"/>
      <c r="D4101" s="48"/>
      <c r="E4101" s="48"/>
      <c r="F4101" s="48"/>
      <c r="G4101" s="48"/>
      <c r="H4101" s="48"/>
      <c r="I4101" s="48"/>
    </row>
    <row r="4102" spans="1:9" hidden="1" x14ac:dyDescent="0.2">
      <c r="A4102" s="46"/>
      <c r="B4102" s="46"/>
      <c r="C4102" s="46"/>
      <c r="D4102" s="48"/>
      <c r="E4102" s="48"/>
      <c r="F4102" s="48"/>
      <c r="G4102" s="48"/>
      <c r="H4102" s="48"/>
      <c r="I4102" s="48"/>
    </row>
    <row r="4103" spans="1:9" hidden="1" x14ac:dyDescent="0.2">
      <c r="A4103" s="46"/>
      <c r="B4103" s="46"/>
      <c r="C4103" s="46"/>
      <c r="D4103" s="48"/>
      <c r="E4103" s="48"/>
      <c r="F4103" s="48"/>
      <c r="G4103" s="48"/>
      <c r="H4103" s="48"/>
      <c r="I4103" s="48"/>
    </row>
    <row r="4104" spans="1:9" hidden="1" x14ac:dyDescent="0.2">
      <c r="A4104" s="46"/>
      <c r="B4104" s="46"/>
      <c r="C4104" s="46"/>
      <c r="D4104" s="48"/>
      <c r="E4104" s="48"/>
      <c r="F4104" s="48"/>
      <c r="G4104" s="48"/>
      <c r="H4104" s="48"/>
      <c r="I4104" s="48"/>
    </row>
    <row r="4105" spans="1:9" hidden="1" x14ac:dyDescent="0.2">
      <c r="A4105" s="46"/>
      <c r="B4105" s="46"/>
      <c r="C4105" s="46"/>
      <c r="D4105" s="48"/>
      <c r="E4105" s="48"/>
      <c r="F4105" s="48"/>
      <c r="G4105" s="48"/>
      <c r="H4105" s="48"/>
      <c r="I4105" s="48"/>
    </row>
    <row r="4106" spans="1:9" hidden="1" x14ac:dyDescent="0.2">
      <c r="A4106" s="46"/>
      <c r="B4106" s="46"/>
      <c r="C4106" s="46"/>
      <c r="D4106" s="48"/>
      <c r="E4106" s="48"/>
      <c r="F4106" s="48"/>
      <c r="G4106" s="48"/>
      <c r="H4106" s="48"/>
      <c r="I4106" s="48"/>
    </row>
    <row r="4107" spans="1:9" hidden="1" x14ac:dyDescent="0.2">
      <c r="A4107" s="46"/>
      <c r="B4107" s="46"/>
      <c r="C4107" s="46"/>
      <c r="D4107" s="48"/>
      <c r="E4107" s="48"/>
      <c r="F4107" s="48"/>
      <c r="G4107" s="48"/>
      <c r="H4107" s="48"/>
      <c r="I4107" s="48"/>
    </row>
    <row r="4108" spans="1:9" hidden="1" x14ac:dyDescent="0.2">
      <c r="A4108" s="46"/>
      <c r="B4108" s="46"/>
      <c r="C4108" s="46"/>
      <c r="D4108" s="48"/>
      <c r="E4108" s="48"/>
      <c r="F4108" s="48"/>
      <c r="G4108" s="48"/>
      <c r="H4108" s="48"/>
      <c r="I4108" s="48"/>
    </row>
    <row r="4109" spans="1:9" hidden="1" x14ac:dyDescent="0.2">
      <c r="A4109" s="46"/>
      <c r="B4109" s="46"/>
      <c r="C4109" s="46"/>
      <c r="D4109" s="48"/>
      <c r="E4109" s="48"/>
      <c r="F4109" s="48"/>
      <c r="G4109" s="48"/>
      <c r="H4109" s="48"/>
      <c r="I4109" s="48"/>
    </row>
    <row r="4110" spans="1:9" hidden="1" x14ac:dyDescent="0.2">
      <c r="A4110" s="46"/>
      <c r="B4110" s="46"/>
      <c r="C4110" s="46"/>
      <c r="D4110" s="48"/>
      <c r="E4110" s="48"/>
      <c r="F4110" s="48"/>
      <c r="G4110" s="48"/>
      <c r="H4110" s="48"/>
      <c r="I4110" s="48"/>
    </row>
    <row r="4111" spans="1:9" hidden="1" x14ac:dyDescent="0.2">
      <c r="A4111" s="46"/>
      <c r="B4111" s="46"/>
      <c r="C4111" s="46"/>
      <c r="D4111" s="48"/>
      <c r="E4111" s="48"/>
      <c r="F4111" s="48"/>
      <c r="G4111" s="48"/>
      <c r="H4111" s="48"/>
      <c r="I4111" s="48"/>
    </row>
    <row r="4112" spans="1:9" hidden="1" x14ac:dyDescent="0.2">
      <c r="A4112" s="46"/>
      <c r="B4112" s="46"/>
      <c r="C4112" s="46"/>
      <c r="D4112" s="48"/>
      <c r="E4112" s="48"/>
      <c r="F4112" s="48"/>
      <c r="G4112" s="48"/>
      <c r="H4112" s="48"/>
      <c r="I4112" s="48"/>
    </row>
    <row r="4113" spans="1:9" hidden="1" x14ac:dyDescent="0.2">
      <c r="A4113" s="46"/>
      <c r="B4113" s="46"/>
      <c r="C4113" s="46"/>
      <c r="D4113" s="48"/>
      <c r="E4113" s="48"/>
      <c r="F4113" s="48"/>
      <c r="G4113" s="48"/>
      <c r="H4113" s="48"/>
      <c r="I4113" s="48"/>
    </row>
    <row r="4114" spans="1:9" hidden="1" x14ac:dyDescent="0.2">
      <c r="A4114" s="46"/>
      <c r="B4114" s="46"/>
      <c r="C4114" s="46"/>
      <c r="D4114" s="48"/>
      <c r="E4114" s="48"/>
      <c r="F4114" s="48"/>
      <c r="G4114" s="48"/>
      <c r="H4114" s="48"/>
      <c r="I4114" s="48"/>
    </row>
    <row r="4115" spans="1:9" hidden="1" x14ac:dyDescent="0.2">
      <c r="A4115" s="46"/>
      <c r="B4115" s="46"/>
      <c r="C4115" s="46"/>
      <c r="D4115" s="48"/>
      <c r="E4115" s="48"/>
      <c r="F4115" s="48"/>
      <c r="G4115" s="48"/>
      <c r="H4115" s="48"/>
      <c r="I4115" s="48"/>
    </row>
    <row r="4116" spans="1:9" hidden="1" x14ac:dyDescent="0.2">
      <c r="A4116" s="46"/>
      <c r="B4116" s="46"/>
      <c r="C4116" s="46"/>
      <c r="D4116" s="48"/>
      <c r="E4116" s="48"/>
      <c r="F4116" s="48"/>
      <c r="G4116" s="48"/>
      <c r="H4116" s="48"/>
      <c r="I4116" s="48"/>
    </row>
    <row r="4117" spans="1:9" hidden="1" x14ac:dyDescent="0.2">
      <c r="A4117" s="46"/>
      <c r="B4117" s="46"/>
      <c r="C4117" s="46"/>
      <c r="D4117" s="48"/>
      <c r="E4117" s="48"/>
      <c r="F4117" s="48"/>
      <c r="G4117" s="48"/>
      <c r="H4117" s="48"/>
      <c r="I4117" s="48"/>
    </row>
    <row r="4118" spans="1:9" hidden="1" x14ac:dyDescent="0.2">
      <c r="A4118" s="46"/>
      <c r="B4118" s="46"/>
      <c r="C4118" s="46"/>
      <c r="D4118" s="48"/>
      <c r="E4118" s="48"/>
      <c r="F4118" s="48"/>
      <c r="G4118" s="48"/>
      <c r="H4118" s="48"/>
      <c r="I4118" s="48"/>
    </row>
    <row r="4119" spans="1:9" hidden="1" x14ac:dyDescent="0.2">
      <c r="A4119" s="46"/>
      <c r="B4119" s="46"/>
      <c r="C4119" s="46"/>
      <c r="D4119" s="48"/>
      <c r="E4119" s="48"/>
      <c r="F4119" s="48"/>
      <c r="G4119" s="48"/>
      <c r="H4119" s="48"/>
      <c r="I4119" s="48"/>
    </row>
    <row r="4120" spans="1:9" hidden="1" x14ac:dyDescent="0.2">
      <c r="A4120" s="46"/>
      <c r="B4120" s="46"/>
      <c r="C4120" s="46"/>
      <c r="D4120" s="48"/>
      <c r="E4120" s="48"/>
      <c r="F4120" s="48"/>
      <c r="G4120" s="48"/>
      <c r="H4120" s="48"/>
      <c r="I4120" s="48"/>
    </row>
    <row r="4121" spans="1:9" hidden="1" x14ac:dyDescent="0.2">
      <c r="A4121" s="46"/>
      <c r="B4121" s="46"/>
      <c r="C4121" s="46"/>
      <c r="D4121" s="48"/>
      <c r="E4121" s="48"/>
      <c r="F4121" s="48"/>
      <c r="G4121" s="48"/>
      <c r="H4121" s="48"/>
      <c r="I4121" s="48"/>
    </row>
    <row r="4122" spans="1:9" hidden="1" x14ac:dyDescent="0.2">
      <c r="A4122" s="46"/>
      <c r="B4122" s="46"/>
      <c r="C4122" s="46"/>
      <c r="D4122" s="48"/>
      <c r="E4122" s="48"/>
      <c r="F4122" s="48"/>
      <c r="G4122" s="48"/>
      <c r="H4122" s="48"/>
      <c r="I4122" s="48"/>
    </row>
    <row r="4123" spans="1:9" hidden="1" x14ac:dyDescent="0.2">
      <c r="A4123" s="46"/>
      <c r="B4123" s="46"/>
      <c r="C4123" s="46"/>
      <c r="D4123" s="48"/>
      <c r="E4123" s="48"/>
      <c r="F4123" s="48"/>
      <c r="G4123" s="48"/>
      <c r="H4123" s="48"/>
      <c r="I4123" s="48"/>
    </row>
    <row r="4124" spans="1:9" hidden="1" x14ac:dyDescent="0.2">
      <c r="A4124" s="46"/>
      <c r="B4124" s="46"/>
      <c r="C4124" s="46"/>
      <c r="D4124" s="48"/>
      <c r="E4124" s="48"/>
      <c r="F4124" s="48"/>
      <c r="G4124" s="48"/>
      <c r="H4124" s="48"/>
      <c r="I4124" s="48"/>
    </row>
    <row r="4125" spans="1:9" hidden="1" x14ac:dyDescent="0.2">
      <c r="A4125" s="46"/>
      <c r="B4125" s="46"/>
      <c r="C4125" s="46"/>
      <c r="D4125" s="48"/>
      <c r="E4125" s="48"/>
      <c r="F4125" s="48"/>
      <c r="G4125" s="48"/>
      <c r="H4125" s="48"/>
      <c r="I4125" s="48"/>
    </row>
    <row r="4126" spans="1:9" hidden="1" x14ac:dyDescent="0.2">
      <c r="A4126" s="46"/>
      <c r="B4126" s="46"/>
      <c r="C4126" s="46"/>
      <c r="D4126" s="48"/>
      <c r="E4126" s="48"/>
      <c r="F4126" s="48"/>
      <c r="G4126" s="48"/>
      <c r="H4126" s="48"/>
      <c r="I4126" s="48"/>
    </row>
    <row r="4127" spans="1:9" hidden="1" x14ac:dyDescent="0.2">
      <c r="A4127" s="46"/>
      <c r="B4127" s="46"/>
      <c r="C4127" s="46"/>
      <c r="D4127" s="48"/>
      <c r="E4127" s="48"/>
      <c r="F4127" s="48"/>
      <c r="G4127" s="48"/>
      <c r="H4127" s="48"/>
      <c r="I4127" s="48"/>
    </row>
    <row r="4128" spans="1:9" hidden="1" x14ac:dyDescent="0.2">
      <c r="A4128" s="46"/>
      <c r="B4128" s="46"/>
      <c r="C4128" s="46"/>
      <c r="D4128" s="48"/>
      <c r="E4128" s="48"/>
      <c r="F4128" s="48"/>
      <c r="G4128" s="48"/>
      <c r="H4128" s="48"/>
      <c r="I4128" s="48"/>
    </row>
    <row r="4129" spans="1:9" hidden="1" x14ac:dyDescent="0.2">
      <c r="A4129" s="46"/>
      <c r="B4129" s="46"/>
      <c r="C4129" s="46"/>
      <c r="D4129" s="48"/>
      <c r="E4129" s="48"/>
      <c r="F4129" s="48"/>
      <c r="G4129" s="48"/>
      <c r="H4129" s="48"/>
      <c r="I4129" s="48"/>
    </row>
    <row r="4130" spans="1:9" hidden="1" x14ac:dyDescent="0.2">
      <c r="A4130" s="46"/>
      <c r="B4130" s="46"/>
      <c r="C4130" s="46"/>
      <c r="D4130" s="48"/>
      <c r="E4130" s="48"/>
      <c r="F4130" s="48"/>
      <c r="G4130" s="48"/>
      <c r="H4130" s="48"/>
      <c r="I4130" s="48"/>
    </row>
    <row r="4131" spans="1:9" hidden="1" x14ac:dyDescent="0.2">
      <c r="A4131" s="46"/>
      <c r="B4131" s="46"/>
      <c r="C4131" s="46"/>
      <c r="D4131" s="48"/>
      <c r="E4131" s="48"/>
      <c r="F4131" s="48"/>
      <c r="G4131" s="48"/>
      <c r="H4131" s="48"/>
      <c r="I4131" s="48"/>
    </row>
    <row r="4132" spans="1:9" hidden="1" x14ac:dyDescent="0.2">
      <c r="A4132" s="46"/>
      <c r="B4132" s="46"/>
      <c r="C4132" s="46"/>
      <c r="D4132" s="48"/>
      <c r="E4132" s="48"/>
      <c r="F4132" s="48"/>
      <c r="G4132" s="48"/>
      <c r="H4132" s="48"/>
      <c r="I4132" s="48"/>
    </row>
    <row r="4133" spans="1:9" hidden="1" x14ac:dyDescent="0.2">
      <c r="A4133" s="46"/>
      <c r="B4133" s="46"/>
      <c r="C4133" s="46"/>
      <c r="D4133" s="48"/>
      <c r="E4133" s="48"/>
      <c r="F4133" s="48"/>
      <c r="G4133" s="48"/>
      <c r="H4133" s="48"/>
      <c r="I4133" s="48"/>
    </row>
    <row r="4134" spans="1:9" hidden="1" x14ac:dyDescent="0.2">
      <c r="A4134" s="46"/>
      <c r="B4134" s="46"/>
      <c r="C4134" s="46"/>
      <c r="D4134" s="48"/>
      <c r="E4134" s="48"/>
      <c r="F4134" s="48"/>
      <c r="G4134" s="48"/>
      <c r="H4134" s="48"/>
      <c r="I4134" s="48"/>
    </row>
    <row r="4135" spans="1:9" hidden="1" x14ac:dyDescent="0.2">
      <c r="A4135" s="46"/>
      <c r="B4135" s="46"/>
      <c r="C4135" s="46"/>
      <c r="D4135" s="48"/>
      <c r="E4135" s="48"/>
      <c r="F4135" s="48"/>
      <c r="G4135" s="48"/>
      <c r="H4135" s="48"/>
      <c r="I4135" s="48"/>
    </row>
    <row r="4136" spans="1:9" hidden="1" x14ac:dyDescent="0.2">
      <c r="A4136" s="46"/>
      <c r="B4136" s="46"/>
      <c r="C4136" s="46"/>
      <c r="D4136" s="48"/>
      <c r="E4136" s="48"/>
      <c r="F4136" s="48"/>
      <c r="G4136" s="48"/>
      <c r="H4136" s="48"/>
      <c r="I4136" s="48"/>
    </row>
    <row r="4137" spans="1:9" hidden="1" x14ac:dyDescent="0.2">
      <c r="A4137" s="46"/>
      <c r="B4137" s="46"/>
      <c r="C4137" s="46"/>
      <c r="D4137" s="48"/>
      <c r="E4137" s="48"/>
      <c r="F4137" s="48"/>
      <c r="G4137" s="48"/>
      <c r="H4137" s="48"/>
      <c r="I4137" s="48"/>
    </row>
    <row r="4138" spans="1:9" hidden="1" x14ac:dyDescent="0.2">
      <c r="A4138" s="46"/>
      <c r="B4138" s="46"/>
      <c r="C4138" s="46"/>
      <c r="D4138" s="48"/>
      <c r="E4138" s="48"/>
      <c r="F4138" s="48"/>
      <c r="G4138" s="48"/>
      <c r="H4138" s="48"/>
      <c r="I4138" s="48"/>
    </row>
    <row r="4139" spans="1:9" hidden="1" x14ac:dyDescent="0.2">
      <c r="A4139" s="46"/>
      <c r="B4139" s="46"/>
      <c r="C4139" s="46"/>
      <c r="D4139" s="48"/>
      <c r="E4139" s="48"/>
      <c r="F4139" s="48"/>
      <c r="G4139" s="48"/>
      <c r="H4139" s="48"/>
      <c r="I4139" s="48"/>
    </row>
    <row r="4140" spans="1:9" hidden="1" x14ac:dyDescent="0.2">
      <c r="A4140" s="46"/>
      <c r="B4140" s="46"/>
      <c r="C4140" s="46"/>
      <c r="D4140" s="48"/>
      <c r="E4140" s="48"/>
      <c r="F4140" s="48"/>
      <c r="G4140" s="48"/>
      <c r="H4140" s="48"/>
      <c r="I4140" s="48"/>
    </row>
    <row r="4141" spans="1:9" hidden="1" x14ac:dyDescent="0.2">
      <c r="A4141" s="46"/>
      <c r="B4141" s="46"/>
      <c r="C4141" s="46"/>
      <c r="D4141" s="48"/>
      <c r="E4141" s="48"/>
      <c r="F4141" s="48"/>
      <c r="G4141" s="48"/>
      <c r="H4141" s="48"/>
      <c r="I4141" s="48"/>
    </row>
    <row r="4142" spans="1:9" hidden="1" x14ac:dyDescent="0.2">
      <c r="A4142" s="46"/>
      <c r="B4142" s="46"/>
      <c r="C4142" s="46"/>
      <c r="D4142" s="48"/>
      <c r="E4142" s="48"/>
      <c r="F4142" s="48"/>
      <c r="G4142" s="48"/>
      <c r="H4142" s="48"/>
      <c r="I4142" s="48"/>
    </row>
    <row r="4143" spans="1:9" hidden="1" x14ac:dyDescent="0.2">
      <c r="A4143" s="46"/>
      <c r="B4143" s="46"/>
      <c r="C4143" s="46"/>
      <c r="D4143" s="48"/>
      <c r="E4143" s="48"/>
      <c r="F4143" s="48"/>
      <c r="G4143" s="48"/>
      <c r="H4143" s="48"/>
      <c r="I4143" s="48"/>
    </row>
    <row r="4144" spans="1:9" hidden="1" x14ac:dyDescent="0.2">
      <c r="A4144" s="46"/>
      <c r="B4144" s="46"/>
      <c r="C4144" s="46"/>
      <c r="D4144" s="48"/>
      <c r="E4144" s="48"/>
      <c r="F4144" s="48"/>
      <c r="G4144" s="48"/>
      <c r="H4144" s="48"/>
      <c r="I4144" s="48"/>
    </row>
    <row r="4145" spans="1:9" hidden="1" x14ac:dyDescent="0.2">
      <c r="A4145" s="46"/>
      <c r="B4145" s="46"/>
      <c r="C4145" s="46"/>
      <c r="D4145" s="48"/>
      <c r="E4145" s="48"/>
      <c r="F4145" s="48"/>
      <c r="G4145" s="48"/>
      <c r="H4145" s="48"/>
      <c r="I4145" s="48"/>
    </row>
    <row r="4146" spans="1:9" hidden="1" x14ac:dyDescent="0.2">
      <c r="A4146" s="46"/>
      <c r="B4146" s="46"/>
      <c r="C4146" s="46"/>
      <c r="D4146" s="48"/>
      <c r="E4146" s="48"/>
      <c r="F4146" s="48"/>
      <c r="G4146" s="48"/>
      <c r="H4146" s="48"/>
      <c r="I4146" s="48"/>
    </row>
    <row r="4147" spans="1:9" hidden="1" x14ac:dyDescent="0.2">
      <c r="A4147" s="46"/>
      <c r="B4147" s="46"/>
      <c r="C4147" s="46"/>
      <c r="D4147" s="48"/>
      <c r="E4147" s="48"/>
      <c r="F4147" s="48"/>
      <c r="G4147" s="48"/>
      <c r="H4147" s="48"/>
      <c r="I4147" s="48"/>
    </row>
    <row r="4148" spans="1:9" hidden="1" x14ac:dyDescent="0.2">
      <c r="A4148" s="46"/>
      <c r="B4148" s="46"/>
      <c r="C4148" s="46"/>
      <c r="D4148" s="48"/>
      <c r="E4148" s="48"/>
      <c r="F4148" s="48"/>
      <c r="G4148" s="48"/>
      <c r="H4148" s="48"/>
      <c r="I4148" s="48"/>
    </row>
    <row r="4149" spans="1:9" hidden="1" x14ac:dyDescent="0.2">
      <c r="A4149" s="46"/>
      <c r="B4149" s="46"/>
      <c r="C4149" s="46"/>
      <c r="D4149" s="48"/>
      <c r="E4149" s="48"/>
      <c r="F4149" s="48"/>
      <c r="G4149" s="48"/>
      <c r="H4149" s="48"/>
      <c r="I4149" s="48"/>
    </row>
    <row r="4150" spans="1:9" hidden="1" x14ac:dyDescent="0.2">
      <c r="A4150" s="46"/>
      <c r="B4150" s="46"/>
      <c r="C4150" s="46"/>
      <c r="D4150" s="48"/>
      <c r="E4150" s="48"/>
      <c r="F4150" s="48"/>
      <c r="G4150" s="48"/>
      <c r="H4150" s="48"/>
      <c r="I4150" s="48"/>
    </row>
    <row r="4151" spans="1:9" hidden="1" x14ac:dyDescent="0.2">
      <c r="A4151" s="46"/>
      <c r="B4151" s="46"/>
      <c r="C4151" s="46"/>
      <c r="D4151" s="48"/>
      <c r="E4151" s="48"/>
      <c r="F4151" s="48"/>
      <c r="G4151" s="48"/>
      <c r="H4151" s="48"/>
      <c r="I4151" s="48"/>
    </row>
    <row r="4152" spans="1:9" hidden="1" x14ac:dyDescent="0.2">
      <c r="A4152" s="46"/>
      <c r="B4152" s="46"/>
      <c r="C4152" s="46"/>
      <c r="D4152" s="48"/>
      <c r="E4152" s="48"/>
      <c r="F4152" s="48"/>
      <c r="G4152" s="48"/>
      <c r="H4152" s="48"/>
      <c r="I4152" s="48"/>
    </row>
    <row r="4153" spans="1:9" hidden="1" x14ac:dyDescent="0.2">
      <c r="A4153" s="46"/>
      <c r="B4153" s="46"/>
      <c r="C4153" s="46"/>
      <c r="D4153" s="48"/>
      <c r="E4153" s="48"/>
      <c r="F4153" s="48"/>
      <c r="G4153" s="48"/>
      <c r="H4153" s="48"/>
      <c r="I4153" s="48"/>
    </row>
    <row r="4154" spans="1:9" hidden="1" x14ac:dyDescent="0.2">
      <c r="A4154" s="46"/>
      <c r="B4154" s="46"/>
      <c r="C4154" s="46"/>
      <c r="D4154" s="48"/>
      <c r="E4154" s="48"/>
      <c r="F4154" s="48"/>
      <c r="G4154" s="48"/>
      <c r="H4154" s="48"/>
      <c r="I4154" s="48"/>
    </row>
    <row r="4155" spans="1:9" hidden="1" x14ac:dyDescent="0.2">
      <c r="A4155" s="46"/>
      <c r="B4155" s="46"/>
      <c r="C4155" s="46"/>
      <c r="D4155" s="48"/>
      <c r="E4155" s="48"/>
      <c r="F4155" s="48"/>
      <c r="G4155" s="48"/>
      <c r="H4155" s="48"/>
      <c r="I4155" s="48"/>
    </row>
    <row r="4156" spans="1:9" hidden="1" x14ac:dyDescent="0.2">
      <c r="A4156" s="46"/>
      <c r="B4156" s="46"/>
      <c r="C4156" s="46"/>
      <c r="D4156" s="48"/>
      <c r="E4156" s="48"/>
      <c r="F4156" s="48"/>
      <c r="G4156" s="48"/>
      <c r="H4156" s="48"/>
      <c r="I4156" s="48"/>
    </row>
    <row r="4157" spans="1:9" hidden="1" x14ac:dyDescent="0.2">
      <c r="A4157" s="46"/>
      <c r="B4157" s="46"/>
      <c r="C4157" s="46"/>
      <c r="D4157" s="48"/>
      <c r="E4157" s="48"/>
      <c r="F4157" s="48"/>
      <c r="G4157" s="48"/>
      <c r="H4157" s="48"/>
      <c r="I4157" s="48"/>
    </row>
    <row r="4158" spans="1:9" hidden="1" x14ac:dyDescent="0.2">
      <c r="A4158" s="46"/>
      <c r="B4158" s="46"/>
      <c r="C4158" s="46"/>
      <c r="D4158" s="48"/>
      <c r="E4158" s="48"/>
      <c r="F4158" s="48"/>
      <c r="G4158" s="48"/>
      <c r="H4158" s="48"/>
      <c r="I4158" s="48"/>
    </row>
    <row r="4159" spans="1:9" hidden="1" x14ac:dyDescent="0.2">
      <c r="A4159" s="46"/>
      <c r="B4159" s="46"/>
      <c r="C4159" s="46"/>
      <c r="D4159" s="48"/>
      <c r="E4159" s="48"/>
      <c r="F4159" s="48"/>
      <c r="G4159" s="48"/>
      <c r="H4159" s="48"/>
      <c r="I4159" s="48"/>
    </row>
    <row r="4160" spans="1:9" hidden="1" x14ac:dyDescent="0.2">
      <c r="A4160" s="46"/>
      <c r="B4160" s="46"/>
      <c r="C4160" s="46"/>
      <c r="D4160" s="48"/>
      <c r="E4160" s="48"/>
      <c r="F4160" s="48"/>
      <c r="G4160" s="48"/>
      <c r="H4160" s="48"/>
      <c r="I4160" s="48"/>
    </row>
    <row r="4161" spans="1:9" hidden="1" x14ac:dyDescent="0.2">
      <c r="A4161" s="46"/>
      <c r="B4161" s="46"/>
      <c r="C4161" s="46"/>
      <c r="D4161" s="48"/>
      <c r="E4161" s="48"/>
      <c r="F4161" s="48"/>
      <c r="G4161" s="48"/>
      <c r="H4161" s="48"/>
      <c r="I4161" s="48"/>
    </row>
    <row r="4162" spans="1:9" hidden="1" x14ac:dyDescent="0.2">
      <c r="A4162" s="46"/>
      <c r="B4162" s="46"/>
      <c r="C4162" s="46"/>
      <c r="D4162" s="48"/>
      <c r="E4162" s="48"/>
      <c r="F4162" s="48"/>
      <c r="G4162" s="48"/>
      <c r="H4162" s="48"/>
      <c r="I4162" s="48"/>
    </row>
    <row r="4163" spans="1:9" hidden="1" x14ac:dyDescent="0.2">
      <c r="A4163" s="46"/>
      <c r="B4163" s="46"/>
      <c r="C4163" s="46"/>
      <c r="D4163" s="48"/>
      <c r="E4163" s="48"/>
      <c r="F4163" s="48"/>
      <c r="G4163" s="48"/>
      <c r="H4163" s="48"/>
      <c r="I4163" s="48"/>
    </row>
    <row r="4164" spans="1:9" hidden="1" x14ac:dyDescent="0.2">
      <c r="A4164" s="46"/>
      <c r="B4164" s="46"/>
      <c r="C4164" s="46"/>
      <c r="D4164" s="48"/>
      <c r="E4164" s="48"/>
      <c r="F4164" s="48"/>
      <c r="G4164" s="48"/>
      <c r="H4164" s="48"/>
      <c r="I4164" s="48"/>
    </row>
    <row r="4165" spans="1:9" hidden="1" x14ac:dyDescent="0.2">
      <c r="A4165" s="46"/>
      <c r="B4165" s="46"/>
      <c r="C4165" s="46"/>
      <c r="D4165" s="48"/>
      <c r="E4165" s="48"/>
      <c r="F4165" s="48"/>
      <c r="G4165" s="48"/>
      <c r="H4165" s="48"/>
      <c r="I4165" s="48"/>
    </row>
    <row r="4166" spans="1:9" hidden="1" x14ac:dyDescent="0.2">
      <c r="A4166" s="46"/>
      <c r="B4166" s="46"/>
      <c r="C4166" s="46"/>
      <c r="D4166" s="48"/>
      <c r="E4166" s="48"/>
      <c r="F4166" s="48"/>
      <c r="G4166" s="48"/>
      <c r="H4166" s="48"/>
      <c r="I4166" s="48"/>
    </row>
    <row r="4167" spans="1:9" hidden="1" x14ac:dyDescent="0.2">
      <c r="A4167" s="46"/>
      <c r="B4167" s="46"/>
      <c r="C4167" s="46"/>
      <c r="D4167" s="48"/>
      <c r="E4167" s="48"/>
      <c r="F4167" s="48"/>
      <c r="G4167" s="48"/>
      <c r="H4167" s="48"/>
      <c r="I4167" s="48"/>
    </row>
    <row r="4168" spans="1:9" hidden="1" x14ac:dyDescent="0.2">
      <c r="A4168" s="46"/>
      <c r="B4168" s="46"/>
      <c r="C4168" s="46"/>
      <c r="D4168" s="48"/>
      <c r="E4168" s="48"/>
      <c r="F4168" s="48"/>
      <c r="G4168" s="48"/>
      <c r="H4168" s="48"/>
      <c r="I4168" s="48"/>
    </row>
    <row r="4169" spans="1:9" hidden="1" x14ac:dyDescent="0.2">
      <c r="A4169" s="46"/>
      <c r="B4169" s="46"/>
      <c r="C4169" s="46"/>
      <c r="D4169" s="48"/>
      <c r="E4169" s="48"/>
      <c r="F4169" s="48"/>
      <c r="G4169" s="48"/>
      <c r="H4169" s="48"/>
      <c r="I4169" s="48"/>
    </row>
    <row r="4170" spans="1:9" hidden="1" x14ac:dyDescent="0.2">
      <c r="A4170" s="46"/>
      <c r="B4170" s="46"/>
      <c r="C4170" s="46"/>
      <c r="D4170" s="48"/>
      <c r="E4170" s="48"/>
      <c r="F4170" s="48"/>
      <c r="G4170" s="48"/>
      <c r="H4170" s="48"/>
      <c r="I4170" s="48"/>
    </row>
    <row r="4171" spans="1:9" hidden="1" x14ac:dyDescent="0.2">
      <c r="A4171" s="46"/>
      <c r="B4171" s="46"/>
      <c r="C4171" s="46"/>
      <c r="D4171" s="48"/>
      <c r="E4171" s="48"/>
      <c r="F4171" s="48"/>
      <c r="G4171" s="48"/>
      <c r="H4171" s="48"/>
      <c r="I4171" s="48"/>
    </row>
    <row r="4172" spans="1:9" hidden="1" x14ac:dyDescent="0.2">
      <c r="A4172" s="46"/>
      <c r="B4172" s="46"/>
      <c r="C4172" s="46"/>
      <c r="D4172" s="48"/>
      <c r="E4172" s="48"/>
      <c r="F4172" s="48"/>
      <c r="G4172" s="48"/>
      <c r="H4172" s="48"/>
      <c r="I4172" s="48"/>
    </row>
    <row r="4173" spans="1:9" hidden="1" x14ac:dyDescent="0.2">
      <c r="A4173" s="46"/>
      <c r="B4173" s="46"/>
      <c r="C4173" s="46"/>
      <c r="D4173" s="48"/>
      <c r="E4173" s="48"/>
      <c r="F4173" s="48"/>
      <c r="G4173" s="48"/>
      <c r="H4173" s="48"/>
      <c r="I4173" s="48"/>
    </row>
    <row r="4174" spans="1:9" hidden="1" x14ac:dyDescent="0.2">
      <c r="A4174" s="46"/>
      <c r="B4174" s="46"/>
      <c r="C4174" s="46"/>
      <c r="D4174" s="48"/>
      <c r="E4174" s="48"/>
      <c r="F4174" s="48"/>
      <c r="G4174" s="48"/>
      <c r="H4174" s="48"/>
      <c r="I4174" s="48"/>
    </row>
    <row r="4175" spans="1:9" hidden="1" x14ac:dyDescent="0.2">
      <c r="A4175" s="46"/>
      <c r="B4175" s="46"/>
      <c r="C4175" s="46"/>
      <c r="D4175" s="48"/>
      <c r="E4175" s="48"/>
      <c r="F4175" s="48"/>
      <c r="G4175" s="48"/>
      <c r="H4175" s="48"/>
      <c r="I4175" s="48"/>
    </row>
    <row r="4176" spans="1:9" hidden="1" x14ac:dyDescent="0.2">
      <c r="A4176" s="46"/>
      <c r="B4176" s="46"/>
      <c r="C4176" s="46"/>
      <c r="D4176" s="48"/>
      <c r="E4176" s="48"/>
      <c r="F4176" s="48"/>
      <c r="G4176" s="48"/>
      <c r="H4176" s="48"/>
      <c r="I4176" s="48"/>
    </row>
    <row r="4177" spans="1:9" hidden="1" x14ac:dyDescent="0.2">
      <c r="A4177" s="46"/>
      <c r="B4177" s="46"/>
      <c r="C4177" s="46"/>
      <c r="D4177" s="48"/>
      <c r="E4177" s="48"/>
      <c r="F4177" s="48"/>
      <c r="G4177" s="48"/>
      <c r="H4177" s="48"/>
      <c r="I4177" s="48"/>
    </row>
    <row r="4178" spans="1:9" hidden="1" x14ac:dyDescent="0.2">
      <c r="A4178" s="46"/>
      <c r="B4178" s="46"/>
      <c r="C4178" s="46"/>
      <c r="D4178" s="48"/>
      <c r="E4178" s="48"/>
      <c r="F4178" s="48"/>
      <c r="G4178" s="48"/>
      <c r="H4178" s="48"/>
      <c r="I4178" s="48"/>
    </row>
    <row r="4179" spans="1:9" hidden="1" x14ac:dyDescent="0.2">
      <c r="A4179" s="46"/>
      <c r="B4179" s="46"/>
      <c r="C4179" s="46"/>
      <c r="D4179" s="48"/>
      <c r="E4179" s="48"/>
      <c r="F4179" s="48"/>
      <c r="G4179" s="48"/>
      <c r="H4179" s="48"/>
      <c r="I4179" s="48"/>
    </row>
    <row r="4180" spans="1:9" hidden="1" x14ac:dyDescent="0.2">
      <c r="A4180" s="46"/>
      <c r="B4180" s="46"/>
      <c r="C4180" s="46"/>
      <c r="D4180" s="48"/>
      <c r="E4180" s="48"/>
      <c r="F4180" s="48"/>
      <c r="G4180" s="48"/>
      <c r="H4180" s="48"/>
      <c r="I4180" s="48"/>
    </row>
    <row r="4181" spans="1:9" hidden="1" x14ac:dyDescent="0.2">
      <c r="A4181" s="46"/>
      <c r="B4181" s="46"/>
      <c r="C4181" s="46"/>
      <c r="D4181" s="48"/>
      <c r="E4181" s="48"/>
      <c r="F4181" s="48"/>
      <c r="G4181" s="48"/>
      <c r="H4181" s="48"/>
      <c r="I4181" s="48"/>
    </row>
    <row r="4182" spans="1:9" hidden="1" x14ac:dyDescent="0.2">
      <c r="A4182" s="46"/>
      <c r="B4182" s="46"/>
      <c r="C4182" s="46"/>
      <c r="D4182" s="48"/>
      <c r="E4182" s="48"/>
      <c r="F4182" s="48"/>
      <c r="G4182" s="48"/>
      <c r="H4182" s="48"/>
      <c r="I4182" s="48"/>
    </row>
    <row r="4183" spans="1:9" hidden="1" x14ac:dyDescent="0.2">
      <c r="A4183" s="46"/>
      <c r="B4183" s="46"/>
      <c r="C4183" s="46"/>
      <c r="D4183" s="48"/>
      <c r="E4183" s="48"/>
      <c r="F4183" s="48"/>
      <c r="G4183" s="48"/>
      <c r="H4183" s="48"/>
      <c r="I4183" s="48"/>
    </row>
    <row r="4184" spans="1:9" hidden="1" x14ac:dyDescent="0.2">
      <c r="A4184" s="46"/>
      <c r="B4184" s="46"/>
      <c r="C4184" s="46"/>
      <c r="D4184" s="48"/>
      <c r="E4184" s="48"/>
      <c r="F4184" s="48"/>
      <c r="G4184" s="48"/>
      <c r="H4184" s="48"/>
      <c r="I4184" s="48"/>
    </row>
    <row r="4185" spans="1:9" hidden="1" x14ac:dyDescent="0.2">
      <c r="A4185" s="46"/>
      <c r="B4185" s="46"/>
      <c r="C4185" s="46"/>
      <c r="D4185" s="48"/>
      <c r="E4185" s="48"/>
      <c r="F4185" s="48"/>
      <c r="G4185" s="48"/>
      <c r="H4185" s="48"/>
      <c r="I4185" s="48"/>
    </row>
    <row r="4186" spans="1:9" hidden="1" x14ac:dyDescent="0.2">
      <c r="A4186" s="46"/>
      <c r="B4186" s="46"/>
      <c r="C4186" s="46"/>
      <c r="D4186" s="48"/>
      <c r="E4186" s="48"/>
      <c r="F4186" s="48"/>
      <c r="G4186" s="48"/>
      <c r="H4186" s="48"/>
      <c r="I4186" s="48"/>
    </row>
    <row r="4187" spans="1:9" hidden="1" x14ac:dyDescent="0.2">
      <c r="A4187" s="46"/>
      <c r="B4187" s="46"/>
      <c r="C4187" s="46"/>
      <c r="D4187" s="48"/>
      <c r="E4187" s="48"/>
      <c r="F4187" s="48"/>
      <c r="G4187" s="48"/>
      <c r="H4187" s="48"/>
      <c r="I4187" s="48"/>
    </row>
    <row r="4188" spans="1:9" hidden="1" x14ac:dyDescent="0.2">
      <c r="A4188" s="46"/>
      <c r="B4188" s="46"/>
      <c r="C4188" s="46"/>
      <c r="D4188" s="48"/>
      <c r="E4188" s="48"/>
      <c r="F4188" s="48"/>
      <c r="G4188" s="48"/>
      <c r="H4188" s="48"/>
      <c r="I4188" s="48"/>
    </row>
    <row r="4189" spans="1:9" hidden="1" x14ac:dyDescent="0.2">
      <c r="A4189" s="46"/>
      <c r="B4189" s="46"/>
      <c r="C4189" s="46"/>
      <c r="D4189" s="48"/>
      <c r="E4189" s="48"/>
      <c r="F4189" s="48"/>
      <c r="G4189" s="48"/>
      <c r="H4189" s="48"/>
      <c r="I4189" s="48"/>
    </row>
    <row r="4190" spans="1:9" hidden="1" x14ac:dyDescent="0.2">
      <c r="A4190" s="46"/>
      <c r="B4190" s="46"/>
      <c r="C4190" s="46"/>
      <c r="D4190" s="48"/>
      <c r="E4190" s="48"/>
      <c r="F4190" s="48"/>
      <c r="G4190" s="48"/>
      <c r="H4190" s="48"/>
      <c r="I4190" s="48"/>
    </row>
    <row r="4191" spans="1:9" hidden="1" x14ac:dyDescent="0.2">
      <c r="A4191" s="46"/>
      <c r="B4191" s="46"/>
      <c r="C4191" s="46"/>
      <c r="D4191" s="48"/>
      <c r="E4191" s="48"/>
      <c r="F4191" s="48"/>
      <c r="G4191" s="48"/>
      <c r="H4191" s="48"/>
      <c r="I4191" s="48"/>
    </row>
    <row r="4192" spans="1:9" hidden="1" x14ac:dyDescent="0.2">
      <c r="A4192" s="46"/>
      <c r="B4192" s="46"/>
      <c r="C4192" s="46"/>
      <c r="D4192" s="48"/>
      <c r="E4192" s="48"/>
      <c r="F4192" s="48"/>
      <c r="G4192" s="48"/>
      <c r="H4192" s="48"/>
      <c r="I4192" s="48"/>
    </row>
    <row r="4193" spans="1:9" hidden="1" x14ac:dyDescent="0.2">
      <c r="A4193" s="46"/>
      <c r="B4193" s="46"/>
      <c r="C4193" s="46"/>
      <c r="D4193" s="48"/>
      <c r="E4193" s="48"/>
      <c r="F4193" s="48"/>
      <c r="G4193" s="48"/>
      <c r="H4193" s="48"/>
      <c r="I4193" s="48"/>
    </row>
    <row r="4194" spans="1:9" hidden="1" x14ac:dyDescent="0.2">
      <c r="A4194" s="46"/>
      <c r="B4194" s="46"/>
      <c r="C4194" s="46"/>
      <c r="D4194" s="48"/>
      <c r="E4194" s="48"/>
      <c r="F4194" s="48"/>
      <c r="G4194" s="48"/>
      <c r="H4194" s="48"/>
      <c r="I4194" s="48"/>
    </row>
    <row r="4195" spans="1:9" hidden="1" x14ac:dyDescent="0.2">
      <c r="A4195" s="46"/>
      <c r="B4195" s="46"/>
      <c r="C4195" s="46"/>
      <c r="D4195" s="48"/>
      <c r="E4195" s="48"/>
      <c r="F4195" s="48"/>
      <c r="G4195" s="48"/>
      <c r="H4195" s="48"/>
      <c r="I4195" s="48"/>
    </row>
    <row r="4196" spans="1:9" hidden="1" x14ac:dyDescent="0.2">
      <c r="A4196" s="46"/>
      <c r="B4196" s="46"/>
      <c r="C4196" s="46"/>
      <c r="D4196" s="48"/>
      <c r="E4196" s="48"/>
      <c r="F4196" s="48"/>
      <c r="G4196" s="48"/>
      <c r="H4196" s="48"/>
      <c r="I4196" s="48"/>
    </row>
    <row r="4197" spans="1:9" hidden="1" x14ac:dyDescent="0.2">
      <c r="A4197" s="46"/>
      <c r="B4197" s="46"/>
      <c r="C4197" s="46"/>
      <c r="D4197" s="48"/>
      <c r="E4197" s="48"/>
      <c r="F4197" s="48"/>
      <c r="G4197" s="48"/>
      <c r="H4197" s="48"/>
      <c r="I4197" s="48"/>
    </row>
    <row r="4198" spans="1:9" hidden="1" x14ac:dyDescent="0.2">
      <c r="A4198" s="46"/>
      <c r="B4198" s="46"/>
      <c r="C4198" s="46"/>
      <c r="D4198" s="48"/>
      <c r="E4198" s="48"/>
      <c r="F4198" s="48"/>
      <c r="G4198" s="48"/>
      <c r="H4198" s="48"/>
      <c r="I4198" s="48"/>
    </row>
    <row r="4199" spans="1:9" hidden="1" x14ac:dyDescent="0.2">
      <c r="A4199" s="46"/>
      <c r="B4199" s="46"/>
      <c r="C4199" s="46"/>
      <c r="D4199" s="48"/>
      <c r="E4199" s="48"/>
      <c r="F4199" s="48"/>
      <c r="G4199" s="48"/>
      <c r="H4199" s="48"/>
      <c r="I4199" s="48"/>
    </row>
    <row r="4200" spans="1:9" hidden="1" x14ac:dyDescent="0.2">
      <c r="A4200" s="46"/>
      <c r="B4200" s="46"/>
      <c r="C4200" s="46"/>
      <c r="D4200" s="48"/>
      <c r="E4200" s="48"/>
      <c r="F4200" s="48"/>
      <c r="G4200" s="48"/>
      <c r="H4200" s="48"/>
      <c r="I4200" s="48"/>
    </row>
    <row r="4201" spans="1:9" hidden="1" x14ac:dyDescent="0.2">
      <c r="A4201" s="46"/>
      <c r="B4201" s="46"/>
      <c r="C4201" s="46"/>
      <c r="D4201" s="48"/>
      <c r="E4201" s="48"/>
      <c r="F4201" s="48"/>
      <c r="G4201" s="48"/>
      <c r="H4201" s="48"/>
      <c r="I4201" s="48"/>
    </row>
    <row r="4202" spans="1:9" hidden="1" x14ac:dyDescent="0.2">
      <c r="A4202" s="46"/>
      <c r="B4202" s="46"/>
      <c r="C4202" s="46"/>
      <c r="D4202" s="48"/>
      <c r="E4202" s="48"/>
      <c r="F4202" s="48"/>
      <c r="G4202" s="48"/>
      <c r="H4202" s="48"/>
      <c r="I4202" s="48"/>
    </row>
    <row r="4203" spans="1:9" hidden="1" x14ac:dyDescent="0.2">
      <c r="A4203" s="46"/>
      <c r="B4203" s="46"/>
      <c r="C4203" s="46"/>
      <c r="D4203" s="48"/>
      <c r="E4203" s="48"/>
      <c r="F4203" s="48"/>
      <c r="G4203" s="48"/>
      <c r="H4203" s="48"/>
      <c r="I4203" s="48"/>
    </row>
    <row r="4204" spans="1:9" hidden="1" x14ac:dyDescent="0.2">
      <c r="A4204" s="46"/>
      <c r="B4204" s="46"/>
      <c r="C4204" s="46"/>
      <c r="D4204" s="48"/>
      <c r="E4204" s="48"/>
      <c r="F4204" s="48"/>
      <c r="G4204" s="48"/>
      <c r="H4204" s="48"/>
      <c r="I4204" s="48"/>
    </row>
    <row r="4205" spans="1:9" hidden="1" x14ac:dyDescent="0.2">
      <c r="A4205" s="46"/>
      <c r="B4205" s="46"/>
      <c r="C4205" s="46"/>
      <c r="D4205" s="48"/>
      <c r="E4205" s="48"/>
      <c r="F4205" s="48"/>
      <c r="G4205" s="48"/>
      <c r="H4205" s="48"/>
      <c r="I4205" s="48"/>
    </row>
    <row r="4206" spans="1:9" hidden="1" x14ac:dyDescent="0.2">
      <c r="A4206" s="46"/>
      <c r="B4206" s="46"/>
      <c r="C4206" s="46"/>
      <c r="D4206" s="48"/>
      <c r="E4206" s="48"/>
      <c r="F4206" s="48"/>
      <c r="G4206" s="48"/>
      <c r="H4206" s="48"/>
      <c r="I4206" s="48"/>
    </row>
    <row r="4207" spans="1:9" hidden="1" x14ac:dyDescent="0.2">
      <c r="A4207" s="46"/>
      <c r="B4207" s="46"/>
      <c r="C4207" s="46"/>
      <c r="D4207" s="48"/>
      <c r="E4207" s="48"/>
      <c r="F4207" s="48"/>
      <c r="G4207" s="48"/>
      <c r="H4207" s="48"/>
      <c r="I4207" s="48"/>
    </row>
    <row r="4208" spans="1:9" hidden="1" x14ac:dyDescent="0.2">
      <c r="A4208" s="46"/>
      <c r="B4208" s="46"/>
      <c r="C4208" s="46"/>
      <c r="D4208" s="48"/>
      <c r="E4208" s="48"/>
      <c r="F4208" s="48"/>
      <c r="G4208" s="48"/>
      <c r="H4208" s="48"/>
      <c r="I4208" s="48"/>
    </row>
    <row r="4209" spans="1:9" hidden="1" x14ac:dyDescent="0.2">
      <c r="A4209" s="46"/>
      <c r="B4209" s="46"/>
      <c r="C4209" s="46"/>
      <c r="D4209" s="48"/>
      <c r="E4209" s="48"/>
      <c r="F4209" s="48"/>
      <c r="G4209" s="48"/>
      <c r="H4209" s="48"/>
      <c r="I4209" s="48"/>
    </row>
    <row r="4210" spans="1:9" hidden="1" x14ac:dyDescent="0.2">
      <c r="A4210" s="46"/>
      <c r="B4210" s="46"/>
      <c r="C4210" s="46"/>
      <c r="D4210" s="48"/>
      <c r="E4210" s="48"/>
      <c r="F4210" s="48"/>
      <c r="G4210" s="48"/>
      <c r="H4210" s="48"/>
      <c r="I4210" s="48"/>
    </row>
    <row r="4211" spans="1:9" hidden="1" x14ac:dyDescent="0.2">
      <c r="A4211" s="46"/>
      <c r="B4211" s="46"/>
      <c r="C4211" s="46"/>
      <c r="D4211" s="48"/>
      <c r="E4211" s="48"/>
      <c r="F4211" s="48"/>
      <c r="G4211" s="48"/>
      <c r="H4211" s="48"/>
      <c r="I4211" s="48"/>
    </row>
    <row r="4212" spans="1:9" hidden="1" x14ac:dyDescent="0.2">
      <c r="A4212" s="46"/>
      <c r="B4212" s="46"/>
      <c r="C4212" s="46"/>
      <c r="D4212" s="48"/>
      <c r="E4212" s="48"/>
      <c r="F4212" s="48"/>
      <c r="G4212" s="48"/>
      <c r="H4212" s="48"/>
      <c r="I4212" s="48"/>
    </row>
    <row r="4213" spans="1:9" hidden="1" x14ac:dyDescent="0.2">
      <c r="A4213" s="46"/>
      <c r="B4213" s="46"/>
      <c r="C4213" s="46"/>
      <c r="D4213" s="48"/>
      <c r="E4213" s="48"/>
      <c r="F4213" s="48"/>
      <c r="G4213" s="48"/>
      <c r="H4213" s="48"/>
      <c r="I4213" s="48"/>
    </row>
    <row r="4214" spans="1:9" hidden="1" x14ac:dyDescent="0.2">
      <c r="A4214" s="46"/>
      <c r="B4214" s="46"/>
      <c r="C4214" s="46"/>
      <c r="D4214" s="48"/>
      <c r="E4214" s="48"/>
      <c r="F4214" s="48"/>
      <c r="G4214" s="48"/>
      <c r="H4214" s="48"/>
      <c r="I4214" s="48"/>
    </row>
    <row r="4215" spans="1:9" hidden="1" x14ac:dyDescent="0.2">
      <c r="A4215" s="46"/>
      <c r="B4215" s="46"/>
      <c r="C4215" s="46"/>
      <c r="D4215" s="48"/>
      <c r="E4215" s="48"/>
      <c r="F4215" s="48"/>
      <c r="G4215" s="48"/>
      <c r="H4215" s="48"/>
      <c r="I4215" s="48"/>
    </row>
    <row r="4216" spans="1:9" hidden="1" x14ac:dyDescent="0.2">
      <c r="A4216" s="46"/>
      <c r="B4216" s="46"/>
      <c r="C4216" s="46"/>
      <c r="D4216" s="48"/>
      <c r="E4216" s="48"/>
      <c r="F4216" s="48"/>
      <c r="G4216" s="48"/>
      <c r="H4216" s="48"/>
      <c r="I4216" s="48"/>
    </row>
    <row r="4217" spans="1:9" hidden="1" x14ac:dyDescent="0.2">
      <c r="A4217" s="46"/>
      <c r="B4217" s="46"/>
      <c r="C4217" s="46"/>
      <c r="D4217" s="48"/>
      <c r="E4217" s="48"/>
      <c r="F4217" s="48"/>
      <c r="G4217" s="48"/>
      <c r="H4217" s="48"/>
      <c r="I4217" s="48"/>
    </row>
    <row r="4218" spans="1:9" hidden="1" x14ac:dyDescent="0.2">
      <c r="A4218" s="46"/>
      <c r="B4218" s="46"/>
      <c r="C4218" s="46"/>
      <c r="D4218" s="48"/>
      <c r="E4218" s="48"/>
      <c r="F4218" s="48"/>
      <c r="G4218" s="48"/>
      <c r="H4218" s="48"/>
      <c r="I4218" s="48"/>
    </row>
    <row r="4219" spans="1:9" hidden="1" x14ac:dyDescent="0.2">
      <c r="A4219" s="46"/>
      <c r="B4219" s="46"/>
      <c r="C4219" s="46"/>
      <c r="D4219" s="48"/>
      <c r="E4219" s="48"/>
      <c r="F4219" s="48"/>
      <c r="G4219" s="48"/>
      <c r="H4219" s="48"/>
      <c r="I4219" s="48"/>
    </row>
    <row r="4220" spans="1:9" hidden="1" x14ac:dyDescent="0.2">
      <c r="A4220" s="46"/>
      <c r="B4220" s="46"/>
      <c r="C4220" s="46"/>
      <c r="D4220" s="48"/>
      <c r="E4220" s="48"/>
      <c r="F4220" s="48"/>
      <c r="G4220" s="48"/>
      <c r="H4220" s="48"/>
      <c r="I4220" s="48"/>
    </row>
    <row r="4221" spans="1:9" hidden="1" x14ac:dyDescent="0.2">
      <c r="A4221" s="46"/>
      <c r="B4221" s="46"/>
      <c r="C4221" s="46"/>
      <c r="D4221" s="48"/>
      <c r="E4221" s="48"/>
      <c r="F4221" s="48"/>
      <c r="G4221" s="48"/>
      <c r="H4221" s="48"/>
      <c r="I4221" s="48"/>
    </row>
    <row r="4222" spans="1:9" hidden="1" x14ac:dyDescent="0.2">
      <c r="A4222" s="46"/>
      <c r="B4222" s="46"/>
      <c r="C4222" s="46"/>
      <c r="D4222" s="48"/>
      <c r="E4222" s="48"/>
      <c r="F4222" s="48"/>
      <c r="G4222" s="48"/>
      <c r="H4222" s="48"/>
      <c r="I4222" s="48"/>
    </row>
    <row r="4223" spans="1:9" hidden="1" x14ac:dyDescent="0.2">
      <c r="A4223" s="46"/>
      <c r="B4223" s="46"/>
      <c r="C4223" s="46"/>
      <c r="D4223" s="48"/>
      <c r="E4223" s="48"/>
      <c r="F4223" s="48"/>
      <c r="G4223" s="48"/>
      <c r="H4223" s="48"/>
      <c r="I4223" s="48"/>
    </row>
    <row r="4224" spans="1:9" hidden="1" x14ac:dyDescent="0.2">
      <c r="A4224" s="46"/>
      <c r="B4224" s="46"/>
      <c r="C4224" s="46"/>
      <c r="D4224" s="48"/>
      <c r="E4224" s="48"/>
      <c r="F4224" s="48"/>
      <c r="G4224" s="48"/>
      <c r="H4224" s="48"/>
      <c r="I4224" s="48"/>
    </row>
    <row r="4225" spans="1:9" hidden="1" x14ac:dyDescent="0.2">
      <c r="A4225" s="46"/>
      <c r="B4225" s="46"/>
      <c r="C4225" s="46"/>
      <c r="D4225" s="48"/>
      <c r="E4225" s="48"/>
      <c r="F4225" s="48"/>
      <c r="G4225" s="48"/>
      <c r="H4225" s="48"/>
      <c r="I4225" s="48"/>
    </row>
    <row r="4226" spans="1:9" hidden="1" x14ac:dyDescent="0.2">
      <c r="A4226" s="46"/>
      <c r="B4226" s="46"/>
      <c r="C4226" s="46"/>
      <c r="D4226" s="48"/>
      <c r="E4226" s="48"/>
      <c r="F4226" s="48"/>
      <c r="G4226" s="48"/>
      <c r="H4226" s="48"/>
      <c r="I4226" s="48"/>
    </row>
    <row r="4227" spans="1:9" hidden="1" x14ac:dyDescent="0.2">
      <c r="A4227" s="46"/>
      <c r="B4227" s="46"/>
      <c r="C4227" s="46"/>
      <c r="D4227" s="48"/>
      <c r="E4227" s="48"/>
      <c r="F4227" s="48"/>
      <c r="G4227" s="48"/>
      <c r="H4227" s="48"/>
      <c r="I4227" s="48"/>
    </row>
    <row r="4228" spans="1:9" hidden="1" x14ac:dyDescent="0.2">
      <c r="A4228" s="46"/>
      <c r="B4228" s="46"/>
      <c r="C4228" s="46"/>
      <c r="D4228" s="48"/>
      <c r="E4228" s="48"/>
      <c r="F4228" s="48"/>
      <c r="G4228" s="48"/>
      <c r="H4228" s="48"/>
      <c r="I4228" s="48"/>
    </row>
    <row r="4229" spans="1:9" hidden="1" x14ac:dyDescent="0.2">
      <c r="A4229" s="46"/>
      <c r="B4229" s="46"/>
      <c r="C4229" s="46"/>
      <c r="D4229" s="48"/>
      <c r="E4229" s="48"/>
      <c r="F4229" s="48"/>
      <c r="G4229" s="48"/>
      <c r="H4229" s="48"/>
      <c r="I4229" s="48"/>
    </row>
    <row r="4230" spans="1:9" hidden="1" x14ac:dyDescent="0.2">
      <c r="A4230" s="46"/>
      <c r="B4230" s="46"/>
      <c r="C4230" s="46"/>
      <c r="D4230" s="48"/>
      <c r="E4230" s="48"/>
      <c r="F4230" s="48"/>
      <c r="G4230" s="48"/>
      <c r="H4230" s="48"/>
      <c r="I4230" s="48"/>
    </row>
    <row r="4231" spans="1:9" hidden="1" x14ac:dyDescent="0.2">
      <c r="A4231" s="46"/>
      <c r="B4231" s="46"/>
      <c r="C4231" s="46"/>
      <c r="D4231" s="48"/>
      <c r="E4231" s="48"/>
      <c r="F4231" s="48"/>
      <c r="G4231" s="48"/>
      <c r="H4231" s="48"/>
      <c r="I4231" s="48"/>
    </row>
    <row r="4232" spans="1:9" hidden="1" x14ac:dyDescent="0.2">
      <c r="A4232" s="46"/>
      <c r="B4232" s="46"/>
      <c r="C4232" s="46"/>
      <c r="D4232" s="48"/>
      <c r="E4232" s="48"/>
      <c r="F4232" s="48"/>
      <c r="G4232" s="48"/>
      <c r="H4232" s="48"/>
      <c r="I4232" s="48"/>
    </row>
    <row r="4233" spans="1:9" hidden="1" x14ac:dyDescent="0.2">
      <c r="A4233" s="46"/>
      <c r="B4233" s="46"/>
      <c r="C4233" s="46"/>
      <c r="D4233" s="48"/>
      <c r="E4233" s="48"/>
      <c r="F4233" s="48"/>
      <c r="G4233" s="48"/>
      <c r="H4233" s="48"/>
      <c r="I4233" s="48"/>
    </row>
    <row r="4234" spans="1:9" hidden="1" x14ac:dyDescent="0.2">
      <c r="A4234" s="46"/>
      <c r="B4234" s="46"/>
      <c r="C4234" s="46"/>
      <c r="D4234" s="48"/>
      <c r="E4234" s="48"/>
      <c r="F4234" s="48"/>
      <c r="G4234" s="48"/>
      <c r="H4234" s="48"/>
      <c r="I4234" s="48"/>
    </row>
    <row r="4235" spans="1:9" hidden="1" x14ac:dyDescent="0.2">
      <c r="A4235" s="46"/>
      <c r="B4235" s="46"/>
      <c r="C4235" s="46"/>
      <c r="D4235" s="48"/>
      <c r="E4235" s="48"/>
      <c r="F4235" s="48"/>
      <c r="G4235" s="48"/>
      <c r="H4235" s="48"/>
      <c r="I4235" s="48"/>
    </row>
    <row r="4236" spans="1:9" hidden="1" x14ac:dyDescent="0.2">
      <c r="A4236" s="46"/>
      <c r="B4236" s="46"/>
      <c r="C4236" s="46"/>
      <c r="D4236" s="48"/>
      <c r="E4236" s="48"/>
      <c r="F4236" s="48"/>
      <c r="G4236" s="48"/>
      <c r="H4236" s="48"/>
      <c r="I4236" s="48"/>
    </row>
    <row r="4237" spans="1:9" hidden="1" x14ac:dyDescent="0.2">
      <c r="A4237" s="46"/>
      <c r="B4237" s="46"/>
      <c r="C4237" s="46"/>
      <c r="D4237" s="48"/>
      <c r="E4237" s="48"/>
      <c r="F4237" s="48"/>
      <c r="G4237" s="48"/>
      <c r="H4237" s="48"/>
      <c r="I4237" s="48"/>
    </row>
    <row r="4238" spans="1:9" hidden="1" x14ac:dyDescent="0.2">
      <c r="A4238" s="46"/>
      <c r="B4238" s="46"/>
      <c r="C4238" s="46"/>
      <c r="D4238" s="48"/>
      <c r="E4238" s="48"/>
      <c r="F4238" s="48"/>
      <c r="G4238" s="48"/>
      <c r="H4238" s="48"/>
      <c r="I4238" s="48"/>
    </row>
    <row r="4239" spans="1:9" hidden="1" x14ac:dyDescent="0.2">
      <c r="A4239" s="46"/>
      <c r="B4239" s="46"/>
      <c r="C4239" s="46"/>
      <c r="D4239" s="48"/>
      <c r="E4239" s="48"/>
      <c r="F4239" s="48"/>
      <c r="G4239" s="48"/>
      <c r="H4239" s="48"/>
      <c r="I4239" s="48"/>
    </row>
    <row r="4240" spans="1:9" hidden="1" x14ac:dyDescent="0.2">
      <c r="A4240" s="46"/>
      <c r="B4240" s="46"/>
      <c r="C4240" s="46"/>
      <c r="D4240" s="48"/>
      <c r="E4240" s="48"/>
      <c r="F4240" s="48"/>
      <c r="G4240" s="48"/>
      <c r="H4240" s="48"/>
      <c r="I4240" s="48"/>
    </row>
    <row r="4241" spans="1:9" hidden="1" x14ac:dyDescent="0.2">
      <c r="A4241" s="46"/>
      <c r="B4241" s="46"/>
      <c r="C4241" s="46"/>
      <c r="D4241" s="48"/>
      <c r="E4241" s="48"/>
      <c r="F4241" s="48"/>
      <c r="G4241" s="48"/>
      <c r="H4241" s="48"/>
      <c r="I4241" s="48"/>
    </row>
    <row r="4242" spans="1:9" hidden="1" x14ac:dyDescent="0.2">
      <c r="A4242" s="46"/>
      <c r="B4242" s="46"/>
      <c r="C4242" s="46"/>
      <c r="D4242" s="48"/>
      <c r="E4242" s="48"/>
      <c r="F4242" s="48"/>
      <c r="G4242" s="48"/>
      <c r="H4242" s="48"/>
      <c r="I4242" s="48"/>
    </row>
    <row r="4243" spans="1:9" hidden="1" x14ac:dyDescent="0.2">
      <c r="A4243" s="46"/>
      <c r="B4243" s="46"/>
      <c r="C4243" s="46"/>
      <c r="D4243" s="48"/>
      <c r="E4243" s="48"/>
      <c r="F4243" s="48"/>
      <c r="G4243" s="48"/>
      <c r="H4243" s="48"/>
      <c r="I4243" s="48"/>
    </row>
    <row r="4244" spans="1:9" hidden="1" x14ac:dyDescent="0.2">
      <c r="A4244" s="46"/>
      <c r="B4244" s="46"/>
      <c r="C4244" s="46"/>
      <c r="D4244" s="48"/>
      <c r="E4244" s="48"/>
      <c r="F4244" s="48"/>
      <c r="G4244" s="48"/>
      <c r="H4244" s="48"/>
      <c r="I4244" s="48"/>
    </row>
    <row r="4245" spans="1:9" hidden="1" x14ac:dyDescent="0.2">
      <c r="A4245" s="46"/>
      <c r="B4245" s="46"/>
      <c r="C4245" s="46"/>
      <c r="D4245" s="48"/>
      <c r="E4245" s="48"/>
      <c r="F4245" s="48"/>
      <c r="G4245" s="48"/>
      <c r="H4245" s="48"/>
      <c r="I4245" s="48"/>
    </row>
    <row r="4246" spans="1:9" hidden="1" x14ac:dyDescent="0.2">
      <c r="A4246" s="46"/>
      <c r="B4246" s="46"/>
      <c r="C4246" s="46"/>
      <c r="D4246" s="48"/>
      <c r="E4246" s="48"/>
      <c r="F4246" s="48"/>
      <c r="G4246" s="48"/>
      <c r="H4246" s="48"/>
      <c r="I4246" s="48"/>
    </row>
    <row r="4247" spans="1:9" hidden="1" x14ac:dyDescent="0.2">
      <c r="A4247" s="46"/>
      <c r="B4247" s="46"/>
      <c r="C4247" s="46"/>
      <c r="D4247" s="48"/>
      <c r="E4247" s="48"/>
      <c r="F4247" s="48"/>
      <c r="G4247" s="48"/>
      <c r="H4247" s="48"/>
      <c r="I4247" s="48"/>
    </row>
    <row r="4248" spans="1:9" hidden="1" x14ac:dyDescent="0.2">
      <c r="A4248" s="46"/>
      <c r="B4248" s="46"/>
      <c r="C4248" s="46"/>
      <c r="D4248" s="48"/>
      <c r="E4248" s="48"/>
      <c r="F4248" s="48"/>
      <c r="G4248" s="48"/>
      <c r="H4248" s="48"/>
      <c r="I4248" s="48"/>
    </row>
    <row r="4249" spans="1:9" hidden="1" x14ac:dyDescent="0.2">
      <c r="A4249" s="46"/>
      <c r="B4249" s="46"/>
      <c r="C4249" s="46"/>
      <c r="D4249" s="48"/>
      <c r="E4249" s="48"/>
      <c r="F4249" s="48"/>
      <c r="G4249" s="48"/>
      <c r="H4249" s="48"/>
      <c r="I4249" s="48"/>
    </row>
    <row r="4250" spans="1:9" hidden="1" x14ac:dyDescent="0.2">
      <c r="A4250" s="46"/>
      <c r="B4250" s="46"/>
      <c r="C4250" s="46"/>
      <c r="D4250" s="48"/>
      <c r="E4250" s="48"/>
      <c r="F4250" s="48"/>
      <c r="G4250" s="48"/>
      <c r="H4250" s="48"/>
      <c r="I4250" s="48"/>
    </row>
    <row r="4251" spans="1:9" hidden="1" x14ac:dyDescent="0.2">
      <c r="A4251" s="46"/>
      <c r="B4251" s="46"/>
      <c r="C4251" s="46"/>
      <c r="D4251" s="48"/>
      <c r="E4251" s="48"/>
      <c r="F4251" s="48"/>
      <c r="G4251" s="48"/>
      <c r="H4251" s="48"/>
      <c r="I4251" s="48"/>
    </row>
    <row r="4252" spans="1:9" hidden="1" x14ac:dyDescent="0.2">
      <c r="A4252" s="46"/>
      <c r="B4252" s="46"/>
      <c r="C4252" s="46"/>
      <c r="D4252" s="48"/>
      <c r="E4252" s="48"/>
      <c r="F4252" s="48"/>
      <c r="G4252" s="48"/>
      <c r="H4252" s="48"/>
      <c r="I4252" s="48"/>
    </row>
    <row r="4253" spans="1:9" hidden="1" x14ac:dyDescent="0.2">
      <c r="A4253" s="46"/>
      <c r="B4253" s="46"/>
      <c r="C4253" s="46"/>
      <c r="D4253" s="48"/>
      <c r="E4253" s="48"/>
      <c r="F4253" s="48"/>
      <c r="G4253" s="48"/>
      <c r="H4253" s="48"/>
      <c r="I4253" s="48"/>
    </row>
    <row r="4254" spans="1:9" hidden="1" x14ac:dyDescent="0.2">
      <c r="A4254" s="46"/>
      <c r="B4254" s="46"/>
      <c r="C4254" s="46"/>
      <c r="D4254" s="48"/>
      <c r="E4254" s="48"/>
      <c r="F4254" s="48"/>
      <c r="G4254" s="48"/>
      <c r="H4254" s="48"/>
      <c r="I4254" s="48"/>
    </row>
    <row r="4255" spans="1:9" hidden="1" x14ac:dyDescent="0.2">
      <c r="A4255" s="46"/>
      <c r="B4255" s="46"/>
      <c r="C4255" s="46"/>
      <c r="D4255" s="48"/>
      <c r="E4255" s="48"/>
      <c r="F4255" s="48"/>
      <c r="G4255" s="48"/>
      <c r="H4255" s="48"/>
      <c r="I4255" s="48"/>
    </row>
    <row r="4256" spans="1:9" hidden="1" x14ac:dyDescent="0.2">
      <c r="A4256" s="46"/>
      <c r="B4256" s="46"/>
      <c r="C4256" s="46"/>
      <c r="D4256" s="48"/>
      <c r="E4256" s="48"/>
      <c r="F4256" s="48"/>
      <c r="G4256" s="48"/>
      <c r="H4256" s="48"/>
      <c r="I4256" s="48"/>
    </row>
    <row r="4257" spans="1:9" hidden="1" x14ac:dyDescent="0.2">
      <c r="A4257" s="46"/>
      <c r="B4257" s="46"/>
      <c r="C4257" s="46"/>
      <c r="D4257" s="48"/>
      <c r="E4257" s="48"/>
      <c r="F4257" s="48"/>
      <c r="G4257" s="48"/>
      <c r="H4257" s="48"/>
      <c r="I4257" s="48"/>
    </row>
    <row r="4258" spans="1:9" hidden="1" x14ac:dyDescent="0.2">
      <c r="A4258" s="46"/>
      <c r="B4258" s="46"/>
      <c r="C4258" s="46"/>
      <c r="D4258" s="48"/>
      <c r="E4258" s="48"/>
      <c r="F4258" s="48"/>
      <c r="G4258" s="48"/>
      <c r="H4258" s="48"/>
      <c r="I4258" s="48"/>
    </row>
    <row r="4259" spans="1:9" hidden="1" x14ac:dyDescent="0.2">
      <c r="A4259" s="46"/>
      <c r="B4259" s="46"/>
      <c r="C4259" s="46"/>
      <c r="D4259" s="48"/>
      <c r="E4259" s="48"/>
      <c r="F4259" s="48"/>
      <c r="G4259" s="48"/>
      <c r="H4259" s="48"/>
      <c r="I4259" s="48"/>
    </row>
    <row r="4260" spans="1:9" hidden="1" x14ac:dyDescent="0.2">
      <c r="A4260" s="46"/>
      <c r="B4260" s="46"/>
      <c r="C4260" s="46"/>
      <c r="D4260" s="48"/>
      <c r="E4260" s="48"/>
      <c r="F4260" s="48"/>
      <c r="G4260" s="48"/>
      <c r="H4260" s="48"/>
      <c r="I4260" s="48"/>
    </row>
    <row r="4261" spans="1:9" hidden="1" x14ac:dyDescent="0.2">
      <c r="A4261" s="46"/>
      <c r="B4261" s="46"/>
      <c r="C4261" s="46"/>
      <c r="D4261" s="48"/>
      <c r="E4261" s="48"/>
      <c r="F4261" s="48"/>
      <c r="G4261" s="48"/>
      <c r="H4261" s="48"/>
      <c r="I4261" s="48"/>
    </row>
    <row r="4262" spans="1:9" hidden="1" x14ac:dyDescent="0.2">
      <c r="A4262" s="46"/>
      <c r="B4262" s="46"/>
      <c r="C4262" s="46"/>
      <c r="D4262" s="48"/>
      <c r="E4262" s="48"/>
      <c r="F4262" s="48"/>
      <c r="G4262" s="48"/>
      <c r="H4262" s="48"/>
      <c r="I4262" s="48"/>
    </row>
    <row r="4263" spans="1:9" hidden="1" x14ac:dyDescent="0.2">
      <c r="A4263" s="46"/>
      <c r="B4263" s="46"/>
      <c r="C4263" s="46"/>
      <c r="D4263" s="48"/>
      <c r="E4263" s="48"/>
      <c r="F4263" s="48"/>
      <c r="G4263" s="48"/>
      <c r="H4263" s="48"/>
      <c r="I4263" s="48"/>
    </row>
    <row r="4264" spans="1:9" hidden="1" x14ac:dyDescent="0.2">
      <c r="A4264" s="46"/>
      <c r="B4264" s="46"/>
      <c r="C4264" s="46"/>
      <c r="D4264" s="48"/>
      <c r="E4264" s="48"/>
      <c r="F4264" s="48"/>
      <c r="G4264" s="48"/>
      <c r="H4264" s="48"/>
      <c r="I4264" s="48"/>
    </row>
    <row r="4265" spans="1:9" hidden="1" x14ac:dyDescent="0.2">
      <c r="A4265" s="46"/>
      <c r="B4265" s="46"/>
      <c r="C4265" s="46"/>
      <c r="D4265" s="48"/>
      <c r="E4265" s="48"/>
      <c r="F4265" s="48"/>
      <c r="G4265" s="48"/>
      <c r="H4265" s="48"/>
      <c r="I4265" s="48"/>
    </row>
    <row r="4266" spans="1:9" hidden="1" x14ac:dyDescent="0.2">
      <c r="A4266" s="46"/>
      <c r="B4266" s="46"/>
      <c r="C4266" s="46"/>
      <c r="D4266" s="48"/>
      <c r="E4266" s="48"/>
      <c r="F4266" s="48"/>
      <c r="G4266" s="48"/>
      <c r="H4266" s="48"/>
      <c r="I4266" s="48"/>
    </row>
    <row r="4267" spans="1:9" hidden="1" x14ac:dyDescent="0.2">
      <c r="A4267" s="46"/>
      <c r="B4267" s="46"/>
      <c r="C4267" s="46"/>
      <c r="D4267" s="48"/>
      <c r="E4267" s="48"/>
      <c r="F4267" s="48"/>
      <c r="G4267" s="48"/>
      <c r="H4267" s="48"/>
      <c r="I4267" s="48"/>
    </row>
    <row r="4268" spans="1:9" hidden="1" x14ac:dyDescent="0.2">
      <c r="A4268" s="46"/>
      <c r="B4268" s="46"/>
      <c r="C4268" s="46"/>
      <c r="D4268" s="48"/>
      <c r="E4268" s="48"/>
      <c r="F4268" s="48"/>
      <c r="G4268" s="48"/>
      <c r="H4268" s="48"/>
      <c r="I4268" s="48"/>
    </row>
    <row r="4269" spans="1:9" hidden="1" x14ac:dyDescent="0.2">
      <c r="A4269" s="46"/>
      <c r="B4269" s="46"/>
      <c r="C4269" s="46"/>
      <c r="D4269" s="48"/>
      <c r="E4269" s="48"/>
      <c r="F4269" s="48"/>
      <c r="G4269" s="48"/>
      <c r="H4269" s="48"/>
      <c r="I4269" s="48"/>
    </row>
    <row r="4270" spans="1:9" hidden="1" x14ac:dyDescent="0.2">
      <c r="A4270" s="46"/>
      <c r="B4270" s="46"/>
      <c r="C4270" s="46"/>
      <c r="D4270" s="48"/>
      <c r="E4270" s="48"/>
      <c r="F4270" s="48"/>
      <c r="G4270" s="48"/>
      <c r="H4270" s="48"/>
      <c r="I4270" s="48"/>
    </row>
    <row r="4271" spans="1:9" hidden="1" x14ac:dyDescent="0.2">
      <c r="A4271" s="46"/>
      <c r="B4271" s="46"/>
      <c r="C4271" s="46"/>
      <c r="D4271" s="48"/>
      <c r="E4271" s="48"/>
      <c r="F4271" s="48"/>
      <c r="G4271" s="48"/>
      <c r="H4271" s="48"/>
      <c r="I4271" s="48"/>
    </row>
    <row r="4272" spans="1:9" hidden="1" x14ac:dyDescent="0.2">
      <c r="A4272" s="46"/>
      <c r="B4272" s="46"/>
      <c r="C4272" s="46"/>
      <c r="D4272" s="48"/>
      <c r="E4272" s="48"/>
      <c r="F4272" s="48"/>
      <c r="G4272" s="48"/>
      <c r="H4272" s="48"/>
      <c r="I4272" s="48"/>
    </row>
    <row r="4273" spans="1:9" hidden="1" x14ac:dyDescent="0.2">
      <c r="A4273" s="46"/>
      <c r="B4273" s="46"/>
      <c r="C4273" s="46"/>
      <c r="D4273" s="48"/>
      <c r="E4273" s="48"/>
      <c r="F4273" s="48"/>
      <c r="G4273" s="48"/>
      <c r="H4273" s="48"/>
      <c r="I4273" s="48"/>
    </row>
    <row r="4274" spans="1:9" hidden="1" x14ac:dyDescent="0.2">
      <c r="A4274" s="46"/>
      <c r="B4274" s="46"/>
      <c r="C4274" s="46"/>
      <c r="D4274" s="48"/>
      <c r="E4274" s="48"/>
      <c r="F4274" s="48"/>
      <c r="G4274" s="48"/>
      <c r="H4274" s="48"/>
      <c r="I4274" s="48"/>
    </row>
    <row r="4275" spans="1:9" hidden="1" x14ac:dyDescent="0.2">
      <c r="A4275" s="46"/>
      <c r="B4275" s="46"/>
      <c r="C4275" s="46"/>
      <c r="D4275" s="48"/>
      <c r="E4275" s="48"/>
      <c r="F4275" s="48"/>
      <c r="G4275" s="48"/>
      <c r="H4275" s="48"/>
      <c r="I4275" s="48"/>
    </row>
    <row r="4276" spans="1:9" hidden="1" x14ac:dyDescent="0.2">
      <c r="A4276" s="46"/>
      <c r="B4276" s="46"/>
      <c r="C4276" s="46"/>
      <c r="D4276" s="48"/>
      <c r="E4276" s="48"/>
      <c r="F4276" s="48"/>
      <c r="G4276" s="48"/>
      <c r="H4276" s="48"/>
      <c r="I4276" s="48"/>
    </row>
    <row r="4277" spans="1:9" hidden="1" x14ac:dyDescent="0.2">
      <c r="A4277" s="46"/>
      <c r="B4277" s="46"/>
      <c r="C4277" s="46"/>
      <c r="D4277" s="48"/>
      <c r="E4277" s="48"/>
      <c r="F4277" s="48"/>
      <c r="G4277" s="48"/>
      <c r="H4277" s="48"/>
      <c r="I4277" s="48"/>
    </row>
    <row r="4278" spans="1:9" hidden="1" x14ac:dyDescent="0.2">
      <c r="A4278" s="46"/>
      <c r="B4278" s="46"/>
      <c r="C4278" s="46"/>
      <c r="D4278" s="48"/>
      <c r="E4278" s="48"/>
      <c r="F4278" s="48"/>
      <c r="G4278" s="48"/>
      <c r="H4278" s="48"/>
      <c r="I4278" s="48"/>
    </row>
    <row r="4279" spans="1:9" hidden="1" x14ac:dyDescent="0.2">
      <c r="A4279" s="46"/>
      <c r="B4279" s="46"/>
      <c r="C4279" s="46"/>
      <c r="D4279" s="48"/>
      <c r="E4279" s="48"/>
      <c r="F4279" s="48"/>
      <c r="G4279" s="48"/>
      <c r="H4279" s="48"/>
      <c r="I4279" s="48"/>
    </row>
    <row r="4280" spans="1:9" hidden="1" x14ac:dyDescent="0.2">
      <c r="A4280" s="46"/>
      <c r="B4280" s="46"/>
      <c r="C4280" s="46"/>
      <c r="D4280" s="48"/>
      <c r="E4280" s="48"/>
      <c r="F4280" s="48"/>
      <c r="G4280" s="48"/>
      <c r="H4280" s="48"/>
      <c r="I4280" s="48"/>
    </row>
    <row r="4281" spans="1:9" hidden="1" x14ac:dyDescent="0.2">
      <c r="A4281" s="46"/>
      <c r="B4281" s="46"/>
      <c r="C4281" s="46"/>
      <c r="D4281" s="48"/>
      <c r="E4281" s="48"/>
      <c r="F4281" s="48"/>
      <c r="G4281" s="48"/>
      <c r="H4281" s="48"/>
      <c r="I4281" s="48"/>
    </row>
    <row r="4282" spans="1:9" hidden="1" x14ac:dyDescent="0.2">
      <c r="A4282" s="46"/>
      <c r="B4282" s="46"/>
      <c r="C4282" s="46"/>
      <c r="D4282" s="48"/>
      <c r="E4282" s="48"/>
      <c r="F4282" s="48"/>
      <c r="G4282" s="48"/>
      <c r="H4282" s="48"/>
      <c r="I4282" s="48"/>
    </row>
    <row r="4283" spans="1:9" hidden="1" x14ac:dyDescent="0.2">
      <c r="A4283" s="46"/>
      <c r="B4283" s="46"/>
      <c r="C4283" s="46"/>
      <c r="D4283" s="48"/>
      <c r="E4283" s="48"/>
      <c r="F4283" s="48"/>
      <c r="G4283" s="48"/>
      <c r="H4283" s="48"/>
      <c r="I4283" s="48"/>
    </row>
    <row r="4284" spans="1:9" hidden="1" x14ac:dyDescent="0.2">
      <c r="A4284" s="46"/>
      <c r="B4284" s="46"/>
      <c r="C4284" s="46"/>
      <c r="D4284" s="48"/>
      <c r="E4284" s="48"/>
      <c r="F4284" s="48"/>
      <c r="G4284" s="48"/>
      <c r="H4284" s="48"/>
      <c r="I4284" s="48"/>
    </row>
    <row r="4285" spans="1:9" hidden="1" x14ac:dyDescent="0.2">
      <c r="A4285" s="46"/>
      <c r="B4285" s="46"/>
      <c r="C4285" s="46"/>
      <c r="D4285" s="48"/>
      <c r="E4285" s="48"/>
      <c r="F4285" s="48"/>
      <c r="G4285" s="48"/>
      <c r="H4285" s="48"/>
      <c r="I4285" s="48"/>
    </row>
    <row r="4286" spans="1:9" hidden="1" x14ac:dyDescent="0.2">
      <c r="A4286" s="46"/>
      <c r="B4286" s="46"/>
      <c r="C4286" s="46"/>
      <c r="D4286" s="48"/>
      <c r="E4286" s="48"/>
      <c r="F4286" s="48"/>
      <c r="G4286" s="48"/>
      <c r="H4286" s="48"/>
      <c r="I4286" s="48"/>
    </row>
    <row r="4287" spans="1:9" hidden="1" x14ac:dyDescent="0.2">
      <c r="A4287" s="46"/>
      <c r="B4287" s="46"/>
      <c r="C4287" s="46"/>
      <c r="D4287" s="48"/>
      <c r="E4287" s="48"/>
      <c r="F4287" s="48"/>
      <c r="G4287" s="48"/>
      <c r="H4287" s="48"/>
      <c r="I4287" s="48"/>
    </row>
    <row r="4288" spans="1:9" hidden="1" x14ac:dyDescent="0.2">
      <c r="A4288" s="46"/>
      <c r="B4288" s="46"/>
      <c r="C4288" s="46"/>
      <c r="D4288" s="48"/>
      <c r="E4288" s="48"/>
      <c r="F4288" s="48"/>
      <c r="G4288" s="48"/>
      <c r="H4288" s="48"/>
      <c r="I4288" s="48"/>
    </row>
    <row r="4289" spans="1:9" hidden="1" x14ac:dyDescent="0.2">
      <c r="A4289" s="46"/>
      <c r="B4289" s="46"/>
      <c r="C4289" s="46"/>
      <c r="D4289" s="48"/>
      <c r="E4289" s="48"/>
      <c r="F4289" s="48"/>
      <c r="G4289" s="48"/>
      <c r="H4289" s="48"/>
      <c r="I4289" s="48"/>
    </row>
    <row r="4290" spans="1:9" hidden="1" x14ac:dyDescent="0.2">
      <c r="A4290" s="46"/>
      <c r="B4290" s="46"/>
      <c r="C4290" s="46"/>
      <c r="D4290" s="48"/>
      <c r="E4290" s="48"/>
      <c r="F4290" s="48"/>
      <c r="G4290" s="48"/>
      <c r="H4290" s="48"/>
      <c r="I4290" s="48"/>
    </row>
    <row r="4291" spans="1:9" hidden="1" x14ac:dyDescent="0.2">
      <c r="A4291" s="46"/>
      <c r="B4291" s="46"/>
      <c r="C4291" s="46"/>
      <c r="D4291" s="48"/>
      <c r="E4291" s="48"/>
      <c r="F4291" s="48"/>
      <c r="G4291" s="48"/>
      <c r="H4291" s="48"/>
      <c r="I4291" s="48"/>
    </row>
    <row r="4292" spans="1:9" hidden="1" x14ac:dyDescent="0.2">
      <c r="A4292" s="46"/>
      <c r="B4292" s="46"/>
      <c r="C4292" s="46"/>
      <c r="D4292" s="48"/>
      <c r="E4292" s="48"/>
      <c r="F4292" s="48"/>
      <c r="G4292" s="48"/>
      <c r="H4292" s="48"/>
      <c r="I4292" s="48"/>
    </row>
    <row r="4293" spans="1:9" hidden="1" x14ac:dyDescent="0.2">
      <c r="A4293" s="46"/>
      <c r="B4293" s="46"/>
      <c r="C4293" s="46"/>
      <c r="D4293" s="48"/>
      <c r="E4293" s="48"/>
      <c r="F4293" s="48"/>
      <c r="G4293" s="48"/>
      <c r="H4293" s="48"/>
      <c r="I4293" s="48"/>
    </row>
    <row r="4294" spans="1:9" hidden="1" x14ac:dyDescent="0.2">
      <c r="A4294" s="46"/>
      <c r="B4294" s="46"/>
      <c r="C4294" s="46"/>
      <c r="D4294" s="48"/>
      <c r="E4294" s="48"/>
      <c r="F4294" s="48"/>
      <c r="G4294" s="48"/>
      <c r="H4294" s="48"/>
      <c r="I4294" s="48"/>
    </row>
    <row r="4295" spans="1:9" hidden="1" x14ac:dyDescent="0.2">
      <c r="A4295" s="46"/>
      <c r="B4295" s="46"/>
      <c r="C4295" s="46"/>
      <c r="D4295" s="48"/>
      <c r="E4295" s="48"/>
      <c r="F4295" s="48"/>
      <c r="G4295" s="48"/>
      <c r="H4295" s="48"/>
      <c r="I4295" s="48"/>
    </row>
    <row r="4296" spans="1:9" hidden="1" x14ac:dyDescent="0.2">
      <c r="A4296" s="46"/>
      <c r="B4296" s="46"/>
      <c r="C4296" s="46"/>
      <c r="D4296" s="48"/>
      <c r="E4296" s="48"/>
      <c r="F4296" s="48"/>
      <c r="G4296" s="48"/>
      <c r="H4296" s="48"/>
      <c r="I4296" s="48"/>
    </row>
    <row r="4297" spans="1:9" hidden="1" x14ac:dyDescent="0.2">
      <c r="A4297" s="46"/>
      <c r="B4297" s="46"/>
      <c r="C4297" s="46"/>
      <c r="D4297" s="48"/>
      <c r="E4297" s="48"/>
      <c r="F4297" s="48"/>
      <c r="G4297" s="48"/>
      <c r="H4297" s="48"/>
      <c r="I4297" s="48"/>
    </row>
    <row r="4298" spans="1:9" hidden="1" x14ac:dyDescent="0.2">
      <c r="A4298" s="46"/>
      <c r="B4298" s="46"/>
      <c r="C4298" s="46"/>
      <c r="D4298" s="48"/>
      <c r="E4298" s="48"/>
      <c r="F4298" s="48"/>
      <c r="G4298" s="48"/>
      <c r="H4298" s="48"/>
      <c r="I4298" s="48"/>
    </row>
    <row r="4299" spans="1:9" hidden="1" x14ac:dyDescent="0.2">
      <c r="A4299" s="46"/>
      <c r="B4299" s="46"/>
      <c r="C4299" s="46"/>
      <c r="D4299" s="48"/>
      <c r="E4299" s="48"/>
      <c r="F4299" s="48"/>
      <c r="G4299" s="48"/>
      <c r="H4299" s="48"/>
      <c r="I4299" s="48"/>
    </row>
    <row r="4300" spans="1:9" hidden="1" x14ac:dyDescent="0.2">
      <c r="A4300" s="46"/>
      <c r="B4300" s="46"/>
      <c r="C4300" s="46"/>
      <c r="D4300" s="48"/>
      <c r="E4300" s="48"/>
      <c r="F4300" s="48"/>
      <c r="G4300" s="48"/>
      <c r="H4300" s="48"/>
      <c r="I4300" s="48"/>
    </row>
    <row r="4301" spans="1:9" hidden="1" x14ac:dyDescent="0.2">
      <c r="A4301" s="46"/>
      <c r="B4301" s="46"/>
      <c r="C4301" s="46"/>
      <c r="D4301" s="48"/>
      <c r="E4301" s="48"/>
      <c r="F4301" s="48"/>
      <c r="G4301" s="48"/>
      <c r="H4301" s="48"/>
      <c r="I4301" s="48"/>
    </row>
    <row r="4302" spans="1:9" hidden="1" x14ac:dyDescent="0.2">
      <c r="A4302" s="46"/>
      <c r="B4302" s="46"/>
      <c r="C4302" s="46"/>
      <c r="D4302" s="48"/>
      <c r="E4302" s="48"/>
      <c r="F4302" s="48"/>
      <c r="G4302" s="48"/>
      <c r="H4302" s="48"/>
      <c r="I4302" s="48"/>
    </row>
    <row r="4303" spans="1:9" hidden="1" x14ac:dyDescent="0.2">
      <c r="A4303" s="46"/>
      <c r="B4303" s="46"/>
      <c r="C4303" s="46"/>
      <c r="D4303" s="48"/>
      <c r="E4303" s="48"/>
      <c r="F4303" s="48"/>
      <c r="G4303" s="48"/>
      <c r="H4303" s="48"/>
      <c r="I4303" s="48"/>
    </row>
    <row r="4304" spans="1:9" hidden="1" x14ac:dyDescent="0.2">
      <c r="A4304" s="46"/>
      <c r="B4304" s="46"/>
      <c r="C4304" s="46"/>
      <c r="D4304" s="48"/>
      <c r="E4304" s="48"/>
      <c r="F4304" s="48"/>
      <c r="G4304" s="48"/>
      <c r="H4304" s="48"/>
      <c r="I4304" s="48"/>
    </row>
    <row r="4305" spans="1:9" hidden="1" x14ac:dyDescent="0.2">
      <c r="A4305" s="46"/>
      <c r="B4305" s="46"/>
      <c r="C4305" s="46"/>
      <c r="D4305" s="48"/>
      <c r="E4305" s="48"/>
      <c r="F4305" s="48"/>
      <c r="G4305" s="48"/>
      <c r="H4305" s="48"/>
      <c r="I4305" s="48"/>
    </row>
    <row r="4306" spans="1:9" hidden="1" x14ac:dyDescent="0.2">
      <c r="A4306" s="46"/>
      <c r="B4306" s="46"/>
      <c r="C4306" s="46"/>
      <c r="D4306" s="48"/>
      <c r="E4306" s="48"/>
      <c r="F4306" s="48"/>
      <c r="G4306" s="48"/>
      <c r="H4306" s="48"/>
      <c r="I4306" s="48"/>
    </row>
    <row r="4307" spans="1:9" hidden="1" x14ac:dyDescent="0.2">
      <c r="A4307" s="46"/>
      <c r="B4307" s="46"/>
      <c r="C4307" s="46"/>
      <c r="D4307" s="48"/>
      <c r="E4307" s="48"/>
      <c r="F4307" s="48"/>
      <c r="G4307" s="48"/>
      <c r="H4307" s="48"/>
      <c r="I4307" s="48"/>
    </row>
    <row r="4308" spans="1:9" hidden="1" x14ac:dyDescent="0.2">
      <c r="A4308" s="46"/>
      <c r="B4308" s="46"/>
      <c r="C4308" s="46"/>
      <c r="D4308" s="48"/>
      <c r="E4308" s="48"/>
      <c r="F4308" s="48"/>
      <c r="G4308" s="48"/>
      <c r="H4308" s="48"/>
      <c r="I4308" s="48"/>
    </row>
    <row r="4309" spans="1:9" hidden="1" x14ac:dyDescent="0.2">
      <c r="A4309" s="46"/>
      <c r="B4309" s="46"/>
      <c r="C4309" s="46"/>
      <c r="D4309" s="48"/>
      <c r="E4309" s="48"/>
      <c r="F4309" s="48"/>
      <c r="G4309" s="48"/>
      <c r="H4309" s="48"/>
      <c r="I4309" s="48"/>
    </row>
    <row r="4310" spans="1:9" hidden="1" x14ac:dyDescent="0.2">
      <c r="A4310" s="46"/>
      <c r="B4310" s="46"/>
      <c r="C4310" s="46"/>
      <c r="D4310" s="48"/>
      <c r="E4310" s="48"/>
      <c r="F4310" s="48"/>
      <c r="G4310" s="48"/>
      <c r="H4310" s="48"/>
      <c r="I4310" s="48"/>
    </row>
    <row r="4311" spans="1:9" hidden="1" x14ac:dyDescent="0.2">
      <c r="A4311" s="46"/>
      <c r="B4311" s="46"/>
      <c r="C4311" s="46"/>
      <c r="D4311" s="48"/>
      <c r="E4311" s="48"/>
      <c r="F4311" s="48"/>
      <c r="G4311" s="48"/>
      <c r="H4311" s="48"/>
      <c r="I4311" s="48"/>
    </row>
    <row r="4312" spans="1:9" hidden="1" x14ac:dyDescent="0.2">
      <c r="A4312" s="46"/>
      <c r="B4312" s="46"/>
      <c r="C4312" s="46"/>
      <c r="D4312" s="48"/>
      <c r="E4312" s="48"/>
      <c r="F4312" s="48"/>
      <c r="G4312" s="48"/>
      <c r="H4312" s="48"/>
      <c r="I4312" s="48"/>
    </row>
    <row r="4313" spans="1:9" hidden="1" x14ac:dyDescent="0.2">
      <c r="A4313" s="46"/>
      <c r="B4313" s="46"/>
      <c r="C4313" s="46"/>
      <c r="D4313" s="48"/>
      <c r="E4313" s="48"/>
      <c r="F4313" s="48"/>
      <c r="G4313" s="48"/>
      <c r="H4313" s="48"/>
      <c r="I4313" s="48"/>
    </row>
    <row r="4314" spans="1:9" hidden="1" x14ac:dyDescent="0.2">
      <c r="A4314" s="46"/>
      <c r="B4314" s="46"/>
      <c r="C4314" s="46"/>
      <c r="D4314" s="48"/>
      <c r="E4314" s="48"/>
      <c r="F4314" s="48"/>
      <c r="G4314" s="48"/>
      <c r="H4314" s="48"/>
      <c r="I4314" s="48"/>
    </row>
    <row r="4315" spans="1:9" hidden="1" x14ac:dyDescent="0.2">
      <c r="A4315" s="46"/>
      <c r="B4315" s="46"/>
      <c r="C4315" s="46"/>
      <c r="D4315" s="48"/>
      <c r="E4315" s="48"/>
      <c r="F4315" s="48"/>
      <c r="G4315" s="48"/>
      <c r="H4315" s="48"/>
      <c r="I4315" s="48"/>
    </row>
    <row r="4316" spans="1:9" hidden="1" x14ac:dyDescent="0.2">
      <c r="A4316" s="46"/>
      <c r="B4316" s="46"/>
      <c r="C4316" s="46"/>
      <c r="D4316" s="48"/>
      <c r="E4316" s="48"/>
      <c r="F4316" s="48"/>
      <c r="G4316" s="48"/>
      <c r="H4316" s="48"/>
      <c r="I4316" s="48"/>
    </row>
    <row r="4317" spans="1:9" hidden="1" x14ac:dyDescent="0.2">
      <c r="A4317" s="46"/>
      <c r="B4317" s="46"/>
      <c r="C4317" s="46"/>
      <c r="D4317" s="48"/>
      <c r="E4317" s="48"/>
      <c r="F4317" s="48"/>
      <c r="G4317" s="48"/>
      <c r="H4317" s="48"/>
      <c r="I4317" s="48"/>
    </row>
    <row r="4318" spans="1:9" hidden="1" x14ac:dyDescent="0.2">
      <c r="A4318" s="46"/>
      <c r="B4318" s="46"/>
      <c r="C4318" s="46"/>
      <c r="D4318" s="48"/>
      <c r="E4318" s="48"/>
      <c r="F4318" s="48"/>
      <c r="G4318" s="48"/>
      <c r="H4318" s="48"/>
      <c r="I4318" s="48"/>
    </row>
    <row r="4319" spans="1:9" hidden="1" x14ac:dyDescent="0.2">
      <c r="A4319" s="46"/>
      <c r="B4319" s="46"/>
      <c r="C4319" s="46"/>
      <c r="D4319" s="48"/>
      <c r="E4319" s="48"/>
      <c r="F4319" s="48"/>
      <c r="G4319" s="48"/>
      <c r="H4319" s="48"/>
      <c r="I4319" s="48"/>
    </row>
    <row r="4320" spans="1:9" hidden="1" x14ac:dyDescent="0.2">
      <c r="A4320" s="46"/>
      <c r="B4320" s="46"/>
      <c r="C4320" s="46"/>
      <c r="D4320" s="48"/>
      <c r="E4320" s="48"/>
      <c r="F4320" s="48"/>
      <c r="G4320" s="48"/>
      <c r="H4320" s="48"/>
      <c r="I4320" s="48"/>
    </row>
    <row r="4321" spans="1:9" hidden="1" x14ac:dyDescent="0.2">
      <c r="A4321" s="46"/>
      <c r="B4321" s="46"/>
      <c r="C4321" s="46"/>
      <c r="D4321" s="48"/>
      <c r="E4321" s="48"/>
      <c r="F4321" s="48"/>
      <c r="G4321" s="48"/>
      <c r="H4321" s="48"/>
      <c r="I4321" s="48"/>
    </row>
    <row r="4322" spans="1:9" hidden="1" x14ac:dyDescent="0.2">
      <c r="A4322" s="46"/>
      <c r="B4322" s="46"/>
      <c r="C4322" s="46"/>
      <c r="D4322" s="48"/>
      <c r="E4322" s="48"/>
      <c r="F4322" s="48"/>
      <c r="G4322" s="48"/>
      <c r="H4322" s="48"/>
      <c r="I4322" s="48"/>
    </row>
    <row r="4323" spans="1:9" hidden="1" x14ac:dyDescent="0.2">
      <c r="A4323" s="46"/>
      <c r="B4323" s="46"/>
      <c r="C4323" s="46"/>
      <c r="D4323" s="48"/>
      <c r="E4323" s="48"/>
      <c r="F4323" s="48"/>
      <c r="G4323" s="48"/>
      <c r="H4323" s="48"/>
      <c r="I4323" s="48"/>
    </row>
    <row r="4324" spans="1:9" hidden="1" x14ac:dyDescent="0.2">
      <c r="A4324" s="46"/>
      <c r="B4324" s="46"/>
      <c r="C4324" s="46"/>
      <c r="D4324" s="48"/>
      <c r="E4324" s="48"/>
      <c r="F4324" s="48"/>
      <c r="G4324" s="48"/>
      <c r="H4324" s="48"/>
      <c r="I4324" s="48"/>
    </row>
    <row r="4325" spans="1:9" hidden="1" x14ac:dyDescent="0.2">
      <c r="A4325" s="46"/>
      <c r="B4325" s="46"/>
      <c r="C4325" s="46"/>
      <c r="D4325" s="48"/>
      <c r="E4325" s="48"/>
      <c r="F4325" s="48"/>
      <c r="G4325" s="48"/>
      <c r="H4325" s="48"/>
      <c r="I4325" s="48"/>
    </row>
    <row r="4326" spans="1:9" hidden="1" x14ac:dyDescent="0.2">
      <c r="A4326" s="46"/>
      <c r="B4326" s="46"/>
      <c r="C4326" s="46"/>
      <c r="D4326" s="48"/>
      <c r="E4326" s="48"/>
      <c r="F4326" s="48"/>
      <c r="G4326" s="48"/>
      <c r="H4326" s="48"/>
      <c r="I4326" s="48"/>
    </row>
    <row r="4327" spans="1:9" hidden="1" x14ac:dyDescent="0.2">
      <c r="A4327" s="46"/>
      <c r="B4327" s="46"/>
      <c r="C4327" s="46"/>
      <c r="D4327" s="48"/>
      <c r="E4327" s="48"/>
      <c r="F4327" s="48"/>
      <c r="G4327" s="48"/>
      <c r="H4327" s="48"/>
      <c r="I4327" s="48"/>
    </row>
    <row r="4328" spans="1:9" hidden="1" x14ac:dyDescent="0.2">
      <c r="A4328" s="46"/>
      <c r="B4328" s="46"/>
      <c r="C4328" s="46"/>
      <c r="D4328" s="48"/>
      <c r="E4328" s="48"/>
      <c r="F4328" s="48"/>
      <c r="G4328" s="48"/>
      <c r="H4328" s="48"/>
      <c r="I4328" s="48"/>
    </row>
    <row r="4329" spans="1:9" hidden="1" x14ac:dyDescent="0.2">
      <c r="A4329" s="46"/>
      <c r="B4329" s="46"/>
      <c r="C4329" s="46"/>
      <c r="D4329" s="48"/>
      <c r="E4329" s="48"/>
      <c r="F4329" s="48"/>
      <c r="G4329" s="48"/>
      <c r="H4329" s="48"/>
      <c r="I4329" s="48"/>
    </row>
    <row r="4330" spans="1:9" hidden="1" x14ac:dyDescent="0.2">
      <c r="A4330" s="46"/>
      <c r="B4330" s="46"/>
      <c r="C4330" s="46"/>
      <c r="D4330" s="48"/>
      <c r="E4330" s="48"/>
      <c r="F4330" s="48"/>
      <c r="G4330" s="48"/>
      <c r="H4330" s="48"/>
      <c r="I4330" s="48"/>
    </row>
    <row r="4331" spans="1:9" hidden="1" x14ac:dyDescent="0.2">
      <c r="A4331" s="46"/>
      <c r="B4331" s="46"/>
      <c r="C4331" s="46"/>
      <c r="D4331" s="48"/>
      <c r="E4331" s="48"/>
      <c r="F4331" s="48"/>
      <c r="G4331" s="48"/>
      <c r="H4331" s="48"/>
      <c r="I4331" s="48"/>
    </row>
    <row r="4332" spans="1:9" hidden="1" x14ac:dyDescent="0.2">
      <c r="A4332" s="46"/>
      <c r="B4332" s="46"/>
      <c r="C4332" s="46"/>
      <c r="D4332" s="48"/>
      <c r="E4332" s="48"/>
      <c r="F4332" s="48"/>
      <c r="G4332" s="48"/>
      <c r="H4332" s="48"/>
      <c r="I4332" s="48"/>
    </row>
    <row r="4333" spans="1:9" hidden="1" x14ac:dyDescent="0.2">
      <c r="A4333" s="46"/>
      <c r="B4333" s="46"/>
      <c r="C4333" s="46"/>
      <c r="D4333" s="48"/>
      <c r="E4333" s="48"/>
      <c r="F4333" s="48"/>
      <c r="G4333" s="48"/>
      <c r="H4333" s="48"/>
      <c r="I4333" s="48"/>
    </row>
    <row r="4334" spans="1:9" hidden="1" x14ac:dyDescent="0.2">
      <c r="A4334" s="46"/>
      <c r="B4334" s="46"/>
      <c r="C4334" s="46"/>
      <c r="D4334" s="48"/>
      <c r="E4334" s="48"/>
      <c r="F4334" s="48"/>
      <c r="G4334" s="48"/>
      <c r="H4334" s="48"/>
      <c r="I4334" s="48"/>
    </row>
    <row r="4335" spans="1:9" hidden="1" x14ac:dyDescent="0.2">
      <c r="A4335" s="46"/>
      <c r="B4335" s="46"/>
      <c r="C4335" s="46"/>
      <c r="D4335" s="48"/>
      <c r="E4335" s="48"/>
      <c r="F4335" s="48"/>
      <c r="G4335" s="48"/>
      <c r="H4335" s="48"/>
      <c r="I4335" s="48"/>
    </row>
    <row r="4336" spans="1:9" hidden="1" x14ac:dyDescent="0.2">
      <c r="A4336" s="46"/>
      <c r="B4336" s="46"/>
      <c r="C4336" s="46"/>
      <c r="D4336" s="48"/>
      <c r="E4336" s="48"/>
      <c r="F4336" s="48"/>
      <c r="G4336" s="48"/>
      <c r="H4336" s="48"/>
      <c r="I4336" s="48"/>
    </row>
    <row r="4337" spans="1:9" hidden="1" x14ac:dyDescent="0.2">
      <c r="A4337" s="46"/>
      <c r="B4337" s="46"/>
      <c r="C4337" s="46"/>
      <c r="D4337" s="48"/>
      <c r="E4337" s="48"/>
      <c r="F4337" s="48"/>
      <c r="G4337" s="48"/>
      <c r="H4337" s="48"/>
      <c r="I4337" s="48"/>
    </row>
    <row r="4338" spans="1:9" hidden="1" x14ac:dyDescent="0.2">
      <c r="A4338" s="46"/>
      <c r="B4338" s="46"/>
      <c r="C4338" s="46"/>
      <c r="D4338" s="48"/>
      <c r="E4338" s="48"/>
      <c r="F4338" s="48"/>
      <c r="G4338" s="48"/>
      <c r="H4338" s="48"/>
      <c r="I4338" s="48"/>
    </row>
    <row r="4339" spans="1:9" hidden="1" x14ac:dyDescent="0.2">
      <c r="A4339" s="46"/>
      <c r="B4339" s="46"/>
      <c r="C4339" s="46"/>
      <c r="D4339" s="48"/>
      <c r="E4339" s="48"/>
      <c r="F4339" s="48"/>
      <c r="G4339" s="48"/>
      <c r="H4339" s="48"/>
      <c r="I4339" s="48"/>
    </row>
    <row r="4340" spans="1:9" hidden="1" x14ac:dyDescent="0.2">
      <c r="A4340" s="46"/>
      <c r="B4340" s="46"/>
      <c r="C4340" s="46"/>
      <c r="D4340" s="48"/>
      <c r="E4340" s="48"/>
      <c r="F4340" s="48"/>
      <c r="G4340" s="48"/>
      <c r="H4340" s="48"/>
      <c r="I4340" s="48"/>
    </row>
    <row r="4341" spans="1:9" hidden="1" x14ac:dyDescent="0.2">
      <c r="A4341" s="46"/>
      <c r="B4341" s="46"/>
      <c r="C4341" s="46"/>
      <c r="D4341" s="48"/>
      <c r="E4341" s="48"/>
      <c r="F4341" s="48"/>
      <c r="G4341" s="48"/>
      <c r="H4341" s="48"/>
      <c r="I4341" s="48"/>
    </row>
    <row r="4342" spans="1:9" hidden="1" x14ac:dyDescent="0.2">
      <c r="A4342" s="46"/>
      <c r="B4342" s="46"/>
      <c r="C4342" s="46"/>
      <c r="D4342" s="48"/>
      <c r="E4342" s="48"/>
      <c r="F4342" s="48"/>
      <c r="G4342" s="48"/>
      <c r="H4342" s="48"/>
      <c r="I4342" s="48"/>
    </row>
    <row r="4343" spans="1:9" hidden="1" x14ac:dyDescent="0.2">
      <c r="A4343" s="46"/>
      <c r="B4343" s="46"/>
      <c r="C4343" s="46"/>
      <c r="D4343" s="48"/>
      <c r="E4343" s="48"/>
      <c r="F4343" s="48"/>
      <c r="G4343" s="48"/>
      <c r="H4343" s="48"/>
      <c r="I4343" s="48"/>
    </row>
    <row r="4344" spans="1:9" hidden="1" x14ac:dyDescent="0.2">
      <c r="A4344" s="46"/>
      <c r="B4344" s="46"/>
      <c r="C4344" s="46"/>
      <c r="D4344" s="48"/>
      <c r="E4344" s="48"/>
      <c r="F4344" s="48"/>
      <c r="G4344" s="48"/>
      <c r="H4344" s="48"/>
      <c r="I4344" s="48"/>
    </row>
    <row r="4345" spans="1:9" hidden="1" x14ac:dyDescent="0.2">
      <c r="A4345" s="46"/>
      <c r="B4345" s="46"/>
      <c r="C4345" s="46"/>
      <c r="D4345" s="48"/>
      <c r="E4345" s="48"/>
      <c r="F4345" s="48"/>
      <c r="G4345" s="48"/>
      <c r="H4345" s="48"/>
      <c r="I4345" s="48"/>
    </row>
    <row r="4346" spans="1:9" hidden="1" x14ac:dyDescent="0.2">
      <c r="A4346" s="46"/>
      <c r="B4346" s="46"/>
      <c r="C4346" s="46"/>
      <c r="D4346" s="48"/>
      <c r="E4346" s="48"/>
      <c r="F4346" s="48"/>
      <c r="G4346" s="48"/>
      <c r="H4346" s="48"/>
      <c r="I4346" s="48"/>
    </row>
    <row r="4347" spans="1:9" hidden="1" x14ac:dyDescent="0.2">
      <c r="A4347" s="46"/>
      <c r="B4347" s="46"/>
      <c r="C4347" s="46"/>
      <c r="D4347" s="48"/>
      <c r="E4347" s="48"/>
      <c r="F4347" s="48"/>
      <c r="G4347" s="48"/>
      <c r="H4347" s="48"/>
      <c r="I4347" s="48"/>
    </row>
    <row r="4348" spans="1:9" hidden="1" x14ac:dyDescent="0.2">
      <c r="A4348" s="46"/>
      <c r="B4348" s="46"/>
      <c r="C4348" s="46"/>
      <c r="D4348" s="48"/>
      <c r="E4348" s="48"/>
      <c r="F4348" s="48"/>
      <c r="G4348" s="48"/>
      <c r="H4348" s="48"/>
      <c r="I4348" s="48"/>
    </row>
    <row r="4349" spans="1:9" hidden="1" x14ac:dyDescent="0.2">
      <c r="A4349" s="46"/>
      <c r="B4349" s="46"/>
      <c r="C4349" s="46"/>
      <c r="D4349" s="48"/>
      <c r="E4349" s="48"/>
      <c r="F4349" s="48"/>
      <c r="G4349" s="48"/>
      <c r="H4349" s="48"/>
      <c r="I4349" s="48"/>
    </row>
    <row r="4350" spans="1:9" hidden="1" x14ac:dyDescent="0.2">
      <c r="A4350" s="46"/>
      <c r="B4350" s="46"/>
      <c r="C4350" s="46"/>
      <c r="D4350" s="48"/>
      <c r="E4350" s="48"/>
      <c r="F4350" s="48"/>
      <c r="G4350" s="48"/>
      <c r="H4350" s="48"/>
      <c r="I4350" s="48"/>
    </row>
    <row r="4351" spans="1:9" hidden="1" x14ac:dyDescent="0.2">
      <c r="A4351" s="46"/>
      <c r="B4351" s="46"/>
      <c r="C4351" s="46"/>
      <c r="D4351" s="48"/>
      <c r="E4351" s="48"/>
      <c r="F4351" s="48"/>
      <c r="G4351" s="48"/>
      <c r="H4351" s="48"/>
      <c r="I4351" s="48"/>
    </row>
    <row r="4352" spans="1:9" hidden="1" x14ac:dyDescent="0.2">
      <c r="A4352" s="46"/>
      <c r="B4352" s="46"/>
      <c r="C4352" s="46"/>
      <c r="D4352" s="48"/>
      <c r="E4352" s="48"/>
      <c r="F4352" s="48"/>
      <c r="G4352" s="48"/>
      <c r="H4352" s="48"/>
      <c r="I4352" s="48"/>
    </row>
    <row r="4353" spans="1:9" hidden="1" x14ac:dyDescent="0.2">
      <c r="A4353" s="46"/>
      <c r="B4353" s="46"/>
      <c r="C4353" s="46"/>
      <c r="D4353" s="48"/>
      <c r="E4353" s="48"/>
      <c r="F4353" s="48"/>
      <c r="G4353" s="48"/>
      <c r="H4353" s="48"/>
      <c r="I4353" s="48"/>
    </row>
    <row r="4354" spans="1:9" hidden="1" x14ac:dyDescent="0.2">
      <c r="A4354" s="46"/>
      <c r="B4354" s="46"/>
      <c r="C4354" s="46"/>
      <c r="D4354" s="48"/>
      <c r="E4354" s="48"/>
      <c r="F4354" s="48"/>
      <c r="G4354" s="48"/>
      <c r="H4354" s="48"/>
      <c r="I4354" s="48"/>
    </row>
    <row r="4355" spans="1:9" hidden="1" x14ac:dyDescent="0.2">
      <c r="A4355" s="46"/>
      <c r="B4355" s="46"/>
      <c r="C4355" s="46"/>
      <c r="D4355" s="48"/>
      <c r="E4355" s="48"/>
      <c r="F4355" s="48"/>
      <c r="G4355" s="48"/>
      <c r="H4355" s="48"/>
      <c r="I4355" s="48"/>
    </row>
    <row r="4356" spans="1:9" hidden="1" x14ac:dyDescent="0.2">
      <c r="A4356" s="46"/>
      <c r="B4356" s="46"/>
      <c r="C4356" s="46"/>
      <c r="D4356" s="48"/>
      <c r="E4356" s="48"/>
      <c r="F4356" s="48"/>
      <c r="G4356" s="48"/>
      <c r="H4356" s="48"/>
      <c r="I4356" s="48"/>
    </row>
    <row r="4357" spans="1:9" hidden="1" x14ac:dyDescent="0.2">
      <c r="A4357" s="46"/>
      <c r="B4357" s="46"/>
      <c r="C4357" s="46"/>
      <c r="D4357" s="48"/>
      <c r="E4357" s="48"/>
      <c r="F4357" s="48"/>
      <c r="G4357" s="48"/>
      <c r="H4357" s="48"/>
      <c r="I4357" s="48"/>
    </row>
    <row r="4358" spans="1:9" hidden="1" x14ac:dyDescent="0.2">
      <c r="A4358" s="46"/>
      <c r="B4358" s="46"/>
      <c r="C4358" s="46"/>
      <c r="D4358" s="48"/>
      <c r="E4358" s="48"/>
      <c r="F4358" s="48"/>
      <c r="G4358" s="48"/>
      <c r="H4358" s="48"/>
      <c r="I4358" s="48"/>
    </row>
    <row r="4359" spans="1:9" hidden="1" x14ac:dyDescent="0.2">
      <c r="A4359" s="46"/>
      <c r="B4359" s="46"/>
      <c r="C4359" s="46"/>
      <c r="D4359" s="48"/>
      <c r="E4359" s="48"/>
      <c r="F4359" s="48"/>
      <c r="G4359" s="48"/>
      <c r="H4359" s="48"/>
      <c r="I4359" s="48"/>
    </row>
    <row r="4360" spans="1:9" hidden="1" x14ac:dyDescent="0.2">
      <c r="A4360" s="46"/>
      <c r="B4360" s="46"/>
      <c r="C4360" s="46"/>
      <c r="D4360" s="48"/>
      <c r="E4360" s="48"/>
      <c r="F4360" s="48"/>
      <c r="G4360" s="48"/>
      <c r="H4360" s="48"/>
      <c r="I4360" s="48"/>
    </row>
    <row r="4361" spans="1:9" hidden="1" x14ac:dyDescent="0.2">
      <c r="A4361" s="46"/>
      <c r="B4361" s="46"/>
      <c r="C4361" s="46"/>
      <c r="D4361" s="48"/>
      <c r="E4361" s="48"/>
      <c r="F4361" s="48"/>
      <c r="G4361" s="48"/>
      <c r="H4361" s="48"/>
      <c r="I4361" s="48"/>
    </row>
    <row r="4362" spans="1:9" hidden="1" x14ac:dyDescent="0.2">
      <c r="A4362" s="46"/>
      <c r="B4362" s="46"/>
      <c r="C4362" s="46"/>
      <c r="D4362" s="48"/>
      <c r="E4362" s="48"/>
      <c r="F4362" s="48"/>
      <c r="G4362" s="48"/>
      <c r="H4362" s="48"/>
      <c r="I4362" s="48"/>
    </row>
    <row r="4363" spans="1:9" hidden="1" x14ac:dyDescent="0.2">
      <c r="A4363" s="46"/>
      <c r="B4363" s="46"/>
      <c r="C4363" s="46"/>
      <c r="D4363" s="48"/>
      <c r="E4363" s="48"/>
      <c r="F4363" s="48"/>
      <c r="G4363" s="48"/>
      <c r="H4363" s="48"/>
      <c r="I4363" s="48"/>
    </row>
    <row r="4364" spans="1:9" hidden="1" x14ac:dyDescent="0.2">
      <c r="A4364" s="46"/>
      <c r="B4364" s="46"/>
      <c r="C4364" s="46"/>
      <c r="D4364" s="48"/>
      <c r="E4364" s="48"/>
      <c r="F4364" s="48"/>
      <c r="G4364" s="48"/>
      <c r="H4364" s="48"/>
      <c r="I4364" s="48"/>
    </row>
    <row r="4365" spans="1:9" hidden="1" x14ac:dyDescent="0.2">
      <c r="A4365" s="46"/>
      <c r="B4365" s="46"/>
      <c r="C4365" s="46"/>
      <c r="D4365" s="48"/>
      <c r="E4365" s="48"/>
      <c r="F4365" s="48"/>
      <c r="G4365" s="48"/>
      <c r="H4365" s="48"/>
      <c r="I4365" s="48"/>
    </row>
    <row r="4366" spans="1:9" hidden="1" x14ac:dyDescent="0.2">
      <c r="A4366" s="46"/>
      <c r="B4366" s="46"/>
      <c r="C4366" s="46"/>
      <c r="D4366" s="48"/>
      <c r="E4366" s="48"/>
      <c r="F4366" s="48"/>
      <c r="G4366" s="48"/>
      <c r="H4366" s="48"/>
      <c r="I4366" s="48"/>
    </row>
    <row r="4367" spans="1:9" hidden="1" x14ac:dyDescent="0.2">
      <c r="A4367" s="46"/>
      <c r="B4367" s="46"/>
      <c r="C4367" s="46"/>
      <c r="D4367" s="48"/>
      <c r="E4367" s="48"/>
      <c r="F4367" s="48"/>
      <c r="G4367" s="48"/>
      <c r="H4367" s="48"/>
      <c r="I4367" s="48"/>
    </row>
    <row r="4368" spans="1:9" hidden="1" x14ac:dyDescent="0.2">
      <c r="A4368" s="46"/>
      <c r="B4368" s="46"/>
      <c r="C4368" s="46"/>
      <c r="D4368" s="48"/>
      <c r="E4368" s="48"/>
      <c r="F4368" s="48"/>
      <c r="G4368" s="48"/>
      <c r="H4368" s="48"/>
      <c r="I4368" s="48"/>
    </row>
    <row r="4369" spans="1:9" hidden="1" x14ac:dyDescent="0.2">
      <c r="A4369" s="46"/>
      <c r="B4369" s="46"/>
      <c r="C4369" s="46"/>
      <c r="D4369" s="48"/>
      <c r="E4369" s="48"/>
      <c r="F4369" s="48"/>
      <c r="G4369" s="48"/>
      <c r="H4369" s="48"/>
      <c r="I4369" s="48"/>
    </row>
    <row r="4370" spans="1:9" hidden="1" x14ac:dyDescent="0.2">
      <c r="A4370" s="46"/>
      <c r="B4370" s="46"/>
      <c r="C4370" s="46"/>
      <c r="D4370" s="48"/>
      <c r="E4370" s="48"/>
      <c r="F4370" s="48"/>
      <c r="G4370" s="48"/>
      <c r="H4370" s="48"/>
      <c r="I4370" s="48"/>
    </row>
    <row r="4371" spans="1:9" hidden="1" x14ac:dyDescent="0.2">
      <c r="A4371" s="46"/>
      <c r="B4371" s="46"/>
      <c r="C4371" s="46"/>
      <c r="D4371" s="48"/>
      <c r="E4371" s="48"/>
      <c r="F4371" s="48"/>
      <c r="G4371" s="48"/>
      <c r="H4371" s="48"/>
      <c r="I4371" s="48"/>
    </row>
    <row r="4372" spans="1:9" hidden="1" x14ac:dyDescent="0.2">
      <c r="A4372" s="46"/>
      <c r="B4372" s="46"/>
      <c r="C4372" s="46"/>
      <c r="D4372" s="48"/>
      <c r="E4372" s="48"/>
      <c r="F4372" s="48"/>
      <c r="G4372" s="48"/>
      <c r="H4372" s="48"/>
      <c r="I4372" s="48"/>
    </row>
    <row r="4373" spans="1:9" hidden="1" x14ac:dyDescent="0.2">
      <c r="A4373" s="46"/>
      <c r="B4373" s="46"/>
      <c r="C4373" s="46"/>
      <c r="D4373" s="48"/>
      <c r="E4373" s="48"/>
      <c r="F4373" s="48"/>
      <c r="G4373" s="48"/>
      <c r="H4373" s="48"/>
      <c r="I4373" s="48"/>
    </row>
    <row r="4374" spans="1:9" hidden="1" x14ac:dyDescent="0.2">
      <c r="A4374" s="46"/>
      <c r="B4374" s="46"/>
      <c r="C4374" s="46"/>
      <c r="D4374" s="48"/>
      <c r="E4374" s="48"/>
      <c r="F4374" s="48"/>
      <c r="G4374" s="48"/>
      <c r="H4374" s="48"/>
      <c r="I4374" s="48"/>
    </row>
    <row r="4375" spans="1:9" hidden="1" x14ac:dyDescent="0.2">
      <c r="A4375" s="46"/>
      <c r="B4375" s="46"/>
      <c r="C4375" s="46"/>
      <c r="D4375" s="48"/>
      <c r="E4375" s="48"/>
      <c r="F4375" s="48"/>
      <c r="G4375" s="48"/>
      <c r="H4375" s="48"/>
      <c r="I4375" s="48"/>
    </row>
    <row r="4376" spans="1:9" hidden="1" x14ac:dyDescent="0.2">
      <c r="A4376" s="46"/>
      <c r="B4376" s="46"/>
      <c r="C4376" s="46"/>
      <c r="D4376" s="48"/>
      <c r="E4376" s="48"/>
      <c r="F4376" s="48"/>
      <c r="G4376" s="48"/>
      <c r="H4376" s="48"/>
      <c r="I4376" s="48"/>
    </row>
    <row r="4377" spans="1:9" hidden="1" x14ac:dyDescent="0.2">
      <c r="A4377" s="46"/>
      <c r="B4377" s="46"/>
      <c r="C4377" s="46"/>
      <c r="D4377" s="48"/>
      <c r="E4377" s="48"/>
      <c r="F4377" s="48"/>
      <c r="G4377" s="48"/>
      <c r="H4377" s="48"/>
      <c r="I4377" s="48"/>
    </row>
    <row r="4378" spans="1:9" hidden="1" x14ac:dyDescent="0.2">
      <c r="A4378" s="46"/>
      <c r="B4378" s="46"/>
      <c r="C4378" s="46"/>
      <c r="D4378" s="48"/>
      <c r="E4378" s="48"/>
      <c r="F4378" s="48"/>
      <c r="G4378" s="48"/>
      <c r="H4378" s="48"/>
      <c r="I4378" s="48"/>
    </row>
    <row r="4379" spans="1:9" hidden="1" x14ac:dyDescent="0.2">
      <c r="A4379" s="46"/>
      <c r="B4379" s="46"/>
      <c r="C4379" s="46"/>
      <c r="D4379" s="48"/>
      <c r="E4379" s="48"/>
      <c r="F4379" s="48"/>
      <c r="G4379" s="48"/>
      <c r="H4379" s="48"/>
      <c r="I4379" s="48"/>
    </row>
    <row r="4380" spans="1:9" hidden="1" x14ac:dyDescent="0.2">
      <c r="A4380" s="46"/>
      <c r="B4380" s="46"/>
      <c r="C4380" s="46"/>
      <c r="D4380" s="48"/>
      <c r="E4380" s="48"/>
      <c r="F4380" s="48"/>
      <c r="G4380" s="48"/>
      <c r="H4380" s="48"/>
      <c r="I4380" s="48"/>
    </row>
    <row r="4381" spans="1:9" hidden="1" x14ac:dyDescent="0.2">
      <c r="A4381" s="46"/>
      <c r="B4381" s="46"/>
      <c r="C4381" s="46"/>
      <c r="D4381" s="48"/>
      <c r="E4381" s="48"/>
      <c r="F4381" s="48"/>
      <c r="G4381" s="48"/>
      <c r="H4381" s="48"/>
      <c r="I4381" s="48"/>
    </row>
    <row r="4382" spans="1:9" hidden="1" x14ac:dyDescent="0.2">
      <c r="A4382" s="46"/>
      <c r="B4382" s="46"/>
      <c r="C4382" s="46"/>
      <c r="D4382" s="48"/>
      <c r="E4382" s="48"/>
      <c r="F4382" s="48"/>
      <c r="G4382" s="48"/>
      <c r="H4382" s="48"/>
      <c r="I4382" s="48"/>
    </row>
    <row r="4383" spans="1:9" hidden="1" x14ac:dyDescent="0.2">
      <c r="A4383" s="46"/>
      <c r="B4383" s="46"/>
      <c r="C4383" s="46"/>
      <c r="D4383" s="48"/>
      <c r="E4383" s="48"/>
      <c r="F4383" s="48"/>
      <c r="G4383" s="48"/>
      <c r="H4383" s="48"/>
      <c r="I4383" s="48"/>
    </row>
    <row r="4384" spans="1:9" hidden="1" x14ac:dyDescent="0.2">
      <c r="A4384" s="46"/>
      <c r="B4384" s="46"/>
      <c r="C4384" s="46"/>
      <c r="D4384" s="48"/>
      <c r="E4384" s="48"/>
      <c r="F4384" s="48"/>
      <c r="G4384" s="48"/>
      <c r="H4384" s="48"/>
      <c r="I4384" s="48"/>
    </row>
    <row r="4385" spans="1:9" hidden="1" x14ac:dyDescent="0.2">
      <c r="A4385" s="46"/>
      <c r="B4385" s="46"/>
      <c r="C4385" s="46"/>
      <c r="D4385" s="48"/>
      <c r="E4385" s="48"/>
      <c r="F4385" s="48"/>
      <c r="G4385" s="48"/>
      <c r="H4385" s="48"/>
      <c r="I4385" s="48"/>
    </row>
    <row r="4386" spans="1:9" hidden="1" x14ac:dyDescent="0.2">
      <c r="A4386" s="46"/>
      <c r="B4386" s="46"/>
      <c r="C4386" s="46"/>
      <c r="D4386" s="48"/>
      <c r="E4386" s="48"/>
      <c r="F4386" s="48"/>
      <c r="G4386" s="48"/>
      <c r="H4386" s="48"/>
      <c r="I4386" s="48"/>
    </row>
    <row r="4387" spans="1:9" hidden="1" x14ac:dyDescent="0.2">
      <c r="A4387" s="46"/>
      <c r="B4387" s="46"/>
      <c r="C4387" s="46"/>
      <c r="D4387" s="48"/>
      <c r="E4387" s="48"/>
      <c r="F4387" s="48"/>
      <c r="G4387" s="48"/>
      <c r="H4387" s="48"/>
      <c r="I4387" s="48"/>
    </row>
    <row r="4388" spans="1:9" hidden="1" x14ac:dyDescent="0.2">
      <c r="A4388" s="46"/>
      <c r="B4388" s="46"/>
      <c r="C4388" s="46"/>
      <c r="D4388" s="48"/>
      <c r="E4388" s="48"/>
      <c r="F4388" s="48"/>
      <c r="G4388" s="48"/>
      <c r="H4388" s="48"/>
      <c r="I4388" s="48"/>
    </row>
    <row r="4389" spans="1:9" hidden="1" x14ac:dyDescent="0.2">
      <c r="A4389" s="46"/>
      <c r="B4389" s="46"/>
      <c r="C4389" s="46"/>
      <c r="D4389" s="48"/>
      <c r="E4389" s="48"/>
      <c r="F4389" s="48"/>
      <c r="G4389" s="48"/>
      <c r="H4389" s="48"/>
      <c r="I4389" s="48"/>
    </row>
    <row r="4390" spans="1:9" hidden="1" x14ac:dyDescent="0.2">
      <c r="A4390" s="46"/>
      <c r="B4390" s="46"/>
      <c r="C4390" s="46"/>
      <c r="D4390" s="48"/>
      <c r="E4390" s="48"/>
      <c r="F4390" s="48"/>
      <c r="G4390" s="48"/>
      <c r="H4390" s="48"/>
      <c r="I4390" s="48"/>
    </row>
    <row r="4391" spans="1:9" hidden="1" x14ac:dyDescent="0.2">
      <c r="A4391" s="46"/>
      <c r="B4391" s="46"/>
      <c r="C4391" s="46"/>
      <c r="D4391" s="48"/>
      <c r="E4391" s="48"/>
      <c r="F4391" s="48"/>
      <c r="G4391" s="48"/>
      <c r="H4391" s="48"/>
      <c r="I4391" s="48"/>
    </row>
    <row r="4392" spans="1:9" hidden="1" x14ac:dyDescent="0.2">
      <c r="A4392" s="46"/>
      <c r="B4392" s="46"/>
      <c r="C4392" s="46"/>
      <c r="D4392" s="48"/>
      <c r="E4392" s="48"/>
      <c r="F4392" s="48"/>
      <c r="G4392" s="48"/>
      <c r="H4392" s="48"/>
      <c r="I4392" s="48"/>
    </row>
    <row r="4393" spans="1:9" hidden="1" x14ac:dyDescent="0.2">
      <c r="A4393" s="46"/>
      <c r="B4393" s="46"/>
      <c r="C4393" s="46"/>
      <c r="D4393" s="48"/>
      <c r="E4393" s="48"/>
      <c r="F4393" s="48"/>
      <c r="G4393" s="48"/>
      <c r="H4393" s="48"/>
      <c r="I4393" s="48"/>
    </row>
    <row r="4394" spans="1:9" hidden="1" x14ac:dyDescent="0.2">
      <c r="A4394" s="46"/>
      <c r="B4394" s="46"/>
      <c r="C4394" s="46"/>
      <c r="D4394" s="48"/>
      <c r="E4394" s="48"/>
      <c r="F4394" s="48"/>
      <c r="G4394" s="48"/>
      <c r="H4394" s="48"/>
      <c r="I4394" s="48"/>
    </row>
    <row r="4395" spans="1:9" hidden="1" x14ac:dyDescent="0.2">
      <c r="A4395" s="46"/>
      <c r="B4395" s="46"/>
      <c r="C4395" s="46"/>
      <c r="D4395" s="48"/>
      <c r="E4395" s="48"/>
      <c r="F4395" s="48"/>
      <c r="G4395" s="48"/>
      <c r="H4395" s="48"/>
      <c r="I4395" s="48"/>
    </row>
    <row r="4396" spans="1:9" hidden="1" x14ac:dyDescent="0.2">
      <c r="A4396" s="46"/>
      <c r="B4396" s="46"/>
      <c r="C4396" s="46"/>
      <c r="D4396" s="48"/>
      <c r="E4396" s="48"/>
      <c r="F4396" s="48"/>
      <c r="G4396" s="48"/>
      <c r="H4396" s="48"/>
      <c r="I4396" s="48"/>
    </row>
    <row r="4397" spans="1:9" hidden="1" x14ac:dyDescent="0.2">
      <c r="A4397" s="46"/>
      <c r="B4397" s="46"/>
      <c r="C4397" s="46"/>
      <c r="D4397" s="48"/>
      <c r="E4397" s="48"/>
      <c r="F4397" s="48"/>
      <c r="G4397" s="48"/>
      <c r="H4397" s="48"/>
      <c r="I4397" s="48"/>
    </row>
    <row r="4398" spans="1:9" hidden="1" x14ac:dyDescent="0.2">
      <c r="A4398" s="46"/>
      <c r="B4398" s="46"/>
      <c r="C4398" s="46"/>
      <c r="D4398" s="48"/>
      <c r="E4398" s="48"/>
      <c r="F4398" s="48"/>
      <c r="G4398" s="48"/>
      <c r="H4398" s="48"/>
      <c r="I4398" s="48"/>
    </row>
    <row r="4399" spans="1:9" hidden="1" x14ac:dyDescent="0.2">
      <c r="A4399" s="46"/>
      <c r="B4399" s="46"/>
      <c r="C4399" s="46"/>
      <c r="D4399" s="48"/>
      <c r="E4399" s="48"/>
      <c r="F4399" s="48"/>
      <c r="G4399" s="48"/>
      <c r="H4399" s="48"/>
      <c r="I4399" s="48"/>
    </row>
    <row r="4400" spans="1:9" hidden="1" x14ac:dyDescent="0.2">
      <c r="A4400" s="46"/>
      <c r="B4400" s="46"/>
      <c r="C4400" s="46"/>
      <c r="D4400" s="48"/>
      <c r="E4400" s="48"/>
      <c r="F4400" s="48"/>
      <c r="G4400" s="48"/>
      <c r="H4400" s="48"/>
      <c r="I4400" s="48"/>
    </row>
    <row r="4401" spans="1:9" hidden="1" x14ac:dyDescent="0.2">
      <c r="A4401" s="46"/>
      <c r="B4401" s="46"/>
      <c r="C4401" s="46"/>
      <c r="D4401" s="48"/>
      <c r="E4401" s="48"/>
      <c r="F4401" s="48"/>
      <c r="G4401" s="48"/>
      <c r="H4401" s="48"/>
      <c r="I4401" s="48"/>
    </row>
    <row r="4402" spans="1:9" hidden="1" x14ac:dyDescent="0.2">
      <c r="A4402" s="46"/>
      <c r="B4402" s="46"/>
      <c r="C4402" s="46"/>
      <c r="D4402" s="48"/>
      <c r="E4402" s="48"/>
      <c r="F4402" s="48"/>
      <c r="G4402" s="48"/>
      <c r="H4402" s="48"/>
      <c r="I4402" s="48"/>
    </row>
    <row r="4403" spans="1:9" hidden="1" x14ac:dyDescent="0.2">
      <c r="A4403" s="46"/>
      <c r="B4403" s="46"/>
      <c r="C4403" s="46"/>
      <c r="D4403" s="48"/>
      <c r="E4403" s="48"/>
      <c r="F4403" s="48"/>
      <c r="G4403" s="48"/>
      <c r="H4403" s="48"/>
      <c r="I4403" s="48"/>
    </row>
    <row r="4404" spans="1:9" hidden="1" x14ac:dyDescent="0.2">
      <c r="A4404" s="46"/>
      <c r="B4404" s="46"/>
      <c r="C4404" s="46"/>
      <c r="D4404" s="48"/>
      <c r="E4404" s="48"/>
      <c r="F4404" s="48"/>
      <c r="G4404" s="48"/>
      <c r="H4404" s="48"/>
      <c r="I4404" s="48"/>
    </row>
    <row r="4405" spans="1:9" hidden="1" x14ac:dyDescent="0.2">
      <c r="A4405" s="46"/>
      <c r="B4405" s="46"/>
      <c r="C4405" s="46"/>
      <c r="D4405" s="48"/>
      <c r="E4405" s="48"/>
      <c r="F4405" s="48"/>
      <c r="G4405" s="48"/>
      <c r="H4405" s="48"/>
      <c r="I4405" s="48"/>
    </row>
    <row r="4406" spans="1:9" hidden="1" x14ac:dyDescent="0.2">
      <c r="A4406" s="46"/>
      <c r="B4406" s="46"/>
      <c r="C4406" s="46"/>
      <c r="D4406" s="48"/>
      <c r="E4406" s="48"/>
      <c r="F4406" s="48"/>
      <c r="G4406" s="48"/>
      <c r="H4406" s="48"/>
      <c r="I4406" s="48"/>
    </row>
    <row r="4407" spans="1:9" hidden="1" x14ac:dyDescent="0.2">
      <c r="A4407" s="46"/>
      <c r="B4407" s="46"/>
      <c r="C4407" s="46"/>
      <c r="D4407" s="48"/>
      <c r="E4407" s="48"/>
      <c r="F4407" s="48"/>
      <c r="G4407" s="48"/>
      <c r="H4407" s="48"/>
      <c r="I4407" s="48"/>
    </row>
    <row r="4408" spans="1:9" hidden="1" x14ac:dyDescent="0.2">
      <c r="A4408" s="46"/>
      <c r="B4408" s="46"/>
      <c r="C4408" s="46"/>
      <c r="D4408" s="48"/>
      <c r="E4408" s="48"/>
      <c r="F4408" s="48"/>
      <c r="G4408" s="48"/>
      <c r="H4408" s="48"/>
      <c r="I4408" s="48"/>
    </row>
    <row r="4409" spans="1:9" hidden="1" x14ac:dyDescent="0.2">
      <c r="A4409" s="46"/>
      <c r="B4409" s="46"/>
      <c r="C4409" s="46"/>
      <c r="D4409" s="48"/>
      <c r="E4409" s="48"/>
      <c r="F4409" s="48"/>
      <c r="G4409" s="48"/>
      <c r="H4409" s="48"/>
      <c r="I4409" s="48"/>
    </row>
    <row r="4410" spans="1:9" hidden="1" x14ac:dyDescent="0.2">
      <c r="A4410" s="46"/>
      <c r="B4410" s="46"/>
      <c r="C4410" s="46"/>
      <c r="D4410" s="48"/>
      <c r="E4410" s="48"/>
      <c r="F4410" s="48"/>
      <c r="G4410" s="48"/>
      <c r="H4410" s="48"/>
      <c r="I4410" s="48"/>
    </row>
    <row r="4411" spans="1:9" hidden="1" x14ac:dyDescent="0.2">
      <c r="A4411" s="46"/>
      <c r="B4411" s="46"/>
      <c r="C4411" s="46"/>
      <c r="D4411" s="48"/>
      <c r="E4411" s="48"/>
      <c r="F4411" s="48"/>
      <c r="G4411" s="48"/>
      <c r="H4411" s="48"/>
      <c r="I4411" s="48"/>
    </row>
    <row r="4412" spans="1:9" hidden="1" x14ac:dyDescent="0.2">
      <c r="A4412" s="46"/>
      <c r="B4412" s="46"/>
      <c r="C4412" s="46"/>
      <c r="D4412" s="48"/>
      <c r="E4412" s="48"/>
      <c r="F4412" s="48"/>
      <c r="G4412" s="48"/>
      <c r="H4412" s="48"/>
      <c r="I4412" s="48"/>
    </row>
    <row r="4413" spans="1:9" hidden="1" x14ac:dyDescent="0.2">
      <c r="A4413" s="46"/>
      <c r="B4413" s="46"/>
      <c r="C4413" s="46"/>
      <c r="D4413" s="48"/>
      <c r="E4413" s="48"/>
      <c r="F4413" s="48"/>
      <c r="G4413" s="48"/>
      <c r="H4413" s="48"/>
      <c r="I4413" s="48"/>
    </row>
    <row r="4414" spans="1:9" hidden="1" x14ac:dyDescent="0.2">
      <c r="A4414" s="46"/>
      <c r="B4414" s="46"/>
      <c r="C4414" s="46"/>
      <c r="D4414" s="48"/>
      <c r="E4414" s="48"/>
      <c r="F4414" s="48"/>
      <c r="G4414" s="48"/>
      <c r="H4414" s="48"/>
      <c r="I4414" s="48"/>
    </row>
    <row r="4415" spans="1:9" hidden="1" x14ac:dyDescent="0.2">
      <c r="A4415" s="46"/>
      <c r="B4415" s="46"/>
      <c r="C4415" s="46"/>
      <c r="D4415" s="48"/>
      <c r="E4415" s="48"/>
      <c r="F4415" s="48"/>
      <c r="G4415" s="48"/>
      <c r="H4415" s="48"/>
      <c r="I4415" s="48"/>
    </row>
    <row r="4416" spans="1:9" hidden="1" x14ac:dyDescent="0.2">
      <c r="A4416" s="46"/>
      <c r="B4416" s="46"/>
      <c r="C4416" s="46"/>
      <c r="D4416" s="48"/>
      <c r="E4416" s="48"/>
      <c r="F4416" s="48"/>
      <c r="G4416" s="48"/>
      <c r="H4416" s="48"/>
      <c r="I4416" s="48"/>
    </row>
    <row r="4417" spans="1:9" hidden="1" x14ac:dyDescent="0.2">
      <c r="A4417" s="46"/>
      <c r="B4417" s="46"/>
      <c r="C4417" s="46"/>
      <c r="D4417" s="48"/>
      <c r="E4417" s="48"/>
      <c r="F4417" s="48"/>
      <c r="G4417" s="48"/>
      <c r="H4417" s="48"/>
      <c r="I4417" s="48"/>
    </row>
    <row r="4418" spans="1:9" hidden="1" x14ac:dyDescent="0.2">
      <c r="A4418" s="46"/>
      <c r="B4418" s="46"/>
      <c r="C4418" s="46"/>
      <c r="D4418" s="48"/>
      <c r="E4418" s="48"/>
      <c r="F4418" s="48"/>
      <c r="G4418" s="48"/>
      <c r="H4418" s="48"/>
      <c r="I4418" s="48"/>
    </row>
    <row r="4419" spans="1:9" hidden="1" x14ac:dyDescent="0.2">
      <c r="A4419" s="46"/>
      <c r="B4419" s="46"/>
      <c r="C4419" s="46"/>
      <c r="D4419" s="48"/>
      <c r="E4419" s="48"/>
      <c r="F4419" s="48"/>
      <c r="G4419" s="48"/>
      <c r="H4419" s="48"/>
      <c r="I4419" s="48"/>
    </row>
    <row r="4420" spans="1:9" hidden="1" x14ac:dyDescent="0.2">
      <c r="A4420" s="46"/>
      <c r="B4420" s="46"/>
      <c r="C4420" s="46"/>
      <c r="D4420" s="48"/>
      <c r="E4420" s="48"/>
      <c r="F4420" s="48"/>
      <c r="G4420" s="48"/>
      <c r="H4420" s="48"/>
      <c r="I4420" s="48"/>
    </row>
    <row r="4421" spans="1:9" hidden="1" x14ac:dyDescent="0.2">
      <c r="A4421" s="46"/>
      <c r="B4421" s="46"/>
      <c r="C4421" s="46"/>
      <c r="D4421" s="48"/>
      <c r="E4421" s="48"/>
      <c r="F4421" s="48"/>
      <c r="G4421" s="48"/>
      <c r="H4421" s="48"/>
      <c r="I4421" s="48"/>
    </row>
    <row r="4422" spans="1:9" hidden="1" x14ac:dyDescent="0.2">
      <c r="A4422" s="46"/>
      <c r="B4422" s="46"/>
      <c r="C4422" s="46"/>
      <c r="D4422" s="48"/>
      <c r="E4422" s="48"/>
      <c r="F4422" s="48"/>
      <c r="G4422" s="48"/>
      <c r="H4422" s="48"/>
      <c r="I4422" s="48"/>
    </row>
    <row r="4423" spans="1:9" hidden="1" x14ac:dyDescent="0.2">
      <c r="A4423" s="46"/>
      <c r="B4423" s="46"/>
      <c r="C4423" s="46"/>
      <c r="D4423" s="48"/>
      <c r="E4423" s="48"/>
      <c r="F4423" s="48"/>
      <c r="G4423" s="48"/>
      <c r="H4423" s="48"/>
      <c r="I4423" s="48"/>
    </row>
    <row r="4424" spans="1:9" hidden="1" x14ac:dyDescent="0.2">
      <c r="A4424" s="46"/>
      <c r="B4424" s="46"/>
      <c r="C4424" s="46"/>
      <c r="D4424" s="48"/>
      <c r="E4424" s="48"/>
      <c r="F4424" s="48"/>
      <c r="G4424" s="48"/>
      <c r="H4424" s="48"/>
      <c r="I4424" s="48"/>
    </row>
    <row r="4425" spans="1:9" hidden="1" x14ac:dyDescent="0.2">
      <c r="A4425" s="46"/>
      <c r="B4425" s="46"/>
      <c r="C4425" s="46"/>
      <c r="D4425" s="48"/>
      <c r="E4425" s="48"/>
      <c r="F4425" s="48"/>
      <c r="G4425" s="48"/>
      <c r="H4425" s="48"/>
      <c r="I4425" s="48"/>
    </row>
    <row r="4426" spans="1:9" hidden="1" x14ac:dyDescent="0.2">
      <c r="A4426" s="46"/>
      <c r="B4426" s="46"/>
      <c r="C4426" s="46"/>
      <c r="D4426" s="48"/>
      <c r="E4426" s="48"/>
      <c r="F4426" s="48"/>
      <c r="G4426" s="48"/>
      <c r="H4426" s="48"/>
      <c r="I4426" s="48"/>
    </row>
    <row r="4427" spans="1:9" hidden="1" x14ac:dyDescent="0.2">
      <c r="A4427" s="46"/>
      <c r="B4427" s="46"/>
      <c r="C4427" s="46"/>
      <c r="D4427" s="48"/>
      <c r="E4427" s="48"/>
      <c r="F4427" s="48"/>
      <c r="G4427" s="48"/>
      <c r="H4427" s="48"/>
      <c r="I4427" s="48"/>
    </row>
    <row r="4428" spans="1:9" hidden="1" x14ac:dyDescent="0.2">
      <c r="A4428" s="46"/>
      <c r="B4428" s="46"/>
      <c r="C4428" s="46"/>
      <c r="D4428" s="48"/>
      <c r="E4428" s="48"/>
      <c r="F4428" s="48"/>
      <c r="G4428" s="48"/>
      <c r="H4428" s="48"/>
      <c r="I4428" s="48"/>
    </row>
    <row r="4429" spans="1:9" hidden="1" x14ac:dyDescent="0.2">
      <c r="A4429" s="46"/>
      <c r="B4429" s="46"/>
      <c r="C4429" s="46"/>
      <c r="D4429" s="48"/>
      <c r="E4429" s="48"/>
      <c r="F4429" s="48"/>
      <c r="G4429" s="48"/>
      <c r="H4429" s="48"/>
      <c r="I4429" s="48"/>
    </row>
    <row r="4430" spans="1:9" hidden="1" x14ac:dyDescent="0.2">
      <c r="A4430" s="46"/>
      <c r="B4430" s="46"/>
      <c r="C4430" s="46"/>
      <c r="D4430" s="48"/>
      <c r="E4430" s="48"/>
      <c r="F4430" s="48"/>
      <c r="G4430" s="48"/>
      <c r="H4430" s="48"/>
      <c r="I4430" s="48"/>
    </row>
    <row r="4431" spans="1:9" hidden="1" x14ac:dyDescent="0.2">
      <c r="A4431" s="46"/>
      <c r="B4431" s="46"/>
      <c r="C4431" s="46"/>
      <c r="D4431" s="48"/>
      <c r="E4431" s="48"/>
      <c r="F4431" s="48"/>
      <c r="G4431" s="48"/>
      <c r="H4431" s="48"/>
      <c r="I4431" s="48"/>
    </row>
    <row r="4432" spans="1:9" hidden="1" x14ac:dyDescent="0.2">
      <c r="A4432" s="46"/>
      <c r="B4432" s="46"/>
      <c r="C4432" s="46"/>
      <c r="D4432" s="48"/>
      <c r="E4432" s="48"/>
      <c r="F4432" s="48"/>
      <c r="G4432" s="48"/>
      <c r="H4432" s="48"/>
      <c r="I4432" s="48"/>
    </row>
    <row r="4433" spans="1:9" hidden="1" x14ac:dyDescent="0.2">
      <c r="A4433" s="46"/>
      <c r="B4433" s="46"/>
      <c r="C4433" s="46"/>
      <c r="D4433" s="48"/>
      <c r="E4433" s="48"/>
      <c r="F4433" s="48"/>
      <c r="G4433" s="48"/>
      <c r="H4433" s="48"/>
      <c r="I4433" s="48"/>
    </row>
    <row r="4434" spans="1:9" hidden="1" x14ac:dyDescent="0.2">
      <c r="A4434" s="46"/>
      <c r="B4434" s="46"/>
      <c r="C4434" s="46"/>
      <c r="D4434" s="48"/>
      <c r="E4434" s="48"/>
      <c r="F4434" s="48"/>
      <c r="G4434" s="48"/>
      <c r="H4434" s="48"/>
      <c r="I4434" s="48"/>
    </row>
    <row r="4435" spans="1:9" hidden="1" x14ac:dyDescent="0.2">
      <c r="A4435" s="46"/>
      <c r="B4435" s="46"/>
      <c r="C4435" s="46"/>
      <c r="D4435" s="48"/>
      <c r="E4435" s="48"/>
      <c r="F4435" s="48"/>
      <c r="G4435" s="48"/>
      <c r="H4435" s="48"/>
      <c r="I4435" s="48"/>
    </row>
    <row r="4436" spans="1:9" hidden="1" x14ac:dyDescent="0.2">
      <c r="A4436" s="46"/>
      <c r="B4436" s="46"/>
      <c r="C4436" s="46"/>
      <c r="D4436" s="48"/>
      <c r="E4436" s="48"/>
      <c r="F4436" s="48"/>
      <c r="G4436" s="48"/>
      <c r="H4436" s="48"/>
      <c r="I4436" s="48"/>
    </row>
    <row r="4437" spans="1:9" hidden="1" x14ac:dyDescent="0.2">
      <c r="A4437" s="46"/>
      <c r="B4437" s="46"/>
      <c r="C4437" s="46"/>
      <c r="D4437" s="48"/>
      <c r="E4437" s="48"/>
      <c r="F4437" s="48"/>
      <c r="G4437" s="48"/>
      <c r="H4437" s="48"/>
      <c r="I4437" s="48"/>
    </row>
    <row r="4438" spans="1:9" hidden="1" x14ac:dyDescent="0.2">
      <c r="A4438" s="46"/>
      <c r="B4438" s="46"/>
      <c r="C4438" s="46"/>
      <c r="D4438" s="48"/>
      <c r="E4438" s="48"/>
      <c r="F4438" s="48"/>
      <c r="G4438" s="48"/>
      <c r="H4438" s="48"/>
      <c r="I4438" s="48"/>
    </row>
    <row r="4439" spans="1:9" hidden="1" x14ac:dyDescent="0.2">
      <c r="A4439" s="46"/>
      <c r="B4439" s="46"/>
      <c r="C4439" s="46"/>
      <c r="D4439" s="48"/>
      <c r="E4439" s="48"/>
      <c r="F4439" s="48"/>
      <c r="G4439" s="48"/>
      <c r="H4439" s="48"/>
      <c r="I4439" s="48"/>
    </row>
    <row r="4440" spans="1:9" hidden="1" x14ac:dyDescent="0.2">
      <c r="A4440" s="46"/>
      <c r="B4440" s="46"/>
      <c r="C4440" s="46"/>
      <c r="D4440" s="48"/>
      <c r="E4440" s="48"/>
      <c r="F4440" s="48"/>
      <c r="G4440" s="48"/>
      <c r="H4440" s="48"/>
      <c r="I4440" s="48"/>
    </row>
    <row r="4441" spans="1:9" hidden="1" x14ac:dyDescent="0.2">
      <c r="A4441" s="46"/>
      <c r="B4441" s="46"/>
      <c r="C4441" s="46"/>
      <c r="D4441" s="48"/>
      <c r="E4441" s="48"/>
      <c r="F4441" s="48"/>
      <c r="G4441" s="48"/>
      <c r="H4441" s="48"/>
      <c r="I4441" s="48"/>
    </row>
    <row r="4442" spans="1:9" hidden="1" x14ac:dyDescent="0.2">
      <c r="A4442" s="46"/>
      <c r="B4442" s="46"/>
      <c r="C4442" s="46"/>
      <c r="D4442" s="48"/>
      <c r="E4442" s="48"/>
      <c r="F4442" s="48"/>
      <c r="G4442" s="48"/>
      <c r="H4442" s="48"/>
      <c r="I4442" s="48"/>
    </row>
    <row r="4443" spans="1:9" hidden="1" x14ac:dyDescent="0.2">
      <c r="A4443" s="46"/>
      <c r="B4443" s="46"/>
      <c r="C4443" s="46"/>
      <c r="D4443" s="48"/>
      <c r="E4443" s="48"/>
      <c r="F4443" s="48"/>
      <c r="G4443" s="48"/>
      <c r="H4443" s="48"/>
      <c r="I4443" s="48"/>
    </row>
    <row r="4444" spans="1:9" hidden="1" x14ac:dyDescent="0.2">
      <c r="A4444" s="46"/>
      <c r="B4444" s="46"/>
      <c r="C4444" s="46"/>
      <c r="D4444" s="48"/>
      <c r="E4444" s="48"/>
      <c r="F4444" s="48"/>
      <c r="G4444" s="48"/>
      <c r="H4444" s="48"/>
      <c r="I4444" s="48"/>
    </row>
    <row r="4445" spans="1:9" hidden="1" x14ac:dyDescent="0.2">
      <c r="A4445" s="46"/>
      <c r="B4445" s="46"/>
      <c r="C4445" s="46"/>
      <c r="D4445" s="48"/>
      <c r="E4445" s="48"/>
      <c r="F4445" s="48"/>
      <c r="G4445" s="48"/>
      <c r="H4445" s="48"/>
      <c r="I4445" s="48"/>
    </row>
    <row r="4446" spans="1:9" hidden="1" x14ac:dyDescent="0.2">
      <c r="A4446" s="46"/>
      <c r="B4446" s="46"/>
      <c r="C4446" s="46"/>
      <c r="D4446" s="48"/>
      <c r="E4446" s="48"/>
      <c r="F4446" s="48"/>
      <c r="G4446" s="48"/>
      <c r="H4446" s="48"/>
      <c r="I4446" s="48"/>
    </row>
    <row r="4447" spans="1:9" hidden="1" x14ac:dyDescent="0.2">
      <c r="A4447" s="46"/>
      <c r="B4447" s="46"/>
      <c r="C4447" s="46"/>
      <c r="D4447" s="48"/>
      <c r="E4447" s="48"/>
      <c r="F4447" s="48"/>
      <c r="G4447" s="48"/>
      <c r="H4447" s="48"/>
      <c r="I4447" s="48"/>
    </row>
    <row r="4448" spans="1:9" hidden="1" x14ac:dyDescent="0.2">
      <c r="A4448" s="46"/>
      <c r="B4448" s="46"/>
      <c r="C4448" s="46"/>
      <c r="D4448" s="48"/>
      <c r="E4448" s="48"/>
      <c r="F4448" s="48"/>
      <c r="G4448" s="48"/>
      <c r="H4448" s="48"/>
      <c r="I4448" s="48"/>
    </row>
    <row r="4449" spans="1:9" hidden="1" x14ac:dyDescent="0.2">
      <c r="A4449" s="46"/>
      <c r="B4449" s="46"/>
      <c r="C4449" s="46"/>
      <c r="D4449" s="48"/>
      <c r="E4449" s="48"/>
      <c r="F4449" s="48"/>
      <c r="G4449" s="48"/>
      <c r="H4449" s="48"/>
      <c r="I4449" s="48"/>
    </row>
    <row r="4450" spans="1:9" hidden="1" x14ac:dyDescent="0.2">
      <c r="A4450" s="46"/>
      <c r="B4450" s="46"/>
      <c r="C4450" s="46"/>
      <c r="D4450" s="48"/>
      <c r="E4450" s="48"/>
      <c r="F4450" s="48"/>
      <c r="G4450" s="48"/>
      <c r="H4450" s="48"/>
      <c r="I4450" s="48"/>
    </row>
    <row r="4451" spans="1:9" hidden="1" x14ac:dyDescent="0.2">
      <c r="A4451" s="46"/>
      <c r="B4451" s="46"/>
      <c r="C4451" s="46"/>
      <c r="D4451" s="48"/>
      <c r="E4451" s="48"/>
      <c r="F4451" s="48"/>
      <c r="G4451" s="48"/>
      <c r="H4451" s="48"/>
      <c r="I4451" s="48"/>
    </row>
    <row r="4452" spans="1:9" hidden="1" x14ac:dyDescent="0.2">
      <c r="A4452" s="46"/>
      <c r="B4452" s="46"/>
      <c r="C4452" s="46"/>
      <c r="D4452" s="48"/>
      <c r="E4452" s="48"/>
      <c r="F4452" s="48"/>
      <c r="G4452" s="48"/>
      <c r="H4452" s="48"/>
      <c r="I4452" s="48"/>
    </row>
    <row r="4453" spans="1:9" hidden="1" x14ac:dyDescent="0.2">
      <c r="A4453" s="46"/>
      <c r="B4453" s="46"/>
      <c r="C4453" s="46"/>
      <c r="D4453" s="48"/>
      <c r="E4453" s="48"/>
      <c r="F4453" s="48"/>
      <c r="G4453" s="48"/>
      <c r="H4453" s="48"/>
      <c r="I4453" s="48"/>
    </row>
    <row r="4454" spans="1:9" hidden="1" x14ac:dyDescent="0.2">
      <c r="A4454" s="46"/>
      <c r="B4454" s="46"/>
      <c r="C4454" s="46"/>
      <c r="D4454" s="48"/>
      <c r="E4454" s="48"/>
      <c r="F4454" s="48"/>
      <c r="G4454" s="48"/>
      <c r="H4454" s="48"/>
      <c r="I4454" s="48"/>
    </row>
    <row r="4455" spans="1:9" hidden="1" x14ac:dyDescent="0.2">
      <c r="A4455" s="46"/>
      <c r="B4455" s="46"/>
      <c r="C4455" s="46"/>
      <c r="D4455" s="48"/>
      <c r="E4455" s="48"/>
      <c r="F4455" s="48"/>
      <c r="G4455" s="48"/>
      <c r="H4455" s="48"/>
      <c r="I4455" s="48"/>
    </row>
    <row r="4456" spans="1:9" hidden="1" x14ac:dyDescent="0.2">
      <c r="A4456" s="46"/>
      <c r="B4456" s="46"/>
      <c r="C4456" s="46"/>
      <c r="D4456" s="48"/>
      <c r="E4456" s="48"/>
      <c r="F4456" s="48"/>
      <c r="G4456" s="48"/>
      <c r="H4456" s="48"/>
      <c r="I4456" s="48"/>
    </row>
    <row r="4457" spans="1:9" hidden="1" x14ac:dyDescent="0.2">
      <c r="A4457" s="46"/>
      <c r="B4457" s="46"/>
      <c r="C4457" s="46"/>
      <c r="D4457" s="48"/>
      <c r="E4457" s="48"/>
      <c r="F4457" s="48"/>
      <c r="G4457" s="48"/>
      <c r="H4457" s="48"/>
      <c r="I4457" s="48"/>
    </row>
    <row r="4458" spans="1:9" hidden="1" x14ac:dyDescent="0.2">
      <c r="A4458" s="46"/>
      <c r="B4458" s="46"/>
      <c r="C4458" s="46"/>
      <c r="D4458" s="48"/>
      <c r="E4458" s="48"/>
      <c r="F4458" s="48"/>
      <c r="G4458" s="48"/>
      <c r="H4458" s="48"/>
      <c r="I4458" s="48"/>
    </row>
    <row r="4459" spans="1:9" hidden="1" x14ac:dyDescent="0.2">
      <c r="A4459" s="46"/>
      <c r="B4459" s="46"/>
      <c r="C4459" s="46"/>
      <c r="D4459" s="48"/>
      <c r="E4459" s="48"/>
      <c r="F4459" s="48"/>
      <c r="G4459" s="48"/>
      <c r="H4459" s="48"/>
      <c r="I4459" s="48"/>
    </row>
    <row r="4460" spans="1:9" hidden="1" x14ac:dyDescent="0.2">
      <c r="A4460" s="46"/>
      <c r="B4460" s="46"/>
      <c r="C4460" s="46"/>
      <c r="D4460" s="48"/>
      <c r="E4460" s="48"/>
      <c r="F4460" s="48"/>
      <c r="G4460" s="48"/>
      <c r="H4460" s="48"/>
      <c r="I4460" s="48"/>
    </row>
    <row r="4461" spans="1:9" hidden="1" x14ac:dyDescent="0.2">
      <c r="A4461" s="46"/>
      <c r="B4461" s="46"/>
      <c r="C4461" s="46"/>
      <c r="D4461" s="48"/>
      <c r="E4461" s="48"/>
      <c r="F4461" s="48"/>
      <c r="G4461" s="48"/>
      <c r="H4461" s="48"/>
      <c r="I4461" s="48"/>
    </row>
    <row r="4462" spans="1:9" hidden="1" x14ac:dyDescent="0.2">
      <c r="A4462" s="46"/>
      <c r="B4462" s="46"/>
      <c r="C4462" s="46"/>
      <c r="D4462" s="48"/>
      <c r="E4462" s="48"/>
      <c r="F4462" s="48"/>
      <c r="G4462" s="48"/>
      <c r="H4462" s="48"/>
      <c r="I4462" s="48"/>
    </row>
    <row r="4463" spans="1:9" hidden="1" x14ac:dyDescent="0.2">
      <c r="A4463" s="46"/>
      <c r="B4463" s="46"/>
      <c r="C4463" s="46"/>
      <c r="D4463" s="48"/>
      <c r="E4463" s="48"/>
      <c r="F4463" s="48"/>
      <c r="G4463" s="48"/>
      <c r="H4463" s="48"/>
      <c r="I4463" s="48"/>
    </row>
    <row r="4464" spans="1:9" hidden="1" x14ac:dyDescent="0.2">
      <c r="A4464" s="46"/>
      <c r="B4464" s="46"/>
      <c r="C4464" s="46"/>
      <c r="D4464" s="48"/>
      <c r="E4464" s="48"/>
      <c r="F4464" s="48"/>
      <c r="G4464" s="48"/>
      <c r="H4464" s="48"/>
      <c r="I4464" s="48"/>
    </row>
    <row r="4465" spans="1:9" hidden="1" x14ac:dyDescent="0.2">
      <c r="A4465" s="46"/>
      <c r="B4465" s="46"/>
      <c r="C4465" s="46"/>
      <c r="D4465" s="48"/>
      <c r="E4465" s="48"/>
      <c r="F4465" s="48"/>
      <c r="G4465" s="48"/>
      <c r="H4465" s="48"/>
      <c r="I4465" s="48"/>
    </row>
    <row r="4466" spans="1:9" hidden="1" x14ac:dyDescent="0.2">
      <c r="A4466" s="46"/>
      <c r="B4466" s="46"/>
      <c r="C4466" s="46"/>
      <c r="D4466" s="48"/>
      <c r="E4466" s="48"/>
      <c r="F4466" s="48"/>
      <c r="G4466" s="48"/>
      <c r="H4466" s="48"/>
      <c r="I4466" s="48"/>
    </row>
    <row r="4467" spans="1:9" hidden="1" x14ac:dyDescent="0.2">
      <c r="A4467" s="46"/>
      <c r="B4467" s="46"/>
      <c r="C4467" s="46"/>
      <c r="D4467" s="48"/>
      <c r="E4467" s="48"/>
      <c r="F4467" s="48"/>
      <c r="G4467" s="48"/>
      <c r="H4467" s="48"/>
      <c r="I4467" s="48"/>
    </row>
    <row r="4468" spans="1:9" hidden="1" x14ac:dyDescent="0.2">
      <c r="A4468" s="46"/>
      <c r="B4468" s="46"/>
      <c r="C4468" s="46"/>
      <c r="D4468" s="48"/>
      <c r="E4468" s="48"/>
      <c r="F4468" s="48"/>
      <c r="G4468" s="48"/>
      <c r="H4468" s="48"/>
      <c r="I4468" s="48"/>
    </row>
    <row r="4469" spans="1:9" hidden="1" x14ac:dyDescent="0.2">
      <c r="A4469" s="46"/>
      <c r="B4469" s="46"/>
      <c r="C4469" s="46"/>
      <c r="D4469" s="48"/>
      <c r="E4469" s="48"/>
      <c r="F4469" s="48"/>
      <c r="G4469" s="48"/>
      <c r="H4469" s="48"/>
      <c r="I4469" s="48"/>
    </row>
    <row r="4470" spans="1:9" hidden="1" x14ac:dyDescent="0.2">
      <c r="A4470" s="46"/>
      <c r="B4470" s="46"/>
      <c r="C4470" s="46"/>
      <c r="D4470" s="48"/>
      <c r="E4470" s="48"/>
      <c r="F4470" s="48"/>
      <c r="G4470" s="48"/>
      <c r="H4470" s="48"/>
      <c r="I4470" s="48"/>
    </row>
    <row r="4471" spans="1:9" hidden="1" x14ac:dyDescent="0.2">
      <c r="A4471" s="46"/>
      <c r="B4471" s="46"/>
      <c r="C4471" s="46"/>
      <c r="D4471" s="48"/>
      <c r="E4471" s="48"/>
      <c r="F4471" s="48"/>
      <c r="G4471" s="48"/>
      <c r="H4471" s="48"/>
      <c r="I4471" s="48"/>
    </row>
    <row r="4472" spans="1:9" hidden="1" x14ac:dyDescent="0.2">
      <c r="A4472" s="46"/>
      <c r="B4472" s="46"/>
      <c r="C4472" s="46"/>
      <c r="D4472" s="48"/>
      <c r="E4472" s="48"/>
      <c r="F4472" s="48"/>
      <c r="G4472" s="48"/>
      <c r="H4472" s="48"/>
      <c r="I4472" s="48"/>
    </row>
    <row r="4473" spans="1:9" hidden="1" x14ac:dyDescent="0.2">
      <c r="A4473" s="46"/>
      <c r="B4473" s="46"/>
      <c r="C4473" s="46"/>
      <c r="D4473" s="48"/>
      <c r="E4473" s="48"/>
      <c r="F4473" s="48"/>
      <c r="G4473" s="48"/>
      <c r="H4473" s="48"/>
      <c r="I4473" s="48"/>
    </row>
    <row r="4474" spans="1:9" hidden="1" x14ac:dyDescent="0.2">
      <c r="A4474" s="46"/>
      <c r="B4474" s="46"/>
      <c r="C4474" s="46"/>
      <c r="D4474" s="48"/>
      <c r="E4474" s="48"/>
      <c r="F4474" s="48"/>
      <c r="G4474" s="48"/>
      <c r="H4474" s="48"/>
      <c r="I4474" s="48"/>
    </row>
    <row r="4475" spans="1:9" hidden="1" x14ac:dyDescent="0.2">
      <c r="A4475" s="46"/>
      <c r="B4475" s="46"/>
      <c r="C4475" s="46"/>
      <c r="D4475" s="48"/>
      <c r="E4475" s="48"/>
      <c r="F4475" s="48"/>
      <c r="G4475" s="48"/>
      <c r="H4475" s="48"/>
      <c r="I4475" s="48"/>
    </row>
    <row r="4476" spans="1:9" hidden="1" x14ac:dyDescent="0.2">
      <c r="A4476" s="46"/>
      <c r="B4476" s="46"/>
      <c r="C4476" s="46"/>
      <c r="D4476" s="48"/>
      <c r="E4476" s="48"/>
      <c r="F4476" s="48"/>
      <c r="G4476" s="48"/>
      <c r="H4476" s="48"/>
      <c r="I4476" s="48"/>
    </row>
    <row r="4477" spans="1:9" hidden="1" x14ac:dyDescent="0.2">
      <c r="A4477" s="46"/>
      <c r="B4477" s="46"/>
      <c r="C4477" s="46"/>
      <c r="D4477" s="48"/>
      <c r="E4477" s="48"/>
      <c r="F4477" s="48"/>
      <c r="G4477" s="48"/>
      <c r="H4477" s="48"/>
      <c r="I4477" s="48"/>
    </row>
    <row r="4478" spans="1:9" hidden="1" x14ac:dyDescent="0.2">
      <c r="A4478" s="46"/>
      <c r="B4478" s="46"/>
      <c r="C4478" s="46"/>
      <c r="D4478" s="48"/>
      <c r="E4478" s="48"/>
      <c r="F4478" s="48"/>
      <c r="G4478" s="48"/>
      <c r="H4478" s="48"/>
      <c r="I4478" s="48"/>
    </row>
    <row r="4479" spans="1:9" hidden="1" x14ac:dyDescent="0.2">
      <c r="A4479" s="46"/>
      <c r="B4479" s="46"/>
      <c r="C4479" s="46"/>
      <c r="D4479" s="48"/>
      <c r="E4479" s="48"/>
      <c r="F4479" s="48"/>
      <c r="G4479" s="48"/>
      <c r="H4479" s="48"/>
      <c r="I4479" s="48"/>
    </row>
    <row r="4480" spans="1:9" hidden="1" x14ac:dyDescent="0.2">
      <c r="A4480" s="46"/>
      <c r="B4480" s="46"/>
      <c r="C4480" s="46"/>
      <c r="D4480" s="48"/>
      <c r="E4480" s="48"/>
      <c r="F4480" s="48"/>
      <c r="G4480" s="48"/>
      <c r="H4480" s="48"/>
      <c r="I4480" s="48"/>
    </row>
    <row r="4481" spans="1:9" hidden="1" x14ac:dyDescent="0.2">
      <c r="A4481" s="46"/>
      <c r="B4481" s="46"/>
      <c r="C4481" s="46"/>
      <c r="D4481" s="48"/>
      <c r="E4481" s="48"/>
      <c r="F4481" s="48"/>
      <c r="G4481" s="48"/>
      <c r="H4481" s="48"/>
      <c r="I4481" s="48"/>
    </row>
    <row r="4482" spans="1:9" hidden="1" x14ac:dyDescent="0.2">
      <c r="A4482" s="46"/>
      <c r="B4482" s="46"/>
      <c r="C4482" s="46"/>
      <c r="D4482" s="48"/>
      <c r="E4482" s="48"/>
      <c r="F4482" s="48"/>
      <c r="G4482" s="48"/>
      <c r="H4482" s="48"/>
      <c r="I4482" s="48"/>
    </row>
    <row r="4483" spans="1:9" hidden="1" x14ac:dyDescent="0.2">
      <c r="A4483" s="46"/>
      <c r="B4483" s="46"/>
      <c r="C4483" s="46"/>
      <c r="D4483" s="48"/>
      <c r="E4483" s="48"/>
      <c r="F4483" s="48"/>
      <c r="G4483" s="48"/>
      <c r="H4483" s="48"/>
      <c r="I4483" s="48"/>
    </row>
    <row r="4484" spans="1:9" hidden="1" x14ac:dyDescent="0.2">
      <c r="A4484" s="46"/>
      <c r="B4484" s="46"/>
      <c r="C4484" s="46"/>
      <c r="D4484" s="48"/>
      <c r="E4484" s="48"/>
      <c r="F4484" s="48"/>
      <c r="G4484" s="48"/>
      <c r="H4484" s="48"/>
      <c r="I4484" s="48"/>
    </row>
    <row r="4485" spans="1:9" hidden="1" x14ac:dyDescent="0.2">
      <c r="A4485" s="46"/>
      <c r="B4485" s="46"/>
      <c r="C4485" s="46"/>
      <c r="D4485" s="48"/>
      <c r="E4485" s="48"/>
      <c r="F4485" s="48"/>
      <c r="G4485" s="48"/>
      <c r="H4485" s="48"/>
      <c r="I4485" s="48"/>
    </row>
    <row r="4486" spans="1:9" hidden="1" x14ac:dyDescent="0.2">
      <c r="A4486" s="46"/>
      <c r="B4486" s="46"/>
      <c r="C4486" s="46"/>
      <c r="D4486" s="48"/>
      <c r="E4486" s="48"/>
      <c r="F4486" s="48"/>
      <c r="G4486" s="48"/>
      <c r="H4486" s="48"/>
      <c r="I4486" s="48"/>
    </row>
    <row r="4487" spans="1:9" hidden="1" x14ac:dyDescent="0.2">
      <c r="A4487" s="46"/>
      <c r="B4487" s="46"/>
      <c r="C4487" s="46"/>
      <c r="D4487" s="48"/>
      <c r="E4487" s="48"/>
      <c r="F4487" s="48"/>
      <c r="G4487" s="48"/>
      <c r="H4487" s="48"/>
      <c r="I4487" s="48"/>
    </row>
    <row r="4488" spans="1:9" hidden="1" x14ac:dyDescent="0.2">
      <c r="A4488" s="46"/>
      <c r="B4488" s="46"/>
      <c r="C4488" s="46"/>
      <c r="D4488" s="48"/>
      <c r="E4488" s="48"/>
      <c r="F4488" s="48"/>
      <c r="G4488" s="48"/>
      <c r="H4488" s="48"/>
      <c r="I4488" s="48"/>
    </row>
    <row r="4489" spans="1:9" hidden="1" x14ac:dyDescent="0.2">
      <c r="A4489" s="46"/>
      <c r="B4489" s="46"/>
      <c r="C4489" s="46"/>
      <c r="D4489" s="48"/>
      <c r="E4489" s="48"/>
      <c r="F4489" s="48"/>
      <c r="G4489" s="48"/>
      <c r="H4489" s="48"/>
      <c r="I4489" s="48"/>
    </row>
    <row r="4490" spans="1:9" hidden="1" x14ac:dyDescent="0.2">
      <c r="A4490" s="46"/>
      <c r="B4490" s="46"/>
      <c r="C4490" s="46"/>
      <c r="D4490" s="48"/>
      <c r="E4490" s="48"/>
      <c r="F4490" s="48"/>
      <c r="G4490" s="48"/>
      <c r="H4490" s="48"/>
      <c r="I4490" s="48"/>
    </row>
    <row r="4491" spans="1:9" hidden="1" x14ac:dyDescent="0.2">
      <c r="A4491" s="46"/>
      <c r="B4491" s="46"/>
      <c r="C4491" s="46"/>
      <c r="D4491" s="48"/>
      <c r="E4491" s="48"/>
      <c r="F4491" s="48"/>
      <c r="G4491" s="48"/>
      <c r="H4491" s="48"/>
      <c r="I4491" s="48"/>
    </row>
    <row r="4492" spans="1:9" hidden="1" x14ac:dyDescent="0.2">
      <c r="A4492" s="46"/>
      <c r="B4492" s="46"/>
      <c r="C4492" s="46"/>
      <c r="D4492" s="48"/>
      <c r="E4492" s="48"/>
      <c r="F4492" s="48"/>
      <c r="G4492" s="48"/>
      <c r="H4492" s="48"/>
      <c r="I4492" s="48"/>
    </row>
    <row r="4493" spans="1:9" hidden="1" x14ac:dyDescent="0.2">
      <c r="A4493" s="46"/>
      <c r="B4493" s="46"/>
      <c r="C4493" s="46"/>
      <c r="D4493" s="48"/>
      <c r="E4493" s="48"/>
      <c r="F4493" s="48"/>
      <c r="G4493" s="48"/>
      <c r="H4493" s="48"/>
      <c r="I4493" s="48"/>
    </row>
    <row r="4494" spans="1:9" hidden="1" x14ac:dyDescent="0.2">
      <c r="A4494" s="46"/>
      <c r="B4494" s="46"/>
      <c r="C4494" s="46"/>
      <c r="D4494" s="48"/>
      <c r="E4494" s="48"/>
      <c r="F4494" s="48"/>
      <c r="G4494" s="48"/>
      <c r="H4494" s="48"/>
      <c r="I4494" s="48"/>
    </row>
    <row r="4495" spans="1:9" hidden="1" x14ac:dyDescent="0.2">
      <c r="A4495" s="46"/>
      <c r="B4495" s="46"/>
      <c r="C4495" s="46"/>
      <c r="D4495" s="48"/>
      <c r="E4495" s="48"/>
      <c r="F4495" s="48"/>
      <c r="G4495" s="48"/>
      <c r="H4495" s="48"/>
      <c r="I4495" s="48"/>
    </row>
    <row r="4496" spans="1:9" hidden="1" x14ac:dyDescent="0.2">
      <c r="A4496" s="46"/>
      <c r="B4496" s="46"/>
      <c r="C4496" s="46"/>
      <c r="D4496" s="48"/>
      <c r="E4496" s="48"/>
      <c r="F4496" s="48"/>
      <c r="G4496" s="48"/>
      <c r="H4496" s="48"/>
      <c r="I4496" s="48"/>
    </row>
    <row r="4497" spans="1:9" hidden="1" x14ac:dyDescent="0.2">
      <c r="A4497" s="46"/>
      <c r="B4497" s="46"/>
      <c r="C4497" s="46"/>
      <c r="D4497" s="48"/>
      <c r="E4497" s="48"/>
      <c r="F4497" s="48"/>
      <c r="G4497" s="48"/>
      <c r="H4497" s="48"/>
      <c r="I4497" s="48"/>
    </row>
    <row r="4498" spans="1:9" hidden="1" x14ac:dyDescent="0.2">
      <c r="A4498" s="46"/>
      <c r="B4498" s="46"/>
      <c r="C4498" s="46"/>
      <c r="D4498" s="48"/>
      <c r="E4498" s="48"/>
      <c r="F4498" s="48"/>
      <c r="G4498" s="48"/>
      <c r="H4498" s="48"/>
      <c r="I4498" s="48"/>
    </row>
    <row r="4499" spans="1:9" hidden="1" x14ac:dyDescent="0.2">
      <c r="A4499" s="46"/>
      <c r="B4499" s="46"/>
      <c r="C4499" s="46"/>
      <c r="D4499" s="48"/>
      <c r="E4499" s="48"/>
      <c r="F4499" s="48"/>
      <c r="G4499" s="48"/>
      <c r="H4499" s="48"/>
      <c r="I4499" s="48"/>
    </row>
    <row r="4500" spans="1:9" hidden="1" x14ac:dyDescent="0.2">
      <c r="A4500" s="46"/>
      <c r="B4500" s="46"/>
      <c r="C4500" s="46"/>
      <c r="D4500" s="48"/>
      <c r="E4500" s="48"/>
      <c r="F4500" s="48"/>
      <c r="G4500" s="48"/>
      <c r="H4500" s="48"/>
      <c r="I4500" s="48"/>
    </row>
    <row r="4501" spans="1:9" hidden="1" x14ac:dyDescent="0.2">
      <c r="A4501" s="46"/>
      <c r="B4501" s="46"/>
      <c r="C4501" s="46"/>
      <c r="D4501" s="48"/>
      <c r="E4501" s="48"/>
      <c r="F4501" s="48"/>
      <c r="G4501" s="48"/>
      <c r="H4501" s="48"/>
      <c r="I4501" s="48"/>
    </row>
    <row r="4502" spans="1:9" hidden="1" x14ac:dyDescent="0.2">
      <c r="A4502" s="46"/>
      <c r="B4502" s="46"/>
      <c r="C4502" s="46"/>
      <c r="D4502" s="48"/>
      <c r="E4502" s="48"/>
      <c r="F4502" s="48"/>
      <c r="G4502" s="48"/>
      <c r="H4502" s="48"/>
      <c r="I4502" s="48"/>
    </row>
    <row r="4503" spans="1:9" hidden="1" x14ac:dyDescent="0.2">
      <c r="A4503" s="46"/>
      <c r="B4503" s="46"/>
      <c r="C4503" s="46"/>
      <c r="D4503" s="48"/>
      <c r="E4503" s="48"/>
      <c r="F4503" s="48"/>
      <c r="G4503" s="48"/>
      <c r="H4503" s="48"/>
      <c r="I4503" s="48"/>
    </row>
    <row r="4504" spans="1:9" hidden="1" x14ac:dyDescent="0.2">
      <c r="A4504" s="46"/>
      <c r="B4504" s="46"/>
      <c r="C4504" s="46"/>
      <c r="D4504" s="48"/>
      <c r="E4504" s="48"/>
      <c r="F4504" s="48"/>
      <c r="G4504" s="48"/>
      <c r="H4504" s="48"/>
      <c r="I4504" s="48"/>
    </row>
    <row r="4505" spans="1:9" hidden="1" x14ac:dyDescent="0.2">
      <c r="A4505" s="46"/>
      <c r="B4505" s="46"/>
      <c r="C4505" s="46"/>
      <c r="D4505" s="48"/>
      <c r="E4505" s="48"/>
      <c r="F4505" s="48"/>
      <c r="G4505" s="48"/>
      <c r="H4505" s="48"/>
      <c r="I4505" s="48"/>
    </row>
    <row r="4506" spans="1:9" hidden="1" x14ac:dyDescent="0.2">
      <c r="A4506" s="46"/>
      <c r="B4506" s="46"/>
      <c r="C4506" s="46"/>
      <c r="D4506" s="48"/>
      <c r="E4506" s="48"/>
      <c r="F4506" s="48"/>
      <c r="G4506" s="48"/>
      <c r="H4506" s="48"/>
      <c r="I4506" s="48"/>
    </row>
    <row r="4507" spans="1:9" hidden="1" x14ac:dyDescent="0.2">
      <c r="A4507" s="46"/>
      <c r="B4507" s="46"/>
      <c r="C4507" s="46"/>
      <c r="D4507" s="48"/>
      <c r="E4507" s="48"/>
      <c r="F4507" s="48"/>
      <c r="G4507" s="48"/>
      <c r="H4507" s="48"/>
      <c r="I4507" s="48"/>
    </row>
    <row r="4508" spans="1:9" hidden="1" x14ac:dyDescent="0.2">
      <c r="A4508" s="46"/>
      <c r="B4508" s="46"/>
      <c r="C4508" s="46"/>
      <c r="D4508" s="48"/>
      <c r="E4508" s="48"/>
      <c r="F4508" s="48"/>
      <c r="G4508" s="48"/>
      <c r="H4508" s="48"/>
      <c r="I4508" s="48"/>
    </row>
    <row r="4509" spans="1:9" hidden="1" x14ac:dyDescent="0.2">
      <c r="A4509" s="46"/>
      <c r="B4509" s="46"/>
      <c r="C4509" s="46"/>
      <c r="D4509" s="48"/>
      <c r="E4509" s="48"/>
      <c r="F4509" s="48"/>
      <c r="G4509" s="48"/>
      <c r="H4509" s="48"/>
      <c r="I4509" s="48"/>
    </row>
    <row r="4510" spans="1:9" hidden="1" x14ac:dyDescent="0.2">
      <c r="A4510" s="46"/>
      <c r="B4510" s="46"/>
      <c r="C4510" s="46"/>
      <c r="D4510" s="48"/>
      <c r="E4510" s="48"/>
      <c r="F4510" s="48"/>
      <c r="G4510" s="48"/>
      <c r="H4510" s="48"/>
      <c r="I4510" s="48"/>
    </row>
    <row r="4511" spans="1:9" hidden="1" x14ac:dyDescent="0.2">
      <c r="A4511" s="46"/>
      <c r="B4511" s="46"/>
      <c r="C4511" s="46"/>
      <c r="D4511" s="48"/>
      <c r="E4511" s="48"/>
      <c r="F4511" s="48"/>
      <c r="G4511" s="48"/>
      <c r="H4511" s="48"/>
      <c r="I4511" s="48"/>
    </row>
    <row r="4512" spans="1:9" hidden="1" x14ac:dyDescent="0.2">
      <c r="A4512" s="46"/>
      <c r="B4512" s="46"/>
      <c r="C4512" s="46"/>
      <c r="D4512" s="48"/>
      <c r="E4512" s="48"/>
      <c r="F4512" s="48"/>
      <c r="G4512" s="48"/>
      <c r="H4512" s="48"/>
      <c r="I4512" s="48"/>
    </row>
    <row r="4513" spans="1:9" hidden="1" x14ac:dyDescent="0.2">
      <c r="A4513" s="46"/>
      <c r="B4513" s="46"/>
      <c r="C4513" s="46"/>
      <c r="D4513" s="48"/>
      <c r="E4513" s="48"/>
      <c r="F4513" s="48"/>
      <c r="G4513" s="48"/>
      <c r="H4513" s="48"/>
      <c r="I4513" s="48"/>
    </row>
    <row r="4514" spans="1:9" hidden="1" x14ac:dyDescent="0.2">
      <c r="A4514" s="46"/>
      <c r="B4514" s="46"/>
      <c r="C4514" s="46"/>
      <c r="D4514" s="48"/>
      <c r="E4514" s="48"/>
      <c r="F4514" s="48"/>
      <c r="G4514" s="48"/>
      <c r="H4514" s="48"/>
      <c r="I4514" s="48"/>
    </row>
    <row r="4515" spans="1:9" hidden="1" x14ac:dyDescent="0.2">
      <c r="A4515" s="46"/>
      <c r="B4515" s="46"/>
      <c r="C4515" s="46"/>
      <c r="D4515" s="48"/>
      <c r="E4515" s="48"/>
      <c r="F4515" s="48"/>
      <c r="G4515" s="48"/>
      <c r="H4515" s="48"/>
      <c r="I4515" s="48"/>
    </row>
    <row r="4516" spans="1:9" hidden="1" x14ac:dyDescent="0.2">
      <c r="A4516" s="46"/>
      <c r="B4516" s="46"/>
      <c r="C4516" s="46"/>
      <c r="D4516" s="48"/>
      <c r="E4516" s="48"/>
      <c r="F4516" s="48"/>
      <c r="G4516" s="48"/>
      <c r="H4516" s="48"/>
      <c r="I4516" s="48"/>
    </row>
    <row r="4517" spans="1:9" hidden="1" x14ac:dyDescent="0.2">
      <c r="A4517" s="46"/>
      <c r="B4517" s="46"/>
      <c r="C4517" s="46"/>
      <c r="D4517" s="48"/>
      <c r="E4517" s="48"/>
      <c r="F4517" s="48"/>
      <c r="G4517" s="48"/>
      <c r="H4517" s="48"/>
      <c r="I4517" s="48"/>
    </row>
    <row r="4518" spans="1:9" hidden="1" x14ac:dyDescent="0.2">
      <c r="A4518" s="46"/>
      <c r="B4518" s="46"/>
      <c r="C4518" s="46"/>
      <c r="D4518" s="48"/>
      <c r="E4518" s="48"/>
      <c r="F4518" s="48"/>
      <c r="G4518" s="48"/>
      <c r="H4518" s="48"/>
      <c r="I4518" s="48"/>
    </row>
    <row r="4519" spans="1:9" hidden="1" x14ac:dyDescent="0.2">
      <c r="A4519" s="46"/>
      <c r="B4519" s="46"/>
      <c r="C4519" s="46"/>
      <c r="D4519" s="48"/>
      <c r="E4519" s="48"/>
      <c r="F4519" s="48"/>
      <c r="G4519" s="48"/>
      <c r="H4519" s="48"/>
      <c r="I4519" s="48"/>
    </row>
    <row r="4520" spans="1:9" hidden="1" x14ac:dyDescent="0.2">
      <c r="A4520" s="46"/>
      <c r="B4520" s="46"/>
      <c r="C4520" s="46"/>
      <c r="D4520" s="48"/>
      <c r="E4520" s="48"/>
      <c r="F4520" s="48"/>
      <c r="G4520" s="48"/>
      <c r="H4520" s="48"/>
      <c r="I4520" s="48"/>
    </row>
    <row r="4521" spans="1:9" hidden="1" x14ac:dyDescent="0.2">
      <c r="A4521" s="46"/>
      <c r="B4521" s="46"/>
      <c r="C4521" s="46"/>
      <c r="D4521" s="48"/>
      <c r="E4521" s="48"/>
      <c r="F4521" s="48"/>
      <c r="G4521" s="48"/>
      <c r="H4521" s="48"/>
      <c r="I4521" s="48"/>
    </row>
    <row r="4522" spans="1:9" hidden="1" x14ac:dyDescent="0.2">
      <c r="A4522" s="46"/>
      <c r="B4522" s="46"/>
      <c r="C4522" s="46"/>
      <c r="D4522" s="48"/>
      <c r="E4522" s="48"/>
      <c r="F4522" s="48"/>
      <c r="G4522" s="48"/>
      <c r="H4522" s="48"/>
      <c r="I4522" s="48"/>
    </row>
    <row r="4523" spans="1:9" hidden="1" x14ac:dyDescent="0.2">
      <c r="A4523" s="46"/>
      <c r="B4523" s="46"/>
      <c r="C4523" s="46"/>
      <c r="D4523" s="48"/>
      <c r="E4523" s="48"/>
      <c r="F4523" s="48"/>
      <c r="G4523" s="48"/>
      <c r="H4523" s="48"/>
      <c r="I4523" s="48"/>
    </row>
    <row r="4524" spans="1:9" hidden="1" x14ac:dyDescent="0.2">
      <c r="A4524" s="46"/>
      <c r="B4524" s="46"/>
      <c r="C4524" s="46"/>
      <c r="D4524" s="48"/>
      <c r="E4524" s="48"/>
      <c r="F4524" s="48"/>
      <c r="G4524" s="48"/>
      <c r="H4524" s="48"/>
      <c r="I4524" s="48"/>
    </row>
    <row r="4525" spans="1:9" hidden="1" x14ac:dyDescent="0.2">
      <c r="A4525" s="46"/>
      <c r="B4525" s="46"/>
      <c r="C4525" s="46"/>
      <c r="D4525" s="48"/>
      <c r="E4525" s="48"/>
      <c r="F4525" s="48"/>
      <c r="G4525" s="48"/>
      <c r="H4525" s="48"/>
      <c r="I4525" s="48"/>
    </row>
    <row r="4526" spans="1:9" hidden="1" x14ac:dyDescent="0.2">
      <c r="A4526" s="46"/>
      <c r="B4526" s="46"/>
      <c r="C4526" s="46"/>
      <c r="D4526" s="48"/>
      <c r="E4526" s="48"/>
      <c r="F4526" s="48"/>
      <c r="G4526" s="48"/>
      <c r="H4526" s="48"/>
      <c r="I4526" s="48"/>
    </row>
    <row r="4527" spans="1:9" hidden="1" x14ac:dyDescent="0.2">
      <c r="A4527" s="46"/>
      <c r="B4527" s="46"/>
      <c r="C4527" s="46"/>
      <c r="D4527" s="48"/>
      <c r="E4527" s="48"/>
      <c r="F4527" s="48"/>
      <c r="G4527" s="48"/>
      <c r="H4527" s="48"/>
      <c r="I4527" s="48"/>
    </row>
    <row r="4528" spans="1:9" hidden="1" x14ac:dyDescent="0.2">
      <c r="A4528" s="46"/>
      <c r="B4528" s="46"/>
      <c r="C4528" s="46"/>
      <c r="D4528" s="48"/>
      <c r="E4528" s="48"/>
      <c r="F4528" s="48"/>
      <c r="G4528" s="48"/>
      <c r="H4528" s="48"/>
      <c r="I4528" s="48"/>
    </row>
    <row r="4529" spans="1:9" hidden="1" x14ac:dyDescent="0.2">
      <c r="A4529" s="46"/>
      <c r="B4529" s="46"/>
      <c r="C4529" s="46"/>
      <c r="D4529" s="48"/>
      <c r="E4529" s="48"/>
      <c r="F4529" s="48"/>
      <c r="G4529" s="48"/>
      <c r="H4529" s="48"/>
      <c r="I4529" s="48"/>
    </row>
    <row r="4530" spans="1:9" hidden="1" x14ac:dyDescent="0.2">
      <c r="A4530" s="46"/>
      <c r="B4530" s="46"/>
      <c r="C4530" s="46"/>
      <c r="D4530" s="48"/>
      <c r="E4530" s="48"/>
      <c r="F4530" s="48"/>
      <c r="G4530" s="48"/>
      <c r="H4530" s="48"/>
      <c r="I4530" s="48"/>
    </row>
    <row r="4531" spans="1:9" hidden="1" x14ac:dyDescent="0.2">
      <c r="A4531" s="46"/>
      <c r="B4531" s="46"/>
      <c r="C4531" s="46"/>
      <c r="D4531" s="48"/>
      <c r="E4531" s="48"/>
      <c r="F4531" s="48"/>
      <c r="G4531" s="48"/>
      <c r="H4531" s="48"/>
      <c r="I4531" s="48"/>
    </row>
    <row r="4532" spans="1:9" hidden="1" x14ac:dyDescent="0.2">
      <c r="A4532" s="46"/>
      <c r="B4532" s="46"/>
      <c r="C4532" s="46"/>
      <c r="D4532" s="48"/>
      <c r="E4532" s="48"/>
      <c r="F4532" s="48"/>
      <c r="G4532" s="48"/>
      <c r="H4532" s="48"/>
      <c r="I4532" s="48"/>
    </row>
    <row r="4533" spans="1:9" hidden="1" x14ac:dyDescent="0.2">
      <c r="A4533" s="46"/>
      <c r="B4533" s="46"/>
      <c r="C4533" s="46"/>
      <c r="D4533" s="48"/>
      <c r="E4533" s="48"/>
      <c r="F4533" s="48"/>
      <c r="G4533" s="48"/>
      <c r="H4533" s="48"/>
      <c r="I4533" s="48"/>
    </row>
    <row r="4534" spans="1:9" hidden="1" x14ac:dyDescent="0.2">
      <c r="A4534" s="46"/>
      <c r="B4534" s="46"/>
      <c r="C4534" s="46"/>
      <c r="D4534" s="48"/>
      <c r="E4534" s="48"/>
      <c r="F4534" s="48"/>
      <c r="G4534" s="48"/>
      <c r="H4534" s="48"/>
      <c r="I4534" s="48"/>
    </row>
    <row r="4535" spans="1:9" hidden="1" x14ac:dyDescent="0.2">
      <c r="A4535" s="46"/>
      <c r="B4535" s="46"/>
      <c r="C4535" s="46"/>
      <c r="D4535" s="48"/>
      <c r="E4535" s="48"/>
      <c r="F4535" s="48"/>
      <c r="G4535" s="48"/>
      <c r="H4535" s="48"/>
      <c r="I4535" s="48"/>
    </row>
    <row r="4536" spans="1:9" hidden="1" x14ac:dyDescent="0.2">
      <c r="A4536" s="46"/>
      <c r="B4536" s="46"/>
      <c r="C4536" s="46"/>
      <c r="D4536" s="48"/>
      <c r="E4536" s="48"/>
      <c r="F4536" s="48"/>
      <c r="G4536" s="48"/>
      <c r="H4536" s="48"/>
      <c r="I4536" s="48"/>
    </row>
    <row r="4537" spans="1:9" hidden="1" x14ac:dyDescent="0.2">
      <c r="A4537" s="46"/>
      <c r="B4537" s="46"/>
      <c r="C4537" s="46"/>
      <c r="D4537" s="48"/>
      <c r="E4537" s="48"/>
      <c r="F4537" s="48"/>
      <c r="G4537" s="48"/>
      <c r="H4537" s="48"/>
      <c r="I4537" s="48"/>
    </row>
    <row r="4538" spans="1:9" hidden="1" x14ac:dyDescent="0.2">
      <c r="A4538" s="46"/>
      <c r="B4538" s="46"/>
      <c r="C4538" s="46"/>
      <c r="D4538" s="48"/>
      <c r="E4538" s="48"/>
      <c r="F4538" s="48"/>
      <c r="G4538" s="48"/>
      <c r="H4538" s="48"/>
      <c r="I4538" s="48"/>
    </row>
    <row r="4539" spans="1:9" hidden="1" x14ac:dyDescent="0.2">
      <c r="A4539" s="46"/>
      <c r="B4539" s="46"/>
      <c r="C4539" s="46"/>
      <c r="D4539" s="48"/>
      <c r="E4539" s="48"/>
      <c r="F4539" s="48"/>
      <c r="G4539" s="48"/>
      <c r="H4539" s="48"/>
      <c r="I4539" s="48"/>
    </row>
    <row r="4540" spans="1:9" hidden="1" x14ac:dyDescent="0.2">
      <c r="A4540" s="46"/>
      <c r="B4540" s="46"/>
      <c r="C4540" s="46"/>
      <c r="D4540" s="48"/>
      <c r="E4540" s="48"/>
      <c r="F4540" s="48"/>
      <c r="G4540" s="48"/>
      <c r="H4540" s="48"/>
      <c r="I4540" s="48"/>
    </row>
    <row r="4541" spans="1:9" hidden="1" x14ac:dyDescent="0.2">
      <c r="A4541" s="46"/>
      <c r="B4541" s="46"/>
      <c r="C4541" s="46"/>
      <c r="D4541" s="48"/>
      <c r="E4541" s="48"/>
      <c r="F4541" s="48"/>
      <c r="G4541" s="48"/>
      <c r="H4541" s="48"/>
      <c r="I4541" s="48"/>
    </row>
    <row r="4542" spans="1:9" hidden="1" x14ac:dyDescent="0.2">
      <c r="A4542" s="46"/>
      <c r="B4542" s="46"/>
      <c r="C4542" s="46"/>
      <c r="D4542" s="48"/>
      <c r="E4542" s="48"/>
      <c r="F4542" s="48"/>
      <c r="G4542" s="48"/>
      <c r="H4542" s="48"/>
      <c r="I4542" s="48"/>
    </row>
    <row r="4543" spans="1:9" hidden="1" x14ac:dyDescent="0.2">
      <c r="A4543" s="46"/>
      <c r="B4543" s="46"/>
      <c r="C4543" s="46"/>
      <c r="D4543" s="48"/>
      <c r="E4543" s="48"/>
      <c r="F4543" s="48"/>
      <c r="G4543" s="48"/>
      <c r="H4543" s="48"/>
      <c r="I4543" s="48"/>
    </row>
    <row r="4544" spans="1:9" hidden="1" x14ac:dyDescent="0.2">
      <c r="A4544" s="46"/>
      <c r="B4544" s="46"/>
      <c r="C4544" s="46"/>
      <c r="D4544" s="48"/>
      <c r="E4544" s="48"/>
      <c r="F4544" s="48"/>
      <c r="G4544" s="48"/>
      <c r="H4544" s="48"/>
      <c r="I4544" s="48"/>
    </row>
    <row r="4545" spans="1:9" hidden="1" x14ac:dyDescent="0.2">
      <c r="A4545" s="46"/>
      <c r="B4545" s="46"/>
      <c r="C4545" s="46"/>
      <c r="D4545" s="48"/>
      <c r="E4545" s="48"/>
      <c r="F4545" s="48"/>
      <c r="G4545" s="48"/>
      <c r="H4545" s="48"/>
      <c r="I4545" s="48"/>
    </row>
    <row r="4546" spans="1:9" hidden="1" x14ac:dyDescent="0.2">
      <c r="A4546" s="46"/>
      <c r="B4546" s="46"/>
      <c r="C4546" s="46"/>
      <c r="D4546" s="48"/>
      <c r="E4546" s="48"/>
      <c r="F4546" s="48"/>
      <c r="G4546" s="48"/>
      <c r="H4546" s="48"/>
      <c r="I4546" s="48"/>
    </row>
    <row r="4547" spans="1:9" hidden="1" x14ac:dyDescent="0.2">
      <c r="A4547" s="46"/>
      <c r="B4547" s="46"/>
      <c r="C4547" s="46"/>
      <c r="D4547" s="48"/>
      <c r="E4547" s="48"/>
      <c r="F4547" s="48"/>
      <c r="G4547" s="48"/>
      <c r="H4547" s="48"/>
      <c r="I4547" s="48"/>
    </row>
    <row r="4548" spans="1:9" hidden="1" x14ac:dyDescent="0.2">
      <c r="A4548" s="46"/>
      <c r="B4548" s="46"/>
      <c r="C4548" s="46"/>
      <c r="D4548" s="48"/>
      <c r="E4548" s="48"/>
      <c r="F4548" s="48"/>
      <c r="G4548" s="48"/>
      <c r="H4548" s="48"/>
      <c r="I4548" s="48"/>
    </row>
    <row r="4549" spans="1:9" hidden="1" x14ac:dyDescent="0.2">
      <c r="A4549" s="46"/>
      <c r="B4549" s="46"/>
      <c r="C4549" s="46"/>
      <c r="D4549" s="48"/>
      <c r="E4549" s="48"/>
      <c r="F4549" s="48"/>
      <c r="G4549" s="48"/>
      <c r="H4549" s="48"/>
      <c r="I4549" s="48"/>
    </row>
    <row r="4550" spans="1:9" hidden="1" x14ac:dyDescent="0.2">
      <c r="A4550" s="46"/>
      <c r="B4550" s="46"/>
      <c r="C4550" s="46"/>
      <c r="D4550" s="48"/>
      <c r="E4550" s="48"/>
      <c r="F4550" s="48"/>
      <c r="G4550" s="48"/>
      <c r="H4550" s="48"/>
      <c r="I4550" s="48"/>
    </row>
    <row r="4551" spans="1:9" hidden="1" x14ac:dyDescent="0.2">
      <c r="A4551" s="46"/>
      <c r="B4551" s="46"/>
      <c r="C4551" s="46"/>
      <c r="D4551" s="48"/>
      <c r="E4551" s="48"/>
      <c r="F4551" s="48"/>
      <c r="G4551" s="48"/>
      <c r="H4551" s="48"/>
      <c r="I4551" s="48"/>
    </row>
    <row r="4552" spans="1:9" hidden="1" x14ac:dyDescent="0.2">
      <c r="A4552" s="46"/>
      <c r="B4552" s="46"/>
      <c r="C4552" s="46"/>
      <c r="D4552" s="48"/>
      <c r="E4552" s="48"/>
      <c r="F4552" s="48"/>
      <c r="G4552" s="48"/>
      <c r="H4552" s="48"/>
      <c r="I4552" s="48"/>
    </row>
    <row r="4553" spans="1:9" hidden="1" x14ac:dyDescent="0.2">
      <c r="A4553" s="46"/>
      <c r="B4553" s="46"/>
      <c r="C4553" s="46"/>
      <c r="D4553" s="48"/>
      <c r="E4553" s="48"/>
      <c r="F4553" s="48"/>
      <c r="G4553" s="48"/>
      <c r="H4553" s="48"/>
      <c r="I4553" s="48"/>
    </row>
    <row r="4554" spans="1:9" hidden="1" x14ac:dyDescent="0.2">
      <c r="A4554" s="46"/>
      <c r="B4554" s="46"/>
      <c r="C4554" s="46"/>
      <c r="D4554" s="48"/>
      <c r="E4554" s="48"/>
      <c r="F4554" s="48"/>
      <c r="G4554" s="48"/>
      <c r="H4554" s="48"/>
      <c r="I4554" s="48"/>
    </row>
    <row r="4555" spans="1:9" hidden="1" x14ac:dyDescent="0.2">
      <c r="A4555" s="46"/>
      <c r="B4555" s="46"/>
      <c r="C4555" s="46"/>
      <c r="D4555" s="48"/>
      <c r="E4555" s="48"/>
      <c r="F4555" s="48"/>
      <c r="G4555" s="48"/>
      <c r="H4555" s="48"/>
      <c r="I4555" s="48"/>
    </row>
    <row r="4556" spans="1:9" hidden="1" x14ac:dyDescent="0.2">
      <c r="A4556" s="46"/>
      <c r="B4556" s="46"/>
      <c r="C4556" s="46"/>
      <c r="D4556" s="48"/>
      <c r="E4556" s="48"/>
      <c r="F4556" s="48"/>
      <c r="G4556" s="48"/>
      <c r="H4556" s="48"/>
      <c r="I4556" s="48"/>
    </row>
    <row r="4557" spans="1:9" hidden="1" x14ac:dyDescent="0.2">
      <c r="A4557" s="46"/>
      <c r="B4557" s="46"/>
      <c r="C4557" s="46"/>
      <c r="D4557" s="48"/>
      <c r="E4557" s="48"/>
      <c r="F4557" s="48"/>
      <c r="G4557" s="48"/>
      <c r="H4557" s="48"/>
      <c r="I4557" s="48"/>
    </row>
    <row r="4558" spans="1:9" hidden="1" x14ac:dyDescent="0.2">
      <c r="A4558" s="46"/>
      <c r="B4558" s="46"/>
      <c r="C4558" s="46"/>
      <c r="D4558" s="48"/>
      <c r="E4558" s="48"/>
      <c r="F4558" s="48"/>
      <c r="G4558" s="48"/>
      <c r="H4558" s="48"/>
      <c r="I4558" s="48"/>
    </row>
    <row r="4559" spans="1:9" hidden="1" x14ac:dyDescent="0.2">
      <c r="A4559" s="46"/>
      <c r="B4559" s="46"/>
      <c r="C4559" s="46"/>
      <c r="D4559" s="48"/>
      <c r="E4559" s="48"/>
      <c r="F4559" s="48"/>
      <c r="G4559" s="48"/>
      <c r="H4559" s="48"/>
      <c r="I4559" s="48"/>
    </row>
    <row r="4560" spans="1:9" hidden="1" x14ac:dyDescent="0.2">
      <c r="A4560" s="46"/>
      <c r="B4560" s="46"/>
      <c r="C4560" s="46"/>
      <c r="D4560" s="48"/>
      <c r="E4560" s="48"/>
      <c r="F4560" s="48"/>
      <c r="G4560" s="48"/>
      <c r="H4560" s="48"/>
      <c r="I4560" s="48"/>
    </row>
    <row r="4561" spans="1:9" hidden="1" x14ac:dyDescent="0.2">
      <c r="A4561" s="46"/>
      <c r="B4561" s="46"/>
      <c r="C4561" s="46"/>
      <c r="D4561" s="48"/>
      <c r="E4561" s="48"/>
      <c r="F4561" s="48"/>
      <c r="G4561" s="48"/>
      <c r="H4561" s="48"/>
      <c r="I4561" s="48"/>
    </row>
    <row r="4562" spans="1:9" hidden="1" x14ac:dyDescent="0.2">
      <c r="A4562" s="46"/>
      <c r="B4562" s="46"/>
      <c r="C4562" s="46"/>
      <c r="D4562" s="48"/>
      <c r="E4562" s="48"/>
      <c r="F4562" s="48"/>
      <c r="G4562" s="48"/>
      <c r="H4562" s="48"/>
      <c r="I4562" s="48"/>
    </row>
    <row r="4563" spans="1:9" hidden="1" x14ac:dyDescent="0.2">
      <c r="A4563" s="46"/>
      <c r="B4563" s="46"/>
      <c r="C4563" s="46"/>
      <c r="D4563" s="48"/>
      <c r="E4563" s="48"/>
      <c r="F4563" s="48"/>
      <c r="G4563" s="48"/>
      <c r="H4563" s="48"/>
      <c r="I4563" s="48"/>
    </row>
    <row r="4564" spans="1:9" hidden="1" x14ac:dyDescent="0.2">
      <c r="A4564" s="46"/>
      <c r="B4564" s="46"/>
      <c r="C4564" s="46"/>
      <c r="D4564" s="48"/>
      <c r="E4564" s="48"/>
      <c r="F4564" s="48"/>
      <c r="G4564" s="48"/>
      <c r="H4564" s="48"/>
      <c r="I4564" s="48"/>
    </row>
    <row r="4565" spans="1:9" hidden="1" x14ac:dyDescent="0.2">
      <c r="A4565" s="46"/>
      <c r="B4565" s="46"/>
      <c r="C4565" s="46"/>
      <c r="D4565" s="48"/>
      <c r="E4565" s="48"/>
      <c r="F4565" s="48"/>
      <c r="G4565" s="48"/>
      <c r="H4565" s="48"/>
      <c r="I4565" s="48"/>
    </row>
    <row r="4566" spans="1:9" hidden="1" x14ac:dyDescent="0.2">
      <c r="A4566" s="46"/>
      <c r="B4566" s="46"/>
      <c r="C4566" s="46"/>
      <c r="D4566" s="48"/>
      <c r="E4566" s="48"/>
      <c r="F4566" s="48"/>
      <c r="G4566" s="48"/>
      <c r="H4566" s="48"/>
      <c r="I4566" s="48"/>
    </row>
    <row r="4567" spans="1:9" hidden="1" x14ac:dyDescent="0.2">
      <c r="A4567" s="46"/>
      <c r="B4567" s="46"/>
      <c r="C4567" s="46"/>
      <c r="D4567" s="48"/>
      <c r="E4567" s="48"/>
      <c r="F4567" s="48"/>
      <c r="G4567" s="48"/>
      <c r="H4567" s="48"/>
      <c r="I4567" s="48"/>
    </row>
    <row r="4568" spans="1:9" hidden="1" x14ac:dyDescent="0.2">
      <c r="A4568" s="46"/>
      <c r="B4568" s="46"/>
      <c r="C4568" s="46"/>
      <c r="D4568" s="48"/>
      <c r="E4568" s="48"/>
      <c r="F4568" s="48"/>
      <c r="G4568" s="48"/>
      <c r="H4568" s="48"/>
      <c r="I4568" s="48"/>
    </row>
    <row r="4569" spans="1:9" hidden="1" x14ac:dyDescent="0.2">
      <c r="A4569" s="46"/>
      <c r="B4569" s="46"/>
      <c r="C4569" s="46"/>
      <c r="D4569" s="48"/>
      <c r="E4569" s="48"/>
      <c r="F4569" s="48"/>
      <c r="G4569" s="48"/>
      <c r="H4569" s="48"/>
      <c r="I4569" s="48"/>
    </row>
    <row r="4570" spans="1:9" hidden="1" x14ac:dyDescent="0.2">
      <c r="A4570" s="46"/>
      <c r="B4570" s="46"/>
      <c r="C4570" s="46"/>
      <c r="D4570" s="48"/>
      <c r="E4570" s="48"/>
      <c r="F4570" s="48"/>
      <c r="G4570" s="48"/>
      <c r="H4570" s="48"/>
      <c r="I4570" s="48"/>
    </row>
    <row r="4571" spans="1:9" hidden="1" x14ac:dyDescent="0.2">
      <c r="A4571" s="46"/>
      <c r="B4571" s="46"/>
      <c r="C4571" s="46"/>
      <c r="D4571" s="48"/>
      <c r="E4571" s="48"/>
      <c r="F4571" s="48"/>
      <c r="G4571" s="48"/>
      <c r="H4571" s="48"/>
      <c r="I4571" s="48"/>
    </row>
    <row r="4572" spans="1:9" hidden="1" x14ac:dyDescent="0.2">
      <c r="A4572" s="46"/>
      <c r="B4572" s="46"/>
      <c r="C4572" s="46"/>
      <c r="D4572" s="48"/>
      <c r="E4572" s="48"/>
      <c r="F4572" s="48"/>
      <c r="G4572" s="48"/>
      <c r="H4572" s="48"/>
      <c r="I4572" s="48"/>
    </row>
    <row r="4573" spans="1:9" hidden="1" x14ac:dyDescent="0.2">
      <c r="A4573" s="46"/>
      <c r="B4573" s="46"/>
      <c r="C4573" s="46"/>
      <c r="D4573" s="48"/>
      <c r="E4573" s="48"/>
      <c r="F4573" s="48"/>
      <c r="G4573" s="48"/>
      <c r="H4573" s="48"/>
      <c r="I4573" s="48"/>
    </row>
    <row r="4574" spans="1:9" hidden="1" x14ac:dyDescent="0.2">
      <c r="A4574" s="46"/>
      <c r="B4574" s="46"/>
      <c r="C4574" s="46"/>
      <c r="D4574" s="48"/>
      <c r="E4574" s="48"/>
      <c r="F4574" s="48"/>
      <c r="G4574" s="48"/>
      <c r="H4574" s="48"/>
      <c r="I4574" s="48"/>
    </row>
    <row r="4575" spans="1:9" hidden="1" x14ac:dyDescent="0.2">
      <c r="A4575" s="46"/>
      <c r="B4575" s="46"/>
      <c r="C4575" s="46"/>
      <c r="D4575" s="48"/>
      <c r="E4575" s="48"/>
      <c r="F4575" s="48"/>
      <c r="G4575" s="48"/>
      <c r="H4575" s="48"/>
      <c r="I4575" s="48"/>
    </row>
    <row r="4576" spans="1:9" hidden="1" x14ac:dyDescent="0.2">
      <c r="A4576" s="46"/>
      <c r="B4576" s="46"/>
      <c r="C4576" s="46"/>
      <c r="D4576" s="48"/>
      <c r="E4576" s="48"/>
      <c r="F4576" s="48"/>
      <c r="G4576" s="48"/>
      <c r="H4576" s="48"/>
      <c r="I4576" s="48"/>
    </row>
    <row r="4577" spans="1:9" hidden="1" x14ac:dyDescent="0.2">
      <c r="A4577" s="46"/>
      <c r="B4577" s="46"/>
      <c r="C4577" s="46"/>
      <c r="D4577" s="48"/>
      <c r="E4577" s="48"/>
      <c r="F4577" s="48"/>
      <c r="G4577" s="48"/>
      <c r="H4577" s="48"/>
      <c r="I4577" s="48"/>
    </row>
    <row r="4578" spans="1:9" hidden="1" x14ac:dyDescent="0.2">
      <c r="A4578" s="46"/>
      <c r="B4578" s="46"/>
      <c r="C4578" s="46"/>
      <c r="D4578" s="48"/>
      <c r="E4578" s="48"/>
      <c r="F4578" s="48"/>
      <c r="G4578" s="48"/>
      <c r="H4578" s="48"/>
      <c r="I4578" s="48"/>
    </row>
    <row r="4579" spans="1:9" hidden="1" x14ac:dyDescent="0.2">
      <c r="A4579" s="46"/>
      <c r="B4579" s="46"/>
      <c r="C4579" s="46"/>
      <c r="D4579" s="48"/>
      <c r="E4579" s="48"/>
      <c r="F4579" s="48"/>
      <c r="G4579" s="48"/>
      <c r="H4579" s="48"/>
      <c r="I4579" s="48"/>
    </row>
    <row r="4580" spans="1:9" hidden="1" x14ac:dyDescent="0.2">
      <c r="A4580" s="46"/>
      <c r="B4580" s="46"/>
      <c r="C4580" s="46"/>
      <c r="D4580" s="48"/>
      <c r="E4580" s="48"/>
      <c r="F4580" s="48"/>
      <c r="G4580" s="48"/>
      <c r="H4580" s="48"/>
      <c r="I4580" s="48"/>
    </row>
    <row r="4581" spans="1:9" hidden="1" x14ac:dyDescent="0.2">
      <c r="A4581" s="46"/>
      <c r="B4581" s="46"/>
      <c r="C4581" s="46"/>
      <c r="D4581" s="48"/>
      <c r="E4581" s="48"/>
      <c r="F4581" s="48"/>
      <c r="G4581" s="48"/>
      <c r="H4581" s="48"/>
      <c r="I4581" s="48"/>
    </row>
    <row r="4582" spans="1:9" hidden="1" x14ac:dyDescent="0.2">
      <c r="A4582" s="46"/>
      <c r="B4582" s="46"/>
      <c r="C4582" s="46"/>
      <c r="D4582" s="48"/>
      <c r="E4582" s="48"/>
      <c r="F4582" s="48"/>
      <c r="G4582" s="48"/>
      <c r="H4582" s="48"/>
      <c r="I4582" s="48"/>
    </row>
    <row r="4583" spans="1:9" hidden="1" x14ac:dyDescent="0.2">
      <c r="A4583" s="46"/>
      <c r="B4583" s="46"/>
      <c r="C4583" s="46"/>
      <c r="D4583" s="48"/>
      <c r="E4583" s="48"/>
      <c r="F4583" s="48"/>
      <c r="G4583" s="48"/>
      <c r="H4583" s="48"/>
      <c r="I4583" s="48"/>
    </row>
    <row r="4584" spans="1:9" hidden="1" x14ac:dyDescent="0.2">
      <c r="A4584" s="46"/>
      <c r="B4584" s="46"/>
      <c r="C4584" s="46"/>
      <c r="D4584" s="48"/>
      <c r="E4584" s="48"/>
      <c r="F4584" s="48"/>
      <c r="G4584" s="48"/>
      <c r="H4584" s="48"/>
      <c r="I4584" s="48"/>
    </row>
    <row r="4585" spans="1:9" hidden="1" x14ac:dyDescent="0.2">
      <c r="A4585" s="46"/>
      <c r="B4585" s="46"/>
      <c r="C4585" s="46"/>
      <c r="D4585" s="48"/>
      <c r="E4585" s="48"/>
      <c r="F4585" s="48"/>
      <c r="G4585" s="48"/>
      <c r="H4585" s="48"/>
      <c r="I4585" s="48"/>
    </row>
    <row r="4586" spans="1:9" hidden="1" x14ac:dyDescent="0.2">
      <c r="A4586" s="46"/>
      <c r="B4586" s="46"/>
      <c r="C4586" s="46"/>
      <c r="D4586" s="48"/>
      <c r="E4586" s="48"/>
      <c r="F4586" s="48"/>
      <c r="G4586" s="48"/>
      <c r="H4586" s="48"/>
      <c r="I4586" s="48"/>
    </row>
    <row r="4587" spans="1:9" hidden="1" x14ac:dyDescent="0.2">
      <c r="A4587" s="46"/>
      <c r="B4587" s="46"/>
      <c r="C4587" s="46"/>
      <c r="D4587" s="48"/>
      <c r="E4587" s="48"/>
      <c r="F4587" s="48"/>
      <c r="G4587" s="48"/>
      <c r="H4587" s="48"/>
      <c r="I4587" s="48"/>
    </row>
    <row r="4588" spans="1:9" hidden="1" x14ac:dyDescent="0.2">
      <c r="A4588" s="46"/>
      <c r="B4588" s="46"/>
      <c r="C4588" s="46"/>
      <c r="D4588" s="48"/>
      <c r="E4588" s="48"/>
      <c r="F4588" s="48"/>
      <c r="G4588" s="48"/>
      <c r="H4588" s="48"/>
      <c r="I4588" s="48"/>
    </row>
    <row r="4589" spans="1:9" hidden="1" x14ac:dyDescent="0.2">
      <c r="A4589" s="46"/>
      <c r="B4589" s="46"/>
      <c r="C4589" s="46"/>
      <c r="D4589" s="48"/>
      <c r="E4589" s="48"/>
      <c r="F4589" s="48"/>
      <c r="G4589" s="48"/>
      <c r="H4589" s="48"/>
      <c r="I4589" s="48"/>
    </row>
    <row r="4590" spans="1:9" hidden="1" x14ac:dyDescent="0.2">
      <c r="A4590" s="46"/>
      <c r="B4590" s="46"/>
      <c r="C4590" s="46"/>
      <c r="D4590" s="48"/>
      <c r="E4590" s="48"/>
      <c r="F4590" s="48"/>
      <c r="G4590" s="48"/>
      <c r="H4590" s="48"/>
      <c r="I4590" s="48"/>
    </row>
    <row r="4591" spans="1:9" hidden="1" x14ac:dyDescent="0.2">
      <c r="A4591" s="46"/>
      <c r="B4591" s="46"/>
      <c r="C4591" s="46"/>
      <c r="D4591" s="48"/>
      <c r="E4591" s="48"/>
      <c r="F4591" s="48"/>
      <c r="G4591" s="48"/>
      <c r="H4591" s="48"/>
      <c r="I4591" s="48"/>
    </row>
    <row r="4592" spans="1:9" hidden="1" x14ac:dyDescent="0.2">
      <c r="A4592" s="46"/>
      <c r="B4592" s="46"/>
      <c r="C4592" s="46"/>
      <c r="D4592" s="48"/>
      <c r="E4592" s="48"/>
      <c r="F4592" s="48"/>
      <c r="G4592" s="48"/>
      <c r="H4592" s="48"/>
      <c r="I4592" s="48"/>
    </row>
    <row r="4593" spans="1:9" hidden="1" x14ac:dyDescent="0.2">
      <c r="A4593" s="46"/>
      <c r="B4593" s="46"/>
      <c r="C4593" s="46"/>
      <c r="D4593" s="48"/>
      <c r="E4593" s="48"/>
      <c r="F4593" s="48"/>
      <c r="G4593" s="48"/>
      <c r="H4593" s="48"/>
      <c r="I4593" s="48"/>
    </row>
    <row r="4594" spans="1:9" hidden="1" x14ac:dyDescent="0.2">
      <c r="A4594" s="46"/>
      <c r="B4594" s="46"/>
      <c r="C4594" s="46"/>
      <c r="D4594" s="48"/>
      <c r="E4594" s="48"/>
      <c r="F4594" s="48"/>
      <c r="G4594" s="48"/>
      <c r="H4594" s="48"/>
      <c r="I4594" s="48"/>
    </row>
    <row r="4595" spans="1:9" hidden="1" x14ac:dyDescent="0.2">
      <c r="A4595" s="46"/>
      <c r="B4595" s="46"/>
      <c r="C4595" s="46"/>
      <c r="D4595" s="48"/>
      <c r="E4595" s="48"/>
      <c r="F4595" s="48"/>
      <c r="G4595" s="48"/>
      <c r="H4595" s="48"/>
      <c r="I4595" s="48"/>
    </row>
    <row r="4596" spans="1:9" hidden="1" x14ac:dyDescent="0.2">
      <c r="A4596" s="46"/>
      <c r="B4596" s="46"/>
      <c r="C4596" s="46"/>
      <c r="D4596" s="48"/>
      <c r="E4596" s="48"/>
      <c r="F4596" s="48"/>
      <c r="G4596" s="48"/>
      <c r="H4596" s="48"/>
      <c r="I4596" s="48"/>
    </row>
    <row r="4597" spans="1:9" hidden="1" x14ac:dyDescent="0.2">
      <c r="A4597" s="46"/>
      <c r="B4597" s="46"/>
      <c r="C4597" s="46"/>
      <c r="D4597" s="48"/>
      <c r="E4597" s="48"/>
      <c r="F4597" s="48"/>
      <c r="G4597" s="48"/>
      <c r="H4597" s="48"/>
      <c r="I4597" s="48"/>
    </row>
    <row r="4598" spans="1:9" hidden="1" x14ac:dyDescent="0.2">
      <c r="A4598" s="46"/>
      <c r="B4598" s="46"/>
      <c r="C4598" s="46"/>
      <c r="D4598" s="48"/>
      <c r="E4598" s="48"/>
      <c r="F4598" s="48"/>
      <c r="G4598" s="48"/>
      <c r="H4598" s="48"/>
      <c r="I4598" s="48"/>
    </row>
    <row r="4599" spans="1:9" hidden="1" x14ac:dyDescent="0.2">
      <c r="A4599" s="46"/>
      <c r="B4599" s="46"/>
      <c r="C4599" s="46"/>
      <c r="D4599" s="48"/>
      <c r="E4599" s="48"/>
      <c r="F4599" s="48"/>
      <c r="G4599" s="48"/>
      <c r="H4599" s="48"/>
      <c r="I4599" s="48"/>
    </row>
    <row r="4600" spans="1:9" hidden="1" x14ac:dyDescent="0.2">
      <c r="A4600" s="46"/>
      <c r="B4600" s="46"/>
      <c r="C4600" s="46"/>
      <c r="D4600" s="48"/>
      <c r="E4600" s="48"/>
      <c r="F4600" s="48"/>
      <c r="G4600" s="48"/>
      <c r="H4600" s="48"/>
      <c r="I4600" s="48"/>
    </row>
    <row r="4601" spans="1:9" hidden="1" x14ac:dyDescent="0.2">
      <c r="A4601" s="46"/>
      <c r="B4601" s="46"/>
      <c r="C4601" s="46"/>
      <c r="D4601" s="48"/>
      <c r="E4601" s="48"/>
      <c r="F4601" s="48"/>
      <c r="G4601" s="48"/>
      <c r="H4601" s="48"/>
      <c r="I4601" s="48"/>
    </row>
    <row r="4602" spans="1:9" hidden="1" x14ac:dyDescent="0.2">
      <c r="A4602" s="46"/>
      <c r="B4602" s="46"/>
      <c r="C4602" s="46"/>
      <c r="D4602" s="48"/>
      <c r="E4602" s="48"/>
      <c r="F4602" s="48"/>
      <c r="G4602" s="48"/>
      <c r="H4602" s="48"/>
      <c r="I4602" s="48"/>
    </row>
    <row r="4603" spans="1:9" hidden="1" x14ac:dyDescent="0.2">
      <c r="A4603" s="46"/>
      <c r="B4603" s="46"/>
      <c r="C4603" s="46"/>
      <c r="D4603" s="48"/>
      <c r="E4603" s="48"/>
      <c r="F4603" s="48"/>
      <c r="G4603" s="48"/>
      <c r="H4603" s="48"/>
      <c r="I4603" s="48"/>
    </row>
    <row r="4604" spans="1:9" hidden="1" x14ac:dyDescent="0.2">
      <c r="A4604" s="46"/>
      <c r="B4604" s="46"/>
      <c r="C4604" s="46"/>
      <c r="D4604" s="48"/>
      <c r="E4604" s="48"/>
      <c r="F4604" s="48"/>
      <c r="G4604" s="48"/>
      <c r="H4604" s="48"/>
      <c r="I4604" s="48"/>
    </row>
    <row r="4605" spans="1:9" hidden="1" x14ac:dyDescent="0.2">
      <c r="A4605" s="46"/>
      <c r="B4605" s="46"/>
      <c r="C4605" s="46"/>
      <c r="D4605" s="48"/>
      <c r="E4605" s="48"/>
      <c r="F4605" s="48"/>
      <c r="G4605" s="48"/>
      <c r="H4605" s="48"/>
      <c r="I4605" s="48"/>
    </row>
    <row r="4606" spans="1:9" hidden="1" x14ac:dyDescent="0.2">
      <c r="A4606" s="46"/>
      <c r="B4606" s="46"/>
      <c r="C4606" s="46"/>
      <c r="D4606" s="48"/>
      <c r="E4606" s="48"/>
      <c r="F4606" s="48"/>
      <c r="G4606" s="48"/>
      <c r="H4606" s="48"/>
      <c r="I4606" s="48"/>
    </row>
    <row r="4607" spans="1:9" hidden="1" x14ac:dyDescent="0.2">
      <c r="A4607" s="46"/>
      <c r="B4607" s="46"/>
      <c r="C4607" s="46"/>
      <c r="D4607" s="48"/>
      <c r="E4607" s="48"/>
      <c r="F4607" s="48"/>
      <c r="G4607" s="48"/>
      <c r="H4607" s="48"/>
      <c r="I4607" s="48"/>
    </row>
    <row r="4608" spans="1:9" hidden="1" x14ac:dyDescent="0.2">
      <c r="A4608" s="46"/>
      <c r="B4608" s="46"/>
      <c r="C4608" s="46"/>
      <c r="D4608" s="48"/>
      <c r="E4608" s="48"/>
      <c r="F4608" s="48"/>
      <c r="G4608" s="48"/>
      <c r="H4608" s="48"/>
      <c r="I4608" s="48"/>
    </row>
    <row r="4609" spans="1:9" hidden="1" x14ac:dyDescent="0.2">
      <c r="A4609" s="46"/>
      <c r="B4609" s="46"/>
      <c r="C4609" s="46"/>
      <c r="D4609" s="48"/>
      <c r="E4609" s="48"/>
      <c r="F4609" s="48"/>
      <c r="G4609" s="48"/>
      <c r="H4609" s="48"/>
      <c r="I4609" s="48"/>
    </row>
    <row r="4610" spans="1:9" hidden="1" x14ac:dyDescent="0.2">
      <c r="A4610" s="46"/>
      <c r="B4610" s="46"/>
      <c r="C4610" s="46"/>
      <c r="D4610" s="48"/>
      <c r="E4610" s="48"/>
      <c r="F4610" s="48"/>
      <c r="G4610" s="48"/>
      <c r="H4610" s="48"/>
      <c r="I4610" s="48"/>
    </row>
    <row r="4611" spans="1:9" hidden="1" x14ac:dyDescent="0.2">
      <c r="A4611" s="46"/>
      <c r="B4611" s="46"/>
      <c r="C4611" s="46"/>
      <c r="D4611" s="48"/>
      <c r="E4611" s="48"/>
      <c r="F4611" s="48"/>
      <c r="G4611" s="48"/>
      <c r="H4611" s="48"/>
      <c r="I4611" s="48"/>
    </row>
    <row r="4612" spans="1:9" hidden="1" x14ac:dyDescent="0.2">
      <c r="A4612" s="46"/>
      <c r="B4612" s="46"/>
      <c r="C4612" s="46"/>
      <c r="D4612" s="48"/>
      <c r="E4612" s="48"/>
      <c r="F4612" s="48"/>
      <c r="G4612" s="48"/>
      <c r="H4612" s="48"/>
      <c r="I4612" s="48"/>
    </row>
    <row r="4613" spans="1:9" hidden="1" x14ac:dyDescent="0.2">
      <c r="A4613" s="46"/>
      <c r="B4613" s="46"/>
      <c r="C4613" s="46"/>
      <c r="D4613" s="48"/>
      <c r="E4613" s="48"/>
      <c r="F4613" s="48"/>
      <c r="G4613" s="48"/>
      <c r="H4613" s="48"/>
      <c r="I4613" s="48"/>
    </row>
    <row r="4614" spans="1:9" hidden="1" x14ac:dyDescent="0.2">
      <c r="A4614" s="46"/>
      <c r="B4614" s="46"/>
      <c r="C4614" s="46"/>
      <c r="D4614" s="48"/>
      <c r="E4614" s="48"/>
      <c r="F4614" s="48"/>
      <c r="G4614" s="48"/>
      <c r="H4614" s="48"/>
      <c r="I4614" s="48"/>
    </row>
    <row r="4615" spans="1:9" hidden="1" x14ac:dyDescent="0.2">
      <c r="A4615" s="46"/>
      <c r="B4615" s="46"/>
      <c r="C4615" s="46"/>
      <c r="D4615" s="48"/>
      <c r="E4615" s="48"/>
      <c r="F4615" s="48"/>
      <c r="G4615" s="48"/>
      <c r="H4615" s="48"/>
      <c r="I4615" s="48"/>
    </row>
    <row r="4616" spans="1:9" hidden="1" x14ac:dyDescent="0.2">
      <c r="A4616" s="46"/>
      <c r="B4616" s="46"/>
      <c r="C4616" s="46"/>
      <c r="D4616" s="48"/>
      <c r="E4616" s="48"/>
      <c r="F4616" s="48"/>
      <c r="G4616" s="48"/>
      <c r="H4616" s="48"/>
      <c r="I4616" s="48"/>
    </row>
    <row r="4617" spans="1:9" hidden="1" x14ac:dyDescent="0.2">
      <c r="A4617" s="46"/>
      <c r="B4617" s="46"/>
      <c r="C4617" s="46"/>
      <c r="D4617" s="48"/>
      <c r="E4617" s="48"/>
      <c r="F4617" s="48"/>
      <c r="G4617" s="48"/>
      <c r="H4617" s="48"/>
      <c r="I4617" s="48"/>
    </row>
    <row r="4618" spans="1:9" hidden="1" x14ac:dyDescent="0.2">
      <c r="A4618" s="46"/>
      <c r="B4618" s="46"/>
      <c r="C4618" s="46"/>
      <c r="D4618" s="48"/>
      <c r="E4618" s="48"/>
      <c r="F4618" s="48"/>
      <c r="G4618" s="48"/>
      <c r="H4618" s="48"/>
      <c r="I4618" s="48"/>
    </row>
    <row r="4619" spans="1:9" hidden="1" x14ac:dyDescent="0.2">
      <c r="A4619" s="46"/>
      <c r="B4619" s="46"/>
      <c r="C4619" s="46"/>
      <c r="D4619" s="48"/>
      <c r="E4619" s="48"/>
      <c r="F4619" s="48"/>
      <c r="G4619" s="48"/>
      <c r="H4619" s="48"/>
      <c r="I4619" s="48"/>
    </row>
    <row r="4620" spans="1:9" hidden="1" x14ac:dyDescent="0.2">
      <c r="A4620" s="46"/>
      <c r="B4620" s="46"/>
      <c r="C4620" s="46"/>
      <c r="D4620" s="48"/>
      <c r="E4620" s="48"/>
      <c r="F4620" s="48"/>
      <c r="G4620" s="48"/>
      <c r="H4620" s="48"/>
      <c r="I4620" s="48"/>
    </row>
    <row r="4621" spans="1:9" hidden="1" x14ac:dyDescent="0.2">
      <c r="A4621" s="46"/>
      <c r="B4621" s="46"/>
      <c r="C4621" s="46"/>
      <c r="D4621" s="48"/>
      <c r="E4621" s="48"/>
      <c r="F4621" s="48"/>
      <c r="G4621" s="48"/>
      <c r="H4621" s="48"/>
      <c r="I4621" s="48"/>
    </row>
    <row r="4622" spans="1:9" hidden="1" x14ac:dyDescent="0.2">
      <c r="A4622" s="46"/>
      <c r="B4622" s="46"/>
      <c r="C4622" s="46"/>
      <c r="D4622" s="48"/>
      <c r="E4622" s="48"/>
      <c r="F4622" s="48"/>
      <c r="G4622" s="48"/>
      <c r="H4622" s="48"/>
      <c r="I4622" s="48"/>
    </row>
    <row r="4623" spans="1:9" hidden="1" x14ac:dyDescent="0.2">
      <c r="A4623" s="46"/>
      <c r="B4623" s="46"/>
      <c r="C4623" s="46"/>
      <c r="D4623" s="48"/>
      <c r="E4623" s="48"/>
      <c r="F4623" s="48"/>
      <c r="G4623" s="48"/>
      <c r="H4623" s="48"/>
      <c r="I4623" s="48"/>
    </row>
    <row r="4624" spans="1:9" hidden="1" x14ac:dyDescent="0.2">
      <c r="A4624" s="46"/>
      <c r="B4624" s="46"/>
      <c r="C4624" s="46"/>
      <c r="D4624" s="48"/>
      <c r="E4624" s="48"/>
      <c r="F4624" s="48"/>
      <c r="G4624" s="48"/>
      <c r="H4624" s="48"/>
      <c r="I4624" s="48"/>
    </row>
    <row r="4625" spans="1:9" hidden="1" x14ac:dyDescent="0.2">
      <c r="A4625" s="46"/>
      <c r="B4625" s="46"/>
      <c r="C4625" s="46"/>
      <c r="D4625" s="48"/>
      <c r="E4625" s="48"/>
      <c r="F4625" s="48"/>
      <c r="G4625" s="48"/>
      <c r="H4625" s="48"/>
      <c r="I4625" s="48"/>
    </row>
    <row r="4626" spans="1:9" hidden="1" x14ac:dyDescent="0.2">
      <c r="A4626" s="46"/>
      <c r="B4626" s="46"/>
      <c r="C4626" s="46"/>
      <c r="D4626" s="48"/>
      <c r="E4626" s="48"/>
      <c r="F4626" s="48"/>
      <c r="G4626" s="48"/>
      <c r="H4626" s="48"/>
      <c r="I4626" s="48"/>
    </row>
    <row r="4627" spans="1:9" hidden="1" x14ac:dyDescent="0.2">
      <c r="A4627" s="46"/>
      <c r="B4627" s="46"/>
      <c r="C4627" s="46"/>
      <c r="D4627" s="48"/>
      <c r="E4627" s="48"/>
      <c r="F4627" s="48"/>
      <c r="G4627" s="48"/>
      <c r="H4627" s="48"/>
      <c r="I4627" s="48"/>
    </row>
    <row r="4628" spans="1:9" hidden="1" x14ac:dyDescent="0.2">
      <c r="A4628" s="46"/>
      <c r="B4628" s="46"/>
      <c r="C4628" s="46"/>
      <c r="D4628" s="48"/>
      <c r="E4628" s="48"/>
      <c r="F4628" s="48"/>
      <c r="G4628" s="48"/>
      <c r="H4628" s="48"/>
      <c r="I4628" s="48"/>
    </row>
    <row r="4629" spans="1:9" hidden="1" x14ac:dyDescent="0.2">
      <c r="A4629" s="46"/>
      <c r="B4629" s="46"/>
      <c r="C4629" s="46"/>
      <c r="D4629" s="48"/>
      <c r="E4629" s="48"/>
      <c r="F4629" s="48"/>
      <c r="G4629" s="48"/>
      <c r="H4629" s="48"/>
      <c r="I4629" s="48"/>
    </row>
    <row r="4630" spans="1:9" hidden="1" x14ac:dyDescent="0.2">
      <c r="A4630" s="46"/>
      <c r="B4630" s="46"/>
      <c r="C4630" s="46"/>
      <c r="D4630" s="48"/>
      <c r="E4630" s="48"/>
      <c r="F4630" s="48"/>
      <c r="G4630" s="48"/>
      <c r="H4630" s="48"/>
      <c r="I4630" s="48"/>
    </row>
    <row r="4631" spans="1:9" hidden="1" x14ac:dyDescent="0.2">
      <c r="A4631" s="46"/>
      <c r="B4631" s="46"/>
      <c r="C4631" s="46"/>
      <c r="D4631" s="48"/>
      <c r="E4631" s="48"/>
      <c r="F4631" s="48"/>
      <c r="G4631" s="48"/>
      <c r="H4631" s="48"/>
      <c r="I4631" s="48"/>
    </row>
    <row r="4632" spans="1:9" hidden="1" x14ac:dyDescent="0.2">
      <c r="A4632" s="46"/>
      <c r="B4632" s="46"/>
      <c r="C4632" s="46"/>
      <c r="D4632" s="48"/>
      <c r="E4632" s="48"/>
      <c r="F4632" s="48"/>
      <c r="G4632" s="48"/>
      <c r="H4632" s="48"/>
      <c r="I4632" s="48"/>
    </row>
    <row r="4633" spans="1:9" hidden="1" x14ac:dyDescent="0.2">
      <c r="A4633" s="46"/>
      <c r="B4633" s="46"/>
      <c r="C4633" s="46"/>
      <c r="D4633" s="48"/>
      <c r="E4633" s="48"/>
      <c r="F4633" s="48"/>
      <c r="G4633" s="48"/>
      <c r="H4633" s="48"/>
      <c r="I4633" s="48"/>
    </row>
    <row r="4634" spans="1:9" hidden="1" x14ac:dyDescent="0.2">
      <c r="A4634" s="46"/>
      <c r="B4634" s="46"/>
      <c r="C4634" s="46"/>
      <c r="D4634" s="48"/>
      <c r="E4634" s="48"/>
      <c r="F4634" s="48"/>
      <c r="G4634" s="48"/>
      <c r="H4634" s="48"/>
      <c r="I4634" s="48"/>
    </row>
    <row r="4635" spans="1:9" hidden="1" x14ac:dyDescent="0.2">
      <c r="A4635" s="46"/>
      <c r="B4635" s="46"/>
      <c r="C4635" s="46"/>
      <c r="D4635" s="48"/>
      <c r="E4635" s="48"/>
      <c r="F4635" s="48"/>
      <c r="G4635" s="48"/>
      <c r="H4635" s="48"/>
      <c r="I4635" s="48"/>
    </row>
    <row r="4636" spans="1:9" hidden="1" x14ac:dyDescent="0.2">
      <c r="A4636" s="46"/>
      <c r="B4636" s="46"/>
      <c r="C4636" s="46"/>
      <c r="D4636" s="48"/>
      <c r="E4636" s="48"/>
      <c r="F4636" s="48"/>
      <c r="G4636" s="48"/>
      <c r="H4636" s="48"/>
      <c r="I4636" s="48"/>
    </row>
    <row r="4637" spans="1:9" hidden="1" x14ac:dyDescent="0.2">
      <c r="A4637" s="46"/>
      <c r="B4637" s="46"/>
      <c r="C4637" s="46"/>
      <c r="D4637" s="48"/>
      <c r="E4637" s="48"/>
      <c r="F4637" s="48"/>
      <c r="G4637" s="48"/>
      <c r="H4637" s="48"/>
      <c r="I4637" s="48"/>
    </row>
    <row r="4638" spans="1:9" hidden="1" x14ac:dyDescent="0.2">
      <c r="A4638" s="46"/>
      <c r="B4638" s="46"/>
      <c r="C4638" s="46"/>
      <c r="D4638" s="48"/>
      <c r="E4638" s="48"/>
      <c r="F4638" s="48"/>
      <c r="G4638" s="48"/>
      <c r="H4638" s="48"/>
      <c r="I4638" s="48"/>
    </row>
    <row r="4639" spans="1:9" hidden="1" x14ac:dyDescent="0.2">
      <c r="A4639" s="46"/>
      <c r="B4639" s="46"/>
      <c r="C4639" s="46"/>
      <c r="D4639" s="48"/>
      <c r="E4639" s="48"/>
      <c r="F4639" s="48"/>
      <c r="G4639" s="48"/>
      <c r="H4639" s="48"/>
      <c r="I4639" s="48"/>
    </row>
    <row r="4640" spans="1:9" hidden="1" x14ac:dyDescent="0.2">
      <c r="A4640" s="46"/>
      <c r="B4640" s="46"/>
      <c r="C4640" s="46"/>
      <c r="D4640" s="48"/>
      <c r="E4640" s="48"/>
      <c r="F4640" s="48"/>
      <c r="G4640" s="48"/>
      <c r="H4640" s="48"/>
      <c r="I4640" s="48"/>
    </row>
    <row r="4641" spans="1:9" hidden="1" x14ac:dyDescent="0.2">
      <c r="A4641" s="46"/>
      <c r="B4641" s="46"/>
      <c r="C4641" s="46"/>
      <c r="D4641" s="48"/>
      <c r="E4641" s="48"/>
      <c r="F4641" s="48"/>
      <c r="G4641" s="48"/>
      <c r="H4641" s="48"/>
      <c r="I4641" s="48"/>
    </row>
    <row r="4642" spans="1:9" hidden="1" x14ac:dyDescent="0.2">
      <c r="A4642" s="46"/>
      <c r="B4642" s="46"/>
      <c r="C4642" s="46"/>
      <c r="D4642" s="48"/>
      <c r="E4642" s="48"/>
      <c r="F4642" s="48"/>
      <c r="G4642" s="48"/>
      <c r="H4642" s="48"/>
      <c r="I4642" s="48"/>
    </row>
    <row r="4643" spans="1:9" hidden="1" x14ac:dyDescent="0.2">
      <c r="A4643" s="46"/>
      <c r="B4643" s="46"/>
      <c r="C4643" s="46"/>
      <c r="D4643" s="48"/>
      <c r="E4643" s="48"/>
      <c r="F4643" s="48"/>
      <c r="G4643" s="48"/>
      <c r="H4643" s="48"/>
      <c r="I4643" s="48"/>
    </row>
    <row r="4644" spans="1:9" hidden="1" x14ac:dyDescent="0.2">
      <c r="A4644" s="46"/>
      <c r="B4644" s="46"/>
      <c r="C4644" s="46"/>
      <c r="D4644" s="48"/>
      <c r="E4644" s="48"/>
      <c r="F4644" s="48"/>
      <c r="G4644" s="48"/>
      <c r="H4644" s="48"/>
      <c r="I4644" s="48"/>
    </row>
    <row r="4645" spans="1:9" hidden="1" x14ac:dyDescent="0.2">
      <c r="A4645" s="46"/>
      <c r="B4645" s="46"/>
      <c r="C4645" s="46"/>
      <c r="D4645" s="48"/>
      <c r="E4645" s="48"/>
      <c r="F4645" s="48"/>
      <c r="G4645" s="48"/>
      <c r="H4645" s="48"/>
      <c r="I4645" s="48"/>
    </row>
    <row r="4646" spans="1:9" hidden="1" x14ac:dyDescent="0.2">
      <c r="A4646" s="46"/>
      <c r="B4646" s="46"/>
      <c r="C4646" s="46"/>
      <c r="D4646" s="48"/>
      <c r="E4646" s="48"/>
      <c r="F4646" s="48"/>
      <c r="G4646" s="48"/>
      <c r="H4646" s="48"/>
      <c r="I4646" s="48"/>
    </row>
    <row r="4647" spans="1:9" hidden="1" x14ac:dyDescent="0.2">
      <c r="A4647" s="46"/>
      <c r="B4647" s="46"/>
      <c r="C4647" s="46"/>
      <c r="D4647" s="48"/>
      <c r="E4647" s="48"/>
      <c r="F4647" s="48"/>
      <c r="G4647" s="48"/>
      <c r="H4647" s="48"/>
      <c r="I4647" s="48"/>
    </row>
    <row r="4648" spans="1:9" hidden="1" x14ac:dyDescent="0.2">
      <c r="A4648" s="46"/>
      <c r="B4648" s="46"/>
      <c r="C4648" s="46"/>
      <c r="D4648" s="48"/>
      <c r="E4648" s="48"/>
      <c r="F4648" s="48"/>
      <c r="G4648" s="48"/>
      <c r="H4648" s="48"/>
      <c r="I4648" s="48"/>
    </row>
    <row r="4649" spans="1:9" hidden="1" x14ac:dyDescent="0.2">
      <c r="A4649" s="46"/>
      <c r="B4649" s="46"/>
      <c r="C4649" s="46"/>
      <c r="D4649" s="48"/>
      <c r="E4649" s="48"/>
      <c r="F4649" s="48"/>
      <c r="G4649" s="48"/>
      <c r="H4649" s="48"/>
      <c r="I4649" s="48"/>
    </row>
    <row r="4650" spans="1:9" hidden="1" x14ac:dyDescent="0.2">
      <c r="A4650" s="46"/>
      <c r="B4650" s="46"/>
      <c r="C4650" s="46"/>
      <c r="D4650" s="48"/>
      <c r="E4650" s="48"/>
      <c r="F4650" s="48"/>
      <c r="G4650" s="48"/>
      <c r="H4650" s="48"/>
      <c r="I4650" s="48"/>
    </row>
    <row r="4651" spans="1:9" hidden="1" x14ac:dyDescent="0.2">
      <c r="A4651" s="46"/>
      <c r="B4651" s="46"/>
      <c r="C4651" s="46"/>
      <c r="D4651" s="48"/>
      <c r="E4651" s="48"/>
      <c r="F4651" s="48"/>
      <c r="G4651" s="48"/>
      <c r="H4651" s="48"/>
      <c r="I4651" s="48"/>
    </row>
    <row r="4652" spans="1:9" hidden="1" x14ac:dyDescent="0.2">
      <c r="A4652" s="46"/>
      <c r="B4652" s="46"/>
      <c r="C4652" s="46"/>
      <c r="D4652" s="48"/>
      <c r="E4652" s="48"/>
      <c r="F4652" s="48"/>
      <c r="G4652" s="48"/>
      <c r="H4652" s="48"/>
      <c r="I4652" s="48"/>
    </row>
    <row r="4653" spans="1:9" hidden="1" x14ac:dyDescent="0.2">
      <c r="A4653" s="46"/>
      <c r="B4653" s="46"/>
      <c r="C4653" s="46"/>
      <c r="D4653" s="48"/>
      <c r="E4653" s="48"/>
      <c r="F4653" s="48"/>
      <c r="G4653" s="48"/>
      <c r="H4653" s="48"/>
      <c r="I4653" s="48"/>
    </row>
    <row r="4654" spans="1:9" hidden="1" x14ac:dyDescent="0.2">
      <c r="A4654" s="46"/>
      <c r="B4654" s="46"/>
      <c r="C4654" s="46"/>
      <c r="D4654" s="48"/>
      <c r="E4654" s="48"/>
      <c r="F4654" s="48"/>
      <c r="G4654" s="48"/>
      <c r="H4654" s="48"/>
      <c r="I4654" s="48"/>
    </row>
    <row r="4655" spans="1:9" hidden="1" x14ac:dyDescent="0.2">
      <c r="A4655" s="46"/>
      <c r="B4655" s="46"/>
      <c r="C4655" s="46"/>
      <c r="D4655" s="48"/>
      <c r="E4655" s="48"/>
      <c r="F4655" s="48"/>
      <c r="G4655" s="48"/>
      <c r="H4655" s="48"/>
      <c r="I4655" s="48"/>
    </row>
    <row r="4656" spans="1:9" hidden="1" x14ac:dyDescent="0.2">
      <c r="A4656" s="46"/>
      <c r="B4656" s="46"/>
      <c r="C4656" s="46"/>
      <c r="D4656" s="48"/>
      <c r="E4656" s="48"/>
      <c r="F4656" s="48"/>
      <c r="G4656" s="48"/>
      <c r="H4656" s="48"/>
      <c r="I4656" s="48"/>
    </row>
    <row r="4657" spans="1:9" hidden="1" x14ac:dyDescent="0.2">
      <c r="A4657" s="46"/>
      <c r="B4657" s="46"/>
      <c r="C4657" s="46"/>
      <c r="D4657" s="48"/>
      <c r="E4657" s="48"/>
      <c r="F4657" s="48"/>
      <c r="G4657" s="48"/>
      <c r="H4657" s="48"/>
      <c r="I4657" s="48"/>
    </row>
    <row r="4658" spans="1:9" hidden="1" x14ac:dyDescent="0.2">
      <c r="A4658" s="46"/>
      <c r="B4658" s="46"/>
      <c r="C4658" s="46"/>
      <c r="D4658" s="48"/>
      <c r="E4658" s="48"/>
      <c r="F4658" s="48"/>
      <c r="G4658" s="48"/>
      <c r="H4658" s="48"/>
      <c r="I4658" s="48"/>
    </row>
    <row r="4659" spans="1:9" hidden="1" x14ac:dyDescent="0.2">
      <c r="A4659" s="46"/>
      <c r="B4659" s="46"/>
      <c r="C4659" s="46"/>
      <c r="D4659" s="48"/>
      <c r="E4659" s="48"/>
      <c r="F4659" s="48"/>
      <c r="G4659" s="48"/>
      <c r="H4659" s="48"/>
      <c r="I4659" s="48"/>
    </row>
    <row r="4660" spans="1:9" hidden="1" x14ac:dyDescent="0.2">
      <c r="A4660" s="46"/>
      <c r="B4660" s="46"/>
      <c r="C4660" s="46"/>
      <c r="D4660" s="48"/>
      <c r="E4660" s="48"/>
      <c r="F4660" s="48"/>
      <c r="G4660" s="48"/>
      <c r="H4660" s="48"/>
      <c r="I4660" s="48"/>
    </row>
    <row r="4661" spans="1:9" hidden="1" x14ac:dyDescent="0.2">
      <c r="A4661" s="46"/>
      <c r="B4661" s="46"/>
      <c r="C4661" s="46"/>
      <c r="D4661" s="48"/>
      <c r="E4661" s="48"/>
      <c r="F4661" s="48"/>
      <c r="G4661" s="48"/>
      <c r="H4661" s="48"/>
      <c r="I4661" s="48"/>
    </row>
    <row r="4662" spans="1:9" hidden="1" x14ac:dyDescent="0.2">
      <c r="A4662" s="46"/>
      <c r="B4662" s="46"/>
      <c r="C4662" s="46"/>
      <c r="D4662" s="48"/>
      <c r="E4662" s="48"/>
      <c r="F4662" s="48"/>
      <c r="G4662" s="48"/>
      <c r="H4662" s="48"/>
      <c r="I4662" s="48"/>
    </row>
    <row r="4663" spans="1:9" hidden="1" x14ac:dyDescent="0.2">
      <c r="A4663" s="46"/>
      <c r="B4663" s="46"/>
      <c r="C4663" s="46"/>
      <c r="D4663" s="48"/>
      <c r="E4663" s="48"/>
      <c r="F4663" s="48"/>
      <c r="G4663" s="48"/>
      <c r="H4663" s="48"/>
      <c r="I4663" s="48"/>
    </row>
    <row r="4664" spans="1:9" hidden="1" x14ac:dyDescent="0.2">
      <c r="A4664" s="46"/>
      <c r="B4664" s="46"/>
      <c r="C4664" s="46"/>
      <c r="D4664" s="48"/>
      <c r="E4664" s="48"/>
      <c r="F4664" s="48"/>
      <c r="G4664" s="48"/>
      <c r="H4664" s="48"/>
      <c r="I4664" s="48"/>
    </row>
    <row r="4665" spans="1:9" hidden="1" x14ac:dyDescent="0.2">
      <c r="A4665" s="46"/>
      <c r="B4665" s="46"/>
      <c r="C4665" s="46"/>
      <c r="D4665" s="48"/>
      <c r="E4665" s="48"/>
      <c r="F4665" s="48"/>
      <c r="G4665" s="48"/>
      <c r="H4665" s="48"/>
      <c r="I4665" s="48"/>
    </row>
    <row r="4666" spans="1:9" hidden="1" x14ac:dyDescent="0.2">
      <c r="A4666" s="46"/>
      <c r="B4666" s="46"/>
      <c r="C4666" s="46"/>
      <c r="D4666" s="48"/>
      <c r="E4666" s="48"/>
      <c r="F4666" s="48"/>
      <c r="G4666" s="48"/>
      <c r="H4666" s="48"/>
      <c r="I4666" s="48"/>
    </row>
    <row r="4667" spans="1:9" hidden="1" x14ac:dyDescent="0.2">
      <c r="A4667" s="46"/>
      <c r="B4667" s="46"/>
      <c r="C4667" s="46"/>
      <c r="D4667" s="48"/>
      <c r="E4667" s="48"/>
      <c r="F4667" s="48"/>
      <c r="G4667" s="48"/>
      <c r="H4667" s="48"/>
      <c r="I4667" s="48"/>
    </row>
    <row r="4668" spans="1:9" hidden="1" x14ac:dyDescent="0.2">
      <c r="A4668" s="46"/>
      <c r="B4668" s="46"/>
      <c r="C4668" s="46"/>
      <c r="D4668" s="48"/>
      <c r="E4668" s="48"/>
      <c r="F4668" s="48"/>
      <c r="G4668" s="48"/>
      <c r="H4668" s="48"/>
      <c r="I4668" s="48"/>
    </row>
    <row r="4669" spans="1:9" hidden="1" x14ac:dyDescent="0.2">
      <c r="A4669" s="46"/>
      <c r="B4669" s="46"/>
      <c r="C4669" s="46"/>
      <c r="D4669" s="48"/>
      <c r="E4669" s="48"/>
      <c r="F4669" s="48"/>
      <c r="G4669" s="48"/>
      <c r="H4669" s="48"/>
      <c r="I4669" s="48"/>
    </row>
    <row r="4670" spans="1:9" hidden="1" x14ac:dyDescent="0.2">
      <c r="A4670" s="46"/>
      <c r="B4670" s="46"/>
      <c r="C4670" s="46"/>
      <c r="D4670" s="48"/>
      <c r="E4670" s="48"/>
      <c r="F4670" s="48"/>
      <c r="G4670" s="48"/>
      <c r="H4670" s="48"/>
      <c r="I4670" s="48"/>
    </row>
    <row r="4671" spans="1:9" hidden="1" x14ac:dyDescent="0.2">
      <c r="A4671" s="46"/>
      <c r="B4671" s="46"/>
      <c r="C4671" s="46"/>
      <c r="D4671" s="48"/>
      <c r="E4671" s="48"/>
      <c r="F4671" s="48"/>
      <c r="G4671" s="48"/>
      <c r="H4671" s="48"/>
      <c r="I4671" s="48"/>
    </row>
    <row r="4672" spans="1:9" hidden="1" x14ac:dyDescent="0.2">
      <c r="A4672" s="46"/>
      <c r="B4672" s="46"/>
      <c r="C4672" s="46"/>
      <c r="D4672" s="48"/>
      <c r="E4672" s="48"/>
      <c r="F4672" s="48"/>
      <c r="G4672" s="48"/>
      <c r="H4672" s="48"/>
      <c r="I4672" s="48"/>
    </row>
    <row r="4673" spans="1:9" hidden="1" x14ac:dyDescent="0.2">
      <c r="A4673" s="46"/>
      <c r="B4673" s="46"/>
      <c r="C4673" s="46"/>
      <c r="D4673" s="48"/>
      <c r="E4673" s="48"/>
      <c r="F4673" s="48"/>
      <c r="G4673" s="48"/>
      <c r="H4673" s="48"/>
      <c r="I4673" s="48"/>
    </row>
    <row r="4674" spans="1:9" hidden="1" x14ac:dyDescent="0.2">
      <c r="A4674" s="46"/>
      <c r="B4674" s="46"/>
      <c r="C4674" s="46"/>
      <c r="D4674" s="48"/>
      <c r="E4674" s="48"/>
      <c r="F4674" s="48"/>
      <c r="G4674" s="48"/>
      <c r="H4674" s="48"/>
      <c r="I4674" s="48"/>
    </row>
    <row r="4675" spans="1:9" hidden="1" x14ac:dyDescent="0.2">
      <c r="A4675" s="46"/>
      <c r="B4675" s="46"/>
      <c r="C4675" s="46"/>
      <c r="D4675" s="48"/>
      <c r="E4675" s="48"/>
      <c r="F4675" s="48"/>
      <c r="G4675" s="48"/>
      <c r="H4675" s="48"/>
      <c r="I4675" s="48"/>
    </row>
    <row r="4676" spans="1:9" hidden="1" x14ac:dyDescent="0.2">
      <c r="A4676" s="46"/>
      <c r="B4676" s="46"/>
      <c r="C4676" s="46"/>
      <c r="D4676" s="48"/>
      <c r="E4676" s="48"/>
      <c r="F4676" s="48"/>
      <c r="G4676" s="48"/>
      <c r="H4676" s="48"/>
      <c r="I4676" s="48"/>
    </row>
    <row r="4677" spans="1:9" hidden="1" x14ac:dyDescent="0.2">
      <c r="A4677" s="46"/>
      <c r="B4677" s="46"/>
      <c r="C4677" s="46"/>
      <c r="D4677" s="48"/>
      <c r="E4677" s="48"/>
      <c r="F4677" s="48"/>
      <c r="G4677" s="48"/>
      <c r="H4677" s="48"/>
      <c r="I4677" s="48"/>
    </row>
    <row r="4678" spans="1:9" hidden="1" x14ac:dyDescent="0.2">
      <c r="A4678" s="46"/>
      <c r="B4678" s="46"/>
      <c r="C4678" s="46"/>
      <c r="D4678" s="48"/>
      <c r="E4678" s="48"/>
      <c r="F4678" s="48"/>
      <c r="G4678" s="48"/>
      <c r="H4678" s="48"/>
      <c r="I4678" s="48"/>
    </row>
    <row r="4679" spans="1:9" hidden="1" x14ac:dyDescent="0.2">
      <c r="A4679" s="46"/>
      <c r="B4679" s="46"/>
      <c r="C4679" s="46"/>
      <c r="D4679" s="48"/>
      <c r="E4679" s="48"/>
      <c r="F4679" s="48"/>
      <c r="G4679" s="48"/>
      <c r="H4679" s="48"/>
      <c r="I4679" s="48"/>
    </row>
    <row r="4680" spans="1:9" hidden="1" x14ac:dyDescent="0.2">
      <c r="A4680" s="46"/>
      <c r="B4680" s="46"/>
      <c r="C4680" s="46"/>
      <c r="D4680" s="48"/>
      <c r="E4680" s="48"/>
      <c r="F4680" s="48"/>
      <c r="G4680" s="48"/>
      <c r="H4680" s="48"/>
      <c r="I4680" s="48"/>
    </row>
    <row r="4681" spans="1:9" hidden="1" x14ac:dyDescent="0.2">
      <c r="A4681" s="46"/>
      <c r="B4681" s="46"/>
      <c r="C4681" s="46"/>
      <c r="D4681" s="48"/>
      <c r="E4681" s="48"/>
      <c r="F4681" s="48"/>
      <c r="G4681" s="48"/>
      <c r="H4681" s="48"/>
      <c r="I4681" s="48"/>
    </row>
    <row r="4682" spans="1:9" hidden="1" x14ac:dyDescent="0.2">
      <c r="A4682" s="46"/>
      <c r="B4682" s="46"/>
      <c r="C4682" s="46"/>
      <c r="D4682" s="48"/>
      <c r="E4682" s="48"/>
      <c r="F4682" s="48"/>
      <c r="G4682" s="48"/>
      <c r="H4682" s="48"/>
      <c r="I4682" s="48"/>
    </row>
    <row r="4683" spans="1:9" hidden="1" x14ac:dyDescent="0.2">
      <c r="A4683" s="46"/>
      <c r="B4683" s="46"/>
      <c r="C4683" s="46"/>
      <c r="D4683" s="48"/>
      <c r="E4683" s="48"/>
      <c r="F4683" s="48"/>
      <c r="G4683" s="48"/>
      <c r="H4683" s="48"/>
      <c r="I4683" s="48"/>
    </row>
    <row r="4684" spans="1:9" hidden="1" x14ac:dyDescent="0.2">
      <c r="A4684" s="46"/>
      <c r="B4684" s="46"/>
      <c r="C4684" s="46"/>
      <c r="D4684" s="48"/>
      <c r="E4684" s="48"/>
      <c r="F4684" s="48"/>
      <c r="G4684" s="48"/>
      <c r="H4684" s="48"/>
      <c r="I4684" s="48"/>
    </row>
    <row r="4685" spans="1:9" hidden="1" x14ac:dyDescent="0.2">
      <c r="A4685" s="46"/>
      <c r="B4685" s="46"/>
      <c r="C4685" s="46"/>
      <c r="D4685" s="48"/>
      <c r="E4685" s="48"/>
      <c r="F4685" s="48"/>
      <c r="G4685" s="48"/>
      <c r="H4685" s="48"/>
      <c r="I4685" s="48"/>
    </row>
    <row r="4686" spans="1:9" hidden="1" x14ac:dyDescent="0.2">
      <c r="A4686" s="46"/>
      <c r="B4686" s="46"/>
      <c r="C4686" s="46"/>
      <c r="D4686" s="48"/>
      <c r="E4686" s="48"/>
      <c r="F4686" s="48"/>
      <c r="G4686" s="48"/>
      <c r="H4686" s="48"/>
      <c r="I4686" s="48"/>
    </row>
    <row r="4687" spans="1:9" hidden="1" x14ac:dyDescent="0.2">
      <c r="A4687" s="46"/>
      <c r="B4687" s="46"/>
      <c r="C4687" s="46"/>
      <c r="D4687" s="48"/>
      <c r="E4687" s="48"/>
      <c r="F4687" s="48"/>
      <c r="G4687" s="48"/>
      <c r="H4687" s="48"/>
      <c r="I4687" s="48"/>
    </row>
    <row r="4688" spans="1:9" hidden="1" x14ac:dyDescent="0.2">
      <c r="A4688" s="46"/>
      <c r="B4688" s="46"/>
      <c r="C4688" s="46"/>
      <c r="D4688" s="48"/>
      <c r="E4688" s="48"/>
      <c r="F4688" s="48"/>
      <c r="G4688" s="48"/>
      <c r="H4688" s="48"/>
      <c r="I4688" s="48"/>
    </row>
    <row r="4689" spans="1:9" hidden="1" x14ac:dyDescent="0.2">
      <c r="A4689" s="46"/>
      <c r="B4689" s="46"/>
      <c r="C4689" s="46"/>
      <c r="D4689" s="48"/>
      <c r="E4689" s="48"/>
      <c r="F4689" s="48"/>
      <c r="G4689" s="48"/>
      <c r="H4689" s="48"/>
      <c r="I4689" s="48"/>
    </row>
    <row r="4690" spans="1:9" hidden="1" x14ac:dyDescent="0.2">
      <c r="A4690" s="46"/>
      <c r="B4690" s="46"/>
      <c r="C4690" s="46"/>
      <c r="D4690" s="48"/>
      <c r="E4690" s="48"/>
      <c r="F4690" s="48"/>
      <c r="G4690" s="48"/>
      <c r="H4690" s="48"/>
      <c r="I4690" s="48"/>
    </row>
    <row r="4691" spans="1:9" hidden="1" x14ac:dyDescent="0.2">
      <c r="A4691" s="46"/>
      <c r="B4691" s="46"/>
      <c r="C4691" s="46"/>
      <c r="D4691" s="48"/>
      <c r="E4691" s="48"/>
      <c r="F4691" s="48"/>
      <c r="G4691" s="48"/>
      <c r="H4691" s="48"/>
      <c r="I4691" s="48"/>
    </row>
    <row r="4692" spans="1:9" hidden="1" x14ac:dyDescent="0.2">
      <c r="A4692" s="46"/>
      <c r="B4692" s="46"/>
      <c r="C4692" s="46"/>
      <c r="D4692" s="48"/>
      <c r="E4692" s="48"/>
      <c r="F4692" s="48"/>
      <c r="G4692" s="48"/>
      <c r="H4692" s="48"/>
      <c r="I4692" s="48"/>
    </row>
    <row r="4693" spans="1:9" hidden="1" x14ac:dyDescent="0.2">
      <c r="A4693" s="46"/>
      <c r="B4693" s="46"/>
      <c r="C4693" s="46"/>
      <c r="D4693" s="48"/>
      <c r="E4693" s="48"/>
      <c r="F4693" s="48"/>
      <c r="G4693" s="48"/>
      <c r="H4693" s="48"/>
      <c r="I4693" s="48"/>
    </row>
    <row r="4694" spans="1:9" hidden="1" x14ac:dyDescent="0.2">
      <c r="A4694" s="46"/>
      <c r="B4694" s="46"/>
      <c r="C4694" s="46"/>
      <c r="D4694" s="48"/>
      <c r="E4694" s="48"/>
      <c r="F4694" s="48"/>
      <c r="G4694" s="48"/>
      <c r="H4694" s="48"/>
      <c r="I4694" s="48"/>
    </row>
    <row r="4695" spans="1:9" hidden="1" x14ac:dyDescent="0.2">
      <c r="A4695" s="46"/>
      <c r="B4695" s="46"/>
      <c r="C4695" s="46"/>
      <c r="D4695" s="48"/>
      <c r="E4695" s="48"/>
      <c r="F4695" s="48"/>
      <c r="G4695" s="48"/>
      <c r="H4695" s="48"/>
      <c r="I4695" s="48"/>
    </row>
    <row r="4696" spans="1:9" hidden="1" x14ac:dyDescent="0.2">
      <c r="A4696" s="46"/>
      <c r="B4696" s="46"/>
      <c r="C4696" s="46"/>
      <c r="D4696" s="48"/>
      <c r="E4696" s="48"/>
      <c r="F4696" s="48"/>
      <c r="G4696" s="48"/>
      <c r="H4696" s="48"/>
      <c r="I4696" s="48"/>
    </row>
    <row r="4697" spans="1:9" hidden="1" x14ac:dyDescent="0.2">
      <c r="A4697" s="46"/>
      <c r="B4697" s="46"/>
      <c r="C4697" s="46"/>
      <c r="D4697" s="48"/>
      <c r="E4697" s="48"/>
      <c r="F4697" s="48"/>
      <c r="G4697" s="48"/>
      <c r="H4697" s="48"/>
      <c r="I4697" s="48"/>
    </row>
    <row r="4698" spans="1:9" hidden="1" x14ac:dyDescent="0.2">
      <c r="A4698" s="46"/>
      <c r="B4698" s="46"/>
      <c r="C4698" s="46"/>
      <c r="D4698" s="48"/>
      <c r="E4698" s="48"/>
      <c r="F4698" s="48"/>
      <c r="G4698" s="48"/>
      <c r="H4698" s="48"/>
      <c r="I4698" s="48"/>
    </row>
    <row r="4699" spans="1:9" hidden="1" x14ac:dyDescent="0.2">
      <c r="A4699" s="46"/>
      <c r="B4699" s="46"/>
      <c r="C4699" s="46"/>
      <c r="D4699" s="48"/>
      <c r="E4699" s="48"/>
      <c r="F4699" s="48"/>
      <c r="G4699" s="48"/>
      <c r="H4699" s="48"/>
      <c r="I4699" s="48"/>
    </row>
    <row r="4700" spans="1:9" hidden="1" x14ac:dyDescent="0.2">
      <c r="A4700" s="46"/>
      <c r="B4700" s="46"/>
      <c r="C4700" s="46"/>
      <c r="D4700" s="48"/>
      <c r="E4700" s="48"/>
      <c r="F4700" s="48"/>
      <c r="G4700" s="48"/>
      <c r="H4700" s="48"/>
      <c r="I4700" s="48"/>
    </row>
    <row r="4701" spans="1:9" hidden="1" x14ac:dyDescent="0.2">
      <c r="A4701" s="46"/>
      <c r="B4701" s="46"/>
      <c r="C4701" s="46"/>
      <c r="D4701" s="48"/>
      <c r="E4701" s="48"/>
      <c r="F4701" s="48"/>
      <c r="G4701" s="48"/>
      <c r="H4701" s="48"/>
      <c r="I4701" s="48"/>
    </row>
    <row r="4702" spans="1:9" hidden="1" x14ac:dyDescent="0.2">
      <c r="A4702" s="46"/>
      <c r="B4702" s="46"/>
      <c r="C4702" s="46"/>
      <c r="D4702" s="48"/>
      <c r="E4702" s="48"/>
      <c r="F4702" s="48"/>
      <c r="G4702" s="48"/>
      <c r="H4702" s="48"/>
      <c r="I4702" s="48"/>
    </row>
    <row r="4703" spans="1:9" hidden="1" x14ac:dyDescent="0.2">
      <c r="A4703" s="46"/>
      <c r="B4703" s="46"/>
      <c r="C4703" s="46"/>
      <c r="D4703" s="48"/>
      <c r="E4703" s="48"/>
      <c r="F4703" s="48"/>
      <c r="G4703" s="48"/>
      <c r="H4703" s="48"/>
      <c r="I4703" s="48"/>
    </row>
    <row r="4704" spans="1:9" hidden="1" x14ac:dyDescent="0.2">
      <c r="A4704" s="46"/>
      <c r="B4704" s="46"/>
      <c r="C4704" s="46"/>
      <c r="D4704" s="48"/>
      <c r="E4704" s="48"/>
      <c r="F4704" s="48"/>
      <c r="G4704" s="48"/>
      <c r="H4704" s="48"/>
      <c r="I4704" s="48"/>
    </row>
    <row r="4705" spans="1:9" hidden="1" x14ac:dyDescent="0.2">
      <c r="A4705" s="46"/>
      <c r="B4705" s="46"/>
      <c r="C4705" s="46"/>
      <c r="D4705" s="48"/>
      <c r="E4705" s="48"/>
      <c r="F4705" s="48"/>
      <c r="G4705" s="48"/>
      <c r="H4705" s="48"/>
      <c r="I4705" s="48"/>
    </row>
    <row r="4706" spans="1:9" hidden="1" x14ac:dyDescent="0.2">
      <c r="A4706" s="46"/>
      <c r="B4706" s="46"/>
      <c r="C4706" s="46"/>
      <c r="D4706" s="48"/>
      <c r="E4706" s="48"/>
      <c r="F4706" s="48"/>
      <c r="G4706" s="48"/>
      <c r="H4706" s="48"/>
      <c r="I4706" s="48"/>
    </row>
    <row r="4707" spans="1:9" hidden="1" x14ac:dyDescent="0.2">
      <c r="A4707" s="46"/>
      <c r="B4707" s="46"/>
      <c r="C4707" s="46"/>
      <c r="D4707" s="48"/>
      <c r="E4707" s="48"/>
      <c r="F4707" s="48"/>
      <c r="G4707" s="48"/>
      <c r="H4707" s="48"/>
      <c r="I4707" s="48"/>
    </row>
    <row r="4708" spans="1:9" hidden="1" x14ac:dyDescent="0.2">
      <c r="A4708" s="46"/>
      <c r="B4708" s="46"/>
      <c r="C4708" s="46"/>
      <c r="D4708" s="48"/>
      <c r="E4708" s="48"/>
      <c r="F4708" s="48"/>
      <c r="G4708" s="48"/>
      <c r="H4708" s="48"/>
      <c r="I4708" s="48"/>
    </row>
    <row r="4709" spans="1:9" hidden="1" x14ac:dyDescent="0.2">
      <c r="A4709" s="46"/>
      <c r="B4709" s="46"/>
      <c r="C4709" s="46"/>
      <c r="D4709" s="48"/>
      <c r="E4709" s="48"/>
      <c r="F4709" s="48"/>
      <c r="G4709" s="48"/>
      <c r="H4709" s="48"/>
      <c r="I4709" s="48"/>
    </row>
    <row r="4710" spans="1:9" hidden="1" x14ac:dyDescent="0.2">
      <c r="A4710" s="46"/>
      <c r="B4710" s="46"/>
      <c r="C4710" s="46"/>
      <c r="D4710" s="48"/>
      <c r="E4710" s="48"/>
      <c r="F4710" s="48"/>
      <c r="G4710" s="48"/>
      <c r="H4710" s="48"/>
      <c r="I4710" s="48"/>
    </row>
    <row r="4711" spans="1:9" hidden="1" x14ac:dyDescent="0.2">
      <c r="A4711" s="46"/>
      <c r="B4711" s="46"/>
      <c r="C4711" s="46"/>
      <c r="D4711" s="48"/>
      <c r="E4711" s="48"/>
      <c r="F4711" s="48"/>
      <c r="G4711" s="48"/>
      <c r="H4711" s="48"/>
      <c r="I4711" s="48"/>
    </row>
    <row r="4712" spans="1:9" hidden="1" x14ac:dyDescent="0.2">
      <c r="A4712" s="46"/>
      <c r="B4712" s="46"/>
      <c r="C4712" s="46"/>
      <c r="D4712" s="48"/>
      <c r="E4712" s="48"/>
      <c r="F4712" s="48"/>
      <c r="G4712" s="48"/>
      <c r="H4712" s="48"/>
      <c r="I4712" s="48"/>
    </row>
    <row r="4713" spans="1:9" hidden="1" x14ac:dyDescent="0.2">
      <c r="A4713" s="46"/>
      <c r="B4713" s="46"/>
      <c r="C4713" s="46"/>
      <c r="D4713" s="48"/>
      <c r="E4713" s="48"/>
      <c r="F4713" s="48"/>
      <c r="G4713" s="48"/>
      <c r="H4713" s="48"/>
      <c r="I4713" s="48"/>
    </row>
    <row r="4714" spans="1:9" hidden="1" x14ac:dyDescent="0.2">
      <c r="A4714" s="46"/>
      <c r="B4714" s="46"/>
      <c r="C4714" s="46"/>
      <c r="D4714" s="48"/>
      <c r="E4714" s="48"/>
      <c r="F4714" s="48"/>
      <c r="G4714" s="48"/>
      <c r="H4714" s="48"/>
      <c r="I4714" s="48"/>
    </row>
    <row r="4715" spans="1:9" hidden="1" x14ac:dyDescent="0.2">
      <c r="A4715" s="46"/>
      <c r="B4715" s="46"/>
      <c r="C4715" s="46"/>
      <c r="D4715" s="48"/>
      <c r="E4715" s="48"/>
      <c r="F4715" s="48"/>
      <c r="G4715" s="48"/>
      <c r="H4715" s="48"/>
      <c r="I4715" s="48"/>
    </row>
    <row r="4716" spans="1:9" hidden="1" x14ac:dyDescent="0.2">
      <c r="A4716" s="46"/>
      <c r="B4716" s="46"/>
      <c r="C4716" s="46"/>
      <c r="D4716" s="48"/>
      <c r="E4716" s="48"/>
      <c r="F4716" s="48"/>
      <c r="G4716" s="48"/>
      <c r="H4716" s="48"/>
      <c r="I4716" s="48"/>
    </row>
    <row r="4717" spans="1:9" hidden="1" x14ac:dyDescent="0.2">
      <c r="A4717" s="46"/>
      <c r="B4717" s="46"/>
      <c r="C4717" s="46"/>
      <c r="D4717" s="48"/>
      <c r="E4717" s="48"/>
      <c r="F4717" s="48"/>
      <c r="G4717" s="48"/>
      <c r="H4717" s="48"/>
      <c r="I4717" s="48"/>
    </row>
    <row r="4718" spans="1:9" hidden="1" x14ac:dyDescent="0.2">
      <c r="A4718" s="46"/>
      <c r="B4718" s="46"/>
      <c r="C4718" s="46"/>
      <c r="D4718" s="48"/>
      <c r="E4718" s="48"/>
      <c r="F4718" s="48"/>
      <c r="G4718" s="48"/>
      <c r="H4718" s="48"/>
      <c r="I4718" s="48"/>
    </row>
    <row r="4719" spans="1:9" hidden="1" x14ac:dyDescent="0.2">
      <c r="A4719" s="46"/>
      <c r="B4719" s="46"/>
      <c r="C4719" s="46"/>
      <c r="D4719" s="48"/>
      <c r="E4719" s="48"/>
      <c r="F4719" s="48"/>
      <c r="G4719" s="48"/>
      <c r="H4719" s="48"/>
      <c r="I4719" s="48"/>
    </row>
    <row r="4720" spans="1:9" hidden="1" x14ac:dyDescent="0.2">
      <c r="A4720" s="46"/>
      <c r="B4720" s="46"/>
      <c r="C4720" s="46"/>
      <c r="D4720" s="48"/>
      <c r="E4720" s="48"/>
      <c r="F4720" s="48"/>
      <c r="G4720" s="48"/>
      <c r="H4720" s="48"/>
      <c r="I4720" s="48"/>
    </row>
    <row r="4721" spans="1:9" hidden="1" x14ac:dyDescent="0.2">
      <c r="A4721" s="46"/>
      <c r="B4721" s="46"/>
      <c r="C4721" s="46"/>
      <c r="D4721" s="48"/>
      <c r="E4721" s="48"/>
      <c r="F4721" s="48"/>
      <c r="G4721" s="48"/>
      <c r="H4721" s="48"/>
      <c r="I4721" s="48"/>
    </row>
    <row r="4722" spans="1:9" hidden="1" x14ac:dyDescent="0.2">
      <c r="A4722" s="46"/>
      <c r="B4722" s="46"/>
      <c r="C4722" s="46"/>
      <c r="D4722" s="48"/>
      <c r="E4722" s="48"/>
      <c r="F4722" s="48"/>
      <c r="G4722" s="48"/>
      <c r="H4722" s="48"/>
      <c r="I4722" s="48"/>
    </row>
    <row r="4723" spans="1:9" hidden="1" x14ac:dyDescent="0.2">
      <c r="A4723" s="46"/>
      <c r="B4723" s="46"/>
      <c r="C4723" s="46"/>
      <c r="D4723" s="48"/>
      <c r="E4723" s="48"/>
      <c r="F4723" s="48"/>
      <c r="G4723" s="48"/>
      <c r="H4723" s="48"/>
      <c r="I4723" s="48"/>
    </row>
    <row r="4724" spans="1:9" hidden="1" x14ac:dyDescent="0.2">
      <c r="A4724" s="46"/>
      <c r="B4724" s="46"/>
      <c r="C4724" s="46"/>
      <c r="D4724" s="48"/>
      <c r="E4724" s="48"/>
      <c r="F4724" s="48"/>
      <c r="G4724" s="48"/>
      <c r="H4724" s="48"/>
      <c r="I4724" s="48"/>
    </row>
    <row r="4725" spans="1:9" hidden="1" x14ac:dyDescent="0.2">
      <c r="A4725" s="46"/>
      <c r="B4725" s="46"/>
      <c r="C4725" s="46"/>
      <c r="D4725" s="48"/>
      <c r="E4725" s="48"/>
      <c r="F4725" s="48"/>
      <c r="G4725" s="48"/>
      <c r="H4725" s="48"/>
      <c r="I4725" s="48"/>
    </row>
    <row r="4726" spans="1:9" hidden="1" x14ac:dyDescent="0.2">
      <c r="A4726" s="46"/>
      <c r="B4726" s="46"/>
      <c r="C4726" s="46"/>
      <c r="D4726" s="48"/>
      <c r="E4726" s="48"/>
      <c r="F4726" s="48"/>
      <c r="G4726" s="48"/>
      <c r="H4726" s="48"/>
      <c r="I4726" s="48"/>
    </row>
    <row r="4727" spans="1:9" hidden="1" x14ac:dyDescent="0.2">
      <c r="A4727" s="46"/>
      <c r="B4727" s="46"/>
      <c r="C4727" s="46"/>
      <c r="D4727" s="48"/>
      <c r="E4727" s="48"/>
      <c r="F4727" s="48"/>
      <c r="G4727" s="48"/>
      <c r="H4727" s="48"/>
      <c r="I4727" s="48"/>
    </row>
    <row r="4728" spans="1:9" hidden="1" x14ac:dyDescent="0.2">
      <c r="A4728" s="46"/>
      <c r="B4728" s="46"/>
      <c r="C4728" s="46"/>
      <c r="D4728" s="48"/>
      <c r="E4728" s="48"/>
      <c r="F4728" s="48"/>
      <c r="G4728" s="48"/>
      <c r="H4728" s="48"/>
      <c r="I4728" s="48"/>
    </row>
    <row r="4729" spans="1:9" hidden="1" x14ac:dyDescent="0.2">
      <c r="A4729" s="46"/>
      <c r="B4729" s="46"/>
      <c r="C4729" s="46"/>
      <c r="D4729" s="48"/>
      <c r="E4729" s="48"/>
      <c r="F4729" s="48"/>
      <c r="G4729" s="48"/>
      <c r="H4729" s="48"/>
      <c r="I4729" s="48"/>
    </row>
    <row r="4730" spans="1:9" hidden="1" x14ac:dyDescent="0.2">
      <c r="A4730" s="46"/>
      <c r="B4730" s="46"/>
      <c r="C4730" s="46"/>
      <c r="D4730" s="48"/>
      <c r="E4730" s="48"/>
      <c r="F4730" s="48"/>
      <c r="G4730" s="48"/>
      <c r="H4730" s="48"/>
      <c r="I4730" s="48"/>
    </row>
    <row r="4731" spans="1:9" hidden="1" x14ac:dyDescent="0.2">
      <c r="A4731" s="46"/>
      <c r="B4731" s="46"/>
      <c r="C4731" s="46"/>
      <c r="D4731" s="48"/>
      <c r="E4731" s="48"/>
      <c r="F4731" s="48"/>
      <c r="G4731" s="48"/>
      <c r="H4731" s="48"/>
      <c r="I4731" s="48"/>
    </row>
    <row r="4732" spans="1:9" hidden="1" x14ac:dyDescent="0.2">
      <c r="A4732" s="46"/>
      <c r="B4732" s="46"/>
      <c r="C4732" s="46"/>
      <c r="D4732" s="48"/>
      <c r="E4732" s="48"/>
      <c r="F4732" s="48"/>
      <c r="G4732" s="48"/>
      <c r="H4732" s="48"/>
      <c r="I4732" s="48"/>
    </row>
    <row r="4733" spans="1:9" hidden="1" x14ac:dyDescent="0.2">
      <c r="A4733" s="46"/>
      <c r="B4733" s="46"/>
      <c r="C4733" s="46"/>
      <c r="D4733" s="48"/>
      <c r="E4733" s="48"/>
      <c r="F4733" s="48"/>
      <c r="G4733" s="48"/>
      <c r="H4733" s="48"/>
      <c r="I4733" s="48"/>
    </row>
    <row r="4734" spans="1:9" hidden="1" x14ac:dyDescent="0.2">
      <c r="A4734" s="46"/>
      <c r="B4734" s="46"/>
      <c r="C4734" s="46"/>
      <c r="D4734" s="48"/>
      <c r="E4734" s="48"/>
      <c r="F4734" s="48"/>
      <c r="G4734" s="48"/>
      <c r="H4734" s="48"/>
      <c r="I4734" s="48"/>
    </row>
    <row r="4735" spans="1:9" hidden="1" x14ac:dyDescent="0.2">
      <c r="A4735" s="46"/>
      <c r="B4735" s="46"/>
      <c r="C4735" s="46"/>
      <c r="D4735" s="48"/>
      <c r="E4735" s="48"/>
      <c r="F4735" s="48"/>
      <c r="G4735" s="48"/>
      <c r="H4735" s="48"/>
      <c r="I4735" s="48"/>
    </row>
    <row r="4736" spans="1:9" hidden="1" x14ac:dyDescent="0.2">
      <c r="A4736" s="46"/>
      <c r="B4736" s="46"/>
      <c r="C4736" s="46"/>
      <c r="D4736" s="48"/>
      <c r="E4736" s="48"/>
      <c r="F4736" s="48"/>
      <c r="G4736" s="48"/>
      <c r="H4736" s="48"/>
      <c r="I4736" s="48"/>
    </row>
    <row r="4737" spans="1:9" hidden="1" x14ac:dyDescent="0.2">
      <c r="A4737" s="46"/>
      <c r="B4737" s="46"/>
      <c r="C4737" s="46"/>
      <c r="D4737" s="48"/>
      <c r="E4737" s="48"/>
      <c r="F4737" s="48"/>
      <c r="G4737" s="48"/>
      <c r="H4737" s="48"/>
      <c r="I4737" s="48"/>
    </row>
    <row r="4738" spans="1:9" hidden="1" x14ac:dyDescent="0.2">
      <c r="A4738" s="46"/>
      <c r="B4738" s="46"/>
      <c r="C4738" s="46"/>
      <c r="D4738" s="48"/>
      <c r="E4738" s="48"/>
      <c r="F4738" s="48"/>
      <c r="G4738" s="48"/>
      <c r="H4738" s="48"/>
      <c r="I4738" s="48"/>
    </row>
    <row r="4739" spans="1:9" hidden="1" x14ac:dyDescent="0.2">
      <c r="A4739" s="46"/>
      <c r="B4739" s="46"/>
      <c r="C4739" s="46"/>
      <c r="D4739" s="48"/>
      <c r="E4739" s="48"/>
      <c r="F4739" s="48"/>
      <c r="G4739" s="48"/>
      <c r="H4739" s="48"/>
      <c r="I4739" s="48"/>
    </row>
    <row r="4740" spans="1:9" hidden="1" x14ac:dyDescent="0.2">
      <c r="A4740" s="46"/>
      <c r="B4740" s="46"/>
      <c r="C4740" s="46"/>
      <c r="D4740" s="48"/>
      <c r="E4740" s="48"/>
      <c r="F4740" s="48"/>
      <c r="G4740" s="48"/>
      <c r="H4740" s="48"/>
      <c r="I4740" s="48"/>
    </row>
    <row r="4741" spans="1:9" hidden="1" x14ac:dyDescent="0.2">
      <c r="A4741" s="46"/>
      <c r="B4741" s="46"/>
      <c r="C4741" s="46"/>
      <c r="D4741" s="48"/>
      <c r="E4741" s="48"/>
      <c r="F4741" s="48"/>
      <c r="G4741" s="48"/>
      <c r="H4741" s="48"/>
      <c r="I4741" s="48"/>
    </row>
    <row r="4742" spans="1:9" hidden="1" x14ac:dyDescent="0.2">
      <c r="A4742" s="46"/>
      <c r="B4742" s="46"/>
      <c r="C4742" s="46"/>
      <c r="D4742" s="48"/>
      <c r="E4742" s="48"/>
      <c r="F4742" s="48"/>
      <c r="G4742" s="48"/>
      <c r="H4742" s="48"/>
      <c r="I4742" s="48"/>
    </row>
    <row r="4743" spans="1:9" hidden="1" x14ac:dyDescent="0.2">
      <c r="A4743" s="46"/>
      <c r="B4743" s="46"/>
      <c r="C4743" s="46"/>
      <c r="D4743" s="48"/>
      <c r="E4743" s="48"/>
      <c r="F4743" s="48"/>
      <c r="G4743" s="48"/>
      <c r="H4743" s="48"/>
      <c r="I4743" s="48"/>
    </row>
    <row r="4744" spans="1:9" hidden="1" x14ac:dyDescent="0.2">
      <c r="A4744" s="46"/>
      <c r="B4744" s="46"/>
      <c r="C4744" s="46"/>
      <c r="D4744" s="48"/>
      <c r="E4744" s="48"/>
      <c r="F4744" s="48"/>
      <c r="G4744" s="48"/>
      <c r="H4744" s="48"/>
      <c r="I4744" s="48"/>
    </row>
    <row r="4745" spans="1:9" hidden="1" x14ac:dyDescent="0.2">
      <c r="A4745" s="46"/>
      <c r="B4745" s="46"/>
      <c r="C4745" s="46"/>
      <c r="D4745" s="48"/>
      <c r="E4745" s="48"/>
      <c r="F4745" s="48"/>
      <c r="G4745" s="48"/>
      <c r="H4745" s="48"/>
      <c r="I4745" s="48"/>
    </row>
    <row r="4746" spans="1:9" hidden="1" x14ac:dyDescent="0.2">
      <c r="A4746" s="46"/>
      <c r="B4746" s="46"/>
      <c r="C4746" s="46"/>
      <c r="D4746" s="48"/>
      <c r="E4746" s="48"/>
      <c r="F4746" s="48"/>
      <c r="G4746" s="48"/>
      <c r="H4746" s="48"/>
      <c r="I4746" s="48"/>
    </row>
    <row r="4747" spans="1:9" hidden="1" x14ac:dyDescent="0.2">
      <c r="A4747" s="46"/>
      <c r="B4747" s="46"/>
      <c r="C4747" s="46"/>
      <c r="D4747" s="48"/>
      <c r="E4747" s="48"/>
      <c r="F4747" s="48"/>
      <c r="G4747" s="48"/>
      <c r="H4747" s="48"/>
      <c r="I4747" s="48"/>
    </row>
    <row r="4748" spans="1:9" hidden="1" x14ac:dyDescent="0.2">
      <c r="A4748" s="46"/>
      <c r="B4748" s="46"/>
      <c r="C4748" s="46"/>
      <c r="D4748" s="48"/>
      <c r="E4748" s="48"/>
      <c r="F4748" s="48"/>
      <c r="G4748" s="48"/>
      <c r="H4748" s="48"/>
      <c r="I4748" s="48"/>
    </row>
    <row r="4749" spans="1:9" hidden="1" x14ac:dyDescent="0.2">
      <c r="A4749" s="46"/>
      <c r="B4749" s="46"/>
      <c r="C4749" s="46"/>
      <c r="D4749" s="48"/>
      <c r="E4749" s="48"/>
      <c r="F4749" s="48"/>
      <c r="G4749" s="48"/>
      <c r="H4749" s="48"/>
      <c r="I4749" s="48"/>
    </row>
    <row r="4750" spans="1:9" hidden="1" x14ac:dyDescent="0.2">
      <c r="A4750" s="46"/>
      <c r="B4750" s="46"/>
      <c r="C4750" s="46"/>
      <c r="D4750" s="48"/>
      <c r="E4750" s="48"/>
      <c r="F4750" s="48"/>
      <c r="G4750" s="48"/>
      <c r="H4750" s="48"/>
      <c r="I4750" s="48"/>
    </row>
    <row r="4751" spans="1:9" hidden="1" x14ac:dyDescent="0.2">
      <c r="A4751" s="46"/>
      <c r="B4751" s="46"/>
      <c r="C4751" s="46"/>
      <c r="D4751" s="48"/>
      <c r="E4751" s="48"/>
      <c r="F4751" s="48"/>
      <c r="G4751" s="48"/>
      <c r="H4751" s="48"/>
      <c r="I4751" s="48"/>
    </row>
    <row r="4752" spans="1:9" hidden="1" x14ac:dyDescent="0.2">
      <c r="A4752" s="46"/>
      <c r="B4752" s="46"/>
      <c r="C4752" s="46"/>
      <c r="D4752" s="48"/>
      <c r="E4752" s="48"/>
      <c r="F4752" s="48"/>
      <c r="G4752" s="48"/>
      <c r="H4752" s="48"/>
      <c r="I4752" s="48"/>
    </row>
    <row r="4753" spans="1:9" hidden="1" x14ac:dyDescent="0.2">
      <c r="A4753" s="46"/>
      <c r="B4753" s="46"/>
      <c r="C4753" s="46"/>
      <c r="D4753" s="48"/>
      <c r="E4753" s="48"/>
      <c r="F4753" s="48"/>
      <c r="G4753" s="48"/>
      <c r="H4753" s="48"/>
      <c r="I4753" s="48"/>
    </row>
    <row r="4754" spans="1:9" hidden="1" x14ac:dyDescent="0.2">
      <c r="A4754" s="46"/>
      <c r="B4754" s="46"/>
      <c r="C4754" s="46"/>
      <c r="D4754" s="48"/>
      <c r="E4754" s="48"/>
      <c r="F4754" s="48"/>
      <c r="G4754" s="48"/>
      <c r="H4754" s="48"/>
      <c r="I4754" s="48"/>
    </row>
    <row r="4755" spans="1:9" hidden="1" x14ac:dyDescent="0.2">
      <c r="A4755" s="46"/>
      <c r="B4755" s="46"/>
      <c r="C4755" s="46"/>
      <c r="D4755" s="48"/>
      <c r="E4755" s="48"/>
      <c r="F4755" s="48"/>
      <c r="G4755" s="48"/>
      <c r="H4755" s="48"/>
      <c r="I4755" s="48"/>
    </row>
    <row r="4756" spans="1:9" hidden="1" x14ac:dyDescent="0.2">
      <c r="A4756" s="46"/>
      <c r="B4756" s="46"/>
      <c r="C4756" s="46"/>
      <c r="D4756" s="48"/>
      <c r="E4756" s="48"/>
      <c r="F4756" s="48"/>
      <c r="G4756" s="48"/>
      <c r="H4756" s="48"/>
      <c r="I4756" s="48"/>
    </row>
    <row r="4757" spans="1:9" hidden="1" x14ac:dyDescent="0.2">
      <c r="A4757" s="46"/>
      <c r="B4757" s="46"/>
      <c r="C4757" s="46"/>
      <c r="D4757" s="48"/>
      <c r="E4757" s="48"/>
      <c r="F4757" s="48"/>
      <c r="G4757" s="48"/>
      <c r="H4757" s="48"/>
      <c r="I4757" s="48"/>
    </row>
    <row r="4758" spans="1:9" hidden="1" x14ac:dyDescent="0.2">
      <c r="A4758" s="46"/>
      <c r="B4758" s="46"/>
      <c r="C4758" s="46"/>
      <c r="D4758" s="48"/>
      <c r="E4758" s="48"/>
      <c r="F4758" s="48"/>
      <c r="G4758" s="48"/>
      <c r="H4758" s="48"/>
      <c r="I4758" s="48"/>
    </row>
    <row r="4759" spans="1:9" hidden="1" x14ac:dyDescent="0.2">
      <c r="A4759" s="46"/>
      <c r="B4759" s="46"/>
      <c r="C4759" s="46"/>
      <c r="D4759" s="48"/>
      <c r="E4759" s="48"/>
      <c r="F4759" s="48"/>
      <c r="G4759" s="48"/>
      <c r="H4759" s="48"/>
      <c r="I4759" s="48"/>
    </row>
    <row r="4760" spans="1:9" hidden="1" x14ac:dyDescent="0.2">
      <c r="A4760" s="46"/>
      <c r="B4760" s="46"/>
      <c r="C4760" s="46"/>
      <c r="D4760" s="48"/>
      <c r="E4760" s="48"/>
      <c r="F4760" s="48"/>
      <c r="G4760" s="48"/>
      <c r="H4760" s="48"/>
      <c r="I4760" s="48"/>
    </row>
    <row r="4761" spans="1:9" hidden="1" x14ac:dyDescent="0.2">
      <c r="A4761" s="46"/>
      <c r="B4761" s="46"/>
      <c r="C4761" s="46"/>
      <c r="D4761" s="48"/>
      <c r="E4761" s="48"/>
      <c r="F4761" s="48"/>
      <c r="G4761" s="48"/>
      <c r="H4761" s="48"/>
      <c r="I4761" s="48"/>
    </row>
    <row r="4762" spans="1:9" hidden="1" x14ac:dyDescent="0.2">
      <c r="A4762" s="46"/>
      <c r="B4762" s="46"/>
      <c r="C4762" s="46"/>
      <c r="D4762" s="48"/>
      <c r="E4762" s="48"/>
      <c r="F4762" s="48"/>
      <c r="G4762" s="48"/>
      <c r="H4762" s="48"/>
      <c r="I4762" s="48"/>
    </row>
    <row r="4763" spans="1:9" hidden="1" x14ac:dyDescent="0.2">
      <c r="A4763" s="46"/>
      <c r="B4763" s="46"/>
      <c r="C4763" s="46"/>
      <c r="D4763" s="48"/>
      <c r="E4763" s="48"/>
      <c r="F4763" s="48"/>
      <c r="G4763" s="48"/>
      <c r="H4763" s="48"/>
      <c r="I4763" s="48"/>
    </row>
    <row r="4764" spans="1:9" hidden="1" x14ac:dyDescent="0.2">
      <c r="A4764" s="46"/>
      <c r="B4764" s="46"/>
      <c r="C4764" s="46"/>
      <c r="D4764" s="48"/>
      <c r="E4764" s="48"/>
      <c r="F4764" s="48"/>
      <c r="G4764" s="48"/>
      <c r="H4764" s="48"/>
      <c r="I4764" s="48"/>
    </row>
    <row r="4765" spans="1:9" hidden="1" x14ac:dyDescent="0.2">
      <c r="A4765" s="46"/>
      <c r="B4765" s="46"/>
      <c r="C4765" s="46"/>
      <c r="D4765" s="48"/>
      <c r="E4765" s="48"/>
      <c r="F4765" s="48"/>
      <c r="G4765" s="48"/>
      <c r="H4765" s="48"/>
      <c r="I4765" s="48"/>
    </row>
    <row r="4766" spans="1:9" hidden="1" x14ac:dyDescent="0.2">
      <c r="A4766" s="46"/>
      <c r="B4766" s="46"/>
      <c r="C4766" s="46"/>
      <c r="D4766" s="48"/>
      <c r="E4766" s="48"/>
      <c r="F4766" s="48"/>
      <c r="G4766" s="48"/>
      <c r="H4766" s="48"/>
      <c r="I4766" s="48"/>
    </row>
    <row r="4767" spans="1:9" hidden="1" x14ac:dyDescent="0.2">
      <c r="A4767" s="46"/>
      <c r="B4767" s="46"/>
      <c r="C4767" s="46"/>
      <c r="D4767" s="48"/>
      <c r="E4767" s="48"/>
      <c r="F4767" s="48"/>
      <c r="G4767" s="48"/>
      <c r="H4767" s="48"/>
      <c r="I4767" s="48"/>
    </row>
    <row r="4768" spans="1:9" hidden="1" x14ac:dyDescent="0.2">
      <c r="A4768" s="46"/>
      <c r="B4768" s="46"/>
      <c r="C4768" s="46"/>
      <c r="D4768" s="48"/>
      <c r="E4768" s="48"/>
      <c r="F4768" s="48"/>
      <c r="G4768" s="48"/>
      <c r="H4768" s="48"/>
      <c r="I4768" s="48"/>
    </row>
    <row r="4769" spans="1:9" hidden="1" x14ac:dyDescent="0.2">
      <c r="A4769" s="46"/>
      <c r="B4769" s="46"/>
      <c r="C4769" s="46"/>
      <c r="D4769" s="48"/>
      <c r="E4769" s="48"/>
      <c r="F4769" s="48"/>
      <c r="G4769" s="48"/>
      <c r="H4769" s="48"/>
      <c r="I4769" s="48"/>
    </row>
    <row r="4770" spans="1:9" hidden="1" x14ac:dyDescent="0.2">
      <c r="A4770" s="46"/>
      <c r="B4770" s="46"/>
      <c r="C4770" s="46"/>
      <c r="D4770" s="48"/>
      <c r="E4770" s="48"/>
      <c r="F4770" s="48"/>
      <c r="G4770" s="48"/>
      <c r="H4770" s="48"/>
      <c r="I4770" s="48"/>
    </row>
    <row r="4771" spans="1:9" hidden="1" x14ac:dyDescent="0.2">
      <c r="A4771" s="46"/>
      <c r="B4771" s="46"/>
      <c r="C4771" s="46"/>
      <c r="D4771" s="48"/>
      <c r="E4771" s="48"/>
      <c r="F4771" s="48"/>
      <c r="G4771" s="48"/>
      <c r="H4771" s="48"/>
      <c r="I4771" s="48"/>
    </row>
    <row r="4772" spans="1:9" hidden="1" x14ac:dyDescent="0.2">
      <c r="A4772" s="46"/>
      <c r="B4772" s="46"/>
      <c r="C4772" s="46"/>
      <c r="D4772" s="48"/>
      <c r="E4772" s="48"/>
      <c r="F4772" s="48"/>
      <c r="G4772" s="48"/>
      <c r="H4772" s="48"/>
      <c r="I4772" s="48"/>
    </row>
    <row r="4773" spans="1:9" hidden="1" x14ac:dyDescent="0.2">
      <c r="A4773" s="46"/>
      <c r="B4773" s="46"/>
      <c r="C4773" s="46"/>
      <c r="D4773" s="48"/>
      <c r="E4773" s="48"/>
      <c r="F4773" s="48"/>
      <c r="G4773" s="48"/>
      <c r="H4773" s="48"/>
      <c r="I4773" s="48"/>
    </row>
    <row r="4774" spans="1:9" hidden="1" x14ac:dyDescent="0.2">
      <c r="A4774" s="46"/>
      <c r="B4774" s="46"/>
      <c r="C4774" s="46"/>
      <c r="D4774" s="48"/>
      <c r="E4774" s="48"/>
      <c r="F4774" s="48"/>
      <c r="G4774" s="48"/>
      <c r="H4774" s="48"/>
      <c r="I4774" s="48"/>
    </row>
    <row r="4775" spans="1:9" hidden="1" x14ac:dyDescent="0.2">
      <c r="A4775" s="46"/>
      <c r="B4775" s="46"/>
      <c r="C4775" s="46"/>
      <c r="D4775" s="48"/>
      <c r="E4775" s="48"/>
      <c r="F4775" s="48"/>
      <c r="G4775" s="48"/>
      <c r="H4775" s="48"/>
      <c r="I4775" s="48"/>
    </row>
    <row r="4776" spans="1:9" hidden="1" x14ac:dyDescent="0.2">
      <c r="A4776" s="46"/>
      <c r="B4776" s="46"/>
      <c r="C4776" s="46"/>
      <c r="D4776" s="48"/>
      <c r="E4776" s="48"/>
      <c r="F4776" s="48"/>
      <c r="G4776" s="48"/>
      <c r="H4776" s="48"/>
      <c r="I4776" s="48"/>
    </row>
    <row r="4777" spans="1:9" hidden="1" x14ac:dyDescent="0.2">
      <c r="A4777" s="46"/>
      <c r="B4777" s="46"/>
      <c r="C4777" s="46"/>
      <c r="D4777" s="48"/>
      <c r="E4777" s="48"/>
      <c r="F4777" s="48"/>
      <c r="G4777" s="48"/>
      <c r="H4777" s="48"/>
      <c r="I4777" s="48"/>
    </row>
    <row r="4778" spans="1:9" hidden="1" x14ac:dyDescent="0.2">
      <c r="A4778" s="46"/>
      <c r="B4778" s="46"/>
      <c r="C4778" s="46"/>
      <c r="D4778" s="48"/>
      <c r="E4778" s="48"/>
      <c r="F4778" s="48"/>
      <c r="G4778" s="48"/>
      <c r="H4778" s="48"/>
      <c r="I4778" s="48"/>
    </row>
    <row r="4779" spans="1:9" hidden="1" x14ac:dyDescent="0.2">
      <c r="A4779" s="46"/>
      <c r="B4779" s="46"/>
      <c r="C4779" s="46"/>
      <c r="D4779" s="48"/>
      <c r="E4779" s="48"/>
      <c r="F4779" s="48"/>
      <c r="G4779" s="48"/>
      <c r="H4779" s="48"/>
      <c r="I4779" s="48"/>
    </row>
    <row r="4780" spans="1:9" hidden="1" x14ac:dyDescent="0.2">
      <c r="A4780" s="46"/>
      <c r="B4780" s="46"/>
      <c r="C4780" s="46"/>
      <c r="D4780" s="48"/>
      <c r="E4780" s="48"/>
      <c r="F4780" s="48"/>
      <c r="G4780" s="48"/>
      <c r="H4780" s="48"/>
      <c r="I4780" s="48"/>
    </row>
    <row r="4781" spans="1:9" hidden="1" x14ac:dyDescent="0.2">
      <c r="A4781" s="46"/>
      <c r="B4781" s="46"/>
      <c r="C4781" s="46"/>
      <c r="D4781" s="48"/>
      <c r="E4781" s="48"/>
      <c r="F4781" s="48"/>
      <c r="G4781" s="48"/>
      <c r="H4781" s="48"/>
      <c r="I4781" s="48"/>
    </row>
    <row r="4782" spans="1:9" hidden="1" x14ac:dyDescent="0.2">
      <c r="A4782" s="46"/>
      <c r="B4782" s="46"/>
      <c r="C4782" s="46"/>
      <c r="D4782" s="48"/>
      <c r="E4782" s="48"/>
      <c r="F4782" s="48"/>
      <c r="G4782" s="48"/>
      <c r="H4782" s="48"/>
      <c r="I4782" s="48"/>
    </row>
    <row r="4783" spans="1:9" hidden="1" x14ac:dyDescent="0.2">
      <c r="A4783" s="46"/>
      <c r="B4783" s="46"/>
      <c r="C4783" s="46"/>
      <c r="D4783" s="48"/>
      <c r="E4783" s="48"/>
      <c r="F4783" s="48"/>
      <c r="G4783" s="48"/>
      <c r="H4783" s="48"/>
      <c r="I4783" s="48"/>
    </row>
    <row r="4784" spans="1:9" hidden="1" x14ac:dyDescent="0.2">
      <c r="A4784" s="46"/>
      <c r="B4784" s="46"/>
      <c r="C4784" s="46"/>
      <c r="D4784" s="48"/>
      <c r="E4784" s="48"/>
      <c r="F4784" s="48"/>
      <c r="G4784" s="48"/>
      <c r="H4784" s="48"/>
      <c r="I4784" s="48"/>
    </row>
    <row r="4785" spans="1:9" hidden="1" x14ac:dyDescent="0.2">
      <c r="A4785" s="46"/>
      <c r="B4785" s="46"/>
      <c r="C4785" s="46"/>
      <c r="D4785" s="48"/>
      <c r="E4785" s="48"/>
      <c r="F4785" s="48"/>
      <c r="G4785" s="48"/>
      <c r="H4785" s="48"/>
      <c r="I4785" s="48"/>
    </row>
    <row r="4786" spans="1:9" hidden="1" x14ac:dyDescent="0.2">
      <c r="A4786" s="46"/>
      <c r="B4786" s="46"/>
      <c r="C4786" s="46"/>
      <c r="D4786" s="48"/>
      <c r="E4786" s="48"/>
      <c r="F4786" s="48"/>
      <c r="G4786" s="48"/>
      <c r="H4786" s="48"/>
      <c r="I4786" s="48"/>
    </row>
    <row r="4787" spans="1:9" hidden="1" x14ac:dyDescent="0.2">
      <c r="A4787" s="46"/>
      <c r="B4787" s="46"/>
      <c r="C4787" s="46"/>
      <c r="D4787" s="48"/>
      <c r="E4787" s="48"/>
      <c r="F4787" s="48"/>
      <c r="G4787" s="48"/>
      <c r="H4787" s="48"/>
      <c r="I4787" s="48"/>
    </row>
    <row r="4788" spans="1:9" hidden="1" x14ac:dyDescent="0.2">
      <c r="A4788" s="46"/>
      <c r="B4788" s="46"/>
      <c r="C4788" s="46"/>
      <c r="D4788" s="48"/>
      <c r="E4788" s="48"/>
      <c r="F4788" s="48"/>
      <c r="G4788" s="48"/>
      <c r="H4788" s="48"/>
      <c r="I4788" s="48"/>
    </row>
    <row r="4789" spans="1:9" hidden="1" x14ac:dyDescent="0.2">
      <c r="A4789" s="46"/>
      <c r="B4789" s="46"/>
      <c r="C4789" s="46"/>
      <c r="D4789" s="48"/>
      <c r="E4789" s="48"/>
      <c r="F4789" s="48"/>
      <c r="G4789" s="48"/>
      <c r="H4789" s="48"/>
      <c r="I4789" s="48"/>
    </row>
    <row r="4790" spans="1:9" hidden="1" x14ac:dyDescent="0.2">
      <c r="A4790" s="46"/>
      <c r="B4790" s="46"/>
      <c r="C4790" s="46"/>
      <c r="D4790" s="48"/>
      <c r="E4790" s="48"/>
      <c r="F4790" s="48"/>
      <c r="G4790" s="48"/>
      <c r="H4790" s="48"/>
      <c r="I4790" s="48"/>
    </row>
    <row r="4791" spans="1:9" hidden="1" x14ac:dyDescent="0.2">
      <c r="A4791" s="46"/>
      <c r="B4791" s="46"/>
      <c r="C4791" s="46"/>
      <c r="D4791" s="48"/>
      <c r="E4791" s="48"/>
      <c r="F4791" s="48"/>
      <c r="G4791" s="48"/>
      <c r="H4791" s="48"/>
      <c r="I4791" s="48"/>
    </row>
    <row r="4792" spans="1:9" hidden="1" x14ac:dyDescent="0.2">
      <c r="A4792" s="46"/>
      <c r="B4792" s="46"/>
      <c r="C4792" s="46"/>
      <c r="D4792" s="48"/>
      <c r="E4792" s="48"/>
      <c r="F4792" s="48"/>
      <c r="G4792" s="48"/>
      <c r="H4792" s="48"/>
      <c r="I4792" s="48"/>
    </row>
    <row r="4793" spans="1:9" hidden="1" x14ac:dyDescent="0.2">
      <c r="A4793" s="46"/>
      <c r="B4793" s="46"/>
      <c r="C4793" s="46"/>
      <c r="D4793" s="48"/>
      <c r="E4793" s="48"/>
      <c r="F4793" s="48"/>
      <c r="G4793" s="48"/>
      <c r="H4793" s="48"/>
      <c r="I4793" s="48"/>
    </row>
    <row r="4794" spans="1:9" hidden="1" x14ac:dyDescent="0.2">
      <c r="A4794" s="46"/>
      <c r="B4794" s="46"/>
      <c r="C4794" s="46"/>
      <c r="D4794" s="48"/>
      <c r="E4794" s="48"/>
      <c r="F4794" s="48"/>
      <c r="G4794" s="48"/>
      <c r="H4794" s="48"/>
      <c r="I4794" s="48"/>
    </row>
    <row r="4795" spans="1:9" hidden="1" x14ac:dyDescent="0.2">
      <c r="A4795" s="46"/>
      <c r="B4795" s="46"/>
      <c r="C4795" s="46"/>
      <c r="D4795" s="48"/>
      <c r="E4795" s="48"/>
      <c r="F4795" s="48"/>
      <c r="G4795" s="48"/>
      <c r="H4795" s="48"/>
      <c r="I4795" s="48"/>
    </row>
    <row r="4796" spans="1:9" hidden="1" x14ac:dyDescent="0.2">
      <c r="A4796" s="46"/>
      <c r="B4796" s="46"/>
      <c r="C4796" s="46"/>
      <c r="D4796" s="48"/>
      <c r="E4796" s="48"/>
      <c r="F4796" s="48"/>
      <c r="G4796" s="48"/>
      <c r="H4796" s="48"/>
      <c r="I4796" s="48"/>
    </row>
    <row r="4797" spans="1:9" hidden="1" x14ac:dyDescent="0.2">
      <c r="A4797" s="46"/>
      <c r="B4797" s="46"/>
      <c r="C4797" s="46"/>
      <c r="D4797" s="48"/>
      <c r="E4797" s="48"/>
      <c r="F4797" s="48"/>
      <c r="G4797" s="48"/>
      <c r="H4797" s="48"/>
      <c r="I4797" s="48"/>
    </row>
    <row r="4798" spans="1:9" hidden="1" x14ac:dyDescent="0.2">
      <c r="A4798" s="46"/>
      <c r="B4798" s="46"/>
      <c r="C4798" s="46"/>
      <c r="D4798" s="48"/>
      <c r="E4798" s="48"/>
      <c r="F4798" s="48"/>
      <c r="G4798" s="48"/>
      <c r="H4798" s="48"/>
      <c r="I4798" s="48"/>
    </row>
    <row r="4799" spans="1:9" hidden="1" x14ac:dyDescent="0.2">
      <c r="A4799" s="46"/>
      <c r="B4799" s="46"/>
      <c r="C4799" s="46"/>
      <c r="D4799" s="48"/>
      <c r="E4799" s="48"/>
      <c r="F4799" s="48"/>
      <c r="G4799" s="48"/>
      <c r="H4799" s="48"/>
      <c r="I4799" s="48"/>
    </row>
    <row r="4800" spans="1:9" hidden="1" x14ac:dyDescent="0.2">
      <c r="A4800" s="46"/>
      <c r="B4800" s="46"/>
      <c r="C4800" s="46"/>
      <c r="D4800" s="48"/>
      <c r="E4800" s="48"/>
      <c r="F4800" s="48"/>
      <c r="G4800" s="48"/>
      <c r="H4800" s="48"/>
      <c r="I4800" s="48"/>
    </row>
    <row r="4801" spans="1:9" hidden="1" x14ac:dyDescent="0.2">
      <c r="A4801" s="46"/>
      <c r="B4801" s="46"/>
      <c r="C4801" s="46"/>
      <c r="D4801" s="48"/>
      <c r="E4801" s="48"/>
      <c r="F4801" s="48"/>
      <c r="G4801" s="48"/>
      <c r="H4801" s="48"/>
      <c r="I4801" s="48"/>
    </row>
    <row r="4802" spans="1:9" hidden="1" x14ac:dyDescent="0.2">
      <c r="A4802" s="46"/>
      <c r="B4802" s="46"/>
      <c r="C4802" s="46"/>
      <c r="D4802" s="48"/>
      <c r="E4802" s="48"/>
      <c r="F4802" s="48"/>
      <c r="G4802" s="48"/>
      <c r="H4802" s="48"/>
      <c r="I4802" s="48"/>
    </row>
    <row r="4803" spans="1:9" hidden="1" x14ac:dyDescent="0.2">
      <c r="A4803" s="46"/>
      <c r="B4803" s="46"/>
      <c r="C4803" s="46"/>
      <c r="D4803" s="48"/>
      <c r="E4803" s="48"/>
      <c r="F4803" s="48"/>
      <c r="G4803" s="48"/>
      <c r="H4803" s="48"/>
      <c r="I4803" s="48"/>
    </row>
    <row r="4804" spans="1:9" hidden="1" x14ac:dyDescent="0.2">
      <c r="A4804" s="46"/>
      <c r="B4804" s="46"/>
      <c r="C4804" s="46"/>
      <c r="D4804" s="48"/>
      <c r="E4804" s="48"/>
      <c r="F4804" s="48"/>
      <c r="G4804" s="48"/>
      <c r="H4804" s="48"/>
      <c r="I4804" s="48"/>
    </row>
    <row r="4805" spans="1:9" hidden="1" x14ac:dyDescent="0.2">
      <c r="A4805" s="46"/>
      <c r="B4805" s="46"/>
      <c r="C4805" s="46"/>
      <c r="D4805" s="48"/>
      <c r="E4805" s="48"/>
      <c r="F4805" s="48"/>
      <c r="G4805" s="48"/>
      <c r="H4805" s="48"/>
      <c r="I4805" s="48"/>
    </row>
    <row r="4806" spans="1:9" hidden="1" x14ac:dyDescent="0.2">
      <c r="A4806" s="46"/>
      <c r="B4806" s="46"/>
      <c r="C4806" s="46"/>
      <c r="D4806" s="48"/>
      <c r="E4806" s="48"/>
      <c r="F4806" s="48"/>
      <c r="G4806" s="48"/>
      <c r="H4806" s="48"/>
      <c r="I4806" s="48"/>
    </row>
    <row r="4807" spans="1:9" hidden="1" x14ac:dyDescent="0.2">
      <c r="A4807" s="46"/>
      <c r="B4807" s="46"/>
      <c r="C4807" s="46"/>
      <c r="D4807" s="48"/>
      <c r="E4807" s="48"/>
      <c r="F4807" s="48"/>
      <c r="G4807" s="48"/>
      <c r="H4807" s="48"/>
      <c r="I4807" s="48"/>
    </row>
    <row r="4808" spans="1:9" hidden="1" x14ac:dyDescent="0.2">
      <c r="A4808" s="46"/>
      <c r="B4808" s="46"/>
      <c r="C4808" s="46"/>
      <c r="D4808" s="48"/>
      <c r="E4808" s="48"/>
      <c r="F4808" s="48"/>
      <c r="G4808" s="48"/>
      <c r="H4808" s="48"/>
      <c r="I4808" s="48"/>
    </row>
    <row r="4809" spans="1:9" hidden="1" x14ac:dyDescent="0.2">
      <c r="A4809" s="46"/>
      <c r="B4809" s="46"/>
      <c r="C4809" s="46"/>
      <c r="D4809" s="48"/>
      <c r="E4809" s="48"/>
      <c r="F4809" s="48"/>
      <c r="G4809" s="48"/>
      <c r="H4809" s="48"/>
      <c r="I4809" s="48"/>
    </row>
    <row r="4810" spans="1:9" hidden="1" x14ac:dyDescent="0.2">
      <c r="A4810" s="46"/>
      <c r="B4810" s="46"/>
      <c r="C4810" s="46"/>
      <c r="D4810" s="48"/>
      <c r="E4810" s="48"/>
      <c r="F4810" s="48"/>
      <c r="G4810" s="48"/>
      <c r="H4810" s="48"/>
      <c r="I4810" s="48"/>
    </row>
    <row r="4811" spans="1:9" hidden="1" x14ac:dyDescent="0.2">
      <c r="A4811" s="46"/>
      <c r="B4811" s="46"/>
      <c r="C4811" s="46"/>
      <c r="D4811" s="48"/>
      <c r="E4811" s="48"/>
      <c r="F4811" s="48"/>
      <c r="G4811" s="48"/>
      <c r="H4811" s="48"/>
      <c r="I4811" s="48"/>
    </row>
    <row r="4812" spans="1:9" hidden="1" x14ac:dyDescent="0.2">
      <c r="A4812" s="46"/>
      <c r="B4812" s="46"/>
      <c r="C4812" s="46"/>
      <c r="D4812" s="48"/>
      <c r="E4812" s="48"/>
      <c r="F4812" s="48"/>
      <c r="G4812" s="48"/>
      <c r="H4812" s="48"/>
      <c r="I4812" s="48"/>
    </row>
    <row r="4813" spans="1:9" hidden="1" x14ac:dyDescent="0.2">
      <c r="A4813" s="46"/>
      <c r="B4813" s="46"/>
      <c r="C4813" s="46"/>
      <c r="D4813" s="48"/>
      <c r="E4813" s="48"/>
      <c r="F4813" s="48"/>
      <c r="G4813" s="48"/>
      <c r="H4813" s="48"/>
      <c r="I4813" s="48"/>
    </row>
    <row r="4814" spans="1:9" hidden="1" x14ac:dyDescent="0.2">
      <c r="A4814" s="46"/>
      <c r="B4814" s="46"/>
      <c r="C4814" s="46"/>
      <c r="D4814" s="48"/>
      <c r="E4814" s="48"/>
      <c r="F4814" s="48"/>
      <c r="G4814" s="48"/>
      <c r="H4814" s="48"/>
      <c r="I4814" s="48"/>
    </row>
    <row r="4815" spans="1:9" hidden="1" x14ac:dyDescent="0.2">
      <c r="A4815" s="46"/>
      <c r="B4815" s="46"/>
      <c r="C4815" s="46"/>
      <c r="D4815" s="48"/>
      <c r="E4815" s="48"/>
      <c r="F4815" s="48"/>
      <c r="G4815" s="48"/>
      <c r="H4815" s="48"/>
      <c r="I4815" s="48"/>
    </row>
    <row r="4816" spans="1:9" hidden="1" x14ac:dyDescent="0.2">
      <c r="A4816" s="46"/>
      <c r="B4816" s="46"/>
      <c r="C4816" s="46"/>
      <c r="D4816" s="48"/>
      <c r="E4816" s="48"/>
      <c r="F4816" s="48"/>
      <c r="G4816" s="48"/>
      <c r="H4816" s="48"/>
      <c r="I4816" s="48"/>
    </row>
    <row r="4817" spans="1:9" hidden="1" x14ac:dyDescent="0.2">
      <c r="A4817" s="46"/>
      <c r="B4817" s="46"/>
      <c r="C4817" s="46"/>
      <c r="D4817" s="48"/>
      <c r="E4817" s="48"/>
      <c r="F4817" s="48"/>
      <c r="G4817" s="48"/>
      <c r="H4817" s="48"/>
      <c r="I4817" s="48"/>
    </row>
    <row r="4818" spans="1:9" hidden="1" x14ac:dyDescent="0.2">
      <c r="A4818" s="46"/>
      <c r="B4818" s="46"/>
      <c r="C4818" s="46"/>
      <c r="D4818" s="48"/>
      <c r="E4818" s="48"/>
      <c r="F4818" s="48"/>
      <c r="G4818" s="48"/>
      <c r="H4818" s="48"/>
      <c r="I4818" s="48"/>
    </row>
    <row r="4819" spans="1:9" hidden="1" x14ac:dyDescent="0.2">
      <c r="A4819" s="46"/>
      <c r="B4819" s="46"/>
      <c r="C4819" s="46"/>
      <c r="D4819" s="48"/>
      <c r="E4819" s="48"/>
      <c r="F4819" s="48"/>
      <c r="G4819" s="48"/>
      <c r="H4819" s="48"/>
      <c r="I4819" s="48"/>
    </row>
    <row r="4820" spans="1:9" hidden="1" x14ac:dyDescent="0.2">
      <c r="A4820" s="46"/>
      <c r="B4820" s="46"/>
      <c r="C4820" s="46"/>
      <c r="D4820" s="48"/>
      <c r="E4820" s="48"/>
      <c r="F4820" s="48"/>
      <c r="G4820" s="48"/>
      <c r="H4820" s="48"/>
      <c r="I4820" s="48"/>
    </row>
    <row r="4821" spans="1:9" hidden="1" x14ac:dyDescent="0.2">
      <c r="A4821" s="46"/>
      <c r="B4821" s="46"/>
      <c r="C4821" s="46"/>
      <c r="D4821" s="48"/>
      <c r="E4821" s="48"/>
      <c r="F4821" s="48"/>
      <c r="G4821" s="48"/>
      <c r="H4821" s="48"/>
      <c r="I4821" s="48"/>
    </row>
    <row r="4822" spans="1:9" hidden="1" x14ac:dyDescent="0.2">
      <c r="A4822" s="46"/>
      <c r="B4822" s="46"/>
      <c r="C4822" s="46"/>
      <c r="D4822" s="48"/>
      <c r="E4822" s="48"/>
      <c r="F4822" s="48"/>
      <c r="G4822" s="48"/>
      <c r="H4822" s="48"/>
      <c r="I4822" s="48"/>
    </row>
    <row r="4823" spans="1:9" hidden="1" x14ac:dyDescent="0.2">
      <c r="A4823" s="46"/>
      <c r="B4823" s="46"/>
      <c r="C4823" s="46"/>
      <c r="D4823" s="48"/>
      <c r="E4823" s="48"/>
      <c r="F4823" s="48"/>
      <c r="G4823" s="48"/>
      <c r="H4823" s="48"/>
      <c r="I4823" s="48"/>
    </row>
    <row r="4824" spans="1:9" hidden="1" x14ac:dyDescent="0.2">
      <c r="A4824" s="46"/>
      <c r="B4824" s="46"/>
      <c r="C4824" s="46"/>
      <c r="D4824" s="48"/>
      <c r="E4824" s="48"/>
      <c r="F4824" s="48"/>
      <c r="G4824" s="48"/>
      <c r="H4824" s="48"/>
      <c r="I4824" s="48"/>
    </row>
    <row r="4825" spans="1:9" hidden="1" x14ac:dyDescent="0.2">
      <c r="A4825" s="46"/>
      <c r="B4825" s="46"/>
      <c r="C4825" s="46"/>
      <c r="D4825" s="48"/>
      <c r="E4825" s="48"/>
      <c r="F4825" s="48"/>
      <c r="G4825" s="48"/>
      <c r="H4825" s="48"/>
      <c r="I4825" s="48"/>
    </row>
    <row r="4826" spans="1:9" hidden="1" x14ac:dyDescent="0.2">
      <c r="A4826" s="46"/>
      <c r="B4826" s="46"/>
      <c r="C4826" s="46"/>
      <c r="D4826" s="48"/>
      <c r="E4826" s="48"/>
      <c r="F4826" s="48"/>
      <c r="G4826" s="48"/>
      <c r="H4826" s="48"/>
      <c r="I4826" s="48"/>
    </row>
    <row r="4827" spans="1:9" hidden="1" x14ac:dyDescent="0.2">
      <c r="A4827" s="46"/>
      <c r="B4827" s="46"/>
      <c r="C4827" s="46"/>
      <c r="D4827" s="48"/>
      <c r="E4827" s="48"/>
      <c r="F4827" s="48"/>
      <c r="G4827" s="48"/>
      <c r="H4827" s="48"/>
      <c r="I4827" s="48"/>
    </row>
    <row r="4828" spans="1:9" hidden="1" x14ac:dyDescent="0.2">
      <c r="A4828" s="46"/>
      <c r="B4828" s="46"/>
      <c r="C4828" s="46"/>
      <c r="D4828" s="48"/>
      <c r="E4828" s="48"/>
      <c r="F4828" s="48"/>
      <c r="G4828" s="48"/>
      <c r="H4828" s="48"/>
      <c r="I4828" s="48"/>
    </row>
    <row r="4829" spans="1:9" hidden="1" x14ac:dyDescent="0.2">
      <c r="A4829" s="46"/>
      <c r="B4829" s="46"/>
      <c r="C4829" s="46"/>
      <c r="D4829" s="48"/>
      <c r="E4829" s="48"/>
      <c r="F4829" s="48"/>
      <c r="G4829" s="48"/>
      <c r="H4829" s="48"/>
      <c r="I4829" s="48"/>
    </row>
    <row r="4830" spans="1:9" hidden="1" x14ac:dyDescent="0.2">
      <c r="A4830" s="46"/>
      <c r="B4830" s="46"/>
      <c r="C4830" s="46"/>
      <c r="D4830" s="48"/>
      <c r="E4830" s="48"/>
      <c r="F4830" s="48"/>
      <c r="G4830" s="48"/>
      <c r="H4830" s="48"/>
      <c r="I4830" s="48"/>
    </row>
    <row r="4831" spans="1:9" hidden="1" x14ac:dyDescent="0.2">
      <c r="A4831" s="46"/>
      <c r="B4831" s="46"/>
      <c r="C4831" s="46"/>
      <c r="D4831" s="48"/>
      <c r="E4831" s="48"/>
      <c r="F4831" s="48"/>
      <c r="G4831" s="48"/>
      <c r="H4831" s="48"/>
      <c r="I4831" s="48"/>
    </row>
    <row r="4832" spans="1:9" hidden="1" x14ac:dyDescent="0.2">
      <c r="A4832" s="46"/>
      <c r="B4832" s="46"/>
      <c r="C4832" s="46"/>
      <c r="D4832" s="48"/>
      <c r="E4832" s="48"/>
      <c r="F4832" s="48"/>
      <c r="G4832" s="48"/>
      <c r="H4832" s="48"/>
      <c r="I4832" s="48"/>
    </row>
    <row r="4833" spans="1:9" hidden="1" x14ac:dyDescent="0.2">
      <c r="A4833" s="46"/>
      <c r="B4833" s="46"/>
      <c r="C4833" s="46"/>
      <c r="D4833" s="48"/>
      <c r="E4833" s="48"/>
      <c r="F4833" s="48"/>
      <c r="G4833" s="48"/>
      <c r="H4833" s="48"/>
      <c r="I4833" s="48"/>
    </row>
    <row r="4834" spans="1:9" hidden="1" x14ac:dyDescent="0.2">
      <c r="A4834" s="46"/>
      <c r="B4834" s="46"/>
      <c r="C4834" s="46"/>
      <c r="D4834" s="48"/>
      <c r="E4834" s="48"/>
      <c r="F4834" s="48"/>
      <c r="G4834" s="48"/>
      <c r="H4834" s="48"/>
      <c r="I4834" s="48"/>
    </row>
    <row r="4835" spans="1:9" hidden="1" x14ac:dyDescent="0.2">
      <c r="A4835" s="46"/>
      <c r="B4835" s="46"/>
      <c r="C4835" s="46"/>
      <c r="D4835" s="48"/>
      <c r="E4835" s="48"/>
      <c r="F4835" s="48"/>
      <c r="G4835" s="48"/>
      <c r="H4835" s="48"/>
      <c r="I4835" s="48"/>
    </row>
    <row r="4836" spans="1:9" hidden="1" x14ac:dyDescent="0.2">
      <c r="A4836" s="46"/>
      <c r="B4836" s="46"/>
      <c r="C4836" s="46"/>
      <c r="D4836" s="48"/>
      <c r="E4836" s="48"/>
      <c r="F4836" s="48"/>
      <c r="G4836" s="48"/>
      <c r="H4836" s="48"/>
      <c r="I4836" s="48"/>
    </row>
    <row r="4837" spans="1:9" hidden="1" x14ac:dyDescent="0.2">
      <c r="A4837" s="46"/>
      <c r="B4837" s="46"/>
      <c r="C4837" s="46"/>
      <c r="D4837" s="48"/>
      <c r="E4837" s="48"/>
      <c r="F4837" s="48"/>
      <c r="G4837" s="48"/>
      <c r="H4837" s="48"/>
      <c r="I4837" s="48"/>
    </row>
    <row r="4838" spans="1:9" hidden="1" x14ac:dyDescent="0.2">
      <c r="A4838" s="46"/>
      <c r="B4838" s="46"/>
      <c r="C4838" s="46"/>
      <c r="D4838" s="48"/>
      <c r="E4838" s="48"/>
      <c r="F4838" s="48"/>
      <c r="G4838" s="48"/>
      <c r="H4838" s="48"/>
      <c r="I4838" s="48"/>
    </row>
    <row r="4839" spans="1:9" hidden="1" x14ac:dyDescent="0.2">
      <c r="A4839" s="46"/>
      <c r="B4839" s="46"/>
      <c r="C4839" s="46"/>
      <c r="D4839" s="48"/>
      <c r="E4839" s="48"/>
      <c r="F4839" s="48"/>
      <c r="G4839" s="48"/>
      <c r="H4839" s="48"/>
      <c r="I4839" s="48"/>
    </row>
    <row r="4840" spans="1:9" hidden="1" x14ac:dyDescent="0.2">
      <c r="A4840" s="46"/>
      <c r="B4840" s="46"/>
      <c r="C4840" s="46"/>
      <c r="D4840" s="48"/>
      <c r="E4840" s="48"/>
      <c r="F4840" s="48"/>
      <c r="G4840" s="48"/>
      <c r="H4840" s="48"/>
      <c r="I4840" s="48"/>
    </row>
    <row r="4841" spans="1:9" hidden="1" x14ac:dyDescent="0.2">
      <c r="A4841" s="46"/>
      <c r="B4841" s="46"/>
      <c r="C4841" s="46"/>
      <c r="D4841" s="48"/>
      <c r="E4841" s="48"/>
      <c r="F4841" s="48"/>
      <c r="G4841" s="48"/>
      <c r="H4841" s="48"/>
      <c r="I4841" s="48"/>
    </row>
    <row r="4842" spans="1:9" hidden="1" x14ac:dyDescent="0.2">
      <c r="A4842" s="46"/>
      <c r="B4842" s="46"/>
      <c r="C4842" s="46"/>
      <c r="D4842" s="48"/>
      <c r="E4842" s="48"/>
      <c r="F4842" s="48"/>
      <c r="G4842" s="48"/>
      <c r="H4842" s="48"/>
      <c r="I4842" s="48"/>
    </row>
    <row r="4843" spans="1:9" hidden="1" x14ac:dyDescent="0.2">
      <c r="A4843" s="46"/>
      <c r="B4843" s="46"/>
      <c r="C4843" s="46"/>
      <c r="D4843" s="48"/>
      <c r="E4843" s="48"/>
      <c r="F4843" s="48"/>
      <c r="G4843" s="48"/>
      <c r="H4843" s="48"/>
      <c r="I4843" s="48"/>
    </row>
    <row r="4844" spans="1:9" hidden="1" x14ac:dyDescent="0.2">
      <c r="A4844" s="46"/>
      <c r="B4844" s="46"/>
      <c r="C4844" s="46"/>
      <c r="D4844" s="48"/>
      <c r="E4844" s="48"/>
      <c r="F4844" s="48"/>
      <c r="G4844" s="48"/>
      <c r="H4844" s="48"/>
      <c r="I4844" s="48"/>
    </row>
    <row r="4845" spans="1:9" hidden="1" x14ac:dyDescent="0.2">
      <c r="A4845" s="46"/>
      <c r="B4845" s="46"/>
      <c r="C4845" s="46"/>
      <c r="D4845" s="48"/>
      <c r="E4845" s="48"/>
      <c r="F4845" s="48"/>
      <c r="G4845" s="48"/>
      <c r="H4845" s="48"/>
      <c r="I4845" s="48"/>
    </row>
    <row r="4846" spans="1:9" hidden="1" x14ac:dyDescent="0.2">
      <c r="A4846" s="46"/>
      <c r="B4846" s="46"/>
      <c r="C4846" s="46"/>
      <c r="D4846" s="48"/>
      <c r="E4846" s="48"/>
      <c r="F4846" s="48"/>
      <c r="G4846" s="48"/>
      <c r="H4846" s="48"/>
      <c r="I4846" s="48"/>
    </row>
    <row r="4847" spans="1:9" hidden="1" x14ac:dyDescent="0.2">
      <c r="A4847" s="46"/>
      <c r="B4847" s="46"/>
      <c r="C4847" s="46"/>
      <c r="D4847" s="48"/>
      <c r="E4847" s="48"/>
      <c r="F4847" s="48"/>
      <c r="G4847" s="48"/>
      <c r="H4847" s="48"/>
      <c r="I4847" s="48"/>
    </row>
    <row r="4848" spans="1:9" hidden="1" x14ac:dyDescent="0.2">
      <c r="A4848" s="46"/>
      <c r="B4848" s="46"/>
      <c r="C4848" s="46"/>
      <c r="D4848" s="48"/>
      <c r="E4848" s="48"/>
      <c r="F4848" s="48"/>
      <c r="G4848" s="48"/>
      <c r="H4848" s="48"/>
      <c r="I4848" s="48"/>
    </row>
    <row r="4849" spans="1:9" hidden="1" x14ac:dyDescent="0.2">
      <c r="A4849" s="46"/>
      <c r="B4849" s="46"/>
      <c r="C4849" s="46"/>
      <c r="D4849" s="48"/>
      <c r="E4849" s="48"/>
      <c r="F4849" s="48"/>
      <c r="G4849" s="48"/>
      <c r="H4849" s="48"/>
      <c r="I4849" s="48"/>
    </row>
    <row r="4850" spans="1:9" hidden="1" x14ac:dyDescent="0.2">
      <c r="A4850" s="46"/>
      <c r="B4850" s="46"/>
      <c r="C4850" s="46"/>
      <c r="D4850" s="48"/>
      <c r="E4850" s="48"/>
      <c r="F4850" s="48"/>
      <c r="G4850" s="48"/>
      <c r="H4850" s="48"/>
      <c r="I4850" s="48"/>
    </row>
    <row r="4851" spans="1:9" hidden="1" x14ac:dyDescent="0.2">
      <c r="A4851" s="46"/>
      <c r="B4851" s="46"/>
      <c r="C4851" s="46"/>
      <c r="D4851" s="48"/>
      <c r="E4851" s="48"/>
      <c r="F4851" s="48"/>
      <c r="G4851" s="48"/>
      <c r="H4851" s="48"/>
      <c r="I4851" s="48"/>
    </row>
    <row r="4852" spans="1:9" hidden="1" x14ac:dyDescent="0.2">
      <c r="A4852" s="46"/>
      <c r="B4852" s="46"/>
      <c r="C4852" s="46"/>
      <c r="D4852" s="48"/>
      <c r="E4852" s="48"/>
      <c r="F4852" s="48"/>
      <c r="G4852" s="48"/>
      <c r="H4852" s="48"/>
      <c r="I4852" s="48"/>
    </row>
    <row r="4853" spans="1:9" hidden="1" x14ac:dyDescent="0.2">
      <c r="A4853" s="46"/>
      <c r="B4853" s="46"/>
      <c r="C4853" s="46"/>
      <c r="D4853" s="48"/>
      <c r="E4853" s="48"/>
      <c r="F4853" s="48"/>
      <c r="G4853" s="48"/>
      <c r="H4853" s="48"/>
      <c r="I4853" s="48"/>
    </row>
    <row r="4854" spans="1:9" hidden="1" x14ac:dyDescent="0.2">
      <c r="A4854" s="46"/>
      <c r="B4854" s="46"/>
      <c r="C4854" s="46"/>
      <c r="D4854" s="48"/>
      <c r="E4854" s="48"/>
      <c r="F4854" s="48"/>
      <c r="G4854" s="48"/>
      <c r="H4854" s="48"/>
      <c r="I4854" s="48"/>
    </row>
    <row r="4855" spans="1:9" hidden="1" x14ac:dyDescent="0.2">
      <c r="A4855" s="46"/>
      <c r="B4855" s="46"/>
      <c r="C4855" s="46"/>
      <c r="D4855" s="48"/>
      <c r="E4855" s="48"/>
      <c r="F4855" s="48"/>
      <c r="G4855" s="48"/>
      <c r="H4855" s="48"/>
      <c r="I4855" s="48"/>
    </row>
    <row r="4856" spans="1:9" hidden="1" x14ac:dyDescent="0.2">
      <c r="A4856" s="46"/>
      <c r="B4856" s="46"/>
      <c r="C4856" s="46"/>
      <c r="D4856" s="48"/>
      <c r="E4856" s="48"/>
      <c r="F4856" s="48"/>
      <c r="G4856" s="48"/>
      <c r="H4856" s="48"/>
      <c r="I4856" s="48"/>
    </row>
    <row r="4857" spans="1:9" hidden="1" x14ac:dyDescent="0.2">
      <c r="A4857" s="46"/>
      <c r="B4857" s="46"/>
      <c r="C4857" s="46"/>
      <c r="D4857" s="48"/>
      <c r="E4857" s="48"/>
      <c r="F4857" s="48"/>
      <c r="G4857" s="48"/>
      <c r="H4857" s="48"/>
      <c r="I4857" s="48"/>
    </row>
    <row r="4858" spans="1:9" hidden="1" x14ac:dyDescent="0.2">
      <c r="A4858" s="46"/>
      <c r="B4858" s="46"/>
      <c r="C4858" s="46"/>
      <c r="D4858" s="48"/>
      <c r="E4858" s="48"/>
      <c r="F4858" s="48"/>
      <c r="G4858" s="48"/>
      <c r="H4858" s="48"/>
      <c r="I4858" s="48"/>
    </row>
    <row r="4859" spans="1:9" hidden="1" x14ac:dyDescent="0.2">
      <c r="A4859" s="46"/>
      <c r="B4859" s="46"/>
      <c r="C4859" s="46"/>
      <c r="D4859" s="48"/>
      <c r="E4859" s="48"/>
      <c r="F4859" s="48"/>
      <c r="G4859" s="48"/>
      <c r="H4859" s="48"/>
      <c r="I4859" s="48"/>
    </row>
    <row r="4860" spans="1:9" hidden="1" x14ac:dyDescent="0.2">
      <c r="A4860" s="46"/>
      <c r="B4860" s="46"/>
      <c r="C4860" s="46"/>
      <c r="D4860" s="48"/>
      <c r="E4860" s="48"/>
      <c r="F4860" s="48"/>
      <c r="G4860" s="48"/>
      <c r="H4860" s="48"/>
      <c r="I4860" s="48"/>
    </row>
    <row r="4861" spans="1:9" hidden="1" x14ac:dyDescent="0.2">
      <c r="A4861" s="46"/>
      <c r="B4861" s="46"/>
      <c r="C4861" s="46"/>
      <c r="D4861" s="48"/>
      <c r="E4861" s="48"/>
      <c r="F4861" s="48"/>
      <c r="G4861" s="48"/>
      <c r="H4861" s="48"/>
      <c r="I4861" s="48"/>
    </row>
    <row r="4862" spans="1:9" hidden="1" x14ac:dyDescent="0.2">
      <c r="A4862" s="46"/>
      <c r="B4862" s="46"/>
      <c r="C4862" s="46"/>
      <c r="D4862" s="48"/>
      <c r="E4862" s="48"/>
      <c r="F4862" s="48"/>
      <c r="G4862" s="48"/>
      <c r="H4862" s="48"/>
      <c r="I4862" s="48"/>
    </row>
    <row r="4863" spans="1:9" hidden="1" x14ac:dyDescent="0.2">
      <c r="A4863" s="46"/>
      <c r="B4863" s="46"/>
      <c r="C4863" s="46"/>
      <c r="D4863" s="48"/>
      <c r="E4863" s="48"/>
      <c r="F4863" s="48"/>
      <c r="G4863" s="48"/>
      <c r="H4863" s="48"/>
      <c r="I4863" s="48"/>
    </row>
    <row r="4864" spans="1:9" hidden="1" x14ac:dyDescent="0.2">
      <c r="A4864" s="46"/>
      <c r="B4864" s="46"/>
      <c r="C4864" s="46"/>
      <c r="D4864" s="48"/>
      <c r="E4864" s="48"/>
      <c r="F4864" s="48"/>
      <c r="G4864" s="48"/>
      <c r="H4864" s="48"/>
      <c r="I4864" s="48"/>
    </row>
    <row r="4865" spans="1:9" hidden="1" x14ac:dyDescent="0.2">
      <c r="A4865" s="46"/>
      <c r="B4865" s="46"/>
      <c r="C4865" s="46"/>
      <c r="D4865" s="48"/>
      <c r="E4865" s="48"/>
      <c r="F4865" s="48"/>
      <c r="G4865" s="48"/>
      <c r="H4865" s="48"/>
      <c r="I4865" s="48"/>
    </row>
    <row r="4866" spans="1:9" hidden="1" x14ac:dyDescent="0.2">
      <c r="A4866" s="46"/>
      <c r="B4866" s="46"/>
      <c r="C4866" s="46"/>
      <c r="D4866" s="48"/>
      <c r="E4866" s="48"/>
      <c r="F4866" s="48"/>
      <c r="G4866" s="48"/>
      <c r="H4866" s="48"/>
      <c r="I4866" s="48"/>
    </row>
    <row r="4867" spans="1:9" hidden="1" x14ac:dyDescent="0.2">
      <c r="A4867" s="46"/>
      <c r="B4867" s="46"/>
      <c r="C4867" s="46"/>
      <c r="D4867" s="48"/>
      <c r="E4867" s="48"/>
      <c r="F4867" s="48"/>
      <c r="G4867" s="48"/>
      <c r="H4867" s="48"/>
      <c r="I4867" s="48"/>
    </row>
    <row r="4868" spans="1:9" hidden="1" x14ac:dyDescent="0.2">
      <c r="A4868" s="46"/>
      <c r="B4868" s="46"/>
      <c r="C4868" s="46"/>
      <c r="D4868" s="48"/>
      <c r="E4868" s="48"/>
      <c r="F4868" s="48"/>
      <c r="G4868" s="48"/>
      <c r="H4868" s="48"/>
      <c r="I4868" s="48"/>
    </row>
    <row r="4869" spans="1:9" hidden="1" x14ac:dyDescent="0.2">
      <c r="A4869" s="46"/>
      <c r="B4869" s="46"/>
      <c r="C4869" s="46"/>
      <c r="D4869" s="48"/>
      <c r="E4869" s="48"/>
      <c r="F4869" s="48"/>
      <c r="G4869" s="48"/>
      <c r="H4869" s="48"/>
      <c r="I4869" s="48"/>
    </row>
    <row r="4870" spans="1:9" hidden="1" x14ac:dyDescent="0.2">
      <c r="A4870" s="46"/>
      <c r="B4870" s="46"/>
      <c r="C4870" s="46"/>
      <c r="D4870" s="48"/>
      <c r="E4870" s="48"/>
      <c r="F4870" s="48"/>
      <c r="G4870" s="48"/>
      <c r="H4870" s="48"/>
      <c r="I4870" s="48"/>
    </row>
    <row r="4871" spans="1:9" hidden="1" x14ac:dyDescent="0.2">
      <c r="A4871" s="46"/>
      <c r="B4871" s="46"/>
      <c r="C4871" s="46"/>
      <c r="D4871" s="48"/>
      <c r="E4871" s="48"/>
      <c r="F4871" s="48"/>
      <c r="G4871" s="48"/>
      <c r="H4871" s="48"/>
      <c r="I4871" s="48"/>
    </row>
    <row r="4872" spans="1:9" hidden="1" x14ac:dyDescent="0.2">
      <c r="A4872" s="46"/>
      <c r="B4872" s="46"/>
      <c r="C4872" s="46"/>
      <c r="D4872" s="48"/>
      <c r="E4872" s="48"/>
      <c r="F4872" s="48"/>
      <c r="G4872" s="48"/>
      <c r="H4872" s="48"/>
      <c r="I4872" s="48"/>
    </row>
    <row r="4873" spans="1:9" hidden="1" x14ac:dyDescent="0.2">
      <c r="A4873" s="46"/>
      <c r="B4873" s="46"/>
      <c r="C4873" s="46"/>
      <c r="D4873" s="48"/>
      <c r="E4873" s="48"/>
      <c r="F4873" s="48"/>
      <c r="G4873" s="48"/>
      <c r="H4873" s="48"/>
      <c r="I4873" s="48"/>
    </row>
    <row r="4874" spans="1:9" hidden="1" x14ac:dyDescent="0.2">
      <c r="A4874" s="46"/>
      <c r="B4874" s="46"/>
      <c r="C4874" s="46"/>
      <c r="D4874" s="48"/>
      <c r="E4874" s="48"/>
      <c r="F4874" s="48"/>
      <c r="G4874" s="48"/>
      <c r="H4874" s="48"/>
      <c r="I4874" s="48"/>
    </row>
    <row r="4875" spans="1:9" hidden="1" x14ac:dyDescent="0.2">
      <c r="A4875" s="46"/>
      <c r="B4875" s="46"/>
      <c r="C4875" s="46"/>
      <c r="D4875" s="48"/>
      <c r="E4875" s="48"/>
      <c r="F4875" s="48"/>
      <c r="G4875" s="48"/>
      <c r="H4875" s="48"/>
      <c r="I4875" s="48"/>
    </row>
    <row r="4876" spans="1:9" hidden="1" x14ac:dyDescent="0.2">
      <c r="A4876" s="46"/>
      <c r="B4876" s="46"/>
      <c r="C4876" s="46"/>
      <c r="D4876" s="48"/>
      <c r="E4876" s="48"/>
      <c r="F4876" s="48"/>
      <c r="G4876" s="48"/>
      <c r="H4876" s="48"/>
      <c r="I4876" s="48"/>
    </row>
    <row r="4877" spans="1:9" hidden="1" x14ac:dyDescent="0.2">
      <c r="A4877" s="46"/>
      <c r="B4877" s="46"/>
      <c r="C4877" s="46"/>
      <c r="D4877" s="48"/>
      <c r="E4877" s="48"/>
      <c r="F4877" s="48"/>
      <c r="G4877" s="48"/>
      <c r="H4877" s="48"/>
      <c r="I4877" s="48"/>
    </row>
    <row r="4878" spans="1:9" hidden="1" x14ac:dyDescent="0.2">
      <c r="A4878" s="46"/>
      <c r="B4878" s="46"/>
      <c r="C4878" s="46"/>
      <c r="D4878" s="48"/>
      <c r="E4878" s="48"/>
      <c r="F4878" s="48"/>
      <c r="G4878" s="48"/>
      <c r="H4878" s="48"/>
      <c r="I4878" s="48"/>
    </row>
    <row r="4879" spans="1:9" hidden="1" x14ac:dyDescent="0.2">
      <c r="A4879" s="46"/>
      <c r="B4879" s="46"/>
      <c r="C4879" s="46"/>
      <c r="D4879" s="48"/>
      <c r="E4879" s="48"/>
      <c r="F4879" s="48"/>
      <c r="G4879" s="48"/>
      <c r="H4879" s="48"/>
      <c r="I4879" s="48"/>
    </row>
    <row r="4880" spans="1:9" hidden="1" x14ac:dyDescent="0.2">
      <c r="A4880" s="46"/>
      <c r="B4880" s="46"/>
      <c r="C4880" s="46"/>
      <c r="D4880" s="48"/>
      <c r="E4880" s="48"/>
      <c r="F4880" s="48"/>
      <c r="G4880" s="48"/>
      <c r="H4880" s="48"/>
      <c r="I4880" s="48"/>
    </row>
    <row r="4881" spans="1:9" hidden="1" x14ac:dyDescent="0.2">
      <c r="A4881" s="46"/>
      <c r="B4881" s="46"/>
      <c r="C4881" s="46"/>
      <c r="D4881" s="48"/>
      <c r="E4881" s="48"/>
      <c r="F4881" s="48"/>
      <c r="G4881" s="48"/>
      <c r="H4881" s="48"/>
      <c r="I4881" s="48"/>
    </row>
    <row r="4882" spans="1:9" hidden="1" x14ac:dyDescent="0.2">
      <c r="A4882" s="46"/>
      <c r="B4882" s="46"/>
      <c r="C4882" s="46"/>
      <c r="D4882" s="48"/>
      <c r="E4882" s="48"/>
      <c r="F4882" s="48"/>
      <c r="G4882" s="48"/>
      <c r="H4882" s="48"/>
      <c r="I4882" s="48"/>
    </row>
    <row r="4883" spans="1:9" hidden="1" x14ac:dyDescent="0.2">
      <c r="A4883" s="46"/>
      <c r="B4883" s="46"/>
      <c r="C4883" s="46"/>
      <c r="D4883" s="48"/>
      <c r="E4883" s="48"/>
      <c r="F4883" s="48"/>
      <c r="G4883" s="48"/>
      <c r="H4883" s="48"/>
      <c r="I4883" s="48"/>
    </row>
    <row r="4884" spans="1:9" hidden="1" x14ac:dyDescent="0.2">
      <c r="A4884" s="46"/>
      <c r="B4884" s="46"/>
      <c r="C4884" s="46"/>
      <c r="D4884" s="48"/>
      <c r="E4884" s="48"/>
      <c r="F4884" s="48"/>
      <c r="G4884" s="48"/>
      <c r="H4884" s="48"/>
      <c r="I4884" s="48"/>
    </row>
    <row r="4885" spans="1:9" hidden="1" x14ac:dyDescent="0.2">
      <c r="A4885" s="46"/>
      <c r="B4885" s="46"/>
      <c r="C4885" s="46"/>
      <c r="D4885" s="48"/>
      <c r="E4885" s="48"/>
      <c r="F4885" s="48"/>
      <c r="G4885" s="48"/>
      <c r="H4885" s="48"/>
      <c r="I4885" s="48"/>
    </row>
    <row r="4886" spans="1:9" hidden="1" x14ac:dyDescent="0.2">
      <c r="A4886" s="46"/>
      <c r="B4886" s="46"/>
      <c r="C4886" s="46"/>
      <c r="D4886" s="48"/>
      <c r="E4886" s="48"/>
      <c r="F4886" s="48"/>
      <c r="G4886" s="48"/>
      <c r="H4886" s="48"/>
      <c r="I4886" s="48"/>
    </row>
    <row r="4887" spans="1:9" hidden="1" x14ac:dyDescent="0.2">
      <c r="A4887" s="46"/>
      <c r="B4887" s="46"/>
      <c r="C4887" s="46"/>
      <c r="D4887" s="48"/>
      <c r="E4887" s="48"/>
      <c r="F4887" s="48"/>
      <c r="G4887" s="48"/>
      <c r="H4887" s="48"/>
      <c r="I4887" s="48"/>
    </row>
    <row r="4888" spans="1:9" hidden="1" x14ac:dyDescent="0.2">
      <c r="A4888" s="46"/>
      <c r="B4888" s="46"/>
      <c r="C4888" s="46"/>
      <c r="D4888" s="48"/>
      <c r="E4888" s="48"/>
      <c r="F4888" s="48"/>
      <c r="G4888" s="48"/>
      <c r="H4888" s="48"/>
      <c r="I4888" s="48"/>
    </row>
    <row r="4889" spans="1:9" hidden="1" x14ac:dyDescent="0.2">
      <c r="A4889" s="46"/>
      <c r="B4889" s="46"/>
      <c r="C4889" s="46"/>
      <c r="D4889" s="48"/>
      <c r="E4889" s="48"/>
      <c r="F4889" s="48"/>
      <c r="G4889" s="48"/>
      <c r="H4889" s="48"/>
      <c r="I4889" s="48"/>
    </row>
    <row r="4890" spans="1:9" hidden="1" x14ac:dyDescent="0.2">
      <c r="A4890" s="46"/>
      <c r="B4890" s="46"/>
      <c r="C4890" s="46"/>
      <c r="D4890" s="48"/>
      <c r="E4890" s="48"/>
      <c r="F4890" s="48"/>
      <c r="G4890" s="48"/>
      <c r="H4890" s="48"/>
      <c r="I4890" s="48"/>
    </row>
    <row r="4891" spans="1:9" hidden="1" x14ac:dyDescent="0.2">
      <c r="A4891" s="46"/>
      <c r="B4891" s="46"/>
      <c r="C4891" s="46"/>
      <c r="D4891" s="48"/>
      <c r="E4891" s="48"/>
      <c r="F4891" s="48"/>
      <c r="G4891" s="48"/>
      <c r="H4891" s="48"/>
      <c r="I4891" s="48"/>
    </row>
    <row r="4892" spans="1:9" hidden="1" x14ac:dyDescent="0.2">
      <c r="A4892" s="46"/>
      <c r="B4892" s="46"/>
      <c r="C4892" s="46"/>
      <c r="D4892" s="48"/>
      <c r="E4892" s="48"/>
      <c r="F4892" s="48"/>
      <c r="G4892" s="48"/>
      <c r="H4892" s="48"/>
      <c r="I4892" s="48"/>
    </row>
    <row r="4893" spans="1:9" hidden="1" x14ac:dyDescent="0.2">
      <c r="A4893" s="46"/>
      <c r="B4893" s="46"/>
      <c r="C4893" s="46"/>
      <c r="D4893" s="48"/>
      <c r="E4893" s="48"/>
      <c r="F4893" s="48"/>
      <c r="G4893" s="48"/>
      <c r="H4893" s="48"/>
      <c r="I4893" s="48"/>
    </row>
    <row r="4894" spans="1:9" hidden="1" x14ac:dyDescent="0.2">
      <c r="A4894" s="46"/>
      <c r="B4894" s="46"/>
      <c r="C4894" s="46"/>
      <c r="D4894" s="48"/>
      <c r="E4894" s="48"/>
      <c r="F4894" s="48"/>
      <c r="G4894" s="48"/>
      <c r="H4894" s="48"/>
      <c r="I4894" s="48"/>
    </row>
    <row r="4895" spans="1:9" hidden="1" x14ac:dyDescent="0.2">
      <c r="A4895" s="46"/>
      <c r="B4895" s="46"/>
      <c r="C4895" s="46"/>
      <c r="D4895" s="48"/>
      <c r="E4895" s="48"/>
      <c r="F4895" s="48"/>
      <c r="G4895" s="48"/>
      <c r="H4895" s="48"/>
      <c r="I4895" s="48"/>
    </row>
    <row r="4896" spans="1:9" hidden="1" x14ac:dyDescent="0.2">
      <c r="A4896" s="46"/>
      <c r="B4896" s="46"/>
      <c r="C4896" s="46"/>
      <c r="D4896" s="48"/>
      <c r="E4896" s="48"/>
      <c r="F4896" s="48"/>
      <c r="G4896" s="48"/>
      <c r="H4896" s="48"/>
      <c r="I4896" s="48"/>
    </row>
    <row r="4897" spans="1:9" hidden="1" x14ac:dyDescent="0.2">
      <c r="A4897" s="46"/>
      <c r="B4897" s="46"/>
      <c r="C4897" s="46"/>
      <c r="D4897" s="48"/>
      <c r="E4897" s="48"/>
      <c r="F4897" s="48"/>
      <c r="G4897" s="48"/>
      <c r="H4897" s="48"/>
      <c r="I4897" s="48"/>
    </row>
    <row r="4898" spans="1:9" hidden="1" x14ac:dyDescent="0.2">
      <c r="A4898" s="46"/>
      <c r="B4898" s="46"/>
      <c r="C4898" s="46"/>
      <c r="D4898" s="48"/>
      <c r="E4898" s="48"/>
      <c r="F4898" s="48"/>
      <c r="G4898" s="48"/>
      <c r="H4898" s="48"/>
      <c r="I4898" s="48"/>
    </row>
    <row r="4899" spans="1:9" hidden="1" x14ac:dyDescent="0.2">
      <c r="A4899" s="46"/>
      <c r="B4899" s="46"/>
      <c r="C4899" s="46"/>
      <c r="D4899" s="48"/>
      <c r="E4899" s="48"/>
      <c r="F4899" s="48"/>
      <c r="G4899" s="48"/>
      <c r="H4899" s="48"/>
      <c r="I4899" s="48"/>
    </row>
    <row r="4900" spans="1:9" hidden="1" x14ac:dyDescent="0.2">
      <c r="A4900" s="46"/>
      <c r="B4900" s="46"/>
      <c r="C4900" s="46"/>
      <c r="D4900" s="48"/>
      <c r="E4900" s="48"/>
      <c r="F4900" s="48"/>
      <c r="G4900" s="48"/>
      <c r="H4900" s="48"/>
      <c r="I4900" s="48"/>
    </row>
    <row r="4901" spans="1:9" hidden="1" x14ac:dyDescent="0.2">
      <c r="A4901" s="46"/>
      <c r="B4901" s="46"/>
      <c r="C4901" s="46"/>
      <c r="D4901" s="48"/>
      <c r="E4901" s="48"/>
      <c r="F4901" s="48"/>
      <c r="G4901" s="48"/>
      <c r="H4901" s="48"/>
      <c r="I4901" s="48"/>
    </row>
    <row r="4902" spans="1:9" hidden="1" x14ac:dyDescent="0.2">
      <c r="A4902" s="46"/>
      <c r="B4902" s="46"/>
      <c r="C4902" s="46"/>
      <c r="D4902" s="48"/>
      <c r="E4902" s="48"/>
      <c r="F4902" s="48"/>
      <c r="G4902" s="48"/>
      <c r="H4902" s="48"/>
      <c r="I4902" s="48"/>
    </row>
    <row r="4903" spans="1:9" hidden="1" x14ac:dyDescent="0.2">
      <c r="A4903" s="46"/>
      <c r="B4903" s="46"/>
      <c r="C4903" s="46"/>
      <c r="D4903" s="48"/>
      <c r="E4903" s="48"/>
      <c r="F4903" s="48"/>
      <c r="G4903" s="48"/>
      <c r="H4903" s="48"/>
      <c r="I4903" s="48"/>
    </row>
    <row r="4904" spans="1:9" hidden="1" x14ac:dyDescent="0.2">
      <c r="A4904" s="46"/>
      <c r="B4904" s="46"/>
      <c r="C4904" s="46"/>
      <c r="D4904" s="48"/>
      <c r="E4904" s="48"/>
      <c r="F4904" s="48"/>
      <c r="G4904" s="48"/>
      <c r="H4904" s="48"/>
      <c r="I4904" s="48"/>
    </row>
    <row r="4905" spans="1:9" hidden="1" x14ac:dyDescent="0.2">
      <c r="A4905" s="46"/>
      <c r="B4905" s="46"/>
      <c r="C4905" s="46"/>
      <c r="D4905" s="48"/>
      <c r="E4905" s="48"/>
      <c r="F4905" s="48"/>
      <c r="G4905" s="48"/>
      <c r="H4905" s="48"/>
      <c r="I4905" s="48"/>
    </row>
    <row r="4906" spans="1:9" hidden="1" x14ac:dyDescent="0.2">
      <c r="A4906" s="46"/>
      <c r="B4906" s="46"/>
      <c r="C4906" s="46"/>
      <c r="D4906" s="48"/>
      <c r="E4906" s="48"/>
      <c r="F4906" s="48"/>
      <c r="G4906" s="48"/>
      <c r="H4906" s="48"/>
      <c r="I4906" s="48"/>
    </row>
    <row r="4907" spans="1:9" hidden="1" x14ac:dyDescent="0.2">
      <c r="A4907" s="46"/>
      <c r="B4907" s="46"/>
      <c r="C4907" s="46"/>
      <c r="D4907" s="48"/>
      <c r="E4907" s="48"/>
      <c r="F4907" s="48"/>
      <c r="G4907" s="48"/>
      <c r="H4907" s="48"/>
      <c r="I4907" s="48"/>
    </row>
    <row r="4908" spans="1:9" hidden="1" x14ac:dyDescent="0.2">
      <c r="A4908" s="46"/>
      <c r="B4908" s="46"/>
      <c r="C4908" s="46"/>
      <c r="D4908" s="48"/>
      <c r="E4908" s="48"/>
      <c r="F4908" s="48"/>
      <c r="G4908" s="48"/>
      <c r="H4908" s="48"/>
      <c r="I4908" s="48"/>
    </row>
    <row r="4909" spans="1:9" hidden="1" x14ac:dyDescent="0.2">
      <c r="A4909" s="46"/>
      <c r="B4909" s="46"/>
      <c r="C4909" s="46"/>
      <c r="D4909" s="48"/>
      <c r="E4909" s="48"/>
      <c r="F4909" s="48"/>
      <c r="G4909" s="48"/>
      <c r="H4909" s="48"/>
      <c r="I4909" s="48"/>
    </row>
    <row r="4910" spans="1:9" hidden="1" x14ac:dyDescent="0.2">
      <c r="A4910" s="46"/>
      <c r="B4910" s="46"/>
      <c r="C4910" s="46"/>
      <c r="D4910" s="48"/>
      <c r="E4910" s="48"/>
      <c r="F4910" s="48"/>
      <c r="G4910" s="48"/>
      <c r="H4910" s="48"/>
      <c r="I4910" s="48"/>
    </row>
    <row r="4911" spans="1:9" hidden="1" x14ac:dyDescent="0.2">
      <c r="A4911" s="46"/>
      <c r="B4911" s="46"/>
      <c r="C4911" s="46"/>
      <c r="D4911" s="48"/>
      <c r="E4911" s="48"/>
      <c r="F4911" s="48"/>
      <c r="G4911" s="48"/>
      <c r="H4911" s="48"/>
      <c r="I4911" s="48"/>
    </row>
    <row r="4912" spans="1:9" hidden="1" x14ac:dyDescent="0.2">
      <c r="A4912" s="46"/>
      <c r="B4912" s="46"/>
      <c r="C4912" s="46"/>
      <c r="D4912" s="48"/>
      <c r="E4912" s="48"/>
      <c r="F4912" s="48"/>
      <c r="G4912" s="48"/>
      <c r="H4912" s="48"/>
      <c r="I4912" s="48"/>
    </row>
    <row r="4913" spans="1:9" hidden="1" x14ac:dyDescent="0.2">
      <c r="A4913" s="46"/>
      <c r="B4913" s="46"/>
      <c r="C4913" s="46"/>
      <c r="D4913" s="48"/>
      <c r="E4913" s="48"/>
      <c r="F4913" s="48"/>
      <c r="G4913" s="48"/>
      <c r="H4913" s="48"/>
      <c r="I4913" s="48"/>
    </row>
    <row r="4914" spans="1:9" hidden="1" x14ac:dyDescent="0.2">
      <c r="A4914" s="46"/>
      <c r="B4914" s="46"/>
      <c r="C4914" s="46"/>
      <c r="D4914" s="48"/>
      <c r="E4914" s="48"/>
      <c r="F4914" s="48"/>
      <c r="G4914" s="48"/>
      <c r="H4914" s="48"/>
      <c r="I4914" s="48"/>
    </row>
    <row r="4915" spans="1:9" hidden="1" x14ac:dyDescent="0.2">
      <c r="A4915" s="46"/>
      <c r="B4915" s="46"/>
      <c r="C4915" s="46"/>
      <c r="D4915" s="48"/>
      <c r="E4915" s="48"/>
      <c r="F4915" s="48"/>
      <c r="G4915" s="48"/>
      <c r="H4915" s="48"/>
      <c r="I4915" s="48"/>
    </row>
    <row r="4916" spans="1:9" hidden="1" x14ac:dyDescent="0.2">
      <c r="A4916" s="46"/>
      <c r="B4916" s="46"/>
      <c r="C4916" s="46"/>
      <c r="D4916" s="48"/>
      <c r="E4916" s="48"/>
      <c r="F4916" s="48"/>
      <c r="G4916" s="48"/>
      <c r="H4916" s="48"/>
      <c r="I4916" s="48"/>
    </row>
    <row r="4917" spans="1:9" hidden="1" x14ac:dyDescent="0.2">
      <c r="A4917" s="46"/>
      <c r="B4917" s="46"/>
      <c r="C4917" s="46"/>
      <c r="D4917" s="48"/>
      <c r="E4917" s="48"/>
      <c r="F4917" s="48"/>
      <c r="G4917" s="48"/>
      <c r="H4917" s="48"/>
      <c r="I4917" s="48"/>
    </row>
    <row r="4918" spans="1:9" hidden="1" x14ac:dyDescent="0.2">
      <c r="A4918" s="46"/>
      <c r="B4918" s="46"/>
      <c r="C4918" s="46"/>
      <c r="D4918" s="48"/>
      <c r="E4918" s="48"/>
      <c r="F4918" s="48"/>
      <c r="G4918" s="48"/>
      <c r="H4918" s="48"/>
      <c r="I4918" s="48"/>
    </row>
    <row r="4919" spans="1:9" hidden="1" x14ac:dyDescent="0.2">
      <c r="A4919" s="46"/>
      <c r="B4919" s="46"/>
      <c r="C4919" s="46"/>
      <c r="D4919" s="48"/>
      <c r="E4919" s="48"/>
      <c r="F4919" s="48"/>
      <c r="G4919" s="48"/>
      <c r="H4919" s="48"/>
      <c r="I4919" s="48"/>
    </row>
    <row r="4920" spans="1:9" hidden="1" x14ac:dyDescent="0.2">
      <c r="A4920" s="46"/>
      <c r="B4920" s="46"/>
      <c r="C4920" s="46"/>
      <c r="D4920" s="48"/>
      <c r="E4920" s="48"/>
      <c r="F4920" s="48"/>
      <c r="G4920" s="48"/>
      <c r="H4920" s="48"/>
      <c r="I4920" s="48"/>
    </row>
    <row r="4921" spans="1:9" hidden="1" x14ac:dyDescent="0.2">
      <c r="A4921" s="46"/>
      <c r="B4921" s="46"/>
      <c r="C4921" s="46"/>
      <c r="D4921" s="48"/>
      <c r="E4921" s="48"/>
      <c r="F4921" s="48"/>
      <c r="G4921" s="48"/>
      <c r="H4921" s="48"/>
      <c r="I4921" s="48"/>
    </row>
    <row r="4922" spans="1:9" hidden="1" x14ac:dyDescent="0.2">
      <c r="A4922" s="46"/>
      <c r="B4922" s="46"/>
      <c r="C4922" s="46"/>
      <c r="D4922" s="48"/>
      <c r="E4922" s="48"/>
      <c r="F4922" s="48"/>
      <c r="G4922" s="48"/>
      <c r="H4922" s="48"/>
      <c r="I4922" s="48"/>
    </row>
    <row r="4923" spans="1:9" hidden="1" x14ac:dyDescent="0.2">
      <c r="A4923" s="46"/>
      <c r="B4923" s="46"/>
      <c r="C4923" s="46"/>
      <c r="D4923" s="48"/>
      <c r="E4923" s="48"/>
      <c r="F4923" s="48"/>
      <c r="G4923" s="48"/>
      <c r="H4923" s="48"/>
      <c r="I4923" s="48"/>
    </row>
    <row r="4924" spans="1:9" hidden="1" x14ac:dyDescent="0.2">
      <c r="A4924" s="46"/>
      <c r="B4924" s="46"/>
      <c r="C4924" s="46"/>
      <c r="D4924" s="48"/>
      <c r="E4924" s="48"/>
      <c r="F4924" s="48"/>
      <c r="G4924" s="48"/>
      <c r="H4924" s="48"/>
      <c r="I4924" s="48"/>
    </row>
    <row r="4925" spans="1:9" hidden="1" x14ac:dyDescent="0.2">
      <c r="A4925" s="46"/>
      <c r="B4925" s="46"/>
      <c r="C4925" s="46"/>
      <c r="D4925" s="48"/>
      <c r="E4925" s="48"/>
      <c r="F4925" s="48"/>
      <c r="G4925" s="48"/>
      <c r="H4925" s="48"/>
      <c r="I4925" s="48"/>
    </row>
    <row r="4926" spans="1:9" hidden="1" x14ac:dyDescent="0.2">
      <c r="A4926" s="46"/>
      <c r="B4926" s="46"/>
      <c r="C4926" s="46"/>
      <c r="D4926" s="48"/>
      <c r="E4926" s="48"/>
      <c r="F4926" s="48"/>
      <c r="G4926" s="48"/>
      <c r="H4926" s="48"/>
      <c r="I4926" s="48"/>
    </row>
    <row r="4927" spans="1:9" hidden="1" x14ac:dyDescent="0.2">
      <c r="A4927" s="46"/>
      <c r="B4927" s="46"/>
      <c r="C4927" s="46"/>
      <c r="D4927" s="48"/>
      <c r="E4927" s="48"/>
      <c r="F4927" s="48"/>
      <c r="G4927" s="48"/>
      <c r="H4927" s="48"/>
      <c r="I4927" s="48"/>
    </row>
    <row r="4928" spans="1:9" hidden="1" x14ac:dyDescent="0.2">
      <c r="A4928" s="46"/>
      <c r="B4928" s="46"/>
      <c r="C4928" s="46"/>
      <c r="D4928" s="48"/>
      <c r="E4928" s="48"/>
      <c r="F4928" s="48"/>
      <c r="G4928" s="48"/>
      <c r="H4928" s="48"/>
      <c r="I4928" s="48"/>
    </row>
    <row r="4929" spans="1:9" hidden="1" x14ac:dyDescent="0.2">
      <c r="A4929" s="46"/>
      <c r="B4929" s="46"/>
      <c r="C4929" s="46"/>
      <c r="D4929" s="48"/>
      <c r="E4929" s="48"/>
      <c r="F4929" s="48"/>
      <c r="G4929" s="48"/>
      <c r="H4929" s="48"/>
      <c r="I4929" s="48"/>
    </row>
    <row r="4930" spans="1:9" hidden="1" x14ac:dyDescent="0.2">
      <c r="A4930" s="46"/>
      <c r="B4930" s="46"/>
      <c r="C4930" s="46"/>
      <c r="D4930" s="48"/>
      <c r="E4930" s="48"/>
      <c r="F4930" s="48"/>
      <c r="G4930" s="48"/>
      <c r="H4930" s="48"/>
      <c r="I4930" s="48"/>
    </row>
    <row r="4931" spans="1:9" hidden="1" x14ac:dyDescent="0.2">
      <c r="A4931" s="46"/>
      <c r="B4931" s="46"/>
      <c r="C4931" s="46"/>
      <c r="D4931" s="48"/>
      <c r="E4931" s="48"/>
      <c r="F4931" s="48"/>
      <c r="G4931" s="48"/>
      <c r="H4931" s="48"/>
      <c r="I4931" s="48"/>
    </row>
    <row r="4932" spans="1:9" hidden="1" x14ac:dyDescent="0.2">
      <c r="A4932" s="46"/>
      <c r="B4932" s="46"/>
      <c r="C4932" s="46"/>
      <c r="D4932" s="48"/>
      <c r="E4932" s="48"/>
      <c r="F4932" s="48"/>
      <c r="G4932" s="48"/>
      <c r="H4932" s="48"/>
      <c r="I4932" s="48"/>
    </row>
    <row r="4933" spans="1:9" hidden="1" x14ac:dyDescent="0.2">
      <c r="A4933" s="46"/>
      <c r="B4933" s="46"/>
      <c r="C4933" s="46"/>
      <c r="D4933" s="48"/>
      <c r="E4933" s="48"/>
      <c r="F4933" s="48"/>
      <c r="G4933" s="48"/>
      <c r="H4933" s="48"/>
      <c r="I4933" s="48"/>
    </row>
    <row r="4934" spans="1:9" hidden="1" x14ac:dyDescent="0.2">
      <c r="A4934" s="46"/>
      <c r="B4934" s="46"/>
      <c r="C4934" s="46"/>
      <c r="D4934" s="48"/>
      <c r="E4934" s="48"/>
      <c r="F4934" s="48"/>
      <c r="G4934" s="48"/>
      <c r="H4934" s="48"/>
      <c r="I4934" s="48"/>
    </row>
    <row r="4935" spans="1:9" hidden="1" x14ac:dyDescent="0.2">
      <c r="A4935" s="46"/>
      <c r="B4935" s="46"/>
      <c r="C4935" s="46"/>
      <c r="D4935" s="48"/>
      <c r="E4935" s="48"/>
      <c r="F4935" s="48"/>
      <c r="G4935" s="48"/>
      <c r="H4935" s="48"/>
      <c r="I4935" s="48"/>
    </row>
    <row r="4936" spans="1:9" hidden="1" x14ac:dyDescent="0.2">
      <c r="A4936" s="46"/>
      <c r="B4936" s="46"/>
      <c r="C4936" s="46"/>
      <c r="D4936" s="48"/>
      <c r="E4936" s="48"/>
      <c r="F4936" s="48"/>
      <c r="G4936" s="48"/>
      <c r="H4936" s="48"/>
      <c r="I4936" s="48"/>
    </row>
    <row r="4937" spans="1:9" hidden="1" x14ac:dyDescent="0.2">
      <c r="A4937" s="46"/>
      <c r="B4937" s="46"/>
      <c r="C4937" s="46"/>
      <c r="D4937" s="48"/>
      <c r="E4937" s="48"/>
      <c r="F4937" s="48"/>
      <c r="G4937" s="48"/>
      <c r="H4937" s="48"/>
      <c r="I4937" s="48"/>
    </row>
    <row r="4938" spans="1:9" hidden="1" x14ac:dyDescent="0.2">
      <c r="A4938" s="46"/>
      <c r="B4938" s="46"/>
      <c r="C4938" s="46"/>
      <c r="D4938" s="48"/>
      <c r="E4938" s="48"/>
      <c r="F4938" s="48"/>
      <c r="G4938" s="48"/>
      <c r="H4938" s="48"/>
      <c r="I4938" s="48"/>
    </row>
    <row r="4939" spans="1:9" hidden="1" x14ac:dyDescent="0.2">
      <c r="A4939" s="46"/>
      <c r="B4939" s="46"/>
      <c r="C4939" s="46"/>
      <c r="D4939" s="48"/>
      <c r="E4939" s="48"/>
      <c r="F4939" s="48"/>
      <c r="G4939" s="48"/>
      <c r="H4939" s="48"/>
      <c r="I4939" s="48"/>
    </row>
    <row r="4940" spans="1:9" hidden="1" x14ac:dyDescent="0.2">
      <c r="A4940" s="46"/>
      <c r="B4940" s="46"/>
      <c r="C4940" s="46"/>
      <c r="D4940" s="48"/>
      <c r="E4940" s="48"/>
      <c r="F4940" s="48"/>
      <c r="G4940" s="48"/>
      <c r="H4940" s="48"/>
      <c r="I4940" s="48"/>
    </row>
    <row r="4941" spans="1:9" hidden="1" x14ac:dyDescent="0.2">
      <c r="A4941" s="46"/>
      <c r="B4941" s="46"/>
      <c r="C4941" s="46"/>
      <c r="D4941" s="48"/>
      <c r="E4941" s="48"/>
      <c r="F4941" s="48"/>
      <c r="G4941" s="48"/>
      <c r="H4941" s="48"/>
      <c r="I4941" s="48"/>
    </row>
    <row r="4942" spans="1:9" hidden="1" x14ac:dyDescent="0.2">
      <c r="A4942" s="46"/>
      <c r="B4942" s="46"/>
      <c r="C4942" s="46"/>
      <c r="D4942" s="48"/>
      <c r="E4942" s="48"/>
      <c r="F4942" s="48"/>
      <c r="G4942" s="48"/>
      <c r="H4942" s="48"/>
      <c r="I4942" s="48"/>
    </row>
    <row r="4943" spans="1:9" hidden="1" x14ac:dyDescent="0.2">
      <c r="A4943" s="46"/>
      <c r="B4943" s="46"/>
      <c r="C4943" s="46"/>
      <c r="D4943" s="48"/>
      <c r="E4943" s="48"/>
      <c r="F4943" s="48"/>
      <c r="G4943" s="48"/>
      <c r="H4943" s="48"/>
      <c r="I4943" s="48"/>
    </row>
    <row r="4944" spans="1:9" hidden="1" x14ac:dyDescent="0.2">
      <c r="A4944" s="46"/>
      <c r="B4944" s="46"/>
      <c r="C4944" s="46"/>
      <c r="D4944" s="48"/>
      <c r="E4944" s="48"/>
      <c r="F4944" s="48"/>
      <c r="G4944" s="48"/>
      <c r="H4944" s="48"/>
      <c r="I4944" s="48"/>
    </row>
    <row r="4945" spans="1:9" hidden="1" x14ac:dyDescent="0.2">
      <c r="A4945" s="46"/>
      <c r="B4945" s="46"/>
      <c r="C4945" s="46"/>
      <c r="D4945" s="48"/>
      <c r="E4945" s="48"/>
      <c r="F4945" s="48"/>
      <c r="G4945" s="48"/>
      <c r="H4945" s="48"/>
      <c r="I4945" s="48"/>
    </row>
    <row r="4946" spans="1:9" hidden="1" x14ac:dyDescent="0.2">
      <c r="A4946" s="46"/>
      <c r="B4946" s="46"/>
      <c r="C4946" s="46"/>
      <c r="D4946" s="48"/>
      <c r="E4946" s="48"/>
      <c r="F4946" s="48"/>
      <c r="G4946" s="48"/>
      <c r="H4946" s="48"/>
      <c r="I4946" s="48"/>
    </row>
    <row r="4947" spans="1:9" hidden="1" x14ac:dyDescent="0.2">
      <c r="A4947" s="46"/>
      <c r="B4947" s="46"/>
      <c r="C4947" s="46"/>
      <c r="D4947" s="48"/>
      <c r="E4947" s="48"/>
      <c r="F4947" s="48"/>
      <c r="G4947" s="48"/>
      <c r="H4947" s="48"/>
      <c r="I4947" s="48"/>
    </row>
    <row r="4948" spans="1:9" hidden="1" x14ac:dyDescent="0.2">
      <c r="A4948" s="46"/>
      <c r="B4948" s="46"/>
      <c r="C4948" s="46"/>
      <c r="D4948" s="48"/>
      <c r="E4948" s="48"/>
      <c r="F4948" s="48"/>
      <c r="G4948" s="48"/>
      <c r="H4948" s="48"/>
      <c r="I4948" s="48"/>
    </row>
    <row r="4949" spans="1:9" hidden="1" x14ac:dyDescent="0.2">
      <c r="A4949" s="46"/>
      <c r="B4949" s="46"/>
      <c r="C4949" s="46"/>
      <c r="D4949" s="48"/>
      <c r="E4949" s="48"/>
      <c r="F4949" s="48"/>
      <c r="G4949" s="48"/>
      <c r="H4949" s="48"/>
      <c r="I4949" s="48"/>
    </row>
    <row r="4950" spans="1:9" hidden="1" x14ac:dyDescent="0.2">
      <c r="A4950" s="46"/>
      <c r="B4950" s="46"/>
      <c r="C4950" s="46"/>
      <c r="D4950" s="48"/>
      <c r="E4950" s="48"/>
      <c r="F4950" s="48"/>
      <c r="G4950" s="48"/>
      <c r="H4950" s="48"/>
      <c r="I4950" s="48"/>
    </row>
    <row r="4951" spans="1:9" hidden="1" x14ac:dyDescent="0.2">
      <c r="A4951" s="46"/>
      <c r="B4951" s="46"/>
      <c r="C4951" s="46"/>
      <c r="D4951" s="48"/>
      <c r="E4951" s="48"/>
      <c r="F4951" s="48"/>
      <c r="G4951" s="48"/>
      <c r="H4951" s="48"/>
      <c r="I4951" s="48"/>
    </row>
    <row r="4952" spans="1:9" hidden="1" x14ac:dyDescent="0.2">
      <c r="A4952" s="46"/>
      <c r="B4952" s="46"/>
      <c r="C4952" s="46"/>
      <c r="D4952" s="48"/>
      <c r="E4952" s="48"/>
      <c r="F4952" s="48"/>
      <c r="G4952" s="48"/>
      <c r="H4952" s="48"/>
      <c r="I4952" s="48"/>
    </row>
    <row r="4953" spans="1:9" hidden="1" x14ac:dyDescent="0.2">
      <c r="A4953" s="46"/>
      <c r="B4953" s="46"/>
      <c r="C4953" s="46"/>
      <c r="D4953" s="48"/>
      <c r="E4953" s="48"/>
      <c r="F4953" s="48"/>
      <c r="G4953" s="48"/>
      <c r="H4953" s="48"/>
      <c r="I4953" s="48"/>
    </row>
    <row r="4954" spans="1:9" hidden="1" x14ac:dyDescent="0.2">
      <c r="A4954" s="46"/>
      <c r="B4954" s="46"/>
      <c r="C4954" s="46"/>
      <c r="D4954" s="48"/>
      <c r="E4954" s="48"/>
      <c r="F4954" s="48"/>
      <c r="G4954" s="48"/>
      <c r="H4954" s="48"/>
      <c r="I4954" s="48"/>
    </row>
    <row r="4955" spans="1:9" hidden="1" x14ac:dyDescent="0.2">
      <c r="A4955" s="46"/>
      <c r="B4955" s="46"/>
      <c r="C4955" s="46"/>
      <c r="D4955" s="48"/>
      <c r="E4955" s="48"/>
      <c r="F4955" s="48"/>
      <c r="G4955" s="48"/>
      <c r="H4955" s="48"/>
      <c r="I4955" s="48"/>
    </row>
    <row r="4956" spans="1:9" hidden="1" x14ac:dyDescent="0.2">
      <c r="A4956" s="46"/>
      <c r="B4956" s="46"/>
      <c r="C4956" s="46"/>
      <c r="D4956" s="48"/>
      <c r="E4956" s="48"/>
      <c r="F4956" s="48"/>
      <c r="G4956" s="48"/>
      <c r="H4956" s="48"/>
      <c r="I4956" s="48"/>
    </row>
    <row r="4957" spans="1:9" hidden="1" x14ac:dyDescent="0.2">
      <c r="A4957" s="46"/>
      <c r="B4957" s="46"/>
      <c r="C4957" s="46"/>
      <c r="D4957" s="48"/>
      <c r="E4957" s="48"/>
      <c r="F4957" s="48"/>
      <c r="G4957" s="48"/>
      <c r="H4957" s="48"/>
      <c r="I4957" s="48"/>
    </row>
    <row r="4958" spans="1:9" hidden="1" x14ac:dyDescent="0.2">
      <c r="A4958" s="46"/>
      <c r="B4958" s="46"/>
      <c r="C4958" s="46"/>
      <c r="D4958" s="48"/>
      <c r="E4958" s="48"/>
      <c r="F4958" s="48"/>
      <c r="G4958" s="48"/>
      <c r="H4958" s="48"/>
      <c r="I4958" s="48"/>
    </row>
    <row r="4959" spans="1:9" hidden="1" x14ac:dyDescent="0.2">
      <c r="A4959" s="46"/>
      <c r="B4959" s="46"/>
      <c r="C4959" s="46"/>
      <c r="D4959" s="48"/>
      <c r="E4959" s="48"/>
      <c r="F4959" s="48"/>
      <c r="G4959" s="48"/>
      <c r="H4959" s="48"/>
      <c r="I4959" s="48"/>
    </row>
    <row r="4960" spans="1:9" hidden="1" x14ac:dyDescent="0.2">
      <c r="A4960" s="46"/>
      <c r="B4960" s="46"/>
      <c r="C4960" s="46"/>
      <c r="D4960" s="48"/>
      <c r="E4960" s="48"/>
      <c r="F4960" s="48"/>
      <c r="G4960" s="48"/>
      <c r="H4960" s="48"/>
      <c r="I4960" s="48"/>
    </row>
    <row r="4961" spans="1:9" hidden="1" x14ac:dyDescent="0.2">
      <c r="A4961" s="46"/>
      <c r="B4961" s="46"/>
      <c r="C4961" s="46"/>
      <c r="D4961" s="48"/>
      <c r="E4961" s="48"/>
      <c r="F4961" s="48"/>
      <c r="G4961" s="48"/>
      <c r="H4961" s="48"/>
      <c r="I4961" s="48"/>
    </row>
    <row r="4962" spans="1:9" hidden="1" x14ac:dyDescent="0.2">
      <c r="A4962" s="46"/>
      <c r="B4962" s="46"/>
      <c r="C4962" s="46"/>
      <c r="D4962" s="48"/>
      <c r="E4962" s="48"/>
      <c r="F4962" s="48"/>
      <c r="G4962" s="48"/>
      <c r="H4962" s="48"/>
      <c r="I4962" s="48"/>
    </row>
    <row r="4963" spans="1:9" hidden="1" x14ac:dyDescent="0.2">
      <c r="A4963" s="46"/>
      <c r="B4963" s="46"/>
      <c r="C4963" s="46"/>
      <c r="D4963" s="48"/>
      <c r="E4963" s="48"/>
      <c r="F4963" s="48"/>
      <c r="G4963" s="48"/>
      <c r="H4963" s="48"/>
      <c r="I4963" s="48"/>
    </row>
    <row r="4964" spans="1:9" hidden="1" x14ac:dyDescent="0.2">
      <c r="A4964" s="46"/>
      <c r="B4964" s="46"/>
      <c r="C4964" s="46"/>
      <c r="D4964" s="48"/>
      <c r="E4964" s="48"/>
      <c r="F4964" s="48"/>
      <c r="G4964" s="48"/>
      <c r="H4964" s="48"/>
      <c r="I4964" s="48"/>
    </row>
    <row r="4965" spans="1:9" hidden="1" x14ac:dyDescent="0.2">
      <c r="A4965" s="46"/>
      <c r="B4965" s="46"/>
      <c r="C4965" s="46"/>
      <c r="D4965" s="48"/>
      <c r="E4965" s="48"/>
      <c r="F4965" s="48"/>
      <c r="G4965" s="48"/>
      <c r="H4965" s="48"/>
      <c r="I4965" s="48"/>
    </row>
    <row r="4966" spans="1:9" hidden="1" x14ac:dyDescent="0.2">
      <c r="A4966" s="46"/>
      <c r="B4966" s="46"/>
      <c r="C4966" s="46"/>
      <c r="D4966" s="48"/>
      <c r="E4966" s="48"/>
      <c r="F4966" s="48"/>
      <c r="G4966" s="48"/>
      <c r="H4966" s="48"/>
      <c r="I4966" s="48"/>
    </row>
    <row r="4967" spans="1:9" hidden="1" x14ac:dyDescent="0.2">
      <c r="A4967" s="46"/>
      <c r="B4967" s="46"/>
      <c r="C4967" s="46"/>
      <c r="D4967" s="48"/>
      <c r="E4967" s="48"/>
      <c r="F4967" s="48"/>
      <c r="G4967" s="48"/>
      <c r="H4967" s="48"/>
      <c r="I4967" s="48"/>
    </row>
    <row r="4968" spans="1:9" hidden="1" x14ac:dyDescent="0.2">
      <c r="A4968" s="46"/>
      <c r="B4968" s="46"/>
      <c r="C4968" s="46"/>
      <c r="D4968" s="48"/>
      <c r="E4968" s="48"/>
      <c r="F4968" s="48"/>
      <c r="G4968" s="48"/>
      <c r="H4968" s="48"/>
      <c r="I4968" s="48"/>
    </row>
    <row r="4969" spans="1:9" hidden="1" x14ac:dyDescent="0.2">
      <c r="A4969" s="46"/>
      <c r="B4969" s="46"/>
      <c r="C4969" s="46"/>
      <c r="D4969" s="48"/>
      <c r="E4969" s="48"/>
      <c r="F4969" s="48"/>
      <c r="G4969" s="48"/>
      <c r="H4969" s="48"/>
      <c r="I4969" s="48"/>
    </row>
    <row r="4970" spans="1:9" hidden="1" x14ac:dyDescent="0.2">
      <c r="A4970" s="46"/>
      <c r="B4970" s="46"/>
      <c r="C4970" s="46"/>
      <c r="D4970" s="48"/>
      <c r="E4970" s="48"/>
      <c r="F4970" s="48"/>
      <c r="G4970" s="48"/>
      <c r="H4970" s="48"/>
      <c r="I4970" s="48"/>
    </row>
    <row r="4971" spans="1:9" hidden="1" x14ac:dyDescent="0.2">
      <c r="A4971" s="46"/>
      <c r="B4971" s="46"/>
      <c r="C4971" s="46"/>
      <c r="D4971" s="48"/>
      <c r="E4971" s="48"/>
      <c r="F4971" s="48"/>
      <c r="G4971" s="48"/>
      <c r="H4971" s="48"/>
      <c r="I4971" s="48"/>
    </row>
    <row r="4972" spans="1:9" hidden="1" x14ac:dyDescent="0.2">
      <c r="A4972" s="46"/>
      <c r="B4972" s="46"/>
      <c r="C4972" s="46"/>
      <c r="D4972" s="48"/>
      <c r="E4972" s="48"/>
      <c r="F4972" s="48"/>
      <c r="G4972" s="48"/>
      <c r="H4972" s="48"/>
      <c r="I4972" s="48"/>
    </row>
    <row r="4973" spans="1:9" hidden="1" x14ac:dyDescent="0.2">
      <c r="A4973" s="46"/>
      <c r="B4973" s="46"/>
      <c r="C4973" s="46"/>
      <c r="D4973" s="48"/>
      <c r="E4973" s="48"/>
      <c r="F4973" s="48"/>
      <c r="G4973" s="48"/>
      <c r="H4973" s="48"/>
      <c r="I4973" s="48"/>
    </row>
    <row r="4974" spans="1:9" hidden="1" x14ac:dyDescent="0.2">
      <c r="A4974" s="46"/>
      <c r="B4974" s="46"/>
      <c r="C4974" s="46"/>
      <c r="D4974" s="48"/>
      <c r="E4974" s="48"/>
      <c r="F4974" s="48"/>
      <c r="G4974" s="48"/>
      <c r="H4974" s="48"/>
      <c r="I4974" s="48"/>
    </row>
    <row r="4975" spans="1:9" hidden="1" x14ac:dyDescent="0.2">
      <c r="A4975" s="46"/>
      <c r="B4975" s="46"/>
      <c r="C4975" s="46"/>
      <c r="D4975" s="48"/>
      <c r="E4975" s="48"/>
      <c r="F4975" s="48"/>
      <c r="G4975" s="48"/>
      <c r="H4975" s="48"/>
      <c r="I4975" s="48"/>
    </row>
    <row r="4976" spans="1:9" hidden="1" x14ac:dyDescent="0.2">
      <c r="A4976" s="46"/>
      <c r="B4976" s="46"/>
      <c r="C4976" s="46"/>
      <c r="D4976" s="48"/>
      <c r="E4976" s="48"/>
      <c r="F4976" s="48"/>
      <c r="G4976" s="48"/>
      <c r="H4976" s="48"/>
      <c r="I4976" s="48"/>
    </row>
    <row r="4977" spans="1:9" hidden="1" x14ac:dyDescent="0.2">
      <c r="A4977" s="46"/>
      <c r="B4977" s="46"/>
      <c r="C4977" s="46"/>
      <c r="D4977" s="48"/>
      <c r="E4977" s="48"/>
      <c r="F4977" s="48"/>
      <c r="G4977" s="48"/>
      <c r="H4977" s="48"/>
      <c r="I4977" s="48"/>
    </row>
    <row r="4978" spans="1:9" hidden="1" x14ac:dyDescent="0.2">
      <c r="A4978" s="46"/>
      <c r="B4978" s="46"/>
      <c r="C4978" s="46"/>
      <c r="D4978" s="48"/>
      <c r="E4978" s="48"/>
      <c r="F4978" s="48"/>
      <c r="G4978" s="48"/>
      <c r="H4978" s="48"/>
      <c r="I4978" s="48"/>
    </row>
    <row r="4979" spans="1:9" hidden="1" x14ac:dyDescent="0.2">
      <c r="A4979" s="46"/>
      <c r="B4979" s="46"/>
      <c r="C4979" s="46"/>
      <c r="D4979" s="48"/>
      <c r="E4979" s="48"/>
      <c r="F4979" s="48"/>
      <c r="G4979" s="48"/>
      <c r="H4979" s="48"/>
      <c r="I4979" s="48"/>
    </row>
    <row r="4980" spans="1:9" hidden="1" x14ac:dyDescent="0.2">
      <c r="A4980" s="46"/>
      <c r="B4980" s="46"/>
      <c r="C4980" s="46"/>
      <c r="D4980" s="48"/>
      <c r="E4980" s="48"/>
      <c r="F4980" s="48"/>
      <c r="G4980" s="48"/>
      <c r="H4980" s="48"/>
      <c r="I4980" s="48"/>
    </row>
    <row r="4981" spans="1:9" hidden="1" x14ac:dyDescent="0.2">
      <c r="A4981" s="46"/>
      <c r="B4981" s="46"/>
      <c r="C4981" s="46"/>
      <c r="D4981" s="48"/>
      <c r="E4981" s="48"/>
      <c r="F4981" s="48"/>
      <c r="G4981" s="48"/>
      <c r="H4981" s="48"/>
      <c r="I4981" s="48"/>
    </row>
    <row r="4982" spans="1:9" hidden="1" x14ac:dyDescent="0.2">
      <c r="A4982" s="46"/>
      <c r="B4982" s="46"/>
      <c r="C4982" s="46"/>
      <c r="D4982" s="48"/>
      <c r="E4982" s="48"/>
      <c r="F4982" s="48"/>
      <c r="G4982" s="48"/>
      <c r="H4982" s="48"/>
      <c r="I4982" s="48"/>
    </row>
    <row r="4983" spans="1:9" hidden="1" x14ac:dyDescent="0.2">
      <c r="A4983" s="46"/>
      <c r="B4983" s="46"/>
      <c r="C4983" s="46"/>
      <c r="D4983" s="48"/>
      <c r="E4983" s="48"/>
      <c r="F4983" s="48"/>
      <c r="G4983" s="48"/>
      <c r="H4983" s="48"/>
      <c r="I4983" s="48"/>
    </row>
    <row r="4984" spans="1:9" hidden="1" x14ac:dyDescent="0.2">
      <c r="A4984" s="46"/>
      <c r="B4984" s="46"/>
      <c r="C4984" s="46"/>
      <c r="D4984" s="48"/>
      <c r="E4984" s="48"/>
      <c r="F4984" s="48"/>
      <c r="G4984" s="48"/>
      <c r="H4984" s="48"/>
      <c r="I4984" s="48"/>
    </row>
    <row r="4985" spans="1:9" hidden="1" x14ac:dyDescent="0.2">
      <c r="A4985" s="46"/>
      <c r="B4985" s="46"/>
      <c r="C4985" s="46"/>
      <c r="D4985" s="48"/>
      <c r="E4985" s="48"/>
      <c r="F4985" s="48"/>
      <c r="G4985" s="48"/>
      <c r="H4985" s="48"/>
      <c r="I4985" s="48"/>
    </row>
    <row r="4986" spans="1:9" hidden="1" x14ac:dyDescent="0.2">
      <c r="A4986" s="46"/>
      <c r="B4986" s="46"/>
      <c r="C4986" s="46"/>
      <c r="D4986" s="48"/>
      <c r="E4986" s="48"/>
      <c r="F4986" s="48"/>
      <c r="G4986" s="48"/>
      <c r="H4986" s="48"/>
      <c r="I4986" s="48"/>
    </row>
    <row r="4987" spans="1:9" hidden="1" x14ac:dyDescent="0.2">
      <c r="A4987" s="46"/>
      <c r="B4987" s="46"/>
      <c r="C4987" s="46"/>
      <c r="D4987" s="48"/>
      <c r="E4987" s="48"/>
      <c r="F4987" s="48"/>
      <c r="G4987" s="48"/>
      <c r="H4987" s="48"/>
      <c r="I4987" s="48"/>
    </row>
    <row r="4988" spans="1:9" hidden="1" x14ac:dyDescent="0.2">
      <c r="A4988" s="46"/>
      <c r="B4988" s="46"/>
      <c r="C4988" s="46"/>
      <c r="D4988" s="48"/>
      <c r="E4988" s="48"/>
      <c r="F4988" s="48"/>
      <c r="G4988" s="48"/>
      <c r="H4988" s="48"/>
      <c r="I4988" s="48"/>
    </row>
    <row r="4989" spans="1:9" hidden="1" x14ac:dyDescent="0.2">
      <c r="A4989" s="46"/>
      <c r="B4989" s="46"/>
      <c r="C4989" s="46"/>
      <c r="D4989" s="48"/>
      <c r="E4989" s="48"/>
      <c r="F4989" s="48"/>
      <c r="G4989" s="48"/>
      <c r="H4989" s="48"/>
      <c r="I4989" s="48"/>
    </row>
    <row r="4990" spans="1:9" hidden="1" x14ac:dyDescent="0.2">
      <c r="A4990" s="46"/>
      <c r="B4990" s="46"/>
      <c r="C4990" s="46"/>
      <c r="D4990" s="48"/>
      <c r="E4990" s="48"/>
      <c r="F4990" s="48"/>
      <c r="G4990" s="48"/>
      <c r="H4990" s="48"/>
      <c r="I4990" s="48"/>
    </row>
    <row r="4991" spans="1:9" hidden="1" x14ac:dyDescent="0.2">
      <c r="A4991" s="46"/>
      <c r="B4991" s="46"/>
      <c r="C4991" s="46"/>
      <c r="D4991" s="48"/>
      <c r="E4991" s="48"/>
      <c r="F4991" s="48"/>
      <c r="G4991" s="48"/>
      <c r="H4991" s="48"/>
      <c r="I4991" s="48"/>
    </row>
    <row r="4992" spans="1:9" hidden="1" x14ac:dyDescent="0.2">
      <c r="A4992" s="46"/>
      <c r="B4992" s="46"/>
      <c r="C4992" s="46"/>
      <c r="D4992" s="48"/>
      <c r="E4992" s="48"/>
      <c r="F4992" s="48"/>
      <c r="G4992" s="48"/>
      <c r="H4992" s="48"/>
      <c r="I4992" s="48"/>
    </row>
    <row r="4993" spans="1:9" hidden="1" x14ac:dyDescent="0.2">
      <c r="A4993" s="46"/>
      <c r="B4993" s="46"/>
      <c r="C4993" s="46"/>
      <c r="D4993" s="48"/>
      <c r="E4993" s="48"/>
      <c r="F4993" s="48"/>
      <c r="G4993" s="48"/>
      <c r="H4993" s="48"/>
      <c r="I4993" s="48"/>
    </row>
    <row r="4994" spans="1:9" hidden="1" x14ac:dyDescent="0.2">
      <c r="A4994" s="46"/>
      <c r="B4994" s="46"/>
      <c r="C4994" s="46"/>
      <c r="D4994" s="48"/>
      <c r="E4994" s="48"/>
      <c r="F4994" s="48"/>
      <c r="G4994" s="48"/>
      <c r="H4994" s="48"/>
      <c r="I4994" s="48"/>
    </row>
    <row r="4995" spans="1:9" hidden="1" x14ac:dyDescent="0.2">
      <c r="A4995" s="46"/>
      <c r="B4995" s="46"/>
      <c r="C4995" s="46"/>
      <c r="D4995" s="48"/>
      <c r="E4995" s="48"/>
      <c r="F4995" s="48"/>
      <c r="G4995" s="48"/>
      <c r="H4995" s="48"/>
      <c r="I4995" s="48"/>
    </row>
    <row r="4996" spans="1:9" hidden="1" x14ac:dyDescent="0.2">
      <c r="A4996" s="46"/>
      <c r="B4996" s="46"/>
      <c r="C4996" s="46"/>
      <c r="D4996" s="48"/>
      <c r="E4996" s="48"/>
      <c r="F4996" s="48"/>
      <c r="G4996" s="48"/>
      <c r="H4996" s="48"/>
      <c r="I4996" s="48"/>
    </row>
    <row r="4997" spans="1:9" hidden="1" x14ac:dyDescent="0.2">
      <c r="A4997" s="46"/>
      <c r="B4997" s="46"/>
      <c r="C4997" s="46"/>
      <c r="D4997" s="48"/>
      <c r="E4997" s="48"/>
      <c r="F4997" s="48"/>
      <c r="G4997" s="48"/>
      <c r="H4997" s="48"/>
      <c r="I4997" s="48"/>
    </row>
    <row r="4998" spans="1:9" hidden="1" x14ac:dyDescent="0.2">
      <c r="A4998" s="46"/>
      <c r="B4998" s="46"/>
      <c r="C4998" s="46"/>
      <c r="D4998" s="48"/>
      <c r="E4998" s="48"/>
      <c r="F4998" s="48"/>
      <c r="G4998" s="48"/>
      <c r="H4998" s="48"/>
      <c r="I4998" s="48"/>
    </row>
    <row r="4999" spans="1:9" hidden="1" x14ac:dyDescent="0.2">
      <c r="A4999" s="46"/>
      <c r="B4999" s="46"/>
      <c r="C4999" s="46"/>
      <c r="D4999" s="48"/>
      <c r="E4999" s="48"/>
      <c r="F4999" s="48"/>
      <c r="G4999" s="48"/>
      <c r="H4999" s="48"/>
      <c r="I4999" s="48"/>
    </row>
    <row r="5000" spans="1:9" hidden="1" x14ac:dyDescent="0.2">
      <c r="A5000" s="46"/>
      <c r="B5000" s="46"/>
      <c r="C5000" s="46"/>
      <c r="D5000" s="48"/>
      <c r="E5000" s="48"/>
      <c r="F5000" s="48"/>
      <c r="G5000" s="48"/>
      <c r="H5000" s="48"/>
      <c r="I5000" s="48"/>
    </row>
    <row r="5001" spans="1:9" hidden="1" x14ac:dyDescent="0.2">
      <c r="A5001" s="46"/>
      <c r="B5001" s="46"/>
      <c r="C5001" s="46"/>
      <c r="D5001" s="48"/>
      <c r="E5001" s="48"/>
      <c r="F5001" s="48"/>
      <c r="G5001" s="48"/>
      <c r="H5001" s="48"/>
      <c r="I5001" s="48"/>
    </row>
    <row r="5002" spans="1:9" hidden="1" x14ac:dyDescent="0.2">
      <c r="A5002" s="46"/>
      <c r="B5002" s="46"/>
      <c r="C5002" s="46"/>
      <c r="D5002" s="48"/>
      <c r="E5002" s="48"/>
      <c r="F5002" s="48"/>
      <c r="G5002" s="48"/>
      <c r="H5002" s="48"/>
      <c r="I5002" s="48"/>
    </row>
    <row r="5003" spans="1:9" hidden="1" x14ac:dyDescent="0.2">
      <c r="A5003" s="46"/>
      <c r="B5003" s="46"/>
      <c r="C5003" s="46"/>
      <c r="D5003" s="48"/>
      <c r="E5003" s="48"/>
      <c r="F5003" s="48"/>
      <c r="G5003" s="48"/>
      <c r="H5003" s="48"/>
      <c r="I5003" s="48"/>
    </row>
    <row r="5004" spans="1:9" hidden="1" x14ac:dyDescent="0.2">
      <c r="A5004" s="46"/>
      <c r="B5004" s="46"/>
      <c r="C5004" s="46"/>
      <c r="D5004" s="48"/>
      <c r="E5004" s="48"/>
      <c r="F5004" s="48"/>
      <c r="G5004" s="48"/>
      <c r="H5004" s="48"/>
      <c r="I5004" s="48"/>
    </row>
    <row r="5005" spans="1:9" hidden="1" x14ac:dyDescent="0.2">
      <c r="A5005" s="46"/>
      <c r="B5005" s="46"/>
      <c r="C5005" s="46"/>
      <c r="D5005" s="48"/>
      <c r="E5005" s="48"/>
      <c r="F5005" s="48"/>
      <c r="G5005" s="48"/>
      <c r="H5005" s="48"/>
      <c r="I5005" s="48"/>
    </row>
    <row r="5006" spans="1:9" hidden="1" x14ac:dyDescent="0.2">
      <c r="A5006" s="46"/>
      <c r="B5006" s="46"/>
      <c r="C5006" s="46"/>
      <c r="D5006" s="48"/>
      <c r="E5006" s="48"/>
      <c r="F5006" s="48"/>
      <c r="G5006" s="48"/>
      <c r="H5006" s="48"/>
      <c r="I5006" s="48"/>
    </row>
    <row r="5007" spans="1:9" hidden="1" x14ac:dyDescent="0.2">
      <c r="A5007" s="46"/>
      <c r="B5007" s="46"/>
      <c r="C5007" s="46"/>
      <c r="D5007" s="48"/>
      <c r="E5007" s="48"/>
      <c r="F5007" s="48"/>
      <c r="G5007" s="48"/>
      <c r="H5007" s="48"/>
      <c r="I5007" s="48"/>
    </row>
    <row r="5008" spans="1:9" hidden="1" x14ac:dyDescent="0.2">
      <c r="A5008" s="46"/>
      <c r="B5008" s="46"/>
      <c r="C5008" s="46"/>
      <c r="D5008" s="48"/>
      <c r="E5008" s="48"/>
      <c r="F5008" s="48"/>
      <c r="G5008" s="48"/>
      <c r="H5008" s="48"/>
      <c r="I5008" s="48"/>
    </row>
    <row r="5009" spans="1:9" hidden="1" x14ac:dyDescent="0.2">
      <c r="A5009" s="46"/>
      <c r="B5009" s="46"/>
      <c r="C5009" s="46"/>
      <c r="D5009" s="48"/>
      <c r="E5009" s="48"/>
      <c r="F5009" s="48"/>
      <c r="G5009" s="48"/>
      <c r="H5009" s="48"/>
      <c r="I5009" s="48"/>
    </row>
    <row r="5010" spans="1:9" hidden="1" x14ac:dyDescent="0.2">
      <c r="A5010" s="46"/>
      <c r="B5010" s="46"/>
      <c r="C5010" s="46"/>
      <c r="D5010" s="48"/>
      <c r="E5010" s="48"/>
      <c r="F5010" s="48"/>
      <c r="G5010" s="48"/>
      <c r="H5010" s="48"/>
      <c r="I5010" s="48"/>
    </row>
    <row r="5011" spans="1:9" hidden="1" x14ac:dyDescent="0.2">
      <c r="A5011" s="46"/>
      <c r="B5011" s="46"/>
      <c r="C5011" s="46"/>
      <c r="D5011" s="48"/>
      <c r="E5011" s="48"/>
      <c r="F5011" s="48"/>
      <c r="G5011" s="48"/>
      <c r="H5011" s="48"/>
      <c r="I5011" s="48"/>
    </row>
    <row r="5012" spans="1:9" hidden="1" x14ac:dyDescent="0.2">
      <c r="A5012" s="46"/>
      <c r="B5012" s="46"/>
      <c r="C5012" s="46"/>
      <c r="D5012" s="48"/>
      <c r="E5012" s="48"/>
      <c r="F5012" s="48"/>
      <c r="G5012" s="48"/>
      <c r="H5012" s="48"/>
      <c r="I5012" s="48"/>
    </row>
    <row r="5013" spans="1:9" hidden="1" x14ac:dyDescent="0.2">
      <c r="A5013" s="46"/>
      <c r="B5013" s="46"/>
      <c r="C5013" s="46"/>
      <c r="D5013" s="48"/>
      <c r="E5013" s="48"/>
      <c r="F5013" s="48"/>
      <c r="G5013" s="48"/>
      <c r="H5013" s="48"/>
      <c r="I5013" s="48"/>
    </row>
    <row r="5014" spans="1:9" hidden="1" x14ac:dyDescent="0.2">
      <c r="A5014" s="46"/>
      <c r="B5014" s="46"/>
      <c r="C5014" s="46"/>
      <c r="D5014" s="48"/>
      <c r="E5014" s="48"/>
      <c r="F5014" s="48"/>
      <c r="G5014" s="48"/>
      <c r="H5014" s="48"/>
      <c r="I5014" s="48"/>
    </row>
    <row r="5015" spans="1:9" hidden="1" x14ac:dyDescent="0.2">
      <c r="A5015" s="46"/>
      <c r="B5015" s="46"/>
      <c r="C5015" s="46"/>
      <c r="D5015" s="48"/>
      <c r="E5015" s="48"/>
      <c r="F5015" s="48"/>
      <c r="G5015" s="48"/>
      <c r="H5015" s="48"/>
      <c r="I5015" s="48"/>
    </row>
    <row r="5016" spans="1:9" hidden="1" x14ac:dyDescent="0.2">
      <c r="A5016" s="46"/>
      <c r="B5016" s="46"/>
      <c r="C5016" s="46"/>
      <c r="D5016" s="48"/>
      <c r="E5016" s="48"/>
      <c r="F5016" s="48"/>
      <c r="G5016" s="48"/>
      <c r="H5016" s="48"/>
      <c r="I5016" s="48"/>
    </row>
    <row r="5017" spans="1:9" hidden="1" x14ac:dyDescent="0.2">
      <c r="A5017" s="46"/>
      <c r="B5017" s="46"/>
      <c r="C5017" s="46"/>
      <c r="D5017" s="48"/>
      <c r="E5017" s="48"/>
      <c r="F5017" s="48"/>
      <c r="G5017" s="48"/>
      <c r="H5017" s="48"/>
      <c r="I5017" s="48"/>
    </row>
    <row r="5018" spans="1:9" hidden="1" x14ac:dyDescent="0.2">
      <c r="A5018" s="46"/>
      <c r="B5018" s="46"/>
      <c r="C5018" s="46"/>
      <c r="D5018" s="48"/>
      <c r="E5018" s="48"/>
      <c r="F5018" s="48"/>
      <c r="G5018" s="48"/>
      <c r="H5018" s="48"/>
      <c r="I5018" s="48"/>
    </row>
    <row r="5019" spans="1:9" hidden="1" x14ac:dyDescent="0.2">
      <c r="A5019" s="46"/>
      <c r="B5019" s="46"/>
      <c r="C5019" s="46"/>
      <c r="D5019" s="48"/>
      <c r="E5019" s="48"/>
      <c r="F5019" s="48"/>
      <c r="G5019" s="48"/>
      <c r="H5019" s="48"/>
      <c r="I5019" s="48"/>
    </row>
    <row r="5020" spans="1:9" hidden="1" x14ac:dyDescent="0.2">
      <c r="A5020" s="46"/>
      <c r="B5020" s="46"/>
      <c r="C5020" s="46"/>
      <c r="D5020" s="48"/>
      <c r="E5020" s="48"/>
      <c r="F5020" s="48"/>
      <c r="G5020" s="48"/>
      <c r="H5020" s="48"/>
      <c r="I5020" s="48"/>
    </row>
    <row r="5021" spans="1:9" hidden="1" x14ac:dyDescent="0.2">
      <c r="A5021" s="46"/>
      <c r="B5021" s="46"/>
      <c r="C5021" s="46"/>
      <c r="D5021" s="48"/>
      <c r="E5021" s="48"/>
      <c r="F5021" s="48"/>
      <c r="G5021" s="48"/>
      <c r="H5021" s="48"/>
      <c r="I5021" s="48"/>
    </row>
    <row r="5022" spans="1:9" hidden="1" x14ac:dyDescent="0.2">
      <c r="A5022" s="46"/>
      <c r="B5022" s="46"/>
      <c r="C5022" s="46"/>
      <c r="D5022" s="48"/>
      <c r="E5022" s="48"/>
      <c r="F5022" s="48"/>
      <c r="G5022" s="48"/>
      <c r="H5022" s="48"/>
      <c r="I5022" s="48"/>
    </row>
    <row r="5023" spans="1:9" hidden="1" x14ac:dyDescent="0.2">
      <c r="A5023" s="46"/>
      <c r="B5023" s="46"/>
      <c r="C5023" s="46"/>
      <c r="D5023" s="48"/>
      <c r="E5023" s="48"/>
      <c r="F5023" s="48"/>
      <c r="G5023" s="48"/>
      <c r="H5023" s="48"/>
      <c r="I5023" s="48"/>
    </row>
    <row r="5024" spans="1:9" hidden="1" x14ac:dyDescent="0.2">
      <c r="A5024" s="46"/>
      <c r="B5024" s="46"/>
      <c r="C5024" s="46"/>
      <c r="D5024" s="48"/>
      <c r="E5024" s="48"/>
      <c r="F5024" s="48"/>
      <c r="G5024" s="48"/>
      <c r="H5024" s="48"/>
      <c r="I5024" s="48"/>
    </row>
    <row r="5025" spans="1:9" hidden="1" x14ac:dyDescent="0.2">
      <c r="A5025" s="46"/>
      <c r="B5025" s="46"/>
      <c r="C5025" s="46"/>
      <c r="D5025" s="48"/>
      <c r="E5025" s="48"/>
      <c r="F5025" s="48"/>
      <c r="G5025" s="48"/>
      <c r="H5025" s="48"/>
      <c r="I5025" s="48"/>
    </row>
    <row r="5026" spans="1:9" hidden="1" x14ac:dyDescent="0.2">
      <c r="A5026" s="46"/>
      <c r="B5026" s="46"/>
      <c r="C5026" s="46"/>
      <c r="D5026" s="48"/>
      <c r="E5026" s="48"/>
      <c r="F5026" s="48"/>
      <c r="G5026" s="48"/>
      <c r="H5026" s="48"/>
      <c r="I5026" s="48"/>
    </row>
    <row r="5027" spans="1:9" hidden="1" x14ac:dyDescent="0.2">
      <c r="A5027" s="46"/>
      <c r="B5027" s="46"/>
      <c r="C5027" s="46"/>
      <c r="D5027" s="48"/>
      <c r="E5027" s="48"/>
      <c r="F5027" s="48"/>
      <c r="G5027" s="48"/>
      <c r="H5027" s="48"/>
      <c r="I5027" s="48"/>
    </row>
    <row r="5028" spans="1:9" hidden="1" x14ac:dyDescent="0.2">
      <c r="A5028" s="46"/>
      <c r="B5028" s="46"/>
      <c r="C5028" s="46"/>
      <c r="D5028" s="48"/>
      <c r="E5028" s="48"/>
      <c r="F5028" s="48"/>
      <c r="G5028" s="48"/>
      <c r="H5028" s="48"/>
      <c r="I5028" s="48"/>
    </row>
    <row r="5029" spans="1:9" hidden="1" x14ac:dyDescent="0.2">
      <c r="A5029" s="46"/>
      <c r="B5029" s="46"/>
      <c r="C5029" s="46"/>
      <c r="D5029" s="48"/>
      <c r="E5029" s="48"/>
      <c r="F5029" s="48"/>
      <c r="G5029" s="48"/>
      <c r="H5029" s="48"/>
      <c r="I5029" s="48"/>
    </row>
    <row r="5030" spans="1:9" hidden="1" x14ac:dyDescent="0.2">
      <c r="A5030" s="46"/>
      <c r="B5030" s="46"/>
      <c r="C5030" s="46"/>
      <c r="D5030" s="48"/>
      <c r="E5030" s="48"/>
      <c r="F5030" s="48"/>
      <c r="G5030" s="48"/>
      <c r="H5030" s="48"/>
      <c r="I5030" s="48"/>
    </row>
    <row r="5031" spans="1:9" hidden="1" x14ac:dyDescent="0.2">
      <c r="A5031" s="46"/>
      <c r="B5031" s="46"/>
      <c r="C5031" s="46"/>
      <c r="D5031" s="48"/>
      <c r="E5031" s="48"/>
      <c r="F5031" s="48"/>
      <c r="G5031" s="48"/>
      <c r="H5031" s="48"/>
      <c r="I5031" s="48"/>
    </row>
    <row r="5032" spans="1:9" hidden="1" x14ac:dyDescent="0.2">
      <c r="A5032" s="46"/>
      <c r="B5032" s="46"/>
      <c r="C5032" s="46"/>
      <c r="D5032" s="48"/>
      <c r="E5032" s="48"/>
      <c r="F5032" s="48"/>
      <c r="G5032" s="48"/>
      <c r="H5032" s="48"/>
      <c r="I5032" s="48"/>
    </row>
    <row r="5033" spans="1:9" hidden="1" x14ac:dyDescent="0.2">
      <c r="A5033" s="46"/>
      <c r="B5033" s="46"/>
      <c r="C5033" s="46"/>
      <c r="D5033" s="48"/>
      <c r="E5033" s="48"/>
      <c r="F5033" s="48"/>
      <c r="G5033" s="48"/>
      <c r="H5033" s="48"/>
      <c r="I5033" s="48"/>
    </row>
    <row r="5034" spans="1:9" hidden="1" x14ac:dyDescent="0.2">
      <c r="A5034" s="46"/>
      <c r="B5034" s="46"/>
      <c r="C5034" s="46"/>
      <c r="D5034" s="48"/>
      <c r="E5034" s="48"/>
      <c r="F5034" s="48"/>
      <c r="G5034" s="48"/>
      <c r="H5034" s="48"/>
      <c r="I5034" s="48"/>
    </row>
    <row r="5035" spans="1:9" hidden="1" x14ac:dyDescent="0.2">
      <c r="A5035" s="46"/>
      <c r="B5035" s="46"/>
      <c r="C5035" s="46"/>
      <c r="D5035" s="48"/>
      <c r="E5035" s="48"/>
      <c r="F5035" s="48"/>
      <c r="G5035" s="48"/>
      <c r="H5035" s="48"/>
      <c r="I5035" s="48"/>
    </row>
    <row r="5036" spans="1:9" hidden="1" x14ac:dyDescent="0.2">
      <c r="A5036" s="46"/>
      <c r="B5036" s="46"/>
      <c r="C5036" s="46"/>
      <c r="D5036" s="48"/>
      <c r="E5036" s="48"/>
      <c r="F5036" s="48"/>
      <c r="G5036" s="48"/>
      <c r="H5036" s="48"/>
      <c r="I5036" s="48"/>
    </row>
    <row r="5037" spans="1:9" hidden="1" x14ac:dyDescent="0.2">
      <c r="A5037" s="46"/>
      <c r="B5037" s="46"/>
      <c r="C5037" s="46"/>
      <c r="D5037" s="48"/>
      <c r="E5037" s="48"/>
      <c r="F5037" s="48"/>
      <c r="G5037" s="48"/>
      <c r="H5037" s="48"/>
      <c r="I5037" s="48"/>
    </row>
    <row r="5038" spans="1:9" hidden="1" x14ac:dyDescent="0.2">
      <c r="A5038" s="46"/>
      <c r="B5038" s="46"/>
      <c r="C5038" s="46"/>
      <c r="D5038" s="48"/>
      <c r="E5038" s="48"/>
      <c r="F5038" s="48"/>
      <c r="G5038" s="48"/>
      <c r="H5038" s="48"/>
      <c r="I5038" s="48"/>
    </row>
    <row r="5039" spans="1:9" hidden="1" x14ac:dyDescent="0.2">
      <c r="A5039" s="46"/>
      <c r="B5039" s="46"/>
      <c r="C5039" s="46"/>
      <c r="D5039" s="48"/>
      <c r="E5039" s="48"/>
      <c r="F5039" s="48"/>
      <c r="G5039" s="48"/>
      <c r="H5039" s="48"/>
      <c r="I5039" s="48"/>
    </row>
    <row r="5040" spans="1:9" hidden="1" x14ac:dyDescent="0.2">
      <c r="A5040" s="46"/>
      <c r="B5040" s="46"/>
      <c r="C5040" s="46"/>
      <c r="D5040" s="48"/>
      <c r="E5040" s="48"/>
      <c r="F5040" s="48"/>
      <c r="G5040" s="48"/>
      <c r="H5040" s="48"/>
      <c r="I5040" s="48"/>
    </row>
    <row r="5041" spans="1:9" hidden="1" x14ac:dyDescent="0.2">
      <c r="A5041" s="46"/>
      <c r="B5041" s="46"/>
      <c r="C5041" s="46"/>
      <c r="D5041" s="48"/>
      <c r="E5041" s="48"/>
      <c r="F5041" s="48"/>
      <c r="G5041" s="48"/>
      <c r="H5041" s="48"/>
      <c r="I5041" s="48"/>
    </row>
    <row r="5042" spans="1:9" hidden="1" x14ac:dyDescent="0.2">
      <c r="A5042" s="46"/>
      <c r="B5042" s="46"/>
      <c r="C5042" s="46"/>
      <c r="D5042" s="48"/>
      <c r="E5042" s="48"/>
      <c r="F5042" s="48"/>
      <c r="G5042" s="48"/>
      <c r="H5042" s="48"/>
      <c r="I5042" s="48"/>
    </row>
    <row r="5043" spans="1:9" hidden="1" x14ac:dyDescent="0.2">
      <c r="A5043" s="46"/>
      <c r="B5043" s="46"/>
      <c r="C5043" s="46"/>
      <c r="D5043" s="48"/>
      <c r="E5043" s="48"/>
      <c r="F5043" s="48"/>
      <c r="G5043" s="48"/>
      <c r="H5043" s="48"/>
      <c r="I5043" s="48"/>
    </row>
    <row r="5044" spans="1:9" hidden="1" x14ac:dyDescent="0.2">
      <c r="A5044" s="46"/>
      <c r="B5044" s="46"/>
      <c r="C5044" s="46"/>
      <c r="D5044" s="48"/>
      <c r="E5044" s="48"/>
      <c r="F5044" s="48"/>
      <c r="G5044" s="48"/>
      <c r="H5044" s="48"/>
      <c r="I5044" s="48"/>
    </row>
    <row r="5045" spans="1:9" hidden="1" x14ac:dyDescent="0.2">
      <c r="A5045" s="46"/>
      <c r="B5045" s="46"/>
      <c r="C5045" s="46"/>
      <c r="D5045" s="48"/>
      <c r="E5045" s="48"/>
      <c r="F5045" s="48"/>
      <c r="G5045" s="48"/>
      <c r="H5045" s="48"/>
      <c r="I5045" s="48"/>
    </row>
    <row r="5046" spans="1:9" hidden="1" x14ac:dyDescent="0.2">
      <c r="A5046" s="46"/>
      <c r="B5046" s="46"/>
      <c r="C5046" s="46"/>
      <c r="D5046" s="48"/>
      <c r="E5046" s="48"/>
      <c r="F5046" s="48"/>
      <c r="G5046" s="48"/>
      <c r="H5046" s="48"/>
      <c r="I5046" s="48"/>
    </row>
    <row r="5047" spans="1:9" hidden="1" x14ac:dyDescent="0.2">
      <c r="A5047" s="46"/>
      <c r="B5047" s="46"/>
      <c r="C5047" s="46"/>
      <c r="D5047" s="48"/>
      <c r="E5047" s="48"/>
      <c r="F5047" s="48"/>
      <c r="G5047" s="48"/>
      <c r="H5047" s="48"/>
      <c r="I5047" s="48"/>
    </row>
    <row r="5048" spans="1:9" hidden="1" x14ac:dyDescent="0.2">
      <c r="A5048" s="46"/>
      <c r="B5048" s="46"/>
      <c r="C5048" s="46"/>
      <c r="D5048" s="48"/>
      <c r="E5048" s="48"/>
      <c r="F5048" s="48"/>
      <c r="G5048" s="48"/>
      <c r="H5048" s="48"/>
      <c r="I5048" s="48"/>
    </row>
    <row r="5049" spans="1:9" hidden="1" x14ac:dyDescent="0.2">
      <c r="A5049" s="46"/>
      <c r="B5049" s="46"/>
      <c r="C5049" s="46"/>
      <c r="D5049" s="48"/>
      <c r="E5049" s="48"/>
      <c r="F5049" s="48"/>
      <c r="G5049" s="48"/>
      <c r="H5049" s="48"/>
      <c r="I5049" s="48"/>
    </row>
    <row r="5050" spans="1:9" hidden="1" x14ac:dyDescent="0.2">
      <c r="A5050" s="46"/>
      <c r="B5050" s="46"/>
      <c r="C5050" s="46"/>
      <c r="D5050" s="48"/>
      <c r="E5050" s="48"/>
      <c r="F5050" s="48"/>
      <c r="G5050" s="48"/>
      <c r="H5050" s="48"/>
      <c r="I5050" s="48"/>
    </row>
    <row r="5051" spans="1:9" hidden="1" x14ac:dyDescent="0.2">
      <c r="A5051" s="46"/>
      <c r="B5051" s="46"/>
      <c r="C5051" s="46"/>
      <c r="D5051" s="48"/>
      <c r="E5051" s="48"/>
      <c r="F5051" s="48"/>
      <c r="G5051" s="48"/>
      <c r="H5051" s="48"/>
      <c r="I5051" s="48"/>
    </row>
    <row r="5052" spans="1:9" hidden="1" x14ac:dyDescent="0.2">
      <c r="A5052" s="46"/>
      <c r="B5052" s="46"/>
      <c r="C5052" s="46"/>
      <c r="D5052" s="48"/>
      <c r="E5052" s="48"/>
      <c r="F5052" s="48"/>
      <c r="G5052" s="48"/>
      <c r="H5052" s="48"/>
      <c r="I5052" s="48"/>
    </row>
    <row r="5053" spans="1:9" hidden="1" x14ac:dyDescent="0.2">
      <c r="A5053" s="46"/>
      <c r="B5053" s="46"/>
      <c r="C5053" s="46"/>
      <c r="D5053" s="48"/>
      <c r="E5053" s="48"/>
      <c r="F5053" s="48"/>
      <c r="G5053" s="48"/>
      <c r="H5053" s="48"/>
      <c r="I5053" s="48"/>
    </row>
    <row r="5054" spans="1:9" hidden="1" x14ac:dyDescent="0.2">
      <c r="A5054" s="46"/>
      <c r="B5054" s="46"/>
      <c r="C5054" s="46"/>
      <c r="D5054" s="48"/>
      <c r="E5054" s="48"/>
      <c r="F5054" s="48"/>
      <c r="G5054" s="48"/>
      <c r="H5054" s="48"/>
      <c r="I5054" s="48"/>
    </row>
    <row r="5055" spans="1:9" hidden="1" x14ac:dyDescent="0.2">
      <c r="A5055" s="46"/>
      <c r="B5055" s="46"/>
      <c r="C5055" s="46"/>
      <c r="D5055" s="48"/>
      <c r="E5055" s="48"/>
      <c r="F5055" s="48"/>
      <c r="G5055" s="48"/>
      <c r="H5055" s="48"/>
      <c r="I5055" s="48"/>
    </row>
    <row r="5056" spans="1:9" hidden="1" x14ac:dyDescent="0.2">
      <c r="A5056" s="46"/>
      <c r="B5056" s="46"/>
      <c r="C5056" s="46"/>
      <c r="D5056" s="48"/>
      <c r="E5056" s="48"/>
      <c r="F5056" s="48"/>
      <c r="G5056" s="48"/>
      <c r="H5056" s="48"/>
      <c r="I5056" s="48"/>
    </row>
    <row r="5057" spans="1:9" hidden="1" x14ac:dyDescent="0.2">
      <c r="A5057" s="46"/>
      <c r="B5057" s="46"/>
      <c r="C5057" s="46"/>
      <c r="D5057" s="48"/>
      <c r="E5057" s="48"/>
      <c r="F5057" s="48"/>
      <c r="G5057" s="48"/>
      <c r="H5057" s="48"/>
      <c r="I5057" s="48"/>
    </row>
    <row r="5058" spans="1:9" hidden="1" x14ac:dyDescent="0.2">
      <c r="A5058" s="46"/>
      <c r="B5058" s="46"/>
      <c r="C5058" s="46"/>
      <c r="D5058" s="48"/>
      <c r="E5058" s="48"/>
      <c r="F5058" s="48"/>
      <c r="G5058" s="48"/>
      <c r="H5058" s="48"/>
      <c r="I5058" s="48"/>
    </row>
    <row r="5059" spans="1:9" hidden="1" x14ac:dyDescent="0.2">
      <c r="A5059" s="46"/>
      <c r="B5059" s="46"/>
      <c r="C5059" s="46"/>
      <c r="D5059" s="48"/>
      <c r="E5059" s="48"/>
      <c r="F5059" s="48"/>
      <c r="G5059" s="48"/>
      <c r="H5059" s="48"/>
      <c r="I5059" s="48"/>
    </row>
    <row r="5060" spans="1:9" hidden="1" x14ac:dyDescent="0.2">
      <c r="A5060" s="46"/>
      <c r="B5060" s="46"/>
      <c r="C5060" s="46"/>
      <c r="D5060" s="48"/>
      <c r="E5060" s="48"/>
      <c r="F5060" s="48"/>
      <c r="G5060" s="48"/>
      <c r="H5060" s="48"/>
      <c r="I5060" s="48"/>
    </row>
    <row r="5061" spans="1:9" hidden="1" x14ac:dyDescent="0.2">
      <c r="A5061" s="46"/>
      <c r="B5061" s="46"/>
      <c r="C5061" s="46"/>
      <c r="D5061" s="48"/>
      <c r="E5061" s="48"/>
      <c r="F5061" s="48"/>
      <c r="G5061" s="48"/>
      <c r="H5061" s="48"/>
      <c r="I5061" s="48"/>
    </row>
    <row r="5062" spans="1:9" hidden="1" x14ac:dyDescent="0.2">
      <c r="A5062" s="46"/>
      <c r="B5062" s="46"/>
      <c r="C5062" s="46"/>
      <c r="D5062" s="48"/>
      <c r="E5062" s="48"/>
      <c r="F5062" s="48"/>
      <c r="G5062" s="48"/>
      <c r="H5062" s="48"/>
      <c r="I5062" s="48"/>
    </row>
    <row r="5063" spans="1:9" hidden="1" x14ac:dyDescent="0.2">
      <c r="A5063" s="46"/>
      <c r="B5063" s="46"/>
      <c r="C5063" s="46"/>
      <c r="D5063" s="48"/>
      <c r="E5063" s="48"/>
      <c r="F5063" s="48"/>
      <c r="G5063" s="48"/>
      <c r="H5063" s="48"/>
      <c r="I5063" s="48"/>
    </row>
    <row r="5064" spans="1:9" hidden="1" x14ac:dyDescent="0.2">
      <c r="A5064" s="46"/>
      <c r="B5064" s="46"/>
      <c r="C5064" s="46"/>
      <c r="D5064" s="48"/>
      <c r="E5064" s="48"/>
      <c r="F5064" s="48"/>
      <c r="G5064" s="48"/>
      <c r="H5064" s="48"/>
      <c r="I5064" s="48"/>
    </row>
    <row r="5065" spans="1:9" hidden="1" x14ac:dyDescent="0.2">
      <c r="A5065" s="46"/>
      <c r="B5065" s="46"/>
      <c r="C5065" s="46"/>
      <c r="D5065" s="48"/>
      <c r="E5065" s="48"/>
      <c r="F5065" s="48"/>
      <c r="G5065" s="48"/>
      <c r="H5065" s="48"/>
      <c r="I5065" s="48"/>
    </row>
    <row r="5066" spans="1:9" hidden="1" x14ac:dyDescent="0.2">
      <c r="A5066" s="46"/>
      <c r="B5066" s="46"/>
      <c r="C5066" s="46"/>
      <c r="D5066" s="48"/>
      <c r="E5066" s="48"/>
      <c r="F5066" s="48"/>
      <c r="G5066" s="48"/>
      <c r="H5066" s="48"/>
      <c r="I5066" s="48"/>
    </row>
    <row r="5067" spans="1:9" hidden="1" x14ac:dyDescent="0.2">
      <c r="A5067" s="46"/>
      <c r="B5067" s="46"/>
      <c r="C5067" s="46"/>
      <c r="D5067" s="48"/>
      <c r="E5067" s="48"/>
      <c r="F5067" s="48"/>
      <c r="G5067" s="48"/>
      <c r="H5067" s="48"/>
      <c r="I5067" s="48"/>
    </row>
    <row r="5068" spans="1:9" hidden="1" x14ac:dyDescent="0.2">
      <c r="A5068" s="46"/>
      <c r="B5068" s="46"/>
      <c r="C5068" s="46"/>
      <c r="D5068" s="48"/>
      <c r="E5068" s="48"/>
      <c r="F5068" s="48"/>
      <c r="G5068" s="48"/>
      <c r="H5068" s="48"/>
      <c r="I5068" s="48"/>
    </row>
    <row r="5069" spans="1:9" hidden="1" x14ac:dyDescent="0.2">
      <c r="A5069" s="46"/>
      <c r="B5069" s="46"/>
      <c r="C5069" s="46"/>
      <c r="D5069" s="48"/>
      <c r="E5069" s="48"/>
      <c r="F5069" s="48"/>
      <c r="G5069" s="48"/>
      <c r="H5069" s="48"/>
      <c r="I5069" s="48"/>
    </row>
    <row r="5070" spans="1:9" hidden="1" x14ac:dyDescent="0.2">
      <c r="A5070" s="46"/>
      <c r="B5070" s="46"/>
      <c r="C5070" s="46"/>
      <c r="D5070" s="48"/>
      <c r="E5070" s="48"/>
      <c r="F5070" s="48"/>
      <c r="G5070" s="48"/>
      <c r="H5070" s="48"/>
      <c r="I5070" s="48"/>
    </row>
    <row r="5071" spans="1:9" hidden="1" x14ac:dyDescent="0.2">
      <c r="A5071" s="46"/>
      <c r="B5071" s="46"/>
      <c r="C5071" s="46"/>
      <c r="D5071" s="48"/>
      <c r="E5071" s="48"/>
      <c r="F5071" s="48"/>
      <c r="G5071" s="48"/>
      <c r="H5071" s="48"/>
      <c r="I5071" s="48"/>
    </row>
    <row r="5072" spans="1:9" hidden="1" x14ac:dyDescent="0.2">
      <c r="A5072" s="46"/>
      <c r="B5072" s="46"/>
      <c r="C5072" s="46"/>
      <c r="D5072" s="48"/>
      <c r="E5072" s="48"/>
      <c r="F5072" s="48"/>
      <c r="G5072" s="48"/>
      <c r="H5072" s="48"/>
      <c r="I5072" s="48"/>
    </row>
    <row r="5073" spans="1:9" hidden="1" x14ac:dyDescent="0.2">
      <c r="A5073" s="46"/>
      <c r="B5073" s="46"/>
      <c r="C5073" s="46"/>
      <c r="D5073" s="48"/>
      <c r="E5073" s="48"/>
      <c r="F5073" s="48"/>
      <c r="G5073" s="48"/>
      <c r="H5073" s="48"/>
      <c r="I5073" s="48"/>
    </row>
    <row r="5074" spans="1:9" hidden="1" x14ac:dyDescent="0.2">
      <c r="A5074" s="46"/>
      <c r="B5074" s="46"/>
      <c r="C5074" s="46"/>
      <c r="D5074" s="48"/>
      <c r="E5074" s="48"/>
      <c r="F5074" s="48"/>
      <c r="G5074" s="48"/>
      <c r="H5074" s="48"/>
      <c r="I5074" s="48"/>
    </row>
    <row r="5075" spans="1:9" hidden="1" x14ac:dyDescent="0.2">
      <c r="A5075" s="46"/>
      <c r="B5075" s="46"/>
      <c r="C5075" s="46"/>
      <c r="D5075" s="48"/>
      <c r="E5075" s="48"/>
      <c r="F5075" s="48"/>
      <c r="G5075" s="48"/>
      <c r="H5075" s="48"/>
      <c r="I5075" s="48"/>
    </row>
    <row r="5076" spans="1:9" hidden="1" x14ac:dyDescent="0.2">
      <c r="A5076" s="46"/>
      <c r="B5076" s="46"/>
      <c r="C5076" s="46"/>
      <c r="D5076" s="48"/>
      <c r="E5076" s="48"/>
      <c r="F5076" s="48"/>
      <c r="G5076" s="48"/>
      <c r="H5076" s="48"/>
      <c r="I5076" s="48"/>
    </row>
    <row r="5077" spans="1:9" hidden="1" x14ac:dyDescent="0.2">
      <c r="A5077" s="46"/>
      <c r="B5077" s="46"/>
      <c r="C5077" s="46"/>
      <c r="D5077" s="48"/>
      <c r="E5077" s="48"/>
      <c r="F5077" s="48"/>
      <c r="G5077" s="48"/>
      <c r="H5077" s="48"/>
      <c r="I5077" s="48"/>
    </row>
    <row r="5078" spans="1:9" hidden="1" x14ac:dyDescent="0.2">
      <c r="A5078" s="46"/>
      <c r="B5078" s="46"/>
      <c r="C5078" s="46"/>
      <c r="D5078" s="48"/>
      <c r="E5078" s="48"/>
      <c r="F5078" s="48"/>
      <c r="G5078" s="48"/>
      <c r="H5078" s="48"/>
      <c r="I5078" s="48"/>
    </row>
    <row r="5079" spans="1:9" hidden="1" x14ac:dyDescent="0.2">
      <c r="A5079" s="46"/>
      <c r="B5079" s="46"/>
      <c r="C5079" s="46"/>
      <c r="D5079" s="48"/>
      <c r="E5079" s="48"/>
      <c r="F5079" s="48"/>
      <c r="G5079" s="48"/>
      <c r="H5079" s="48"/>
      <c r="I5079" s="48"/>
    </row>
    <row r="5080" spans="1:9" hidden="1" x14ac:dyDescent="0.2">
      <c r="A5080" s="46"/>
      <c r="B5080" s="46"/>
      <c r="C5080" s="46"/>
      <c r="D5080" s="48"/>
      <c r="E5080" s="48"/>
      <c r="F5080" s="48"/>
      <c r="G5080" s="48"/>
      <c r="H5080" s="48"/>
      <c r="I5080" s="48"/>
    </row>
    <row r="5081" spans="1:9" hidden="1" x14ac:dyDescent="0.2">
      <c r="A5081" s="46"/>
      <c r="B5081" s="46"/>
      <c r="C5081" s="46"/>
      <c r="D5081" s="48"/>
      <c r="E5081" s="48"/>
      <c r="F5081" s="48"/>
      <c r="G5081" s="48"/>
      <c r="H5081" s="48"/>
      <c r="I5081" s="48"/>
    </row>
    <row r="5082" spans="1:9" hidden="1" x14ac:dyDescent="0.2">
      <c r="A5082" s="46"/>
      <c r="B5082" s="46"/>
      <c r="C5082" s="46"/>
      <c r="D5082" s="48"/>
      <c r="E5082" s="48"/>
      <c r="F5082" s="48"/>
      <c r="G5082" s="48"/>
      <c r="H5082" s="48"/>
      <c r="I5082" s="48"/>
    </row>
    <row r="5083" spans="1:9" hidden="1" x14ac:dyDescent="0.2">
      <c r="A5083" s="46"/>
      <c r="B5083" s="46"/>
      <c r="C5083" s="46"/>
      <c r="D5083" s="48"/>
      <c r="E5083" s="48"/>
      <c r="F5083" s="48"/>
      <c r="G5083" s="48"/>
      <c r="H5083" s="48"/>
      <c r="I5083" s="48"/>
    </row>
    <row r="5084" spans="1:9" hidden="1" x14ac:dyDescent="0.2">
      <c r="A5084" s="46"/>
      <c r="B5084" s="46"/>
      <c r="C5084" s="46"/>
      <c r="D5084" s="48"/>
      <c r="E5084" s="48"/>
      <c r="F5084" s="48"/>
      <c r="G5084" s="48"/>
      <c r="H5084" s="48"/>
      <c r="I5084" s="48"/>
    </row>
    <row r="5085" spans="1:9" hidden="1" x14ac:dyDescent="0.2">
      <c r="A5085" s="46"/>
      <c r="B5085" s="46"/>
      <c r="C5085" s="46"/>
      <c r="D5085" s="48"/>
      <c r="E5085" s="48"/>
      <c r="F5085" s="48"/>
      <c r="G5085" s="48"/>
      <c r="H5085" s="48"/>
      <c r="I5085" s="48"/>
    </row>
    <row r="5086" spans="1:9" hidden="1" x14ac:dyDescent="0.2">
      <c r="A5086" s="46"/>
      <c r="B5086" s="46"/>
      <c r="C5086" s="46"/>
      <c r="D5086" s="48"/>
      <c r="E5086" s="48"/>
      <c r="F5086" s="48"/>
      <c r="G5086" s="48"/>
      <c r="H5086" s="48"/>
      <c r="I5086" s="48"/>
    </row>
    <row r="5087" spans="1:9" hidden="1" x14ac:dyDescent="0.2">
      <c r="A5087" s="46"/>
      <c r="B5087" s="46"/>
      <c r="C5087" s="46"/>
      <c r="D5087" s="48"/>
      <c r="E5087" s="48"/>
      <c r="F5087" s="48"/>
      <c r="G5087" s="48"/>
      <c r="H5087" s="48"/>
      <c r="I5087" s="48"/>
    </row>
    <row r="5088" spans="1:9" hidden="1" x14ac:dyDescent="0.2">
      <c r="A5088" s="46"/>
      <c r="B5088" s="46"/>
      <c r="C5088" s="46"/>
      <c r="D5088" s="48"/>
      <c r="E5088" s="48"/>
      <c r="F5088" s="48"/>
      <c r="G5088" s="48"/>
      <c r="H5088" s="48"/>
      <c r="I5088" s="48"/>
    </row>
    <row r="5089" spans="1:9" hidden="1" x14ac:dyDescent="0.2">
      <c r="A5089" s="46"/>
      <c r="B5089" s="46"/>
      <c r="C5089" s="46"/>
      <c r="D5089" s="48"/>
      <c r="E5089" s="48"/>
      <c r="F5089" s="48"/>
      <c r="G5089" s="48"/>
      <c r="H5089" s="48"/>
      <c r="I5089" s="48"/>
    </row>
    <row r="5090" spans="1:9" hidden="1" x14ac:dyDescent="0.2">
      <c r="A5090" s="46"/>
      <c r="B5090" s="46"/>
      <c r="C5090" s="46"/>
      <c r="D5090" s="48"/>
      <c r="E5090" s="48"/>
      <c r="F5090" s="48"/>
      <c r="G5090" s="48"/>
      <c r="H5090" s="48"/>
      <c r="I5090" s="48"/>
    </row>
    <row r="5091" spans="1:9" hidden="1" x14ac:dyDescent="0.2">
      <c r="A5091" s="46"/>
      <c r="B5091" s="46"/>
      <c r="C5091" s="46"/>
      <c r="D5091" s="48"/>
      <c r="E5091" s="48"/>
      <c r="F5091" s="48"/>
      <c r="G5091" s="48"/>
      <c r="H5091" s="48"/>
      <c r="I5091" s="48"/>
    </row>
    <row r="5092" spans="1:9" hidden="1" x14ac:dyDescent="0.2">
      <c r="A5092" s="46"/>
      <c r="B5092" s="46"/>
      <c r="C5092" s="46"/>
      <c r="D5092" s="48"/>
      <c r="E5092" s="48"/>
      <c r="F5092" s="48"/>
      <c r="G5092" s="48"/>
      <c r="H5092" s="48"/>
      <c r="I5092" s="48"/>
    </row>
    <row r="5093" spans="1:9" hidden="1" x14ac:dyDescent="0.2">
      <c r="A5093" s="46"/>
      <c r="B5093" s="46"/>
      <c r="C5093" s="46"/>
      <c r="D5093" s="48"/>
      <c r="E5093" s="48"/>
      <c r="F5093" s="48"/>
      <c r="G5093" s="48"/>
      <c r="H5093" s="48"/>
      <c r="I5093" s="48"/>
    </row>
    <row r="5094" spans="1:9" hidden="1" x14ac:dyDescent="0.2">
      <c r="A5094" s="46"/>
      <c r="B5094" s="46"/>
      <c r="C5094" s="46"/>
      <c r="D5094" s="48"/>
      <c r="E5094" s="48"/>
      <c r="F5094" s="48"/>
      <c r="G5094" s="48"/>
      <c r="H5094" s="48"/>
      <c r="I5094" s="48"/>
    </row>
    <row r="5095" spans="1:9" hidden="1" x14ac:dyDescent="0.2">
      <c r="A5095" s="46"/>
      <c r="B5095" s="46"/>
      <c r="C5095" s="46"/>
      <c r="D5095" s="48"/>
      <c r="E5095" s="48"/>
      <c r="F5095" s="48"/>
      <c r="G5095" s="48"/>
      <c r="H5095" s="48"/>
      <c r="I5095" s="48"/>
    </row>
    <row r="5096" spans="1:9" hidden="1" x14ac:dyDescent="0.2">
      <c r="A5096" s="46"/>
      <c r="B5096" s="46"/>
      <c r="C5096" s="46"/>
      <c r="D5096" s="48"/>
      <c r="E5096" s="48"/>
      <c r="F5096" s="48"/>
      <c r="G5096" s="48"/>
      <c r="H5096" s="48"/>
      <c r="I5096" s="48"/>
    </row>
    <row r="5097" spans="1:9" hidden="1" x14ac:dyDescent="0.2">
      <c r="A5097" s="46"/>
      <c r="B5097" s="46"/>
      <c r="C5097" s="46"/>
      <c r="D5097" s="48"/>
      <c r="E5097" s="48"/>
      <c r="F5097" s="48"/>
      <c r="G5097" s="48"/>
      <c r="H5097" s="48"/>
      <c r="I5097" s="48"/>
    </row>
    <row r="5098" spans="1:9" hidden="1" x14ac:dyDescent="0.2">
      <c r="A5098" s="46"/>
      <c r="B5098" s="46"/>
      <c r="C5098" s="46"/>
      <c r="D5098" s="48"/>
      <c r="E5098" s="48"/>
      <c r="F5098" s="48"/>
      <c r="G5098" s="48"/>
      <c r="H5098" s="48"/>
      <c r="I5098" s="48"/>
    </row>
    <row r="5099" spans="1:9" hidden="1" x14ac:dyDescent="0.2">
      <c r="A5099" s="46"/>
      <c r="B5099" s="46"/>
      <c r="C5099" s="46"/>
      <c r="D5099" s="48"/>
      <c r="E5099" s="48"/>
      <c r="F5099" s="48"/>
      <c r="G5099" s="48"/>
      <c r="H5099" s="48"/>
      <c r="I5099" s="48"/>
    </row>
    <row r="5100" spans="1:9" hidden="1" x14ac:dyDescent="0.2">
      <c r="A5100" s="46"/>
      <c r="B5100" s="46"/>
      <c r="C5100" s="46"/>
      <c r="D5100" s="48"/>
      <c r="E5100" s="48"/>
      <c r="F5100" s="48"/>
      <c r="G5100" s="48"/>
      <c r="H5100" s="48"/>
      <c r="I5100" s="48"/>
    </row>
    <row r="5101" spans="1:9" hidden="1" x14ac:dyDescent="0.2">
      <c r="A5101" s="46"/>
      <c r="B5101" s="46"/>
      <c r="C5101" s="46"/>
      <c r="D5101" s="48"/>
      <c r="E5101" s="48"/>
      <c r="F5101" s="48"/>
      <c r="G5101" s="48"/>
      <c r="H5101" s="48"/>
      <c r="I5101" s="48"/>
    </row>
    <row r="5102" spans="1:9" hidden="1" x14ac:dyDescent="0.2">
      <c r="A5102" s="46"/>
      <c r="B5102" s="46"/>
      <c r="C5102" s="46"/>
      <c r="D5102" s="48"/>
      <c r="E5102" s="48"/>
      <c r="F5102" s="48"/>
      <c r="G5102" s="48"/>
      <c r="H5102" s="48"/>
      <c r="I5102" s="48"/>
    </row>
    <row r="5103" spans="1:9" hidden="1" x14ac:dyDescent="0.2">
      <c r="A5103" s="46"/>
      <c r="B5103" s="46"/>
      <c r="C5103" s="46"/>
      <c r="D5103" s="48"/>
      <c r="E5103" s="48"/>
      <c r="F5103" s="48"/>
      <c r="G5103" s="48"/>
      <c r="H5103" s="48"/>
      <c r="I5103" s="48"/>
    </row>
    <row r="5104" spans="1:9" hidden="1" x14ac:dyDescent="0.2">
      <c r="A5104" s="46"/>
      <c r="B5104" s="46"/>
      <c r="C5104" s="46"/>
      <c r="D5104" s="48"/>
      <c r="E5104" s="48"/>
      <c r="F5104" s="48"/>
      <c r="G5104" s="48"/>
      <c r="H5104" s="48"/>
      <c r="I5104" s="48"/>
    </row>
    <row r="5105" spans="1:9" hidden="1" x14ac:dyDescent="0.2">
      <c r="A5105" s="46"/>
      <c r="B5105" s="46"/>
      <c r="C5105" s="46"/>
      <c r="D5105" s="48"/>
      <c r="E5105" s="48"/>
      <c r="F5105" s="48"/>
      <c r="G5105" s="48"/>
      <c r="H5105" s="48"/>
      <c r="I5105" s="48"/>
    </row>
    <row r="5106" spans="1:9" hidden="1" x14ac:dyDescent="0.2">
      <c r="A5106" s="46"/>
      <c r="B5106" s="46"/>
      <c r="C5106" s="46"/>
      <c r="D5106" s="48"/>
      <c r="E5106" s="48"/>
      <c r="F5106" s="48"/>
      <c r="G5106" s="48"/>
      <c r="H5106" s="48"/>
      <c r="I5106" s="48"/>
    </row>
    <row r="5107" spans="1:9" hidden="1" x14ac:dyDescent="0.2">
      <c r="A5107" s="46"/>
      <c r="B5107" s="46"/>
      <c r="C5107" s="46"/>
      <c r="D5107" s="48"/>
      <c r="E5107" s="48"/>
      <c r="F5107" s="48"/>
      <c r="G5107" s="48"/>
      <c r="H5107" s="48"/>
      <c r="I5107" s="48"/>
    </row>
    <row r="5108" spans="1:9" hidden="1" x14ac:dyDescent="0.2">
      <c r="A5108" s="46"/>
      <c r="B5108" s="46"/>
      <c r="C5108" s="46"/>
      <c r="D5108" s="48"/>
      <c r="E5108" s="48"/>
      <c r="F5108" s="48"/>
      <c r="G5108" s="48"/>
      <c r="H5108" s="48"/>
      <c r="I5108" s="48"/>
    </row>
    <row r="5109" spans="1:9" hidden="1" x14ac:dyDescent="0.2">
      <c r="A5109" s="46"/>
      <c r="B5109" s="46"/>
      <c r="C5109" s="46"/>
      <c r="D5109" s="48"/>
      <c r="E5109" s="48"/>
      <c r="F5109" s="48"/>
      <c r="G5109" s="48"/>
      <c r="H5109" s="48"/>
      <c r="I5109" s="48"/>
    </row>
    <row r="5110" spans="1:9" hidden="1" x14ac:dyDescent="0.2">
      <c r="A5110" s="46"/>
      <c r="B5110" s="46"/>
      <c r="C5110" s="46"/>
      <c r="D5110" s="48"/>
      <c r="E5110" s="48"/>
      <c r="F5110" s="48"/>
      <c r="G5110" s="48"/>
      <c r="H5110" s="48"/>
      <c r="I5110" s="48"/>
    </row>
    <row r="5111" spans="1:9" hidden="1" x14ac:dyDescent="0.2">
      <c r="A5111" s="46"/>
      <c r="B5111" s="46"/>
      <c r="C5111" s="46"/>
      <c r="D5111" s="48"/>
      <c r="E5111" s="48"/>
      <c r="F5111" s="48"/>
      <c r="G5111" s="48"/>
      <c r="H5111" s="48"/>
      <c r="I5111" s="48"/>
    </row>
    <row r="5112" spans="1:9" hidden="1" x14ac:dyDescent="0.2">
      <c r="A5112" s="46"/>
      <c r="B5112" s="46"/>
      <c r="C5112" s="46"/>
      <c r="D5112" s="48"/>
      <c r="E5112" s="48"/>
      <c r="F5112" s="48"/>
      <c r="G5112" s="48"/>
      <c r="H5112" s="48"/>
      <c r="I5112" s="48"/>
    </row>
    <row r="5113" spans="1:9" hidden="1" x14ac:dyDescent="0.2">
      <c r="A5113" s="46"/>
      <c r="B5113" s="46"/>
      <c r="C5113" s="46"/>
      <c r="D5113" s="48"/>
      <c r="E5113" s="48"/>
      <c r="F5113" s="48"/>
      <c r="G5113" s="48"/>
      <c r="H5113" s="48"/>
      <c r="I5113" s="48"/>
    </row>
    <row r="5114" spans="1:9" hidden="1" x14ac:dyDescent="0.2">
      <c r="A5114" s="46"/>
      <c r="B5114" s="46"/>
      <c r="C5114" s="46"/>
      <c r="D5114" s="48"/>
      <c r="E5114" s="48"/>
      <c r="F5114" s="48"/>
      <c r="G5114" s="48"/>
      <c r="H5114" s="48"/>
      <c r="I5114" s="48"/>
    </row>
    <row r="5115" spans="1:9" hidden="1" x14ac:dyDescent="0.2">
      <c r="A5115" s="46"/>
      <c r="B5115" s="46"/>
      <c r="C5115" s="46"/>
      <c r="D5115" s="48"/>
      <c r="E5115" s="48"/>
      <c r="F5115" s="48"/>
      <c r="G5115" s="48"/>
      <c r="H5115" s="48"/>
      <c r="I5115" s="48"/>
    </row>
    <row r="5116" spans="1:9" hidden="1" x14ac:dyDescent="0.2">
      <c r="A5116" s="46"/>
      <c r="B5116" s="46"/>
      <c r="C5116" s="46"/>
      <c r="D5116" s="48"/>
      <c r="E5116" s="48"/>
      <c r="F5116" s="48"/>
      <c r="G5116" s="48"/>
      <c r="H5116" s="48"/>
      <c r="I5116" s="48"/>
    </row>
    <row r="5117" spans="1:9" hidden="1" x14ac:dyDescent="0.2">
      <c r="A5117" s="46"/>
      <c r="B5117" s="46"/>
      <c r="C5117" s="46"/>
      <c r="D5117" s="48"/>
      <c r="E5117" s="48"/>
      <c r="F5117" s="48"/>
      <c r="G5117" s="48"/>
      <c r="H5117" s="48"/>
      <c r="I5117" s="48"/>
    </row>
    <row r="5118" spans="1:9" hidden="1" x14ac:dyDescent="0.2">
      <c r="A5118" s="46"/>
      <c r="B5118" s="46"/>
      <c r="C5118" s="46"/>
      <c r="D5118" s="48"/>
      <c r="E5118" s="48"/>
      <c r="F5118" s="48"/>
      <c r="G5118" s="48"/>
      <c r="H5118" s="48"/>
      <c r="I5118" s="48"/>
    </row>
    <row r="5119" spans="1:9" hidden="1" x14ac:dyDescent="0.2">
      <c r="A5119" s="46"/>
      <c r="B5119" s="46"/>
      <c r="C5119" s="46"/>
      <c r="D5119" s="48"/>
      <c r="E5119" s="48"/>
      <c r="F5119" s="48"/>
      <c r="G5119" s="48"/>
      <c r="H5119" s="48"/>
      <c r="I5119" s="48"/>
    </row>
    <row r="5120" spans="1:9" hidden="1" x14ac:dyDescent="0.2">
      <c r="A5120" s="46"/>
      <c r="B5120" s="46"/>
      <c r="C5120" s="46"/>
      <c r="D5120" s="48"/>
      <c r="E5120" s="48"/>
      <c r="F5120" s="48"/>
      <c r="G5120" s="48"/>
      <c r="H5120" s="48"/>
      <c r="I5120" s="48"/>
    </row>
    <row r="5121" spans="1:9" hidden="1" x14ac:dyDescent="0.2">
      <c r="A5121" s="46"/>
      <c r="B5121" s="46"/>
      <c r="C5121" s="46"/>
      <c r="D5121" s="48"/>
      <c r="E5121" s="48"/>
      <c r="F5121" s="48"/>
      <c r="G5121" s="48"/>
      <c r="H5121" s="48"/>
      <c r="I5121" s="48"/>
    </row>
    <row r="5122" spans="1:9" hidden="1" x14ac:dyDescent="0.2">
      <c r="A5122" s="46"/>
      <c r="B5122" s="46"/>
      <c r="C5122" s="46"/>
      <c r="D5122" s="48"/>
      <c r="E5122" s="48"/>
      <c r="F5122" s="48"/>
      <c r="G5122" s="48"/>
      <c r="H5122" s="48"/>
      <c r="I5122" s="48"/>
    </row>
    <row r="5123" spans="1:9" hidden="1" x14ac:dyDescent="0.2">
      <c r="A5123" s="46"/>
      <c r="B5123" s="46"/>
      <c r="C5123" s="46"/>
      <c r="D5123" s="48"/>
      <c r="E5123" s="48"/>
      <c r="F5123" s="48"/>
      <c r="G5123" s="48"/>
      <c r="H5123" s="48"/>
      <c r="I5123" s="48"/>
    </row>
    <row r="5124" spans="1:9" hidden="1" x14ac:dyDescent="0.2">
      <c r="A5124" s="46"/>
      <c r="B5124" s="46"/>
      <c r="C5124" s="46"/>
      <c r="D5124" s="48"/>
      <c r="E5124" s="48"/>
      <c r="F5124" s="48"/>
      <c r="G5124" s="48"/>
      <c r="H5124" s="48"/>
      <c r="I5124" s="48"/>
    </row>
    <row r="5125" spans="1:9" hidden="1" x14ac:dyDescent="0.2">
      <c r="A5125" s="46"/>
      <c r="B5125" s="46"/>
      <c r="C5125" s="46"/>
      <c r="D5125" s="48"/>
      <c r="E5125" s="48"/>
      <c r="F5125" s="48"/>
      <c r="G5125" s="48"/>
      <c r="H5125" s="48"/>
      <c r="I5125" s="48"/>
    </row>
    <row r="5126" spans="1:9" hidden="1" x14ac:dyDescent="0.2">
      <c r="A5126" s="46"/>
      <c r="B5126" s="46"/>
      <c r="C5126" s="46"/>
      <c r="D5126" s="48"/>
      <c r="E5126" s="48"/>
      <c r="F5126" s="48"/>
      <c r="G5126" s="48"/>
      <c r="H5126" s="48"/>
      <c r="I5126" s="48"/>
    </row>
    <row r="5127" spans="1:9" hidden="1" x14ac:dyDescent="0.2">
      <c r="A5127" s="46"/>
      <c r="B5127" s="46"/>
      <c r="C5127" s="46"/>
      <c r="D5127" s="48"/>
      <c r="E5127" s="48"/>
      <c r="F5127" s="48"/>
      <c r="G5127" s="48"/>
      <c r="H5127" s="48"/>
      <c r="I5127" s="48"/>
    </row>
    <row r="5128" spans="1:9" hidden="1" x14ac:dyDescent="0.2">
      <c r="A5128" s="46"/>
      <c r="B5128" s="46"/>
      <c r="C5128" s="46"/>
      <c r="D5128" s="48"/>
      <c r="E5128" s="48"/>
      <c r="F5128" s="48"/>
      <c r="G5128" s="48"/>
      <c r="H5128" s="48"/>
      <c r="I5128" s="48"/>
    </row>
    <row r="5129" spans="1:9" hidden="1" x14ac:dyDescent="0.2">
      <c r="A5129" s="46"/>
      <c r="B5129" s="46"/>
      <c r="C5129" s="46"/>
      <c r="D5129" s="48"/>
      <c r="E5129" s="48"/>
      <c r="F5129" s="48"/>
      <c r="G5129" s="48"/>
      <c r="H5129" s="48"/>
      <c r="I5129" s="48"/>
    </row>
    <row r="5130" spans="1:9" hidden="1" x14ac:dyDescent="0.2">
      <c r="A5130" s="46"/>
      <c r="B5130" s="46"/>
      <c r="C5130" s="46"/>
      <c r="D5130" s="48"/>
      <c r="E5130" s="48"/>
      <c r="F5130" s="48"/>
      <c r="G5130" s="48"/>
      <c r="H5130" s="48"/>
      <c r="I5130" s="48"/>
    </row>
    <row r="5131" spans="1:9" hidden="1" x14ac:dyDescent="0.2">
      <c r="A5131" s="46"/>
      <c r="B5131" s="46"/>
      <c r="C5131" s="46"/>
      <c r="D5131" s="48"/>
      <c r="E5131" s="48"/>
      <c r="F5131" s="48"/>
      <c r="G5131" s="48"/>
      <c r="H5131" s="48"/>
      <c r="I5131" s="48"/>
    </row>
    <row r="5132" spans="1:9" hidden="1" x14ac:dyDescent="0.2">
      <c r="A5132" s="46"/>
      <c r="B5132" s="46"/>
      <c r="C5132" s="46"/>
      <c r="D5132" s="48"/>
      <c r="E5132" s="48"/>
      <c r="F5132" s="48"/>
      <c r="G5132" s="48"/>
      <c r="H5132" s="48"/>
      <c r="I5132" s="48"/>
    </row>
    <row r="5133" spans="1:9" hidden="1" x14ac:dyDescent="0.2">
      <c r="A5133" s="46"/>
      <c r="B5133" s="46"/>
      <c r="C5133" s="46"/>
      <c r="D5133" s="48"/>
      <c r="E5133" s="48"/>
      <c r="F5133" s="48"/>
      <c r="G5133" s="48"/>
      <c r="H5133" s="48"/>
      <c r="I5133" s="48"/>
    </row>
    <row r="5134" spans="1:9" hidden="1" x14ac:dyDescent="0.2">
      <c r="A5134" s="46"/>
      <c r="B5134" s="46"/>
      <c r="C5134" s="46"/>
      <c r="D5134" s="48"/>
      <c r="E5134" s="48"/>
      <c r="F5134" s="48"/>
      <c r="G5134" s="48"/>
      <c r="H5134" s="48"/>
      <c r="I5134" s="48"/>
    </row>
    <row r="5135" spans="1:9" hidden="1" x14ac:dyDescent="0.2">
      <c r="A5135" s="46"/>
      <c r="B5135" s="46"/>
      <c r="C5135" s="46"/>
      <c r="D5135" s="48"/>
      <c r="E5135" s="48"/>
      <c r="F5135" s="48"/>
      <c r="G5135" s="48"/>
      <c r="H5135" s="48"/>
      <c r="I5135" s="48"/>
    </row>
    <row r="5136" spans="1:9" hidden="1" x14ac:dyDescent="0.2">
      <c r="A5136" s="46"/>
      <c r="B5136" s="46"/>
      <c r="C5136" s="46"/>
      <c r="D5136" s="48"/>
      <c r="E5136" s="48"/>
      <c r="F5136" s="48"/>
      <c r="G5136" s="48"/>
      <c r="H5136" s="48"/>
      <c r="I5136" s="48"/>
    </row>
    <row r="5137" spans="1:9" hidden="1" x14ac:dyDescent="0.2">
      <c r="A5137" s="46"/>
      <c r="B5137" s="46"/>
      <c r="C5137" s="46"/>
      <c r="D5137" s="48"/>
      <c r="E5137" s="48"/>
      <c r="F5137" s="48"/>
      <c r="G5137" s="48"/>
      <c r="H5137" s="48"/>
      <c r="I5137" s="48"/>
    </row>
    <row r="5138" spans="1:9" hidden="1" x14ac:dyDescent="0.2">
      <c r="A5138" s="46"/>
      <c r="B5138" s="46"/>
      <c r="C5138" s="46"/>
      <c r="D5138" s="48"/>
      <c r="E5138" s="48"/>
      <c r="F5138" s="48"/>
      <c r="G5138" s="48"/>
      <c r="H5138" s="48"/>
      <c r="I5138" s="48"/>
    </row>
    <row r="5139" spans="1:9" hidden="1" x14ac:dyDescent="0.2">
      <c r="A5139" s="46"/>
      <c r="B5139" s="46"/>
      <c r="C5139" s="46"/>
      <c r="D5139" s="48"/>
      <c r="E5139" s="48"/>
      <c r="F5139" s="48"/>
      <c r="G5139" s="48"/>
      <c r="H5139" s="48"/>
      <c r="I5139" s="48"/>
    </row>
    <row r="5140" spans="1:9" hidden="1" x14ac:dyDescent="0.2">
      <c r="A5140" s="46"/>
      <c r="B5140" s="46"/>
      <c r="C5140" s="46"/>
      <c r="D5140" s="48"/>
      <c r="E5140" s="48"/>
      <c r="F5140" s="48"/>
      <c r="G5140" s="48"/>
      <c r="H5140" s="48"/>
      <c r="I5140" s="48"/>
    </row>
    <row r="5141" spans="1:9" hidden="1" x14ac:dyDescent="0.2">
      <c r="A5141" s="46"/>
      <c r="B5141" s="46"/>
      <c r="C5141" s="46"/>
      <c r="D5141" s="48"/>
      <c r="E5141" s="48"/>
      <c r="F5141" s="48"/>
      <c r="G5141" s="48"/>
      <c r="H5141" s="48"/>
      <c r="I5141" s="48"/>
    </row>
    <row r="5142" spans="1:9" hidden="1" x14ac:dyDescent="0.2">
      <c r="A5142" s="46"/>
      <c r="B5142" s="46"/>
      <c r="C5142" s="46"/>
      <c r="D5142" s="48"/>
      <c r="E5142" s="48"/>
      <c r="F5142" s="48"/>
      <c r="G5142" s="48"/>
      <c r="H5142" s="48"/>
      <c r="I5142" s="48"/>
    </row>
    <row r="5143" spans="1:9" hidden="1" x14ac:dyDescent="0.2">
      <c r="A5143" s="46"/>
      <c r="B5143" s="46"/>
      <c r="C5143" s="46"/>
      <c r="D5143" s="48"/>
      <c r="E5143" s="48"/>
      <c r="F5143" s="48"/>
      <c r="G5143" s="48"/>
      <c r="H5143" s="48"/>
      <c r="I5143" s="48"/>
    </row>
    <row r="5144" spans="1:9" hidden="1" x14ac:dyDescent="0.2">
      <c r="A5144" s="46"/>
      <c r="B5144" s="46"/>
      <c r="C5144" s="46"/>
      <c r="D5144" s="48"/>
      <c r="E5144" s="48"/>
      <c r="F5144" s="48"/>
      <c r="G5144" s="48"/>
      <c r="H5144" s="48"/>
      <c r="I5144" s="48"/>
    </row>
    <row r="5145" spans="1:9" hidden="1" x14ac:dyDescent="0.2">
      <c r="A5145" s="46"/>
      <c r="B5145" s="46"/>
      <c r="C5145" s="46"/>
      <c r="D5145" s="48"/>
      <c r="E5145" s="48"/>
      <c r="F5145" s="48"/>
      <c r="G5145" s="48"/>
      <c r="H5145" s="48"/>
      <c r="I5145" s="48"/>
    </row>
    <row r="5146" spans="1:9" hidden="1" x14ac:dyDescent="0.2">
      <c r="A5146" s="46"/>
      <c r="B5146" s="46"/>
      <c r="C5146" s="46"/>
      <c r="D5146" s="48"/>
      <c r="E5146" s="48"/>
      <c r="F5146" s="48"/>
      <c r="G5146" s="48"/>
      <c r="H5146" s="48"/>
      <c r="I5146" s="48"/>
    </row>
    <row r="5147" spans="1:9" hidden="1" x14ac:dyDescent="0.2">
      <c r="A5147" s="46"/>
      <c r="B5147" s="46"/>
      <c r="C5147" s="46"/>
      <c r="D5147" s="48"/>
      <c r="E5147" s="48"/>
      <c r="F5147" s="48"/>
      <c r="G5147" s="48"/>
      <c r="H5147" s="48"/>
      <c r="I5147" s="48"/>
    </row>
    <row r="5148" spans="1:9" hidden="1" x14ac:dyDescent="0.2">
      <c r="A5148" s="46"/>
      <c r="B5148" s="46"/>
      <c r="C5148" s="46"/>
      <c r="D5148" s="48"/>
      <c r="E5148" s="48"/>
      <c r="F5148" s="48"/>
      <c r="G5148" s="48"/>
      <c r="H5148" s="48"/>
      <c r="I5148" s="48"/>
    </row>
    <row r="5149" spans="1:9" hidden="1" x14ac:dyDescent="0.2">
      <c r="A5149" s="46"/>
      <c r="B5149" s="46"/>
      <c r="C5149" s="46"/>
      <c r="D5149" s="48"/>
      <c r="E5149" s="48"/>
      <c r="F5149" s="48"/>
      <c r="G5149" s="48"/>
      <c r="H5149" s="48"/>
      <c r="I5149" s="48"/>
    </row>
    <row r="5150" spans="1:9" hidden="1" x14ac:dyDescent="0.2">
      <c r="A5150" s="46"/>
      <c r="B5150" s="46"/>
      <c r="C5150" s="46"/>
      <c r="D5150" s="48"/>
      <c r="E5150" s="48"/>
      <c r="F5150" s="48"/>
      <c r="G5150" s="48"/>
      <c r="H5150" s="48"/>
      <c r="I5150" s="48"/>
    </row>
    <row r="5151" spans="1:9" hidden="1" x14ac:dyDescent="0.2">
      <c r="A5151" s="46"/>
      <c r="B5151" s="46"/>
      <c r="C5151" s="46"/>
      <c r="D5151" s="48"/>
      <c r="E5151" s="48"/>
      <c r="F5151" s="48"/>
      <c r="G5151" s="48"/>
      <c r="H5151" s="48"/>
      <c r="I5151" s="48"/>
    </row>
    <row r="5152" spans="1:9" hidden="1" x14ac:dyDescent="0.2">
      <c r="A5152" s="46"/>
      <c r="B5152" s="46"/>
      <c r="C5152" s="46"/>
      <c r="D5152" s="48"/>
      <c r="E5152" s="48"/>
      <c r="F5152" s="48"/>
      <c r="G5152" s="48"/>
      <c r="H5152" s="48"/>
      <c r="I5152" s="48"/>
    </row>
    <row r="5153" spans="1:9" hidden="1" x14ac:dyDescent="0.2">
      <c r="A5153" s="46"/>
      <c r="B5153" s="46"/>
      <c r="C5153" s="46"/>
      <c r="D5153" s="48"/>
      <c r="E5153" s="48"/>
      <c r="F5153" s="48"/>
      <c r="G5153" s="48"/>
      <c r="H5153" s="48"/>
      <c r="I5153" s="48"/>
    </row>
    <row r="5154" spans="1:9" hidden="1" x14ac:dyDescent="0.2">
      <c r="A5154" s="46"/>
      <c r="B5154" s="46"/>
      <c r="C5154" s="46"/>
      <c r="D5154" s="48"/>
      <c r="E5154" s="48"/>
      <c r="F5154" s="48"/>
      <c r="G5154" s="48"/>
      <c r="H5154" s="48"/>
      <c r="I5154" s="48"/>
    </row>
    <row r="5155" spans="1:9" hidden="1" x14ac:dyDescent="0.2">
      <c r="A5155" s="46"/>
      <c r="B5155" s="46"/>
      <c r="C5155" s="46"/>
      <c r="D5155" s="48"/>
      <c r="E5155" s="48"/>
      <c r="F5155" s="48"/>
      <c r="G5155" s="48"/>
      <c r="H5155" s="48"/>
      <c r="I5155" s="48"/>
    </row>
    <row r="5156" spans="1:9" hidden="1" x14ac:dyDescent="0.2">
      <c r="A5156" s="46"/>
      <c r="B5156" s="46"/>
      <c r="C5156" s="46"/>
      <c r="D5156" s="48"/>
      <c r="E5156" s="48"/>
      <c r="F5156" s="48"/>
      <c r="G5156" s="48"/>
      <c r="H5156" s="48"/>
      <c r="I5156" s="48"/>
    </row>
    <row r="5157" spans="1:9" hidden="1" x14ac:dyDescent="0.2">
      <c r="A5157" s="46"/>
      <c r="B5157" s="46"/>
      <c r="C5157" s="46"/>
      <c r="D5157" s="48"/>
      <c r="E5157" s="48"/>
      <c r="F5157" s="48"/>
      <c r="G5157" s="48"/>
      <c r="H5157" s="48"/>
      <c r="I5157" s="48"/>
    </row>
    <row r="5158" spans="1:9" hidden="1" x14ac:dyDescent="0.2">
      <c r="A5158" s="46"/>
      <c r="B5158" s="46"/>
      <c r="C5158" s="46"/>
      <c r="D5158" s="48"/>
      <c r="E5158" s="48"/>
      <c r="F5158" s="48"/>
      <c r="G5158" s="48"/>
      <c r="H5158" s="48"/>
      <c r="I5158" s="48"/>
    </row>
    <row r="5159" spans="1:9" hidden="1" x14ac:dyDescent="0.2">
      <c r="A5159" s="46"/>
      <c r="B5159" s="46"/>
      <c r="C5159" s="46"/>
      <c r="D5159" s="48"/>
      <c r="E5159" s="48"/>
      <c r="F5159" s="48"/>
      <c r="G5159" s="48"/>
      <c r="H5159" s="48"/>
      <c r="I5159" s="48"/>
    </row>
    <row r="5160" spans="1:9" hidden="1" x14ac:dyDescent="0.2">
      <c r="A5160" s="46"/>
      <c r="B5160" s="46"/>
      <c r="C5160" s="46"/>
      <c r="D5160" s="48"/>
      <c r="E5160" s="48"/>
      <c r="F5160" s="48"/>
      <c r="G5160" s="48"/>
      <c r="H5160" s="48"/>
      <c r="I5160" s="48"/>
    </row>
    <row r="5161" spans="1:9" hidden="1" x14ac:dyDescent="0.2">
      <c r="A5161" s="46"/>
      <c r="B5161" s="46"/>
      <c r="C5161" s="46"/>
      <c r="D5161" s="48"/>
      <c r="E5161" s="48"/>
      <c r="F5161" s="48"/>
      <c r="G5161" s="48"/>
      <c r="H5161" s="48"/>
      <c r="I5161" s="48"/>
    </row>
    <row r="5162" spans="1:9" hidden="1" x14ac:dyDescent="0.2">
      <c r="A5162" s="46"/>
      <c r="B5162" s="46"/>
      <c r="C5162" s="46"/>
      <c r="D5162" s="48"/>
      <c r="E5162" s="48"/>
      <c r="F5162" s="48"/>
      <c r="G5162" s="48"/>
      <c r="H5162" s="48"/>
      <c r="I5162" s="48"/>
    </row>
    <row r="5163" spans="1:9" hidden="1" x14ac:dyDescent="0.2">
      <c r="A5163" s="46"/>
      <c r="B5163" s="46"/>
      <c r="C5163" s="46"/>
      <c r="D5163" s="48"/>
      <c r="E5163" s="48"/>
      <c r="F5163" s="48"/>
      <c r="G5163" s="48"/>
      <c r="H5163" s="48"/>
      <c r="I5163" s="48"/>
    </row>
    <row r="5164" spans="1:9" hidden="1" x14ac:dyDescent="0.2">
      <c r="A5164" s="46"/>
      <c r="B5164" s="46"/>
      <c r="C5164" s="46"/>
      <c r="D5164" s="48"/>
      <c r="E5164" s="48"/>
      <c r="F5164" s="48"/>
      <c r="G5164" s="48"/>
      <c r="H5164" s="48"/>
      <c r="I5164" s="48"/>
    </row>
    <row r="5165" spans="1:9" hidden="1" x14ac:dyDescent="0.2">
      <c r="A5165" s="46"/>
      <c r="B5165" s="46"/>
      <c r="C5165" s="46"/>
      <c r="D5165" s="48"/>
      <c r="E5165" s="48"/>
      <c r="F5165" s="48"/>
      <c r="G5165" s="48"/>
      <c r="H5165" s="48"/>
      <c r="I5165" s="48"/>
    </row>
    <row r="5166" spans="1:9" hidden="1" x14ac:dyDescent="0.2">
      <c r="A5166" s="46"/>
      <c r="B5166" s="46"/>
      <c r="C5166" s="46"/>
      <c r="D5166" s="48"/>
      <c r="E5166" s="48"/>
      <c r="F5166" s="48"/>
      <c r="G5166" s="48"/>
      <c r="H5166" s="48"/>
      <c r="I5166" s="48"/>
    </row>
    <row r="5167" spans="1:9" hidden="1" x14ac:dyDescent="0.2">
      <c r="A5167" s="46"/>
      <c r="B5167" s="46"/>
      <c r="C5167" s="46"/>
      <c r="D5167" s="48"/>
      <c r="E5167" s="48"/>
      <c r="F5167" s="48"/>
      <c r="G5167" s="48"/>
      <c r="H5167" s="48"/>
      <c r="I5167" s="48"/>
    </row>
    <row r="5168" spans="1:9" hidden="1" x14ac:dyDescent="0.2">
      <c r="A5168" s="46"/>
      <c r="B5168" s="46"/>
      <c r="C5168" s="46"/>
      <c r="D5168" s="48"/>
      <c r="E5168" s="48"/>
      <c r="F5168" s="48"/>
      <c r="G5168" s="48"/>
      <c r="H5168" s="48"/>
      <c r="I5168" s="48"/>
    </row>
    <row r="5169" spans="1:9" hidden="1" x14ac:dyDescent="0.2">
      <c r="A5169" s="46"/>
      <c r="B5169" s="46"/>
      <c r="C5169" s="46"/>
      <c r="D5169" s="48"/>
      <c r="E5169" s="48"/>
      <c r="F5169" s="48"/>
      <c r="G5169" s="48"/>
      <c r="H5169" s="48"/>
      <c r="I5169" s="48"/>
    </row>
    <row r="5170" spans="1:9" hidden="1" x14ac:dyDescent="0.2">
      <c r="A5170" s="46"/>
      <c r="B5170" s="46"/>
      <c r="C5170" s="46"/>
      <c r="D5170" s="48"/>
      <c r="E5170" s="48"/>
      <c r="F5170" s="48"/>
      <c r="G5170" s="48"/>
      <c r="H5170" s="48"/>
      <c r="I5170" s="48"/>
    </row>
    <row r="5171" spans="1:9" hidden="1" x14ac:dyDescent="0.2">
      <c r="A5171" s="46"/>
      <c r="B5171" s="46"/>
      <c r="C5171" s="46"/>
      <c r="D5171" s="48"/>
      <c r="E5171" s="48"/>
      <c r="F5171" s="48"/>
      <c r="G5171" s="48"/>
      <c r="H5171" s="48"/>
      <c r="I5171" s="48"/>
    </row>
    <row r="5172" spans="1:9" hidden="1" x14ac:dyDescent="0.2">
      <c r="A5172" s="46"/>
      <c r="B5172" s="46"/>
      <c r="C5172" s="46"/>
      <c r="D5172" s="48"/>
      <c r="E5172" s="48"/>
      <c r="F5172" s="48"/>
      <c r="G5172" s="48"/>
      <c r="H5172" s="48"/>
      <c r="I5172" s="48"/>
    </row>
    <row r="5173" spans="1:9" hidden="1" x14ac:dyDescent="0.2">
      <c r="A5173" s="46"/>
      <c r="B5173" s="46"/>
      <c r="C5173" s="46"/>
      <c r="D5173" s="48"/>
      <c r="E5173" s="48"/>
      <c r="F5173" s="48"/>
      <c r="G5173" s="48"/>
      <c r="H5173" s="48"/>
      <c r="I5173" s="48"/>
    </row>
    <row r="5174" spans="1:9" hidden="1" x14ac:dyDescent="0.2">
      <c r="A5174" s="46"/>
      <c r="B5174" s="46"/>
      <c r="C5174" s="46"/>
      <c r="D5174" s="48"/>
      <c r="E5174" s="48"/>
      <c r="F5174" s="48"/>
      <c r="G5174" s="48"/>
      <c r="H5174" s="48"/>
      <c r="I5174" s="48"/>
    </row>
    <row r="5175" spans="1:9" hidden="1" x14ac:dyDescent="0.2">
      <c r="A5175" s="46"/>
      <c r="B5175" s="46"/>
      <c r="C5175" s="46"/>
      <c r="D5175" s="48"/>
      <c r="E5175" s="48"/>
      <c r="F5175" s="48"/>
      <c r="G5175" s="48"/>
      <c r="H5175" s="48"/>
      <c r="I5175" s="48"/>
    </row>
    <row r="5176" spans="1:9" hidden="1" x14ac:dyDescent="0.2">
      <c r="A5176" s="46"/>
      <c r="B5176" s="46"/>
      <c r="C5176" s="46"/>
      <c r="D5176" s="48"/>
      <c r="E5176" s="48"/>
      <c r="F5176" s="48"/>
      <c r="G5176" s="48"/>
      <c r="H5176" s="48"/>
      <c r="I5176" s="48"/>
    </row>
    <row r="5177" spans="1:9" hidden="1" x14ac:dyDescent="0.2">
      <c r="A5177" s="46"/>
      <c r="B5177" s="46"/>
      <c r="C5177" s="46"/>
      <c r="D5177" s="48"/>
      <c r="E5177" s="48"/>
      <c r="F5177" s="48"/>
      <c r="G5177" s="48"/>
      <c r="H5177" s="48"/>
      <c r="I5177" s="48"/>
    </row>
    <row r="5178" spans="1:9" hidden="1" x14ac:dyDescent="0.2">
      <c r="A5178" s="46"/>
      <c r="B5178" s="46"/>
      <c r="C5178" s="46"/>
      <c r="D5178" s="48"/>
      <c r="E5178" s="48"/>
      <c r="F5178" s="48"/>
      <c r="G5178" s="48"/>
      <c r="H5178" s="48"/>
      <c r="I5178" s="48"/>
    </row>
    <row r="5179" spans="1:9" hidden="1" x14ac:dyDescent="0.2">
      <c r="A5179" s="46"/>
      <c r="B5179" s="46"/>
      <c r="C5179" s="46"/>
      <c r="D5179" s="48"/>
      <c r="E5179" s="48"/>
      <c r="F5179" s="48"/>
      <c r="G5179" s="48"/>
      <c r="H5179" s="48"/>
      <c r="I5179" s="48"/>
    </row>
    <row r="5180" spans="1:9" hidden="1" x14ac:dyDescent="0.2">
      <c r="A5180" s="46"/>
      <c r="B5180" s="46"/>
      <c r="C5180" s="46"/>
      <c r="D5180" s="48"/>
      <c r="E5180" s="48"/>
      <c r="F5180" s="48"/>
      <c r="G5180" s="48"/>
      <c r="H5180" s="48"/>
      <c r="I5180" s="48"/>
    </row>
    <row r="5181" spans="1:9" hidden="1" x14ac:dyDescent="0.2">
      <c r="A5181" s="46"/>
      <c r="B5181" s="46"/>
      <c r="C5181" s="46"/>
      <c r="D5181" s="48"/>
      <c r="E5181" s="48"/>
      <c r="F5181" s="48"/>
      <c r="G5181" s="48"/>
      <c r="H5181" s="48"/>
      <c r="I5181" s="48"/>
    </row>
    <row r="5182" spans="1:9" hidden="1" x14ac:dyDescent="0.2">
      <c r="A5182" s="46"/>
      <c r="B5182" s="46"/>
      <c r="C5182" s="46"/>
      <c r="D5182" s="48"/>
      <c r="E5182" s="48"/>
      <c r="F5182" s="48"/>
      <c r="G5182" s="48"/>
      <c r="H5182" s="48"/>
      <c r="I5182" s="48"/>
    </row>
    <row r="5183" spans="1:9" hidden="1" x14ac:dyDescent="0.2">
      <c r="A5183" s="46"/>
      <c r="B5183" s="46"/>
      <c r="C5183" s="46"/>
      <c r="D5183" s="48"/>
      <c r="E5183" s="48"/>
      <c r="F5183" s="48"/>
      <c r="G5183" s="48"/>
      <c r="H5183" s="48"/>
      <c r="I5183" s="48"/>
    </row>
    <row r="5184" spans="1:9" hidden="1" x14ac:dyDescent="0.2">
      <c r="A5184" s="46"/>
      <c r="B5184" s="46"/>
      <c r="C5184" s="46"/>
      <c r="D5184" s="48"/>
      <c r="E5184" s="48"/>
      <c r="F5184" s="48"/>
      <c r="G5184" s="48"/>
      <c r="H5184" s="48"/>
      <c r="I5184" s="48"/>
    </row>
    <row r="5185" spans="1:9" hidden="1" x14ac:dyDescent="0.2">
      <c r="A5185" s="46"/>
      <c r="B5185" s="46"/>
      <c r="C5185" s="46"/>
      <c r="D5185" s="48"/>
      <c r="E5185" s="48"/>
      <c r="F5185" s="48"/>
      <c r="G5185" s="48"/>
      <c r="H5185" s="48"/>
      <c r="I5185" s="48"/>
    </row>
    <row r="5186" spans="1:9" hidden="1" x14ac:dyDescent="0.2">
      <c r="A5186" s="46"/>
      <c r="B5186" s="46"/>
      <c r="C5186" s="46"/>
      <c r="D5186" s="48"/>
      <c r="E5186" s="48"/>
      <c r="F5186" s="48"/>
      <c r="G5186" s="48"/>
      <c r="H5186" s="48"/>
      <c r="I5186" s="48"/>
    </row>
    <row r="5187" spans="1:9" hidden="1" x14ac:dyDescent="0.2">
      <c r="A5187" s="46"/>
      <c r="B5187" s="46"/>
      <c r="C5187" s="46"/>
      <c r="D5187" s="48"/>
      <c r="E5187" s="48"/>
      <c r="F5187" s="48"/>
      <c r="G5187" s="48"/>
      <c r="H5187" s="48"/>
      <c r="I5187" s="48"/>
    </row>
    <row r="5188" spans="1:9" hidden="1" x14ac:dyDescent="0.2">
      <c r="A5188" s="46"/>
      <c r="B5188" s="46"/>
      <c r="C5188" s="46"/>
      <c r="D5188" s="48"/>
      <c r="E5188" s="48"/>
      <c r="F5188" s="48"/>
      <c r="G5188" s="48"/>
      <c r="H5188" s="48"/>
      <c r="I5188" s="48"/>
    </row>
    <row r="5189" spans="1:9" hidden="1" x14ac:dyDescent="0.2">
      <c r="A5189" s="46"/>
      <c r="B5189" s="46"/>
      <c r="C5189" s="46"/>
      <c r="D5189" s="48"/>
      <c r="E5189" s="48"/>
      <c r="F5189" s="48"/>
      <c r="G5189" s="48"/>
      <c r="H5189" s="48"/>
      <c r="I5189" s="48"/>
    </row>
    <row r="5190" spans="1:9" hidden="1" x14ac:dyDescent="0.2">
      <c r="A5190" s="46"/>
      <c r="B5190" s="46"/>
      <c r="C5190" s="46"/>
      <c r="D5190" s="48"/>
      <c r="E5190" s="48"/>
      <c r="F5190" s="48"/>
      <c r="G5190" s="48"/>
      <c r="H5190" s="48"/>
      <c r="I5190" s="48"/>
    </row>
    <row r="5191" spans="1:9" hidden="1" x14ac:dyDescent="0.2">
      <c r="A5191" s="46"/>
      <c r="B5191" s="46"/>
      <c r="C5191" s="46"/>
      <c r="D5191" s="48"/>
      <c r="E5191" s="48"/>
      <c r="F5191" s="48"/>
      <c r="G5191" s="48"/>
      <c r="H5191" s="48"/>
      <c r="I5191" s="48"/>
    </row>
    <row r="5192" spans="1:9" hidden="1" x14ac:dyDescent="0.2">
      <c r="A5192" s="46"/>
      <c r="B5192" s="46"/>
      <c r="C5192" s="46"/>
      <c r="D5192" s="48"/>
      <c r="E5192" s="48"/>
      <c r="F5192" s="48"/>
      <c r="G5192" s="48"/>
      <c r="H5192" s="48"/>
      <c r="I5192" s="48"/>
    </row>
    <row r="5193" spans="1:9" hidden="1" x14ac:dyDescent="0.2">
      <c r="A5193" s="46"/>
      <c r="B5193" s="46"/>
      <c r="C5193" s="46"/>
      <c r="D5193" s="48"/>
      <c r="E5193" s="48"/>
      <c r="F5193" s="48"/>
      <c r="G5193" s="48"/>
      <c r="H5193" s="48"/>
      <c r="I5193" s="48"/>
    </row>
    <row r="5194" spans="1:9" hidden="1" x14ac:dyDescent="0.2">
      <c r="A5194" s="46"/>
      <c r="B5194" s="46"/>
      <c r="C5194" s="46"/>
      <c r="D5194" s="48"/>
      <c r="E5194" s="48"/>
      <c r="F5194" s="48"/>
      <c r="G5194" s="48"/>
      <c r="H5194" s="48"/>
      <c r="I5194" s="48"/>
    </row>
    <row r="5195" spans="1:9" hidden="1" x14ac:dyDescent="0.2">
      <c r="A5195" s="46"/>
      <c r="B5195" s="46"/>
      <c r="C5195" s="46"/>
      <c r="D5195" s="48"/>
      <c r="E5195" s="48"/>
      <c r="F5195" s="48"/>
      <c r="G5195" s="48"/>
      <c r="H5195" s="48"/>
      <c r="I5195" s="48"/>
    </row>
    <row r="5196" spans="1:9" hidden="1" x14ac:dyDescent="0.2">
      <c r="A5196" s="46"/>
      <c r="B5196" s="46"/>
      <c r="C5196" s="46"/>
      <c r="D5196" s="48"/>
      <c r="E5196" s="48"/>
      <c r="F5196" s="48"/>
      <c r="G5196" s="48"/>
      <c r="H5196" s="48"/>
      <c r="I5196" s="48"/>
    </row>
    <row r="5197" spans="1:9" hidden="1" x14ac:dyDescent="0.2">
      <c r="A5197" s="46"/>
      <c r="B5197" s="46"/>
      <c r="C5197" s="46"/>
      <c r="D5197" s="48"/>
      <c r="E5197" s="48"/>
      <c r="F5197" s="48"/>
      <c r="G5197" s="48"/>
      <c r="H5197" s="48"/>
      <c r="I5197" s="48"/>
    </row>
    <row r="5198" spans="1:9" hidden="1" x14ac:dyDescent="0.2">
      <c r="A5198" s="46"/>
      <c r="B5198" s="46"/>
      <c r="C5198" s="46"/>
      <c r="D5198" s="48"/>
      <c r="E5198" s="48"/>
      <c r="F5198" s="48"/>
      <c r="G5198" s="48"/>
      <c r="H5198" s="48"/>
      <c r="I5198" s="48"/>
    </row>
    <row r="5199" spans="1:9" hidden="1" x14ac:dyDescent="0.2">
      <c r="A5199" s="46"/>
      <c r="B5199" s="46"/>
      <c r="C5199" s="46"/>
      <c r="D5199" s="48"/>
      <c r="E5199" s="48"/>
      <c r="F5199" s="48"/>
      <c r="G5199" s="48"/>
      <c r="H5199" s="48"/>
      <c r="I5199" s="48"/>
    </row>
    <row r="5200" spans="1:9" hidden="1" x14ac:dyDescent="0.2">
      <c r="A5200" s="46"/>
      <c r="B5200" s="46"/>
      <c r="C5200" s="46"/>
      <c r="D5200" s="48"/>
      <c r="E5200" s="48"/>
      <c r="F5200" s="48"/>
      <c r="G5200" s="48"/>
      <c r="H5200" s="48"/>
      <c r="I5200" s="48"/>
    </row>
    <row r="5201" spans="1:9" hidden="1" x14ac:dyDescent="0.2">
      <c r="A5201" s="46"/>
      <c r="B5201" s="46"/>
      <c r="C5201" s="46"/>
      <c r="D5201" s="48"/>
      <c r="E5201" s="48"/>
      <c r="F5201" s="48"/>
      <c r="G5201" s="48"/>
      <c r="H5201" s="48"/>
      <c r="I5201" s="48"/>
    </row>
    <row r="5202" spans="1:9" hidden="1" x14ac:dyDescent="0.2">
      <c r="A5202" s="46"/>
      <c r="B5202" s="46"/>
      <c r="C5202" s="46"/>
      <c r="D5202" s="48"/>
      <c r="E5202" s="48"/>
      <c r="F5202" s="48"/>
      <c r="G5202" s="48"/>
      <c r="H5202" s="48"/>
      <c r="I5202" s="48"/>
    </row>
    <row r="5203" spans="1:9" hidden="1" x14ac:dyDescent="0.2">
      <c r="A5203" s="46"/>
      <c r="B5203" s="46"/>
      <c r="C5203" s="46"/>
      <c r="D5203" s="48"/>
      <c r="E5203" s="48"/>
      <c r="F5203" s="48"/>
      <c r="G5203" s="48"/>
      <c r="H5203" s="48"/>
      <c r="I5203" s="48"/>
    </row>
    <row r="5204" spans="1:9" hidden="1" x14ac:dyDescent="0.2">
      <c r="A5204" s="46"/>
      <c r="B5204" s="46"/>
      <c r="C5204" s="46"/>
      <c r="D5204" s="48"/>
      <c r="E5204" s="48"/>
      <c r="F5204" s="48"/>
      <c r="G5204" s="48"/>
      <c r="H5204" s="48"/>
      <c r="I5204" s="48"/>
    </row>
    <row r="5205" spans="1:9" hidden="1" x14ac:dyDescent="0.2">
      <c r="A5205" s="46"/>
      <c r="B5205" s="46"/>
      <c r="C5205" s="46"/>
      <c r="D5205" s="48"/>
      <c r="E5205" s="48"/>
      <c r="F5205" s="48"/>
      <c r="G5205" s="48"/>
      <c r="H5205" s="48"/>
      <c r="I5205" s="48"/>
    </row>
    <row r="5206" spans="1:9" hidden="1" x14ac:dyDescent="0.2">
      <c r="A5206" s="46"/>
      <c r="B5206" s="46"/>
      <c r="C5206" s="46"/>
      <c r="D5206" s="48"/>
      <c r="E5206" s="48"/>
      <c r="F5206" s="48"/>
      <c r="G5206" s="48"/>
      <c r="H5206" s="48"/>
      <c r="I5206" s="48"/>
    </row>
    <row r="5207" spans="1:9" hidden="1" x14ac:dyDescent="0.2">
      <c r="A5207" s="46"/>
      <c r="B5207" s="46"/>
      <c r="C5207" s="46"/>
      <c r="D5207" s="48"/>
      <c r="E5207" s="48"/>
      <c r="F5207" s="48"/>
      <c r="G5207" s="48"/>
      <c r="H5207" s="48"/>
      <c r="I5207" s="48"/>
    </row>
    <row r="5208" spans="1:9" hidden="1" x14ac:dyDescent="0.2">
      <c r="A5208" s="46"/>
      <c r="B5208" s="46"/>
      <c r="C5208" s="46"/>
      <c r="D5208" s="48"/>
      <c r="E5208" s="48"/>
      <c r="F5208" s="48"/>
      <c r="G5208" s="48"/>
      <c r="H5208" s="48"/>
      <c r="I5208" s="48"/>
    </row>
    <row r="5209" spans="1:9" hidden="1" x14ac:dyDescent="0.2">
      <c r="A5209" s="46"/>
      <c r="B5209" s="46"/>
      <c r="C5209" s="46"/>
      <c r="D5209" s="48"/>
      <c r="E5209" s="48"/>
      <c r="F5209" s="48"/>
      <c r="G5209" s="48"/>
      <c r="H5209" s="48"/>
      <c r="I5209" s="48"/>
    </row>
    <row r="5210" spans="1:9" hidden="1" x14ac:dyDescent="0.2">
      <c r="A5210" s="46"/>
      <c r="B5210" s="46"/>
      <c r="C5210" s="46"/>
      <c r="D5210" s="48"/>
      <c r="E5210" s="48"/>
      <c r="F5210" s="48"/>
      <c r="G5210" s="48"/>
      <c r="H5210" s="48"/>
      <c r="I5210" s="48"/>
    </row>
    <row r="5211" spans="1:9" hidden="1" x14ac:dyDescent="0.2">
      <c r="A5211" s="46"/>
      <c r="B5211" s="46"/>
      <c r="C5211" s="46"/>
      <c r="D5211" s="48"/>
      <c r="E5211" s="48"/>
      <c r="F5211" s="48"/>
      <c r="G5211" s="48"/>
      <c r="H5211" s="48"/>
      <c r="I5211" s="48"/>
    </row>
    <row r="5212" spans="1:9" hidden="1" x14ac:dyDescent="0.2">
      <c r="A5212" s="46"/>
      <c r="B5212" s="46"/>
      <c r="C5212" s="46"/>
      <c r="D5212" s="48"/>
      <c r="E5212" s="48"/>
      <c r="F5212" s="48"/>
      <c r="G5212" s="48"/>
      <c r="H5212" s="48"/>
      <c r="I5212" s="48"/>
    </row>
    <row r="5213" spans="1:9" hidden="1" x14ac:dyDescent="0.2">
      <c r="A5213" s="46"/>
      <c r="B5213" s="46"/>
      <c r="C5213" s="46"/>
      <c r="D5213" s="48"/>
      <c r="E5213" s="48"/>
      <c r="F5213" s="48"/>
      <c r="G5213" s="48"/>
      <c r="H5213" s="48"/>
      <c r="I5213" s="48"/>
    </row>
    <row r="5214" spans="1:9" hidden="1" x14ac:dyDescent="0.2">
      <c r="A5214" s="46"/>
      <c r="B5214" s="46"/>
      <c r="C5214" s="46"/>
      <c r="D5214" s="48"/>
      <c r="E5214" s="48"/>
      <c r="F5214" s="48"/>
      <c r="G5214" s="48"/>
      <c r="H5214" s="48"/>
      <c r="I5214" s="48"/>
    </row>
    <row r="5215" spans="1:9" hidden="1" x14ac:dyDescent="0.2">
      <c r="A5215" s="46"/>
      <c r="B5215" s="46"/>
      <c r="C5215" s="46"/>
      <c r="D5215" s="48"/>
      <c r="E5215" s="48"/>
      <c r="F5215" s="48"/>
      <c r="G5215" s="48"/>
      <c r="H5215" s="48"/>
      <c r="I5215" s="48"/>
    </row>
    <row r="5216" spans="1:9" hidden="1" x14ac:dyDescent="0.2">
      <c r="A5216" s="46"/>
      <c r="B5216" s="46"/>
      <c r="C5216" s="46"/>
      <c r="D5216" s="48"/>
      <c r="E5216" s="48"/>
      <c r="F5216" s="48"/>
      <c r="G5216" s="48"/>
      <c r="H5216" s="48"/>
      <c r="I5216" s="48"/>
    </row>
    <row r="5217" spans="1:9" hidden="1" x14ac:dyDescent="0.2">
      <c r="A5217" s="46"/>
      <c r="B5217" s="46"/>
      <c r="C5217" s="46"/>
      <c r="D5217" s="48"/>
      <c r="E5217" s="48"/>
      <c r="F5217" s="48"/>
      <c r="G5217" s="48"/>
      <c r="H5217" s="48"/>
      <c r="I5217" s="48"/>
    </row>
    <row r="5218" spans="1:9" hidden="1" x14ac:dyDescent="0.2">
      <c r="A5218" s="46"/>
      <c r="B5218" s="46"/>
      <c r="C5218" s="46"/>
      <c r="D5218" s="48"/>
      <c r="E5218" s="48"/>
      <c r="F5218" s="48"/>
      <c r="G5218" s="48"/>
      <c r="H5218" s="48"/>
      <c r="I5218" s="48"/>
    </row>
    <row r="5219" spans="1:9" hidden="1" x14ac:dyDescent="0.2">
      <c r="A5219" s="46"/>
      <c r="B5219" s="46"/>
      <c r="C5219" s="46"/>
      <c r="D5219" s="48"/>
      <c r="E5219" s="48"/>
      <c r="F5219" s="48"/>
      <c r="G5219" s="48"/>
      <c r="H5219" s="48"/>
      <c r="I5219" s="48"/>
    </row>
    <row r="5220" spans="1:9" hidden="1" x14ac:dyDescent="0.2">
      <c r="A5220" s="46"/>
      <c r="B5220" s="46"/>
      <c r="C5220" s="46"/>
      <c r="D5220" s="48"/>
      <c r="E5220" s="48"/>
      <c r="F5220" s="48"/>
      <c r="G5220" s="48"/>
      <c r="H5220" s="48"/>
      <c r="I5220" s="48"/>
    </row>
    <row r="5221" spans="1:9" hidden="1" x14ac:dyDescent="0.2">
      <c r="A5221" s="46"/>
      <c r="B5221" s="46"/>
      <c r="C5221" s="46"/>
      <c r="D5221" s="48"/>
      <c r="E5221" s="48"/>
      <c r="F5221" s="48"/>
      <c r="G5221" s="48"/>
      <c r="H5221" s="48"/>
      <c r="I5221" s="48"/>
    </row>
    <row r="5222" spans="1:9" hidden="1" x14ac:dyDescent="0.2">
      <c r="A5222" s="46"/>
      <c r="B5222" s="46"/>
      <c r="C5222" s="46"/>
      <c r="D5222" s="48"/>
      <c r="E5222" s="48"/>
      <c r="F5222" s="48"/>
      <c r="G5222" s="48"/>
      <c r="H5222" s="48"/>
      <c r="I5222" s="48"/>
    </row>
    <row r="5223" spans="1:9" hidden="1" x14ac:dyDescent="0.2">
      <c r="A5223" s="46"/>
      <c r="B5223" s="46"/>
      <c r="C5223" s="46"/>
      <c r="D5223" s="48"/>
      <c r="E5223" s="48"/>
      <c r="F5223" s="48"/>
      <c r="G5223" s="48"/>
      <c r="H5223" s="48"/>
      <c r="I5223" s="48"/>
    </row>
    <row r="5224" spans="1:9" hidden="1" x14ac:dyDescent="0.2">
      <c r="A5224" s="46"/>
      <c r="B5224" s="46"/>
      <c r="C5224" s="46"/>
      <c r="D5224" s="48"/>
      <c r="E5224" s="48"/>
      <c r="F5224" s="48"/>
      <c r="G5224" s="48"/>
      <c r="H5224" s="48"/>
      <c r="I5224" s="48"/>
    </row>
    <row r="5225" spans="1:9" hidden="1" x14ac:dyDescent="0.2">
      <c r="A5225" s="46"/>
      <c r="B5225" s="46"/>
      <c r="C5225" s="46"/>
      <c r="D5225" s="48"/>
      <c r="E5225" s="48"/>
      <c r="F5225" s="48"/>
      <c r="G5225" s="48"/>
      <c r="H5225" s="48"/>
      <c r="I5225" s="48"/>
    </row>
    <row r="5226" spans="1:9" hidden="1" x14ac:dyDescent="0.2">
      <c r="A5226" s="46"/>
      <c r="B5226" s="46"/>
      <c r="C5226" s="46"/>
      <c r="D5226" s="48"/>
      <c r="E5226" s="48"/>
      <c r="F5226" s="48"/>
      <c r="G5226" s="48"/>
      <c r="H5226" s="48"/>
      <c r="I5226" s="48"/>
    </row>
    <row r="5227" spans="1:9" hidden="1" x14ac:dyDescent="0.2">
      <c r="A5227" s="46"/>
      <c r="B5227" s="46"/>
      <c r="C5227" s="46"/>
      <c r="D5227" s="48"/>
      <c r="E5227" s="48"/>
      <c r="F5227" s="48"/>
      <c r="G5227" s="48"/>
      <c r="H5227" s="48"/>
      <c r="I5227" s="48"/>
    </row>
    <row r="5228" spans="1:9" hidden="1" x14ac:dyDescent="0.2">
      <c r="A5228" s="46"/>
      <c r="B5228" s="46"/>
      <c r="C5228" s="46"/>
      <c r="D5228" s="48"/>
      <c r="E5228" s="48"/>
      <c r="F5228" s="48"/>
      <c r="G5228" s="48"/>
      <c r="H5228" s="48"/>
      <c r="I5228" s="48"/>
    </row>
    <row r="5229" spans="1:9" hidden="1" x14ac:dyDescent="0.2">
      <c r="A5229" s="46"/>
      <c r="B5229" s="46"/>
      <c r="C5229" s="46"/>
      <c r="D5229" s="48"/>
      <c r="E5229" s="48"/>
      <c r="F5229" s="48"/>
      <c r="G5229" s="48"/>
      <c r="H5229" s="48"/>
      <c r="I5229" s="48"/>
    </row>
    <row r="5230" spans="1:9" hidden="1" x14ac:dyDescent="0.2">
      <c r="A5230" s="46"/>
      <c r="B5230" s="46"/>
      <c r="C5230" s="46"/>
      <c r="D5230" s="48"/>
      <c r="E5230" s="48"/>
      <c r="F5230" s="48"/>
      <c r="G5230" s="48"/>
      <c r="H5230" s="48"/>
      <c r="I5230" s="48"/>
    </row>
    <row r="5231" spans="1:9" hidden="1" x14ac:dyDescent="0.2">
      <c r="A5231" s="46"/>
      <c r="B5231" s="46"/>
      <c r="C5231" s="46"/>
      <c r="D5231" s="48"/>
      <c r="E5231" s="48"/>
      <c r="F5231" s="48"/>
      <c r="G5231" s="48"/>
      <c r="H5231" s="48"/>
      <c r="I5231" s="48"/>
    </row>
    <row r="5232" spans="1:9" hidden="1" x14ac:dyDescent="0.2">
      <c r="A5232" s="46"/>
      <c r="B5232" s="46"/>
      <c r="C5232" s="46"/>
      <c r="D5232" s="48"/>
      <c r="E5232" s="48"/>
      <c r="F5232" s="48"/>
      <c r="G5232" s="48"/>
      <c r="H5232" s="48"/>
      <c r="I5232" s="48"/>
    </row>
    <row r="5233" spans="1:9" hidden="1" x14ac:dyDescent="0.2">
      <c r="A5233" s="46"/>
      <c r="B5233" s="46"/>
      <c r="C5233" s="46"/>
      <c r="D5233" s="48"/>
      <c r="E5233" s="48"/>
      <c r="F5233" s="48"/>
      <c r="G5233" s="48"/>
      <c r="H5233" s="48"/>
      <c r="I5233" s="48"/>
    </row>
    <row r="5234" spans="1:9" hidden="1" x14ac:dyDescent="0.2">
      <c r="A5234" s="46"/>
      <c r="B5234" s="46"/>
      <c r="C5234" s="46"/>
      <c r="D5234" s="48"/>
      <c r="E5234" s="48"/>
      <c r="F5234" s="48"/>
      <c r="G5234" s="48"/>
      <c r="H5234" s="48"/>
      <c r="I5234" s="48"/>
    </row>
    <row r="5235" spans="1:9" hidden="1" x14ac:dyDescent="0.2">
      <c r="A5235" s="46"/>
      <c r="B5235" s="46"/>
      <c r="C5235" s="46"/>
      <c r="D5235" s="48"/>
      <c r="E5235" s="48"/>
      <c r="F5235" s="48"/>
      <c r="G5235" s="48"/>
      <c r="H5235" s="48"/>
      <c r="I5235" s="48"/>
    </row>
    <row r="5236" spans="1:9" hidden="1" x14ac:dyDescent="0.2">
      <c r="A5236" s="46"/>
      <c r="B5236" s="46"/>
      <c r="C5236" s="46"/>
      <c r="D5236" s="48"/>
      <c r="E5236" s="48"/>
      <c r="F5236" s="48"/>
      <c r="G5236" s="48"/>
      <c r="H5236" s="48"/>
      <c r="I5236" s="48"/>
    </row>
    <row r="5237" spans="1:9" hidden="1" x14ac:dyDescent="0.2">
      <c r="A5237" s="46"/>
      <c r="B5237" s="46"/>
      <c r="C5237" s="46"/>
      <c r="D5237" s="48"/>
      <c r="E5237" s="48"/>
      <c r="F5237" s="48"/>
      <c r="G5237" s="48"/>
      <c r="H5237" s="48"/>
      <c r="I5237" s="48"/>
    </row>
    <row r="5238" spans="1:9" hidden="1" x14ac:dyDescent="0.2">
      <c r="A5238" s="46"/>
      <c r="B5238" s="46"/>
      <c r="C5238" s="46"/>
      <c r="D5238" s="48"/>
      <c r="E5238" s="48"/>
      <c r="F5238" s="48"/>
      <c r="G5238" s="48"/>
      <c r="H5238" s="48"/>
      <c r="I5238" s="48"/>
    </row>
    <row r="5239" spans="1:9" hidden="1" x14ac:dyDescent="0.2">
      <c r="A5239" s="46"/>
      <c r="B5239" s="46"/>
      <c r="C5239" s="46"/>
      <c r="D5239" s="48"/>
      <c r="E5239" s="48"/>
      <c r="F5239" s="48"/>
      <c r="G5239" s="48"/>
      <c r="H5239" s="48"/>
      <c r="I5239" s="48"/>
    </row>
    <row r="5240" spans="1:9" hidden="1" x14ac:dyDescent="0.2">
      <c r="A5240" s="46"/>
      <c r="B5240" s="46"/>
      <c r="C5240" s="46"/>
      <c r="D5240" s="48"/>
      <c r="E5240" s="48"/>
      <c r="F5240" s="48"/>
      <c r="G5240" s="48"/>
      <c r="H5240" s="48"/>
      <c r="I5240" s="48"/>
    </row>
    <row r="5241" spans="1:9" hidden="1" x14ac:dyDescent="0.2">
      <c r="A5241" s="46"/>
      <c r="B5241" s="46"/>
      <c r="C5241" s="46"/>
      <c r="D5241" s="48"/>
      <c r="E5241" s="48"/>
      <c r="F5241" s="48"/>
      <c r="G5241" s="48"/>
      <c r="H5241" s="48"/>
      <c r="I5241" s="48"/>
    </row>
    <row r="5242" spans="1:9" hidden="1" x14ac:dyDescent="0.2">
      <c r="A5242" s="46"/>
      <c r="B5242" s="46"/>
      <c r="C5242" s="46"/>
      <c r="D5242" s="48"/>
      <c r="E5242" s="48"/>
      <c r="F5242" s="48"/>
      <c r="G5242" s="48"/>
      <c r="H5242" s="48"/>
      <c r="I5242" s="48"/>
    </row>
    <row r="5243" spans="1:9" hidden="1" x14ac:dyDescent="0.2">
      <c r="A5243" s="46"/>
      <c r="B5243" s="46"/>
      <c r="C5243" s="46"/>
      <c r="D5243" s="48"/>
      <c r="E5243" s="48"/>
      <c r="F5243" s="48"/>
      <c r="G5243" s="48"/>
      <c r="H5243" s="48"/>
      <c r="I5243" s="48"/>
    </row>
    <row r="5244" spans="1:9" hidden="1" x14ac:dyDescent="0.2">
      <c r="A5244" s="46"/>
      <c r="B5244" s="46"/>
      <c r="C5244" s="46"/>
      <c r="D5244" s="48"/>
      <c r="E5244" s="48"/>
      <c r="F5244" s="48"/>
      <c r="G5244" s="48"/>
      <c r="H5244" s="48"/>
      <c r="I5244" s="48"/>
    </row>
    <row r="5245" spans="1:9" hidden="1" x14ac:dyDescent="0.2">
      <c r="A5245" s="46"/>
      <c r="B5245" s="46"/>
      <c r="C5245" s="46"/>
      <c r="D5245" s="48"/>
      <c r="E5245" s="48"/>
      <c r="F5245" s="48"/>
      <c r="G5245" s="48"/>
      <c r="H5245" s="48"/>
      <c r="I5245" s="48"/>
    </row>
    <row r="5246" spans="1:9" hidden="1" x14ac:dyDescent="0.2">
      <c r="A5246" s="46"/>
      <c r="B5246" s="46"/>
      <c r="C5246" s="46"/>
      <c r="D5246" s="48"/>
      <c r="E5246" s="48"/>
      <c r="F5246" s="48"/>
      <c r="G5246" s="48"/>
      <c r="H5246" s="48"/>
      <c r="I5246" s="48"/>
    </row>
    <row r="5247" spans="1:9" hidden="1" x14ac:dyDescent="0.2">
      <c r="A5247" s="46"/>
      <c r="B5247" s="46"/>
      <c r="C5247" s="46"/>
      <c r="D5247" s="48"/>
      <c r="E5247" s="48"/>
      <c r="F5247" s="48"/>
      <c r="G5247" s="48"/>
      <c r="H5247" s="48"/>
      <c r="I5247" s="48"/>
    </row>
    <row r="5248" spans="1:9" hidden="1" x14ac:dyDescent="0.2">
      <c r="A5248" s="46"/>
      <c r="B5248" s="46"/>
      <c r="C5248" s="46"/>
      <c r="D5248" s="48"/>
      <c r="E5248" s="48"/>
      <c r="F5248" s="48"/>
      <c r="G5248" s="48"/>
      <c r="H5248" s="48"/>
      <c r="I5248" s="48"/>
    </row>
    <row r="5249" spans="1:9" hidden="1" x14ac:dyDescent="0.2">
      <c r="A5249" s="46"/>
      <c r="B5249" s="46"/>
      <c r="C5249" s="46"/>
      <c r="D5249" s="48"/>
      <c r="E5249" s="48"/>
      <c r="F5249" s="48"/>
      <c r="G5249" s="48"/>
      <c r="H5249" s="48"/>
      <c r="I5249" s="48"/>
    </row>
    <row r="5250" spans="1:9" hidden="1" x14ac:dyDescent="0.2">
      <c r="A5250" s="46"/>
      <c r="B5250" s="46"/>
      <c r="C5250" s="46"/>
      <c r="D5250" s="48"/>
      <c r="E5250" s="48"/>
      <c r="F5250" s="48"/>
      <c r="G5250" s="48"/>
      <c r="H5250" s="48"/>
      <c r="I5250" s="48"/>
    </row>
    <row r="5251" spans="1:9" hidden="1" x14ac:dyDescent="0.2">
      <c r="A5251" s="46"/>
      <c r="B5251" s="46"/>
      <c r="C5251" s="46"/>
      <c r="D5251" s="48"/>
      <c r="E5251" s="48"/>
      <c r="F5251" s="48"/>
      <c r="G5251" s="48"/>
      <c r="H5251" s="48"/>
      <c r="I5251" s="48"/>
    </row>
    <row r="5252" spans="1:9" hidden="1" x14ac:dyDescent="0.2">
      <c r="A5252" s="46"/>
      <c r="B5252" s="46"/>
      <c r="C5252" s="46"/>
      <c r="D5252" s="48"/>
      <c r="E5252" s="48"/>
      <c r="F5252" s="48"/>
      <c r="G5252" s="48"/>
      <c r="H5252" s="48"/>
      <c r="I5252" s="48"/>
    </row>
    <row r="5253" spans="1:9" hidden="1" x14ac:dyDescent="0.2">
      <c r="A5253" s="46"/>
      <c r="B5253" s="46"/>
      <c r="C5253" s="46"/>
      <c r="D5253" s="48"/>
      <c r="E5253" s="48"/>
      <c r="F5253" s="48"/>
      <c r="G5253" s="48"/>
      <c r="H5253" s="48"/>
      <c r="I5253" s="48"/>
    </row>
    <row r="5254" spans="1:9" hidden="1" x14ac:dyDescent="0.2">
      <c r="A5254" s="46"/>
      <c r="B5254" s="46"/>
      <c r="C5254" s="46"/>
      <c r="D5254" s="48"/>
      <c r="E5254" s="48"/>
      <c r="F5254" s="48"/>
      <c r="G5254" s="48"/>
      <c r="H5254" s="48"/>
      <c r="I5254" s="48"/>
    </row>
    <row r="5255" spans="1:9" hidden="1" x14ac:dyDescent="0.2">
      <c r="A5255" s="46"/>
      <c r="B5255" s="46"/>
      <c r="C5255" s="46"/>
      <c r="D5255" s="48"/>
      <c r="E5255" s="48"/>
      <c r="F5255" s="48"/>
      <c r="G5255" s="48"/>
      <c r="H5255" s="48"/>
      <c r="I5255" s="48"/>
    </row>
    <row r="5256" spans="1:9" hidden="1" x14ac:dyDescent="0.2">
      <c r="A5256" s="46"/>
      <c r="B5256" s="46"/>
      <c r="C5256" s="46"/>
      <c r="D5256" s="48"/>
      <c r="E5256" s="48"/>
      <c r="F5256" s="48"/>
      <c r="G5256" s="48"/>
      <c r="H5256" s="48"/>
      <c r="I5256" s="48"/>
    </row>
    <row r="5257" spans="1:9" hidden="1" x14ac:dyDescent="0.2">
      <c r="A5257" s="46"/>
      <c r="B5257" s="46"/>
      <c r="C5257" s="46"/>
      <c r="D5257" s="48"/>
      <c r="E5257" s="48"/>
      <c r="F5257" s="48"/>
      <c r="G5257" s="48"/>
      <c r="H5257" s="48"/>
      <c r="I5257" s="48"/>
    </row>
    <row r="5258" spans="1:9" hidden="1" x14ac:dyDescent="0.2">
      <c r="A5258" s="46"/>
      <c r="B5258" s="46"/>
      <c r="C5258" s="46"/>
      <c r="D5258" s="48"/>
      <c r="E5258" s="48"/>
      <c r="F5258" s="48"/>
      <c r="G5258" s="48"/>
      <c r="H5258" s="48"/>
      <c r="I5258" s="48"/>
    </row>
    <row r="5259" spans="1:9" hidden="1" x14ac:dyDescent="0.2">
      <c r="A5259" s="46"/>
      <c r="B5259" s="46"/>
      <c r="C5259" s="46"/>
      <c r="D5259" s="48"/>
      <c r="E5259" s="48"/>
      <c r="F5259" s="48"/>
      <c r="G5259" s="48"/>
      <c r="H5259" s="48"/>
      <c r="I5259" s="48"/>
    </row>
    <row r="5260" spans="1:9" hidden="1" x14ac:dyDescent="0.2">
      <c r="A5260" s="46"/>
      <c r="B5260" s="46"/>
      <c r="C5260" s="46"/>
      <c r="D5260" s="48"/>
      <c r="E5260" s="48"/>
      <c r="F5260" s="48"/>
      <c r="G5260" s="48"/>
      <c r="H5260" s="48"/>
      <c r="I5260" s="48"/>
    </row>
    <row r="5261" spans="1:9" hidden="1" x14ac:dyDescent="0.2">
      <c r="A5261" s="46"/>
      <c r="B5261" s="46"/>
      <c r="C5261" s="46"/>
      <c r="D5261" s="48"/>
      <c r="E5261" s="48"/>
      <c r="F5261" s="48"/>
      <c r="G5261" s="48"/>
      <c r="H5261" s="48"/>
      <c r="I5261" s="48"/>
    </row>
    <row r="5262" spans="1:9" hidden="1" x14ac:dyDescent="0.2">
      <c r="A5262" s="46"/>
      <c r="B5262" s="46"/>
      <c r="C5262" s="46"/>
      <c r="D5262" s="48"/>
      <c r="E5262" s="48"/>
      <c r="F5262" s="48"/>
      <c r="G5262" s="48"/>
      <c r="H5262" s="48"/>
      <c r="I5262" s="48"/>
    </row>
    <row r="5263" spans="1:9" hidden="1" x14ac:dyDescent="0.2">
      <c r="A5263" s="46"/>
      <c r="B5263" s="46"/>
      <c r="C5263" s="46"/>
      <c r="D5263" s="48"/>
      <c r="E5263" s="48"/>
      <c r="F5263" s="48"/>
      <c r="G5263" s="48"/>
      <c r="H5263" s="48"/>
      <c r="I5263" s="48"/>
    </row>
    <row r="5264" spans="1:9" hidden="1" x14ac:dyDescent="0.2">
      <c r="A5264" s="46"/>
      <c r="B5264" s="46"/>
      <c r="C5264" s="46"/>
      <c r="D5264" s="48"/>
      <c r="E5264" s="48"/>
      <c r="F5264" s="48"/>
      <c r="G5264" s="48"/>
      <c r="H5264" s="48"/>
      <c r="I5264" s="48"/>
    </row>
    <row r="5265" spans="1:9" hidden="1" x14ac:dyDescent="0.2">
      <c r="A5265" s="46"/>
      <c r="B5265" s="46"/>
      <c r="C5265" s="46"/>
      <c r="D5265" s="48"/>
      <c r="E5265" s="48"/>
      <c r="F5265" s="48"/>
      <c r="G5265" s="48"/>
      <c r="H5265" s="48"/>
      <c r="I5265" s="48"/>
    </row>
    <row r="5266" spans="1:9" hidden="1" x14ac:dyDescent="0.2">
      <c r="A5266" s="46"/>
      <c r="B5266" s="46"/>
      <c r="C5266" s="46"/>
      <c r="D5266" s="48"/>
      <c r="E5266" s="48"/>
      <c r="F5266" s="48"/>
      <c r="G5266" s="48"/>
      <c r="H5266" s="48"/>
      <c r="I5266" s="48"/>
    </row>
    <row r="5267" spans="1:9" hidden="1" x14ac:dyDescent="0.2">
      <c r="A5267" s="46"/>
      <c r="B5267" s="46"/>
      <c r="C5267" s="46"/>
      <c r="D5267" s="48"/>
      <c r="E5267" s="48"/>
      <c r="F5267" s="48"/>
      <c r="G5267" s="48"/>
      <c r="H5267" s="48"/>
      <c r="I5267" s="48"/>
    </row>
    <row r="5268" spans="1:9" hidden="1" x14ac:dyDescent="0.2">
      <c r="A5268" s="46"/>
      <c r="B5268" s="46"/>
      <c r="C5268" s="46"/>
      <c r="D5268" s="48"/>
      <c r="E5268" s="48"/>
      <c r="F5268" s="48"/>
      <c r="G5268" s="48"/>
      <c r="H5268" s="48"/>
      <c r="I5268" s="48"/>
    </row>
    <row r="5269" spans="1:9" hidden="1" x14ac:dyDescent="0.2">
      <c r="A5269" s="46"/>
      <c r="B5269" s="46"/>
      <c r="C5269" s="46"/>
      <c r="D5269" s="48"/>
      <c r="E5269" s="48"/>
      <c r="F5269" s="48"/>
      <c r="G5269" s="48"/>
      <c r="H5269" s="48"/>
      <c r="I5269" s="48"/>
    </row>
    <row r="5270" spans="1:9" hidden="1" x14ac:dyDescent="0.2">
      <c r="A5270" s="46"/>
      <c r="B5270" s="46"/>
      <c r="C5270" s="46"/>
      <c r="D5270" s="48"/>
      <c r="E5270" s="48"/>
      <c r="F5270" s="48"/>
      <c r="G5270" s="48"/>
      <c r="H5270" s="48"/>
      <c r="I5270" s="48"/>
    </row>
    <row r="5271" spans="1:9" hidden="1" x14ac:dyDescent="0.2">
      <c r="A5271" s="46"/>
      <c r="B5271" s="46"/>
      <c r="C5271" s="46"/>
      <c r="D5271" s="48"/>
      <c r="E5271" s="48"/>
      <c r="F5271" s="48"/>
      <c r="G5271" s="48"/>
      <c r="H5271" s="48"/>
      <c r="I5271" s="48"/>
    </row>
    <row r="5272" spans="1:9" hidden="1" x14ac:dyDescent="0.2">
      <c r="A5272" s="46"/>
      <c r="B5272" s="46"/>
      <c r="C5272" s="46"/>
      <c r="D5272" s="48"/>
      <c r="E5272" s="48"/>
      <c r="F5272" s="48"/>
      <c r="G5272" s="48"/>
      <c r="H5272" s="48"/>
      <c r="I5272" s="48"/>
    </row>
    <row r="5273" spans="1:9" hidden="1" x14ac:dyDescent="0.2">
      <c r="A5273" s="46"/>
      <c r="B5273" s="46"/>
      <c r="C5273" s="46"/>
      <c r="D5273" s="48"/>
      <c r="E5273" s="48"/>
      <c r="F5273" s="48"/>
      <c r="G5273" s="48"/>
      <c r="H5273" s="48"/>
      <c r="I5273" s="48"/>
    </row>
    <row r="5274" spans="1:9" hidden="1" x14ac:dyDescent="0.2">
      <c r="A5274" s="46"/>
      <c r="B5274" s="46"/>
      <c r="C5274" s="46"/>
      <c r="D5274" s="48"/>
      <c r="E5274" s="48"/>
      <c r="F5274" s="48"/>
      <c r="G5274" s="48"/>
      <c r="H5274" s="48"/>
      <c r="I5274" s="48"/>
    </row>
    <row r="5275" spans="1:9" hidden="1" x14ac:dyDescent="0.2">
      <c r="A5275" s="46"/>
      <c r="B5275" s="46"/>
      <c r="C5275" s="46"/>
      <c r="D5275" s="48"/>
      <c r="E5275" s="48"/>
      <c r="F5275" s="48"/>
      <c r="G5275" s="48"/>
      <c r="H5275" s="48"/>
      <c r="I5275" s="48"/>
    </row>
    <row r="5276" spans="1:9" hidden="1" x14ac:dyDescent="0.2">
      <c r="A5276" s="46"/>
      <c r="B5276" s="46"/>
      <c r="C5276" s="46"/>
      <c r="D5276" s="48"/>
      <c r="E5276" s="48"/>
      <c r="F5276" s="48"/>
      <c r="G5276" s="48"/>
      <c r="H5276" s="48"/>
      <c r="I5276" s="48"/>
    </row>
    <row r="5277" spans="1:9" hidden="1" x14ac:dyDescent="0.2">
      <c r="A5277" s="46"/>
      <c r="B5277" s="46"/>
      <c r="C5277" s="46"/>
      <c r="D5277" s="48"/>
      <c r="E5277" s="48"/>
      <c r="F5277" s="48"/>
      <c r="G5277" s="48"/>
      <c r="H5277" s="48"/>
      <c r="I5277" s="48"/>
    </row>
    <row r="5278" spans="1:9" hidden="1" x14ac:dyDescent="0.2">
      <c r="A5278" s="46"/>
      <c r="B5278" s="46"/>
      <c r="C5278" s="46"/>
      <c r="D5278" s="48"/>
      <c r="E5278" s="48"/>
      <c r="F5278" s="48"/>
      <c r="G5278" s="48"/>
      <c r="H5278" s="48"/>
      <c r="I5278" s="48"/>
    </row>
    <row r="5279" spans="1:9" hidden="1" x14ac:dyDescent="0.2">
      <c r="A5279" s="46"/>
      <c r="B5279" s="46"/>
      <c r="C5279" s="46"/>
      <c r="D5279" s="48"/>
      <c r="E5279" s="48"/>
      <c r="F5279" s="48"/>
      <c r="G5279" s="48"/>
      <c r="H5279" s="48"/>
      <c r="I5279" s="48"/>
    </row>
    <row r="5280" spans="1:9" hidden="1" x14ac:dyDescent="0.2">
      <c r="A5280" s="46"/>
      <c r="B5280" s="46"/>
      <c r="C5280" s="46"/>
      <c r="D5280" s="48"/>
      <c r="E5280" s="48"/>
      <c r="F5280" s="48"/>
      <c r="G5280" s="48"/>
      <c r="H5280" s="48"/>
      <c r="I5280" s="48"/>
    </row>
    <row r="5281" spans="1:9" hidden="1" x14ac:dyDescent="0.2">
      <c r="A5281" s="46"/>
      <c r="B5281" s="46"/>
      <c r="C5281" s="46"/>
      <c r="D5281" s="48"/>
      <c r="E5281" s="48"/>
      <c r="F5281" s="48"/>
      <c r="G5281" s="48"/>
      <c r="H5281" s="48"/>
      <c r="I5281" s="48"/>
    </row>
    <row r="5282" spans="1:9" hidden="1" x14ac:dyDescent="0.2">
      <c r="A5282" s="46"/>
      <c r="B5282" s="46"/>
      <c r="C5282" s="46"/>
      <c r="D5282" s="48"/>
      <c r="E5282" s="48"/>
      <c r="F5282" s="48"/>
      <c r="G5282" s="48"/>
      <c r="H5282" s="48"/>
      <c r="I5282" s="48"/>
    </row>
    <row r="5283" spans="1:9" hidden="1" x14ac:dyDescent="0.2">
      <c r="A5283" s="46"/>
      <c r="B5283" s="46"/>
      <c r="C5283" s="46"/>
      <c r="D5283" s="48"/>
      <c r="E5283" s="48"/>
      <c r="F5283" s="48"/>
      <c r="G5283" s="48"/>
      <c r="H5283" s="48"/>
      <c r="I5283" s="48"/>
    </row>
    <row r="5284" spans="1:9" hidden="1" x14ac:dyDescent="0.2">
      <c r="A5284" s="46"/>
      <c r="B5284" s="46"/>
      <c r="C5284" s="46"/>
      <c r="D5284" s="48"/>
      <c r="E5284" s="48"/>
      <c r="F5284" s="48"/>
      <c r="G5284" s="48"/>
      <c r="H5284" s="48"/>
      <c r="I5284" s="48"/>
    </row>
    <row r="5285" spans="1:9" hidden="1" x14ac:dyDescent="0.2">
      <c r="A5285" s="46"/>
      <c r="B5285" s="46"/>
      <c r="C5285" s="46"/>
      <c r="D5285" s="48"/>
      <c r="E5285" s="48"/>
      <c r="F5285" s="48"/>
      <c r="G5285" s="48"/>
      <c r="H5285" s="48"/>
      <c r="I5285" s="48"/>
    </row>
    <row r="5286" spans="1:9" hidden="1" x14ac:dyDescent="0.2">
      <c r="A5286" s="46"/>
      <c r="B5286" s="46"/>
      <c r="C5286" s="46"/>
      <c r="D5286" s="48"/>
      <c r="E5286" s="48"/>
      <c r="F5286" s="48"/>
      <c r="G5286" s="48"/>
      <c r="H5286" s="48"/>
      <c r="I5286" s="48"/>
    </row>
    <row r="5287" spans="1:9" hidden="1" x14ac:dyDescent="0.2">
      <c r="A5287" s="46"/>
      <c r="B5287" s="46"/>
      <c r="C5287" s="46"/>
      <c r="D5287" s="48"/>
      <c r="E5287" s="48"/>
      <c r="F5287" s="48"/>
      <c r="G5287" s="48"/>
      <c r="H5287" s="48"/>
      <c r="I5287" s="48"/>
    </row>
    <row r="5288" spans="1:9" hidden="1" x14ac:dyDescent="0.2">
      <c r="A5288" s="46"/>
      <c r="B5288" s="46"/>
      <c r="C5288" s="46"/>
      <c r="D5288" s="48"/>
      <c r="E5288" s="48"/>
      <c r="F5288" s="48"/>
      <c r="G5288" s="48"/>
      <c r="H5288" s="48"/>
      <c r="I5288" s="48"/>
    </row>
    <row r="5289" spans="1:9" hidden="1" x14ac:dyDescent="0.2">
      <c r="A5289" s="46"/>
      <c r="B5289" s="46"/>
      <c r="C5289" s="46"/>
      <c r="D5289" s="48"/>
      <c r="E5289" s="48"/>
      <c r="F5289" s="48"/>
      <c r="G5289" s="48"/>
      <c r="H5289" s="48"/>
      <c r="I5289" s="48"/>
    </row>
    <row r="5290" spans="1:9" hidden="1" x14ac:dyDescent="0.2">
      <c r="A5290" s="46"/>
      <c r="B5290" s="46"/>
      <c r="C5290" s="46"/>
      <c r="D5290" s="48"/>
      <c r="E5290" s="48"/>
      <c r="F5290" s="48"/>
      <c r="G5290" s="48"/>
      <c r="H5290" s="48"/>
      <c r="I5290" s="48"/>
    </row>
    <row r="5291" spans="1:9" hidden="1" x14ac:dyDescent="0.2">
      <c r="A5291" s="46"/>
      <c r="B5291" s="46"/>
      <c r="C5291" s="46"/>
      <c r="D5291" s="48"/>
      <c r="E5291" s="48"/>
      <c r="F5291" s="48"/>
      <c r="G5291" s="48"/>
      <c r="H5291" s="48"/>
      <c r="I5291" s="48"/>
    </row>
    <row r="5292" spans="1:9" hidden="1" x14ac:dyDescent="0.2">
      <c r="A5292" s="46"/>
      <c r="B5292" s="46"/>
      <c r="C5292" s="46"/>
      <c r="D5292" s="48"/>
      <c r="E5292" s="48"/>
      <c r="F5292" s="48"/>
      <c r="G5292" s="48"/>
      <c r="H5292" s="48"/>
      <c r="I5292" s="48"/>
    </row>
    <row r="5293" spans="1:9" hidden="1" x14ac:dyDescent="0.2">
      <c r="A5293" s="46"/>
      <c r="B5293" s="46"/>
      <c r="C5293" s="46"/>
      <c r="D5293" s="48"/>
      <c r="E5293" s="48"/>
      <c r="F5293" s="48"/>
      <c r="G5293" s="48"/>
      <c r="H5293" s="48"/>
      <c r="I5293" s="48"/>
    </row>
    <row r="5294" spans="1:9" hidden="1" x14ac:dyDescent="0.2">
      <c r="A5294" s="46"/>
      <c r="B5294" s="46"/>
      <c r="C5294" s="46"/>
      <c r="D5294" s="48"/>
      <c r="E5294" s="48"/>
      <c r="F5294" s="48"/>
      <c r="G5294" s="48"/>
      <c r="H5294" s="48"/>
      <c r="I5294" s="48"/>
    </row>
    <row r="5295" spans="1:9" hidden="1" x14ac:dyDescent="0.2">
      <c r="A5295" s="46"/>
      <c r="B5295" s="46"/>
      <c r="C5295" s="46"/>
      <c r="D5295" s="48"/>
      <c r="E5295" s="48"/>
      <c r="F5295" s="48"/>
      <c r="G5295" s="48"/>
      <c r="H5295" s="48"/>
      <c r="I5295" s="48"/>
    </row>
    <row r="5296" spans="1:9" hidden="1" x14ac:dyDescent="0.2">
      <c r="A5296" s="46"/>
      <c r="B5296" s="46"/>
      <c r="C5296" s="46"/>
      <c r="D5296" s="48"/>
      <c r="E5296" s="48"/>
      <c r="F5296" s="48"/>
      <c r="G5296" s="48"/>
      <c r="H5296" s="48"/>
      <c r="I5296" s="48"/>
    </row>
    <row r="5297" spans="1:9" hidden="1" x14ac:dyDescent="0.2">
      <c r="A5297" s="46"/>
      <c r="B5297" s="46"/>
      <c r="C5297" s="46"/>
      <c r="D5297" s="48"/>
      <c r="E5297" s="48"/>
      <c r="F5297" s="48"/>
      <c r="G5297" s="48"/>
      <c r="H5297" s="48"/>
      <c r="I5297" s="48"/>
    </row>
    <row r="5298" spans="1:9" hidden="1" x14ac:dyDescent="0.2">
      <c r="A5298" s="46"/>
      <c r="B5298" s="46"/>
      <c r="C5298" s="46"/>
      <c r="D5298" s="48"/>
      <c r="E5298" s="48"/>
      <c r="F5298" s="48"/>
      <c r="G5298" s="48"/>
      <c r="H5298" s="48"/>
      <c r="I5298" s="48"/>
    </row>
    <row r="5299" spans="1:9" hidden="1" x14ac:dyDescent="0.2">
      <c r="A5299" s="46"/>
      <c r="B5299" s="46"/>
      <c r="C5299" s="46"/>
      <c r="D5299" s="48"/>
      <c r="E5299" s="48"/>
      <c r="F5299" s="48"/>
      <c r="G5299" s="48"/>
      <c r="H5299" s="48"/>
      <c r="I5299" s="48"/>
    </row>
    <row r="5300" spans="1:9" hidden="1" x14ac:dyDescent="0.2">
      <c r="A5300" s="46"/>
      <c r="B5300" s="46"/>
      <c r="C5300" s="46"/>
      <c r="D5300" s="48"/>
      <c r="E5300" s="48"/>
      <c r="F5300" s="48"/>
      <c r="G5300" s="48"/>
      <c r="H5300" s="48"/>
      <c r="I5300" s="48"/>
    </row>
    <row r="5301" spans="1:9" hidden="1" x14ac:dyDescent="0.2">
      <c r="A5301" s="46"/>
      <c r="B5301" s="46"/>
      <c r="C5301" s="46"/>
      <c r="D5301" s="48"/>
      <c r="E5301" s="48"/>
      <c r="F5301" s="48"/>
      <c r="G5301" s="48"/>
      <c r="H5301" s="48"/>
      <c r="I5301" s="48"/>
    </row>
    <row r="5302" spans="1:9" hidden="1" x14ac:dyDescent="0.2">
      <c r="A5302" s="46"/>
      <c r="B5302" s="46"/>
      <c r="C5302" s="46"/>
      <c r="D5302" s="48"/>
      <c r="E5302" s="48"/>
      <c r="F5302" s="48"/>
      <c r="G5302" s="48"/>
      <c r="H5302" s="48"/>
      <c r="I5302" s="48"/>
    </row>
    <row r="5303" spans="1:9" hidden="1" x14ac:dyDescent="0.2">
      <c r="A5303" s="46"/>
      <c r="B5303" s="46"/>
      <c r="C5303" s="46"/>
      <c r="D5303" s="48"/>
      <c r="E5303" s="48"/>
      <c r="F5303" s="48"/>
      <c r="G5303" s="48"/>
      <c r="H5303" s="48"/>
      <c r="I5303" s="48"/>
    </row>
    <row r="5304" spans="1:9" hidden="1" x14ac:dyDescent="0.2">
      <c r="A5304" s="46"/>
      <c r="B5304" s="46"/>
      <c r="C5304" s="46"/>
      <c r="D5304" s="48"/>
      <c r="E5304" s="48"/>
      <c r="F5304" s="48"/>
      <c r="G5304" s="48"/>
      <c r="H5304" s="48"/>
      <c r="I5304" s="48"/>
    </row>
    <row r="5305" spans="1:9" hidden="1" x14ac:dyDescent="0.2">
      <c r="A5305" s="46"/>
      <c r="B5305" s="46"/>
      <c r="C5305" s="46"/>
      <c r="D5305" s="48"/>
      <c r="E5305" s="48"/>
      <c r="F5305" s="48"/>
      <c r="G5305" s="48"/>
      <c r="H5305" s="48"/>
      <c r="I5305" s="48"/>
    </row>
    <row r="5306" spans="1:9" hidden="1" x14ac:dyDescent="0.2">
      <c r="A5306" s="46"/>
      <c r="B5306" s="46"/>
      <c r="C5306" s="46"/>
      <c r="D5306" s="48"/>
      <c r="E5306" s="48"/>
      <c r="F5306" s="48"/>
      <c r="G5306" s="48"/>
      <c r="H5306" s="48"/>
      <c r="I5306" s="48"/>
    </row>
    <row r="5307" spans="1:9" hidden="1" x14ac:dyDescent="0.2">
      <c r="A5307" s="46"/>
      <c r="B5307" s="46"/>
      <c r="C5307" s="46"/>
      <c r="D5307" s="48"/>
      <c r="E5307" s="48"/>
      <c r="F5307" s="48"/>
      <c r="G5307" s="48"/>
      <c r="H5307" s="48"/>
      <c r="I5307" s="48"/>
    </row>
    <row r="5308" spans="1:9" hidden="1" x14ac:dyDescent="0.2">
      <c r="A5308" s="46"/>
      <c r="B5308" s="46"/>
      <c r="C5308" s="46"/>
      <c r="D5308" s="48"/>
      <c r="E5308" s="48"/>
      <c r="F5308" s="48"/>
      <c r="G5308" s="48"/>
      <c r="H5308" s="48"/>
      <c r="I5308" s="48"/>
    </row>
    <row r="5309" spans="1:9" hidden="1" x14ac:dyDescent="0.2">
      <c r="A5309" s="46"/>
      <c r="B5309" s="46"/>
      <c r="C5309" s="46"/>
      <c r="D5309" s="48"/>
      <c r="E5309" s="48"/>
      <c r="F5309" s="48"/>
      <c r="G5309" s="48"/>
      <c r="H5309" s="48"/>
      <c r="I5309" s="48"/>
    </row>
    <row r="5310" spans="1:9" hidden="1" x14ac:dyDescent="0.2">
      <c r="A5310" s="46"/>
      <c r="B5310" s="46"/>
      <c r="C5310" s="46"/>
      <c r="D5310" s="48"/>
      <c r="E5310" s="48"/>
      <c r="F5310" s="48"/>
      <c r="G5310" s="48"/>
      <c r="H5310" s="48"/>
      <c r="I5310" s="48"/>
    </row>
    <row r="5311" spans="1:9" hidden="1" x14ac:dyDescent="0.2">
      <c r="A5311" s="46"/>
      <c r="B5311" s="46"/>
      <c r="C5311" s="46"/>
      <c r="D5311" s="48"/>
      <c r="E5311" s="48"/>
      <c r="F5311" s="48"/>
      <c r="G5311" s="48"/>
      <c r="H5311" s="48"/>
      <c r="I5311" s="48"/>
    </row>
    <row r="5312" spans="1:9" hidden="1" x14ac:dyDescent="0.2">
      <c r="A5312" s="46"/>
      <c r="B5312" s="46"/>
      <c r="C5312" s="46"/>
      <c r="D5312" s="48"/>
      <c r="E5312" s="48"/>
      <c r="F5312" s="48"/>
      <c r="G5312" s="48"/>
      <c r="H5312" s="48"/>
      <c r="I5312" s="48"/>
    </row>
    <row r="5313" spans="1:9" hidden="1" x14ac:dyDescent="0.2">
      <c r="A5313" s="46"/>
      <c r="B5313" s="46"/>
      <c r="C5313" s="46"/>
      <c r="D5313" s="48"/>
      <c r="E5313" s="48"/>
      <c r="F5313" s="48"/>
      <c r="G5313" s="48"/>
      <c r="H5313" s="48"/>
      <c r="I5313" s="48"/>
    </row>
    <row r="5314" spans="1:9" hidden="1" x14ac:dyDescent="0.2">
      <c r="A5314" s="46"/>
      <c r="B5314" s="46"/>
      <c r="C5314" s="46"/>
      <c r="D5314" s="48"/>
      <c r="E5314" s="48"/>
      <c r="F5314" s="48"/>
      <c r="G5314" s="48"/>
      <c r="H5314" s="48"/>
      <c r="I5314" s="48"/>
    </row>
    <row r="5315" spans="1:9" hidden="1" x14ac:dyDescent="0.2">
      <c r="A5315" s="46"/>
      <c r="B5315" s="46"/>
      <c r="C5315" s="46"/>
      <c r="D5315" s="48"/>
      <c r="E5315" s="48"/>
      <c r="F5315" s="48"/>
      <c r="G5315" s="48"/>
      <c r="H5315" s="48"/>
      <c r="I5315" s="48"/>
    </row>
    <row r="5316" spans="1:9" hidden="1" x14ac:dyDescent="0.2">
      <c r="A5316" s="46"/>
      <c r="B5316" s="46"/>
      <c r="C5316" s="46"/>
      <c r="D5316" s="48"/>
      <c r="E5316" s="48"/>
      <c r="F5316" s="48"/>
      <c r="G5316" s="48"/>
      <c r="H5316" s="48"/>
      <c r="I5316" s="48"/>
    </row>
    <row r="5317" spans="1:9" hidden="1" x14ac:dyDescent="0.2">
      <c r="A5317" s="46"/>
      <c r="B5317" s="46"/>
      <c r="C5317" s="46"/>
      <c r="D5317" s="48"/>
      <c r="E5317" s="48"/>
      <c r="F5317" s="48"/>
      <c r="G5317" s="48"/>
      <c r="H5317" s="48"/>
      <c r="I5317" s="48"/>
    </row>
    <row r="5318" spans="1:9" hidden="1" x14ac:dyDescent="0.2">
      <c r="A5318" s="46"/>
      <c r="B5318" s="46"/>
      <c r="C5318" s="46"/>
      <c r="D5318" s="48"/>
      <c r="E5318" s="48"/>
      <c r="F5318" s="48"/>
      <c r="G5318" s="48"/>
      <c r="H5318" s="48"/>
      <c r="I5318" s="48"/>
    </row>
    <row r="5319" spans="1:9" hidden="1" x14ac:dyDescent="0.2">
      <c r="A5319" s="46"/>
      <c r="B5319" s="46"/>
      <c r="C5319" s="46"/>
      <c r="D5319" s="48"/>
      <c r="E5319" s="48"/>
      <c r="F5319" s="48"/>
      <c r="G5319" s="48"/>
      <c r="H5319" s="48"/>
      <c r="I5319" s="48"/>
    </row>
    <row r="5320" spans="1:9" hidden="1" x14ac:dyDescent="0.2">
      <c r="A5320" s="46"/>
      <c r="B5320" s="46"/>
      <c r="C5320" s="46"/>
      <c r="D5320" s="48"/>
      <c r="E5320" s="48"/>
      <c r="F5320" s="48"/>
      <c r="G5320" s="48"/>
      <c r="H5320" s="48"/>
      <c r="I5320" s="48"/>
    </row>
    <row r="5321" spans="1:9" hidden="1" x14ac:dyDescent="0.2">
      <c r="A5321" s="46"/>
      <c r="B5321" s="46"/>
      <c r="C5321" s="46"/>
      <c r="D5321" s="48"/>
      <c r="E5321" s="48"/>
      <c r="F5321" s="48"/>
      <c r="G5321" s="48"/>
      <c r="H5321" s="48"/>
      <c r="I5321" s="48"/>
    </row>
    <row r="5322" spans="1:9" hidden="1" x14ac:dyDescent="0.2">
      <c r="A5322" s="46"/>
      <c r="B5322" s="46"/>
      <c r="C5322" s="46"/>
      <c r="D5322" s="48"/>
      <c r="E5322" s="48"/>
      <c r="F5322" s="48"/>
      <c r="G5322" s="48"/>
      <c r="H5322" s="48"/>
      <c r="I5322" s="48"/>
    </row>
    <row r="5323" spans="1:9" hidden="1" x14ac:dyDescent="0.2">
      <c r="A5323" s="46"/>
      <c r="B5323" s="46"/>
      <c r="C5323" s="46"/>
      <c r="D5323" s="48"/>
      <c r="E5323" s="48"/>
      <c r="F5323" s="48"/>
      <c r="G5323" s="48"/>
      <c r="H5323" s="48"/>
      <c r="I5323" s="48"/>
    </row>
    <row r="5324" spans="1:9" hidden="1" x14ac:dyDescent="0.2">
      <c r="A5324" s="46"/>
      <c r="B5324" s="46"/>
      <c r="C5324" s="46"/>
      <c r="D5324" s="48"/>
      <c r="E5324" s="48"/>
      <c r="F5324" s="48"/>
      <c r="G5324" s="48"/>
      <c r="H5324" s="48"/>
      <c r="I5324" s="48"/>
    </row>
    <row r="5325" spans="1:9" hidden="1" x14ac:dyDescent="0.2">
      <c r="A5325" s="46"/>
      <c r="B5325" s="46"/>
      <c r="C5325" s="46"/>
      <c r="D5325" s="48"/>
      <c r="E5325" s="48"/>
      <c r="F5325" s="48"/>
      <c r="G5325" s="48"/>
      <c r="H5325" s="48"/>
      <c r="I5325" s="48"/>
    </row>
    <row r="5326" spans="1:9" hidden="1" x14ac:dyDescent="0.2">
      <c r="A5326" s="46"/>
      <c r="B5326" s="46"/>
      <c r="C5326" s="46"/>
      <c r="D5326" s="48"/>
      <c r="E5326" s="48"/>
      <c r="F5326" s="48"/>
      <c r="G5326" s="48"/>
      <c r="H5326" s="48"/>
      <c r="I5326" s="48"/>
    </row>
    <row r="5327" spans="1:9" hidden="1" x14ac:dyDescent="0.2">
      <c r="A5327" s="46"/>
      <c r="B5327" s="46"/>
      <c r="C5327" s="46"/>
      <c r="D5327" s="48"/>
      <c r="E5327" s="48"/>
      <c r="F5327" s="48"/>
      <c r="G5327" s="48"/>
      <c r="H5327" s="48"/>
      <c r="I5327" s="48"/>
    </row>
    <row r="5328" spans="1:9" hidden="1" x14ac:dyDescent="0.2">
      <c r="A5328" s="46"/>
      <c r="B5328" s="46"/>
      <c r="C5328" s="46"/>
      <c r="D5328" s="48"/>
      <c r="E5328" s="48"/>
      <c r="F5328" s="48"/>
      <c r="G5328" s="48"/>
      <c r="H5328" s="48"/>
      <c r="I5328" s="48"/>
    </row>
    <row r="5329" spans="1:9" hidden="1" x14ac:dyDescent="0.2">
      <c r="A5329" s="46"/>
      <c r="B5329" s="46"/>
      <c r="C5329" s="46"/>
      <c r="D5329" s="48"/>
      <c r="E5329" s="48"/>
      <c r="F5329" s="48"/>
      <c r="G5329" s="48"/>
      <c r="H5329" s="48"/>
      <c r="I5329" s="48"/>
    </row>
    <row r="5330" spans="1:9" hidden="1" x14ac:dyDescent="0.2">
      <c r="A5330" s="46"/>
      <c r="B5330" s="46"/>
      <c r="C5330" s="46"/>
      <c r="D5330" s="48"/>
      <c r="E5330" s="48"/>
      <c r="F5330" s="48"/>
      <c r="G5330" s="48"/>
      <c r="H5330" s="48"/>
      <c r="I5330" s="48"/>
    </row>
    <row r="5331" spans="1:9" hidden="1" x14ac:dyDescent="0.2">
      <c r="A5331" s="46"/>
      <c r="B5331" s="46"/>
      <c r="C5331" s="46"/>
      <c r="D5331" s="48"/>
      <c r="E5331" s="48"/>
      <c r="F5331" s="48"/>
      <c r="G5331" s="48"/>
      <c r="H5331" s="48"/>
      <c r="I5331" s="48"/>
    </row>
    <row r="5332" spans="1:9" hidden="1" x14ac:dyDescent="0.2">
      <c r="A5332" s="46"/>
      <c r="B5332" s="46"/>
      <c r="C5332" s="46"/>
      <c r="D5332" s="48"/>
      <c r="E5332" s="48"/>
      <c r="F5332" s="48"/>
      <c r="G5332" s="48"/>
      <c r="H5332" s="48"/>
      <c r="I5332" s="48"/>
    </row>
    <row r="5333" spans="1:9" hidden="1" x14ac:dyDescent="0.2">
      <c r="A5333" s="46"/>
      <c r="B5333" s="46"/>
      <c r="C5333" s="46"/>
      <c r="D5333" s="48"/>
      <c r="E5333" s="48"/>
      <c r="F5333" s="48"/>
      <c r="G5333" s="48"/>
      <c r="H5333" s="48"/>
      <c r="I5333" s="48"/>
    </row>
    <row r="5334" spans="1:9" hidden="1" x14ac:dyDescent="0.2">
      <c r="A5334" s="46"/>
      <c r="B5334" s="46"/>
      <c r="C5334" s="46"/>
      <c r="D5334" s="48"/>
      <c r="E5334" s="48"/>
      <c r="F5334" s="48"/>
      <c r="G5334" s="48"/>
      <c r="H5334" s="48"/>
      <c r="I5334" s="48"/>
    </row>
    <row r="5335" spans="1:9" hidden="1" x14ac:dyDescent="0.2">
      <c r="A5335" s="46"/>
      <c r="B5335" s="46"/>
      <c r="C5335" s="46"/>
      <c r="D5335" s="48"/>
      <c r="E5335" s="48"/>
      <c r="F5335" s="48"/>
      <c r="G5335" s="48"/>
      <c r="H5335" s="48"/>
      <c r="I5335" s="48"/>
    </row>
    <row r="5336" spans="1:9" hidden="1" x14ac:dyDescent="0.2">
      <c r="A5336" s="46"/>
      <c r="B5336" s="46"/>
      <c r="C5336" s="46"/>
      <c r="D5336" s="48"/>
      <c r="E5336" s="48"/>
      <c r="F5336" s="48"/>
      <c r="G5336" s="48"/>
      <c r="H5336" s="48"/>
      <c r="I5336" s="48"/>
    </row>
    <row r="5337" spans="1:9" hidden="1" x14ac:dyDescent="0.2">
      <c r="A5337" s="46"/>
      <c r="B5337" s="46"/>
      <c r="C5337" s="46"/>
      <c r="D5337" s="48"/>
      <c r="E5337" s="48"/>
      <c r="F5337" s="48"/>
      <c r="G5337" s="48"/>
      <c r="H5337" s="48"/>
      <c r="I5337" s="48"/>
    </row>
    <row r="5338" spans="1:9" hidden="1" x14ac:dyDescent="0.2">
      <c r="A5338" s="46"/>
      <c r="B5338" s="46"/>
      <c r="C5338" s="46"/>
      <c r="D5338" s="48"/>
      <c r="E5338" s="48"/>
      <c r="F5338" s="48"/>
      <c r="G5338" s="48"/>
      <c r="H5338" s="48"/>
      <c r="I5338" s="48"/>
    </row>
    <row r="5339" spans="1:9" hidden="1" x14ac:dyDescent="0.2">
      <c r="A5339" s="46"/>
      <c r="B5339" s="46"/>
      <c r="C5339" s="46"/>
      <c r="D5339" s="48"/>
      <c r="E5339" s="48"/>
      <c r="F5339" s="48"/>
      <c r="G5339" s="48"/>
      <c r="H5339" s="48"/>
      <c r="I5339" s="48"/>
    </row>
    <row r="5340" spans="1:9" hidden="1" x14ac:dyDescent="0.2">
      <c r="A5340" s="46"/>
      <c r="B5340" s="46"/>
      <c r="C5340" s="46"/>
      <c r="D5340" s="48"/>
      <c r="E5340" s="48"/>
      <c r="F5340" s="48"/>
      <c r="G5340" s="48"/>
      <c r="H5340" s="48"/>
      <c r="I5340" s="48"/>
    </row>
    <row r="5341" spans="1:9" hidden="1" x14ac:dyDescent="0.2">
      <c r="A5341" s="46"/>
      <c r="B5341" s="46"/>
      <c r="C5341" s="46"/>
      <c r="D5341" s="48"/>
      <c r="E5341" s="48"/>
      <c r="F5341" s="48"/>
      <c r="G5341" s="48"/>
      <c r="H5341" s="48"/>
      <c r="I5341" s="48"/>
    </row>
    <row r="5342" spans="1:9" hidden="1" x14ac:dyDescent="0.2">
      <c r="A5342" s="46"/>
      <c r="B5342" s="46"/>
      <c r="C5342" s="46"/>
      <c r="D5342" s="48"/>
      <c r="E5342" s="48"/>
      <c r="F5342" s="48"/>
      <c r="G5342" s="48"/>
      <c r="H5342" s="48"/>
      <c r="I5342" s="48"/>
    </row>
    <row r="5343" spans="1:9" hidden="1" x14ac:dyDescent="0.2">
      <c r="A5343" s="46"/>
      <c r="B5343" s="46"/>
      <c r="C5343" s="46"/>
      <c r="D5343" s="48"/>
      <c r="E5343" s="48"/>
      <c r="F5343" s="48"/>
      <c r="G5343" s="48"/>
      <c r="H5343" s="48"/>
      <c r="I5343" s="48"/>
    </row>
    <row r="5344" spans="1:9" hidden="1" x14ac:dyDescent="0.2">
      <c r="A5344" s="46"/>
      <c r="B5344" s="46"/>
      <c r="C5344" s="46"/>
      <c r="D5344" s="48"/>
      <c r="E5344" s="48"/>
      <c r="F5344" s="48"/>
      <c r="G5344" s="48"/>
      <c r="H5344" s="48"/>
      <c r="I5344" s="48"/>
    </row>
    <row r="5345" spans="1:9" hidden="1" x14ac:dyDescent="0.2">
      <c r="A5345" s="46"/>
      <c r="B5345" s="46"/>
      <c r="C5345" s="46"/>
      <c r="D5345" s="48"/>
      <c r="E5345" s="48"/>
      <c r="F5345" s="48"/>
      <c r="G5345" s="48"/>
      <c r="H5345" s="48"/>
      <c r="I5345" s="48"/>
    </row>
    <row r="5346" spans="1:9" hidden="1" x14ac:dyDescent="0.2">
      <c r="A5346" s="46"/>
      <c r="B5346" s="46"/>
      <c r="C5346" s="46"/>
      <c r="D5346" s="48"/>
      <c r="E5346" s="48"/>
      <c r="F5346" s="48"/>
      <c r="G5346" s="48"/>
      <c r="H5346" s="48"/>
      <c r="I5346" s="48"/>
    </row>
    <row r="5347" spans="1:9" hidden="1" x14ac:dyDescent="0.2">
      <c r="A5347" s="46"/>
      <c r="B5347" s="46"/>
      <c r="C5347" s="46"/>
      <c r="D5347" s="48"/>
      <c r="E5347" s="48"/>
      <c r="F5347" s="48"/>
      <c r="G5347" s="48"/>
      <c r="H5347" s="48"/>
      <c r="I5347" s="48"/>
    </row>
    <row r="5348" spans="1:9" hidden="1" x14ac:dyDescent="0.2">
      <c r="A5348" s="46"/>
      <c r="B5348" s="46"/>
      <c r="C5348" s="46"/>
      <c r="D5348" s="48"/>
      <c r="E5348" s="48"/>
      <c r="F5348" s="48"/>
      <c r="G5348" s="48"/>
      <c r="H5348" s="48"/>
      <c r="I5348" s="48"/>
    </row>
    <row r="5349" spans="1:9" hidden="1" x14ac:dyDescent="0.2">
      <c r="A5349" s="46"/>
      <c r="B5349" s="46"/>
      <c r="C5349" s="46"/>
      <c r="D5349" s="48"/>
      <c r="E5349" s="48"/>
      <c r="F5349" s="48"/>
      <c r="G5349" s="48"/>
      <c r="H5349" s="48"/>
      <c r="I5349" s="48"/>
    </row>
    <row r="5350" spans="1:9" hidden="1" x14ac:dyDescent="0.2">
      <c r="A5350" s="46"/>
      <c r="B5350" s="46"/>
      <c r="C5350" s="46"/>
      <c r="D5350" s="48"/>
      <c r="E5350" s="48"/>
      <c r="F5350" s="48"/>
      <c r="G5350" s="48"/>
      <c r="H5350" s="48"/>
      <c r="I5350" s="48"/>
    </row>
    <row r="5351" spans="1:9" hidden="1" x14ac:dyDescent="0.2">
      <c r="A5351" s="46"/>
      <c r="B5351" s="46"/>
      <c r="C5351" s="46"/>
      <c r="D5351" s="48"/>
      <c r="E5351" s="48"/>
      <c r="F5351" s="48"/>
      <c r="G5351" s="48"/>
      <c r="H5351" s="48"/>
      <c r="I5351" s="48"/>
    </row>
    <row r="5352" spans="1:9" hidden="1" x14ac:dyDescent="0.2">
      <c r="A5352" s="46"/>
      <c r="B5352" s="46"/>
      <c r="C5352" s="46"/>
      <c r="D5352" s="48"/>
      <c r="E5352" s="48"/>
      <c r="F5352" s="48"/>
      <c r="G5352" s="48"/>
      <c r="H5352" s="48"/>
      <c r="I5352" s="48"/>
    </row>
    <row r="5353" spans="1:9" hidden="1" x14ac:dyDescent="0.2">
      <c r="A5353" s="46"/>
      <c r="B5353" s="46"/>
      <c r="C5353" s="46"/>
      <c r="D5353" s="48"/>
      <c r="E5353" s="48"/>
      <c r="F5353" s="48"/>
      <c r="G5353" s="48"/>
      <c r="H5353" s="48"/>
      <c r="I5353" s="48"/>
    </row>
    <row r="5354" spans="1:9" hidden="1" x14ac:dyDescent="0.2">
      <c r="A5354" s="46"/>
      <c r="B5354" s="46"/>
      <c r="C5354" s="46"/>
      <c r="D5354" s="48"/>
      <c r="E5354" s="48"/>
      <c r="F5354" s="48"/>
      <c r="G5354" s="48"/>
      <c r="H5354" s="48"/>
      <c r="I5354" s="48"/>
    </row>
    <row r="5355" spans="1:9" hidden="1" x14ac:dyDescent="0.2">
      <c r="A5355" s="46"/>
      <c r="B5355" s="46"/>
      <c r="C5355" s="46"/>
      <c r="D5355" s="48"/>
      <c r="E5355" s="48"/>
      <c r="F5355" s="48"/>
      <c r="G5355" s="48"/>
      <c r="H5355" s="48"/>
      <c r="I5355" s="48"/>
    </row>
    <row r="5356" spans="1:9" hidden="1" x14ac:dyDescent="0.2">
      <c r="A5356" s="46"/>
      <c r="B5356" s="46"/>
      <c r="C5356" s="46"/>
      <c r="D5356" s="48"/>
      <c r="E5356" s="48"/>
      <c r="F5356" s="48"/>
      <c r="G5356" s="48"/>
      <c r="H5356" s="48"/>
      <c r="I5356" s="48"/>
    </row>
    <row r="5357" spans="1:9" hidden="1" x14ac:dyDescent="0.2">
      <c r="A5357" s="46"/>
      <c r="B5357" s="46"/>
      <c r="C5357" s="46"/>
      <c r="D5357" s="48"/>
      <c r="E5357" s="48"/>
      <c r="F5357" s="48"/>
      <c r="G5357" s="48"/>
      <c r="H5357" s="48"/>
      <c r="I5357" s="48"/>
    </row>
    <row r="5358" spans="1:9" hidden="1" x14ac:dyDescent="0.2">
      <c r="A5358" s="46"/>
      <c r="B5358" s="46"/>
      <c r="C5358" s="46"/>
      <c r="D5358" s="48"/>
      <c r="E5358" s="48"/>
      <c r="F5358" s="48"/>
      <c r="G5358" s="48"/>
      <c r="H5358" s="48"/>
      <c r="I5358" s="48"/>
    </row>
    <row r="5359" spans="1:9" hidden="1" x14ac:dyDescent="0.2">
      <c r="A5359" s="46"/>
      <c r="B5359" s="46"/>
      <c r="C5359" s="46"/>
      <c r="D5359" s="48"/>
      <c r="E5359" s="48"/>
      <c r="F5359" s="48"/>
      <c r="G5359" s="48"/>
      <c r="H5359" s="48"/>
      <c r="I5359" s="48"/>
    </row>
    <row r="5360" spans="1:9" hidden="1" x14ac:dyDescent="0.2">
      <c r="A5360" s="46"/>
      <c r="B5360" s="46"/>
      <c r="C5360" s="46"/>
      <c r="D5360" s="48"/>
      <c r="E5360" s="48"/>
      <c r="F5360" s="48"/>
      <c r="G5360" s="48"/>
      <c r="H5360" s="48"/>
      <c r="I5360" s="48"/>
    </row>
    <row r="5361" spans="1:9" hidden="1" x14ac:dyDescent="0.2">
      <c r="A5361" s="46"/>
      <c r="B5361" s="46"/>
      <c r="C5361" s="46"/>
      <c r="D5361" s="48"/>
      <c r="E5361" s="48"/>
      <c r="F5361" s="48"/>
      <c r="G5361" s="48"/>
      <c r="H5361" s="48"/>
      <c r="I5361" s="48"/>
    </row>
    <row r="5362" spans="1:9" hidden="1" x14ac:dyDescent="0.2">
      <c r="A5362" s="46"/>
      <c r="B5362" s="46"/>
      <c r="C5362" s="46"/>
      <c r="D5362" s="48"/>
      <c r="E5362" s="48"/>
      <c r="F5362" s="48"/>
      <c r="G5362" s="48"/>
      <c r="H5362" s="48"/>
      <c r="I5362" s="48"/>
    </row>
    <row r="5363" spans="1:9" hidden="1" x14ac:dyDescent="0.2">
      <c r="A5363" s="46"/>
      <c r="B5363" s="46"/>
      <c r="C5363" s="46"/>
      <c r="D5363" s="48"/>
      <c r="E5363" s="48"/>
      <c r="F5363" s="48"/>
      <c r="G5363" s="48"/>
      <c r="H5363" s="48"/>
      <c r="I5363" s="48"/>
    </row>
    <row r="5364" spans="1:9" hidden="1" x14ac:dyDescent="0.2">
      <c r="A5364" s="46"/>
      <c r="B5364" s="46"/>
      <c r="C5364" s="46"/>
      <c r="D5364" s="48"/>
      <c r="E5364" s="48"/>
      <c r="F5364" s="48"/>
      <c r="G5364" s="48"/>
      <c r="H5364" s="48"/>
      <c r="I5364" s="48"/>
    </row>
    <row r="5365" spans="1:9" hidden="1" x14ac:dyDescent="0.2">
      <c r="A5365" s="46"/>
      <c r="B5365" s="46"/>
      <c r="C5365" s="46"/>
      <c r="D5365" s="48"/>
      <c r="E5365" s="48"/>
      <c r="F5365" s="48"/>
      <c r="G5365" s="48"/>
      <c r="H5365" s="48"/>
      <c r="I5365" s="48"/>
    </row>
    <row r="5366" spans="1:9" hidden="1" x14ac:dyDescent="0.2">
      <c r="A5366" s="46"/>
      <c r="B5366" s="46"/>
      <c r="C5366" s="46"/>
      <c r="D5366" s="48"/>
      <c r="E5366" s="48"/>
      <c r="F5366" s="48"/>
      <c r="G5366" s="48"/>
      <c r="H5366" s="48"/>
      <c r="I5366" s="48"/>
    </row>
    <row r="5367" spans="1:9" hidden="1" x14ac:dyDescent="0.2">
      <c r="A5367" s="46"/>
      <c r="B5367" s="46"/>
      <c r="C5367" s="46"/>
      <c r="D5367" s="48"/>
      <c r="E5367" s="48"/>
      <c r="F5367" s="48"/>
      <c r="G5367" s="48"/>
      <c r="H5367" s="48"/>
      <c r="I5367" s="48"/>
    </row>
    <row r="5368" spans="1:9" hidden="1" x14ac:dyDescent="0.2">
      <c r="A5368" s="46"/>
      <c r="B5368" s="46"/>
      <c r="C5368" s="46"/>
      <c r="D5368" s="48"/>
      <c r="E5368" s="48"/>
      <c r="F5368" s="48"/>
      <c r="G5368" s="48"/>
      <c r="H5368" s="48"/>
      <c r="I5368" s="48"/>
    </row>
    <row r="5369" spans="1:9" hidden="1" x14ac:dyDescent="0.2">
      <c r="A5369" s="46"/>
      <c r="B5369" s="46"/>
      <c r="C5369" s="46"/>
      <c r="D5369" s="48"/>
      <c r="E5369" s="48"/>
      <c r="F5369" s="48"/>
      <c r="G5369" s="48"/>
      <c r="H5369" s="48"/>
      <c r="I5369" s="48"/>
    </row>
    <row r="5370" spans="1:9" hidden="1" x14ac:dyDescent="0.2">
      <c r="A5370" s="46"/>
      <c r="B5370" s="46"/>
      <c r="C5370" s="46"/>
      <c r="D5370" s="48"/>
      <c r="E5370" s="48"/>
      <c r="F5370" s="48"/>
      <c r="G5370" s="48"/>
      <c r="H5370" s="48"/>
      <c r="I5370" s="48"/>
    </row>
    <row r="5371" spans="1:9" hidden="1" x14ac:dyDescent="0.2">
      <c r="A5371" s="46"/>
      <c r="B5371" s="46"/>
      <c r="C5371" s="46"/>
      <c r="D5371" s="48"/>
      <c r="E5371" s="48"/>
      <c r="F5371" s="48"/>
      <c r="G5371" s="48"/>
      <c r="H5371" s="48"/>
      <c r="I5371" s="48"/>
    </row>
    <row r="5372" spans="1:9" hidden="1" x14ac:dyDescent="0.2">
      <c r="A5372" s="46"/>
      <c r="B5372" s="46"/>
      <c r="C5372" s="46"/>
      <c r="D5372" s="48"/>
      <c r="E5372" s="48"/>
      <c r="F5372" s="48"/>
      <c r="G5372" s="48"/>
      <c r="H5372" s="48"/>
      <c r="I5372" s="48"/>
    </row>
    <row r="5373" spans="1:9" hidden="1" x14ac:dyDescent="0.2">
      <c r="A5373" s="46"/>
      <c r="B5373" s="46"/>
      <c r="C5373" s="46"/>
      <c r="D5373" s="48"/>
      <c r="E5373" s="48"/>
      <c r="F5373" s="48"/>
      <c r="G5373" s="48"/>
      <c r="H5373" s="48"/>
      <c r="I5373" s="48"/>
    </row>
    <row r="5374" spans="1:9" hidden="1" x14ac:dyDescent="0.2">
      <c r="A5374" s="46"/>
      <c r="B5374" s="46"/>
      <c r="C5374" s="46"/>
      <c r="D5374" s="48"/>
      <c r="E5374" s="48"/>
      <c r="F5374" s="48"/>
      <c r="G5374" s="48"/>
      <c r="H5374" s="48"/>
      <c r="I5374" s="48"/>
    </row>
    <row r="5375" spans="1:9" hidden="1" x14ac:dyDescent="0.2">
      <c r="A5375" s="46"/>
      <c r="B5375" s="46"/>
      <c r="C5375" s="46"/>
      <c r="D5375" s="48"/>
      <c r="E5375" s="48"/>
      <c r="F5375" s="48"/>
      <c r="G5375" s="48"/>
      <c r="H5375" s="48"/>
      <c r="I5375" s="48"/>
    </row>
    <row r="5376" spans="1:9" hidden="1" x14ac:dyDescent="0.2">
      <c r="A5376" s="46"/>
      <c r="B5376" s="46"/>
      <c r="C5376" s="46"/>
      <c r="D5376" s="48"/>
      <c r="E5376" s="48"/>
      <c r="F5376" s="48"/>
      <c r="G5376" s="48"/>
      <c r="H5376" s="48"/>
      <c r="I5376" s="48"/>
    </row>
    <row r="5377" spans="1:9" hidden="1" x14ac:dyDescent="0.2">
      <c r="A5377" s="46"/>
      <c r="B5377" s="46"/>
      <c r="C5377" s="46"/>
      <c r="D5377" s="48"/>
      <c r="E5377" s="48"/>
      <c r="F5377" s="48"/>
      <c r="G5377" s="48"/>
      <c r="H5377" s="48"/>
      <c r="I5377" s="48"/>
    </row>
    <row r="5378" spans="1:9" hidden="1" x14ac:dyDescent="0.2">
      <c r="A5378" s="46"/>
      <c r="B5378" s="46"/>
      <c r="C5378" s="46"/>
      <c r="D5378" s="48"/>
      <c r="E5378" s="48"/>
      <c r="F5378" s="48"/>
      <c r="G5378" s="48"/>
      <c r="H5378" s="48"/>
      <c r="I5378" s="48"/>
    </row>
    <row r="5379" spans="1:9" hidden="1" x14ac:dyDescent="0.2">
      <c r="A5379" s="46"/>
      <c r="B5379" s="46"/>
      <c r="C5379" s="46"/>
      <c r="D5379" s="48"/>
      <c r="E5379" s="48"/>
      <c r="F5379" s="48"/>
      <c r="G5379" s="48"/>
      <c r="H5379" s="48"/>
      <c r="I5379" s="48"/>
    </row>
    <row r="5380" spans="1:9" hidden="1" x14ac:dyDescent="0.2">
      <c r="A5380" s="46"/>
      <c r="B5380" s="46"/>
      <c r="C5380" s="46"/>
      <c r="D5380" s="48"/>
      <c r="E5380" s="48"/>
      <c r="F5380" s="48"/>
      <c r="G5380" s="48"/>
      <c r="H5380" s="48"/>
      <c r="I5380" s="48"/>
    </row>
    <row r="5381" spans="1:9" hidden="1" x14ac:dyDescent="0.2">
      <c r="A5381" s="46"/>
      <c r="B5381" s="46"/>
      <c r="C5381" s="46"/>
      <c r="D5381" s="48"/>
      <c r="E5381" s="48"/>
      <c r="F5381" s="48"/>
      <c r="G5381" s="48"/>
      <c r="H5381" s="48"/>
      <c r="I5381" s="48"/>
    </row>
    <row r="5382" spans="1:9" hidden="1" x14ac:dyDescent="0.2">
      <c r="A5382" s="46"/>
      <c r="B5382" s="46"/>
      <c r="C5382" s="46"/>
      <c r="D5382" s="48"/>
      <c r="E5382" s="48"/>
      <c r="F5382" s="48"/>
      <c r="G5382" s="48"/>
      <c r="H5382" s="48"/>
      <c r="I5382" s="48"/>
    </row>
    <row r="5383" spans="1:9" hidden="1" x14ac:dyDescent="0.2">
      <c r="A5383" s="46"/>
      <c r="B5383" s="46"/>
      <c r="C5383" s="46"/>
      <c r="D5383" s="48"/>
      <c r="E5383" s="48"/>
      <c r="F5383" s="48"/>
      <c r="G5383" s="48"/>
      <c r="H5383" s="48"/>
      <c r="I5383" s="48"/>
    </row>
    <row r="5384" spans="1:9" hidden="1" x14ac:dyDescent="0.2">
      <c r="A5384" s="46"/>
      <c r="B5384" s="46"/>
      <c r="C5384" s="46"/>
      <c r="D5384" s="48"/>
      <c r="E5384" s="48"/>
      <c r="F5384" s="48"/>
      <c r="G5384" s="48"/>
      <c r="H5384" s="48"/>
      <c r="I5384" s="48"/>
    </row>
    <row r="5385" spans="1:9" hidden="1" x14ac:dyDescent="0.2">
      <c r="A5385" s="46"/>
      <c r="B5385" s="46"/>
      <c r="C5385" s="46"/>
      <c r="D5385" s="48"/>
      <c r="E5385" s="48"/>
      <c r="F5385" s="48"/>
      <c r="G5385" s="48"/>
      <c r="H5385" s="48"/>
      <c r="I5385" s="48"/>
    </row>
    <row r="5386" spans="1:9" hidden="1" x14ac:dyDescent="0.2">
      <c r="A5386" s="46"/>
      <c r="B5386" s="46"/>
      <c r="C5386" s="46"/>
      <c r="D5386" s="48"/>
      <c r="E5386" s="48"/>
      <c r="F5386" s="48"/>
      <c r="G5386" s="48"/>
      <c r="H5386" s="48"/>
      <c r="I5386" s="48"/>
    </row>
    <row r="5387" spans="1:9" hidden="1" x14ac:dyDescent="0.2">
      <c r="A5387" s="46"/>
      <c r="B5387" s="46"/>
      <c r="C5387" s="46"/>
      <c r="D5387" s="48"/>
      <c r="E5387" s="48"/>
      <c r="F5387" s="48"/>
      <c r="G5387" s="48"/>
      <c r="H5387" s="48"/>
      <c r="I5387" s="48"/>
    </row>
    <row r="5388" spans="1:9" hidden="1" x14ac:dyDescent="0.2">
      <c r="A5388" s="46"/>
      <c r="B5388" s="46"/>
      <c r="C5388" s="46"/>
      <c r="D5388" s="48"/>
      <c r="E5388" s="48"/>
      <c r="F5388" s="48"/>
      <c r="G5388" s="48"/>
      <c r="H5388" s="48"/>
      <c r="I5388" s="48"/>
    </row>
    <row r="5389" spans="1:9" hidden="1" x14ac:dyDescent="0.2">
      <c r="A5389" s="46"/>
      <c r="B5389" s="46"/>
      <c r="C5389" s="46"/>
      <c r="D5389" s="48"/>
      <c r="E5389" s="48"/>
      <c r="F5389" s="48"/>
      <c r="G5389" s="48"/>
      <c r="H5389" s="48"/>
      <c r="I5389" s="48"/>
    </row>
    <row r="5390" spans="1:9" hidden="1" x14ac:dyDescent="0.2">
      <c r="A5390" s="46"/>
      <c r="B5390" s="46"/>
      <c r="C5390" s="46"/>
      <c r="D5390" s="48"/>
      <c r="E5390" s="48"/>
      <c r="F5390" s="48"/>
      <c r="G5390" s="48"/>
      <c r="H5390" s="48"/>
      <c r="I5390" s="48"/>
    </row>
    <row r="5391" spans="1:9" hidden="1" x14ac:dyDescent="0.2">
      <c r="A5391" s="46"/>
      <c r="B5391" s="46"/>
      <c r="C5391" s="46"/>
      <c r="D5391" s="48"/>
      <c r="E5391" s="48"/>
      <c r="F5391" s="48"/>
      <c r="G5391" s="48"/>
      <c r="H5391" s="48"/>
      <c r="I5391" s="48"/>
    </row>
    <row r="5392" spans="1:9" hidden="1" x14ac:dyDescent="0.2">
      <c r="A5392" s="46"/>
      <c r="B5392" s="46"/>
      <c r="C5392" s="46"/>
      <c r="D5392" s="48"/>
      <c r="E5392" s="48"/>
      <c r="F5392" s="48"/>
      <c r="G5392" s="48"/>
      <c r="H5392" s="48"/>
      <c r="I5392" s="48"/>
    </row>
    <row r="5393" spans="1:9" hidden="1" x14ac:dyDescent="0.2">
      <c r="A5393" s="46"/>
      <c r="B5393" s="46"/>
      <c r="C5393" s="46"/>
      <c r="D5393" s="48"/>
      <c r="E5393" s="48"/>
      <c r="F5393" s="48"/>
      <c r="G5393" s="48"/>
      <c r="H5393" s="48"/>
      <c r="I5393" s="48"/>
    </row>
    <row r="5394" spans="1:9" hidden="1" x14ac:dyDescent="0.2">
      <c r="A5394" s="46"/>
      <c r="B5394" s="46"/>
      <c r="C5394" s="46"/>
      <c r="D5394" s="48"/>
      <c r="E5394" s="48"/>
      <c r="F5394" s="48"/>
      <c r="G5394" s="48"/>
      <c r="H5394" s="48"/>
      <c r="I5394" s="48"/>
    </row>
    <row r="5395" spans="1:9" hidden="1" x14ac:dyDescent="0.2">
      <c r="A5395" s="46"/>
      <c r="B5395" s="46"/>
      <c r="C5395" s="46"/>
      <c r="D5395" s="48"/>
      <c r="E5395" s="48"/>
      <c r="F5395" s="48"/>
      <c r="G5395" s="48"/>
      <c r="H5395" s="48"/>
      <c r="I5395" s="48"/>
    </row>
    <row r="5396" spans="1:9" hidden="1" x14ac:dyDescent="0.2">
      <c r="A5396" s="46"/>
      <c r="B5396" s="46"/>
      <c r="C5396" s="46"/>
      <c r="D5396" s="48"/>
      <c r="E5396" s="48"/>
      <c r="F5396" s="48"/>
      <c r="G5396" s="48"/>
      <c r="H5396" s="48"/>
      <c r="I5396" s="48"/>
    </row>
    <row r="5397" spans="1:9" hidden="1" x14ac:dyDescent="0.2">
      <c r="A5397" s="46"/>
      <c r="B5397" s="46"/>
      <c r="C5397" s="46"/>
      <c r="D5397" s="48"/>
      <c r="E5397" s="48"/>
      <c r="F5397" s="48"/>
      <c r="G5397" s="48"/>
      <c r="H5397" s="48"/>
      <c r="I5397" s="48"/>
    </row>
    <row r="5398" spans="1:9" hidden="1" x14ac:dyDescent="0.2">
      <c r="A5398" s="46"/>
      <c r="B5398" s="46"/>
      <c r="C5398" s="46"/>
      <c r="D5398" s="48"/>
      <c r="E5398" s="48"/>
      <c r="F5398" s="48"/>
      <c r="G5398" s="48"/>
      <c r="H5398" s="48"/>
      <c r="I5398" s="48"/>
    </row>
    <row r="5399" spans="1:9" hidden="1" x14ac:dyDescent="0.2">
      <c r="A5399" s="46"/>
      <c r="B5399" s="46"/>
      <c r="C5399" s="46"/>
      <c r="D5399" s="48"/>
      <c r="E5399" s="48"/>
      <c r="F5399" s="48"/>
      <c r="G5399" s="48"/>
      <c r="H5399" s="48"/>
      <c r="I5399" s="48"/>
    </row>
    <row r="5400" spans="1:9" hidden="1" x14ac:dyDescent="0.2">
      <c r="A5400" s="46"/>
      <c r="B5400" s="46"/>
      <c r="C5400" s="46"/>
      <c r="D5400" s="48"/>
      <c r="E5400" s="48"/>
      <c r="F5400" s="48"/>
      <c r="G5400" s="48"/>
      <c r="H5400" s="48"/>
      <c r="I5400" s="48"/>
    </row>
    <row r="5401" spans="1:9" hidden="1" x14ac:dyDescent="0.2">
      <c r="A5401" s="46"/>
      <c r="B5401" s="46"/>
      <c r="C5401" s="46"/>
      <c r="D5401" s="48"/>
      <c r="E5401" s="48"/>
      <c r="F5401" s="48"/>
      <c r="G5401" s="48"/>
      <c r="H5401" s="48"/>
      <c r="I5401" s="48"/>
    </row>
    <row r="5402" spans="1:9" hidden="1" x14ac:dyDescent="0.2">
      <c r="A5402" s="46"/>
      <c r="B5402" s="46"/>
      <c r="C5402" s="46"/>
      <c r="D5402" s="48"/>
      <c r="E5402" s="48"/>
      <c r="F5402" s="48"/>
      <c r="G5402" s="48"/>
      <c r="H5402" s="48"/>
      <c r="I5402" s="48"/>
    </row>
    <row r="5403" spans="1:9" hidden="1" x14ac:dyDescent="0.2">
      <c r="A5403" s="46"/>
      <c r="B5403" s="46"/>
      <c r="C5403" s="46"/>
      <c r="D5403" s="48"/>
      <c r="E5403" s="48"/>
      <c r="F5403" s="48"/>
      <c r="G5403" s="48"/>
      <c r="H5403" s="48"/>
      <c r="I5403" s="48"/>
    </row>
    <row r="5404" spans="1:9" hidden="1" x14ac:dyDescent="0.2">
      <c r="A5404" s="46"/>
      <c r="B5404" s="46"/>
      <c r="C5404" s="46"/>
      <c r="D5404" s="48"/>
      <c r="E5404" s="48"/>
      <c r="F5404" s="48"/>
      <c r="G5404" s="48"/>
      <c r="H5404" s="48"/>
      <c r="I5404" s="48"/>
    </row>
    <row r="5405" spans="1:9" hidden="1" x14ac:dyDescent="0.2">
      <c r="A5405" s="46"/>
      <c r="B5405" s="46"/>
      <c r="C5405" s="46"/>
      <c r="D5405" s="48"/>
      <c r="E5405" s="48"/>
      <c r="F5405" s="48"/>
      <c r="G5405" s="48"/>
      <c r="H5405" s="48"/>
      <c r="I5405" s="48"/>
    </row>
    <row r="5406" spans="1:9" hidden="1" x14ac:dyDescent="0.2">
      <c r="A5406" s="46"/>
      <c r="B5406" s="46"/>
      <c r="C5406" s="46"/>
      <c r="D5406" s="48"/>
      <c r="E5406" s="48"/>
      <c r="F5406" s="48"/>
      <c r="G5406" s="48"/>
      <c r="H5406" s="48"/>
      <c r="I5406" s="48"/>
    </row>
    <row r="5407" spans="1:9" hidden="1" x14ac:dyDescent="0.2">
      <c r="A5407" s="46"/>
      <c r="B5407" s="46"/>
      <c r="C5407" s="46"/>
      <c r="D5407" s="48"/>
      <c r="E5407" s="48"/>
      <c r="F5407" s="48"/>
      <c r="G5407" s="48"/>
      <c r="H5407" s="48"/>
      <c r="I5407" s="48"/>
    </row>
    <row r="5408" spans="1:9" hidden="1" x14ac:dyDescent="0.2">
      <c r="A5408" s="46"/>
      <c r="B5408" s="46"/>
      <c r="C5408" s="46"/>
      <c r="D5408" s="48"/>
      <c r="E5408" s="48"/>
      <c r="F5408" s="48"/>
      <c r="G5408" s="48"/>
      <c r="H5408" s="48"/>
      <c r="I5408" s="48"/>
    </row>
    <row r="5409" spans="1:9" hidden="1" x14ac:dyDescent="0.2">
      <c r="A5409" s="46"/>
      <c r="B5409" s="46"/>
      <c r="C5409" s="46"/>
      <c r="D5409" s="48"/>
      <c r="E5409" s="48"/>
      <c r="F5409" s="48"/>
      <c r="G5409" s="48"/>
      <c r="H5409" s="48"/>
      <c r="I5409" s="48"/>
    </row>
    <row r="5410" spans="1:9" hidden="1" x14ac:dyDescent="0.2">
      <c r="A5410" s="46"/>
      <c r="B5410" s="46"/>
      <c r="C5410" s="46"/>
      <c r="D5410" s="48"/>
      <c r="E5410" s="48"/>
      <c r="F5410" s="48"/>
      <c r="G5410" s="48"/>
      <c r="H5410" s="48"/>
      <c r="I5410" s="48"/>
    </row>
    <row r="5411" spans="1:9" hidden="1" x14ac:dyDescent="0.2">
      <c r="A5411" s="46"/>
      <c r="B5411" s="46"/>
      <c r="C5411" s="46"/>
      <c r="D5411" s="48"/>
      <c r="E5411" s="48"/>
      <c r="F5411" s="48"/>
      <c r="G5411" s="48"/>
      <c r="H5411" s="48"/>
      <c r="I5411" s="48"/>
    </row>
    <row r="5412" spans="1:9" hidden="1" x14ac:dyDescent="0.2">
      <c r="A5412" s="46"/>
      <c r="B5412" s="46"/>
      <c r="C5412" s="46"/>
      <c r="D5412" s="48"/>
      <c r="E5412" s="48"/>
      <c r="F5412" s="48"/>
      <c r="G5412" s="48"/>
      <c r="H5412" s="48"/>
      <c r="I5412" s="48"/>
    </row>
    <row r="5413" spans="1:9" hidden="1" x14ac:dyDescent="0.2">
      <c r="A5413" s="46"/>
      <c r="B5413" s="46"/>
      <c r="C5413" s="46"/>
      <c r="D5413" s="48"/>
      <c r="E5413" s="48"/>
      <c r="F5413" s="48"/>
      <c r="G5413" s="48"/>
      <c r="H5413" s="48"/>
      <c r="I5413" s="48"/>
    </row>
    <row r="5414" spans="1:9" hidden="1" x14ac:dyDescent="0.2">
      <c r="A5414" s="46"/>
      <c r="B5414" s="46"/>
      <c r="C5414" s="46"/>
      <c r="D5414" s="48"/>
      <c r="E5414" s="48"/>
      <c r="F5414" s="48"/>
      <c r="G5414" s="48"/>
      <c r="H5414" s="48"/>
      <c r="I5414" s="48"/>
    </row>
    <row r="5415" spans="1:9" hidden="1" x14ac:dyDescent="0.2">
      <c r="A5415" s="46"/>
      <c r="B5415" s="46"/>
      <c r="C5415" s="46"/>
      <c r="D5415" s="48"/>
      <c r="E5415" s="48"/>
      <c r="F5415" s="48"/>
      <c r="G5415" s="48"/>
      <c r="H5415" s="48"/>
      <c r="I5415" s="48"/>
    </row>
    <row r="5416" spans="1:9" hidden="1" x14ac:dyDescent="0.2">
      <c r="A5416" s="46"/>
      <c r="B5416" s="46"/>
      <c r="C5416" s="46"/>
      <c r="D5416" s="48"/>
      <c r="E5416" s="48"/>
      <c r="F5416" s="48"/>
      <c r="G5416" s="48"/>
      <c r="H5416" s="48"/>
      <c r="I5416" s="48"/>
    </row>
    <row r="5417" spans="1:9" hidden="1" x14ac:dyDescent="0.2">
      <c r="A5417" s="46"/>
      <c r="B5417" s="46"/>
      <c r="C5417" s="46"/>
      <c r="D5417" s="48"/>
      <c r="E5417" s="48"/>
      <c r="F5417" s="48"/>
      <c r="G5417" s="48"/>
      <c r="H5417" s="48"/>
      <c r="I5417" s="48"/>
    </row>
    <row r="5418" spans="1:9" hidden="1" x14ac:dyDescent="0.2">
      <c r="A5418" s="46"/>
      <c r="B5418" s="46"/>
      <c r="C5418" s="46"/>
      <c r="D5418" s="48"/>
      <c r="E5418" s="48"/>
      <c r="F5418" s="48"/>
      <c r="G5418" s="48"/>
      <c r="H5418" s="48"/>
      <c r="I5418" s="48"/>
    </row>
    <row r="5419" spans="1:9" hidden="1" x14ac:dyDescent="0.2">
      <c r="A5419" s="46"/>
      <c r="B5419" s="46"/>
      <c r="C5419" s="46"/>
      <c r="D5419" s="48"/>
      <c r="E5419" s="48"/>
      <c r="F5419" s="48"/>
      <c r="G5419" s="48"/>
      <c r="H5419" s="48"/>
      <c r="I5419" s="48"/>
    </row>
    <row r="5420" spans="1:9" hidden="1" x14ac:dyDescent="0.2">
      <c r="A5420" s="46"/>
      <c r="B5420" s="46"/>
      <c r="C5420" s="46"/>
      <c r="D5420" s="48"/>
      <c r="E5420" s="48"/>
      <c r="F5420" s="48"/>
      <c r="G5420" s="48"/>
      <c r="H5420" s="48"/>
      <c r="I5420" s="48"/>
    </row>
    <row r="5421" spans="1:9" hidden="1" x14ac:dyDescent="0.2">
      <c r="A5421" s="46"/>
      <c r="B5421" s="46"/>
      <c r="C5421" s="46"/>
      <c r="D5421" s="48"/>
      <c r="E5421" s="48"/>
      <c r="F5421" s="48"/>
      <c r="G5421" s="48"/>
      <c r="H5421" s="48"/>
      <c r="I5421" s="48"/>
    </row>
    <row r="5422" spans="1:9" hidden="1" x14ac:dyDescent="0.2">
      <c r="A5422" s="46"/>
      <c r="B5422" s="46"/>
      <c r="C5422" s="46"/>
      <c r="D5422" s="48"/>
      <c r="E5422" s="48"/>
      <c r="F5422" s="48"/>
      <c r="G5422" s="48"/>
      <c r="H5422" s="48"/>
      <c r="I5422" s="48"/>
    </row>
    <row r="5423" spans="1:9" hidden="1" x14ac:dyDescent="0.2">
      <c r="A5423" s="46"/>
      <c r="B5423" s="46"/>
      <c r="C5423" s="46"/>
      <c r="D5423" s="48"/>
      <c r="E5423" s="48"/>
      <c r="F5423" s="48"/>
      <c r="G5423" s="48"/>
      <c r="H5423" s="48"/>
      <c r="I5423" s="48"/>
    </row>
    <row r="5424" spans="1:9" hidden="1" x14ac:dyDescent="0.2">
      <c r="A5424" s="46"/>
      <c r="B5424" s="46"/>
      <c r="C5424" s="46"/>
      <c r="D5424" s="48"/>
      <c r="E5424" s="48"/>
      <c r="F5424" s="48"/>
      <c r="G5424" s="48"/>
      <c r="H5424" s="48"/>
      <c r="I5424" s="48"/>
    </row>
    <row r="5425" spans="1:9" hidden="1" x14ac:dyDescent="0.2">
      <c r="A5425" s="46"/>
      <c r="B5425" s="46"/>
      <c r="C5425" s="46"/>
      <c r="D5425" s="48"/>
      <c r="E5425" s="48"/>
      <c r="F5425" s="48"/>
      <c r="G5425" s="48"/>
      <c r="H5425" s="48"/>
      <c r="I5425" s="48"/>
    </row>
    <row r="5426" spans="1:9" hidden="1" x14ac:dyDescent="0.2">
      <c r="A5426" s="46"/>
      <c r="B5426" s="46"/>
      <c r="C5426" s="46"/>
      <c r="D5426" s="48"/>
      <c r="E5426" s="48"/>
      <c r="F5426" s="48"/>
      <c r="G5426" s="48"/>
      <c r="H5426" s="48"/>
      <c r="I5426" s="48"/>
    </row>
    <row r="5427" spans="1:9" hidden="1" x14ac:dyDescent="0.2">
      <c r="A5427" s="46"/>
      <c r="B5427" s="46"/>
      <c r="C5427" s="46"/>
      <c r="D5427" s="48"/>
      <c r="E5427" s="48"/>
      <c r="F5427" s="48"/>
      <c r="G5427" s="48"/>
      <c r="H5427" s="48"/>
      <c r="I5427" s="48"/>
    </row>
    <row r="5428" spans="1:9" hidden="1" x14ac:dyDescent="0.2">
      <c r="A5428" s="46"/>
      <c r="B5428" s="46"/>
      <c r="C5428" s="46"/>
      <c r="D5428" s="48"/>
      <c r="E5428" s="48"/>
      <c r="F5428" s="48"/>
      <c r="G5428" s="48"/>
      <c r="H5428" s="48"/>
      <c r="I5428" s="48"/>
    </row>
    <row r="5429" spans="1:9" hidden="1" x14ac:dyDescent="0.2">
      <c r="A5429" s="46"/>
      <c r="B5429" s="46"/>
      <c r="C5429" s="46"/>
      <c r="D5429" s="48"/>
      <c r="E5429" s="48"/>
      <c r="F5429" s="48"/>
      <c r="G5429" s="48"/>
      <c r="H5429" s="48"/>
      <c r="I5429" s="48"/>
    </row>
    <row r="5430" spans="1:9" hidden="1" x14ac:dyDescent="0.2">
      <c r="A5430" s="46"/>
      <c r="B5430" s="46"/>
      <c r="C5430" s="46"/>
      <c r="D5430" s="48"/>
      <c r="E5430" s="48"/>
      <c r="F5430" s="48"/>
      <c r="G5430" s="48"/>
      <c r="H5430" s="48"/>
      <c r="I5430" s="48"/>
    </row>
    <row r="5431" spans="1:9" hidden="1" x14ac:dyDescent="0.2">
      <c r="A5431" s="46"/>
      <c r="B5431" s="46"/>
      <c r="C5431" s="46"/>
      <c r="D5431" s="48"/>
      <c r="E5431" s="48"/>
      <c r="F5431" s="48"/>
      <c r="G5431" s="48"/>
      <c r="H5431" s="48"/>
      <c r="I5431" s="48"/>
    </row>
    <row r="5432" spans="1:9" hidden="1" x14ac:dyDescent="0.2">
      <c r="A5432" s="46"/>
      <c r="B5432" s="46"/>
      <c r="C5432" s="46"/>
      <c r="D5432" s="48"/>
      <c r="E5432" s="48"/>
      <c r="F5432" s="48"/>
      <c r="G5432" s="48"/>
      <c r="H5432" s="48"/>
      <c r="I5432" s="48"/>
    </row>
    <row r="5433" spans="1:9" hidden="1" x14ac:dyDescent="0.2">
      <c r="A5433" s="46"/>
      <c r="B5433" s="46"/>
      <c r="C5433" s="46"/>
      <c r="D5433" s="48"/>
      <c r="E5433" s="48"/>
      <c r="F5433" s="48"/>
      <c r="G5433" s="48"/>
      <c r="H5433" s="48"/>
      <c r="I5433" s="48"/>
    </row>
    <row r="5434" spans="1:9" hidden="1" x14ac:dyDescent="0.2">
      <c r="A5434" s="46"/>
      <c r="B5434" s="46"/>
      <c r="C5434" s="46"/>
      <c r="D5434" s="48"/>
      <c r="E5434" s="48"/>
      <c r="F5434" s="48"/>
      <c r="G5434" s="48"/>
      <c r="H5434" s="48"/>
      <c r="I5434" s="48"/>
    </row>
    <row r="5435" spans="1:9" hidden="1" x14ac:dyDescent="0.2">
      <c r="A5435" s="46"/>
      <c r="B5435" s="46"/>
      <c r="C5435" s="46"/>
      <c r="D5435" s="48"/>
      <c r="E5435" s="48"/>
      <c r="F5435" s="48"/>
      <c r="G5435" s="48"/>
      <c r="H5435" s="48"/>
      <c r="I5435" s="48"/>
    </row>
    <row r="5436" spans="1:9" hidden="1" x14ac:dyDescent="0.2">
      <c r="A5436" s="46"/>
      <c r="B5436" s="46"/>
      <c r="C5436" s="46"/>
      <c r="D5436" s="48"/>
      <c r="E5436" s="48"/>
      <c r="F5436" s="48"/>
      <c r="G5436" s="48"/>
      <c r="H5436" s="48"/>
      <c r="I5436" s="48"/>
    </row>
    <row r="5437" spans="1:9" hidden="1" x14ac:dyDescent="0.2">
      <c r="A5437" s="46"/>
      <c r="B5437" s="46"/>
      <c r="C5437" s="46"/>
      <c r="D5437" s="48"/>
      <c r="E5437" s="48"/>
      <c r="F5437" s="48"/>
      <c r="G5437" s="48"/>
      <c r="H5437" s="48"/>
      <c r="I5437" s="48"/>
    </row>
    <row r="5438" spans="1:9" hidden="1" x14ac:dyDescent="0.2">
      <c r="A5438" s="46"/>
      <c r="B5438" s="46"/>
      <c r="C5438" s="46"/>
      <c r="D5438" s="48"/>
      <c r="E5438" s="48"/>
      <c r="F5438" s="48"/>
      <c r="G5438" s="48"/>
      <c r="H5438" s="48"/>
      <c r="I5438" s="48"/>
    </row>
    <row r="5439" spans="1:9" hidden="1" x14ac:dyDescent="0.2">
      <c r="A5439" s="46"/>
      <c r="B5439" s="46"/>
      <c r="C5439" s="46"/>
      <c r="D5439" s="48"/>
      <c r="E5439" s="48"/>
      <c r="F5439" s="48"/>
      <c r="G5439" s="48"/>
      <c r="H5439" s="48"/>
      <c r="I5439" s="48"/>
    </row>
    <row r="5440" spans="1:9" hidden="1" x14ac:dyDescent="0.2">
      <c r="A5440" s="46"/>
      <c r="B5440" s="46"/>
      <c r="C5440" s="46"/>
      <c r="D5440" s="48"/>
      <c r="E5440" s="48"/>
      <c r="F5440" s="48"/>
      <c r="G5440" s="48"/>
      <c r="H5440" s="48"/>
      <c r="I5440" s="48"/>
    </row>
    <row r="5441" spans="1:9" hidden="1" x14ac:dyDescent="0.2">
      <c r="A5441" s="46"/>
      <c r="B5441" s="46"/>
      <c r="C5441" s="46"/>
      <c r="D5441" s="48"/>
      <c r="E5441" s="48"/>
      <c r="F5441" s="48"/>
      <c r="G5441" s="48"/>
      <c r="H5441" s="48"/>
      <c r="I5441" s="48"/>
    </row>
    <row r="5442" spans="1:9" hidden="1" x14ac:dyDescent="0.2">
      <c r="A5442" s="46"/>
      <c r="B5442" s="46"/>
      <c r="C5442" s="46"/>
      <c r="D5442" s="48"/>
      <c r="E5442" s="48"/>
      <c r="F5442" s="48"/>
      <c r="G5442" s="48"/>
      <c r="H5442" s="48"/>
      <c r="I5442" s="48"/>
    </row>
    <row r="5443" spans="1:9" hidden="1" x14ac:dyDescent="0.2">
      <c r="A5443" s="46"/>
      <c r="B5443" s="46"/>
      <c r="C5443" s="46"/>
      <c r="D5443" s="48"/>
      <c r="E5443" s="48"/>
      <c r="F5443" s="48"/>
      <c r="G5443" s="48"/>
      <c r="H5443" s="48"/>
      <c r="I5443" s="48"/>
    </row>
    <row r="5444" spans="1:9" hidden="1" x14ac:dyDescent="0.2">
      <c r="A5444" s="46"/>
      <c r="B5444" s="46"/>
      <c r="C5444" s="46"/>
      <c r="D5444" s="48"/>
      <c r="E5444" s="48"/>
      <c r="F5444" s="48"/>
      <c r="G5444" s="48"/>
      <c r="H5444" s="48"/>
      <c r="I5444" s="48"/>
    </row>
    <row r="5445" spans="1:9" hidden="1" x14ac:dyDescent="0.2">
      <c r="A5445" s="46"/>
      <c r="B5445" s="46"/>
      <c r="C5445" s="46"/>
      <c r="D5445" s="48"/>
      <c r="E5445" s="48"/>
      <c r="F5445" s="48"/>
      <c r="G5445" s="48"/>
      <c r="H5445" s="48"/>
      <c r="I5445" s="48"/>
    </row>
    <row r="5446" spans="1:9" hidden="1" x14ac:dyDescent="0.2">
      <c r="A5446" s="46"/>
      <c r="B5446" s="46"/>
      <c r="C5446" s="46"/>
      <c r="D5446" s="48"/>
      <c r="E5446" s="48"/>
      <c r="F5446" s="48"/>
      <c r="G5446" s="48"/>
      <c r="H5446" s="48"/>
      <c r="I5446" s="48"/>
    </row>
    <row r="5447" spans="1:9" hidden="1" x14ac:dyDescent="0.2">
      <c r="A5447" s="46"/>
      <c r="B5447" s="46"/>
      <c r="C5447" s="46"/>
      <c r="D5447" s="48"/>
      <c r="E5447" s="48"/>
      <c r="F5447" s="48"/>
      <c r="G5447" s="48"/>
      <c r="H5447" s="48"/>
      <c r="I5447" s="48"/>
    </row>
    <row r="5448" spans="1:9" hidden="1" x14ac:dyDescent="0.2">
      <c r="A5448" s="46"/>
      <c r="B5448" s="46"/>
      <c r="C5448" s="46"/>
      <c r="D5448" s="48"/>
      <c r="E5448" s="48"/>
      <c r="F5448" s="48"/>
      <c r="G5448" s="48"/>
      <c r="H5448" s="48"/>
      <c r="I5448" s="48"/>
    </row>
    <row r="5449" spans="1:9" hidden="1" x14ac:dyDescent="0.2">
      <c r="A5449" s="46"/>
      <c r="B5449" s="46"/>
      <c r="C5449" s="46"/>
      <c r="D5449" s="48"/>
      <c r="E5449" s="48"/>
      <c r="F5449" s="48"/>
      <c r="G5449" s="48"/>
      <c r="H5449" s="48"/>
      <c r="I5449" s="48"/>
    </row>
    <row r="5450" spans="1:9" hidden="1" x14ac:dyDescent="0.2">
      <c r="A5450" s="46"/>
      <c r="B5450" s="46"/>
      <c r="C5450" s="46"/>
      <c r="D5450" s="48"/>
      <c r="E5450" s="48"/>
      <c r="F5450" s="48"/>
      <c r="G5450" s="48"/>
      <c r="H5450" s="48"/>
      <c r="I5450" s="48"/>
    </row>
    <row r="5451" spans="1:9" hidden="1" x14ac:dyDescent="0.2">
      <c r="A5451" s="46"/>
      <c r="B5451" s="46"/>
      <c r="C5451" s="46"/>
      <c r="D5451" s="48"/>
      <c r="E5451" s="48"/>
      <c r="F5451" s="48"/>
      <c r="G5451" s="48"/>
      <c r="H5451" s="48"/>
      <c r="I5451" s="48"/>
    </row>
    <row r="5452" spans="1:9" hidden="1" x14ac:dyDescent="0.2">
      <c r="A5452" s="46"/>
      <c r="B5452" s="46"/>
      <c r="C5452" s="46"/>
      <c r="D5452" s="48"/>
      <c r="E5452" s="48"/>
      <c r="F5452" s="48"/>
      <c r="G5452" s="48"/>
      <c r="H5452" s="48"/>
      <c r="I5452" s="48"/>
    </row>
    <row r="5453" spans="1:9" hidden="1" x14ac:dyDescent="0.2">
      <c r="A5453" s="46"/>
      <c r="B5453" s="46"/>
      <c r="C5453" s="46"/>
      <c r="D5453" s="48"/>
      <c r="E5453" s="48"/>
      <c r="F5453" s="48"/>
      <c r="G5453" s="48"/>
      <c r="H5453" s="48"/>
      <c r="I5453" s="48"/>
    </row>
    <row r="5454" spans="1:9" hidden="1" x14ac:dyDescent="0.2">
      <c r="A5454" s="46"/>
      <c r="B5454" s="46"/>
      <c r="C5454" s="46"/>
      <c r="D5454" s="48"/>
      <c r="E5454" s="48"/>
      <c r="F5454" s="48"/>
      <c r="G5454" s="48"/>
      <c r="H5454" s="48"/>
      <c r="I5454" s="48"/>
    </row>
    <row r="5455" spans="1:9" hidden="1" x14ac:dyDescent="0.2">
      <c r="A5455" s="46"/>
      <c r="B5455" s="46"/>
      <c r="C5455" s="46"/>
      <c r="D5455" s="48"/>
      <c r="E5455" s="48"/>
      <c r="F5455" s="48"/>
      <c r="G5455" s="48"/>
      <c r="H5455" s="48"/>
      <c r="I5455" s="48"/>
    </row>
    <row r="5456" spans="1:9" hidden="1" x14ac:dyDescent="0.2">
      <c r="A5456" s="46"/>
      <c r="B5456" s="46"/>
      <c r="C5456" s="46"/>
      <c r="D5456" s="48"/>
      <c r="E5456" s="48"/>
      <c r="F5456" s="48"/>
      <c r="G5456" s="48"/>
      <c r="H5456" s="48"/>
      <c r="I5456" s="48"/>
    </row>
    <row r="5457" spans="1:9" hidden="1" x14ac:dyDescent="0.2">
      <c r="A5457" s="46"/>
      <c r="B5457" s="46"/>
      <c r="C5457" s="46"/>
      <c r="D5457" s="48"/>
      <c r="E5457" s="48"/>
      <c r="F5457" s="48"/>
      <c r="G5457" s="48"/>
      <c r="H5457" s="48"/>
      <c r="I5457" s="48"/>
    </row>
    <row r="5458" spans="1:9" hidden="1" x14ac:dyDescent="0.2">
      <c r="A5458" s="46"/>
      <c r="B5458" s="46"/>
      <c r="C5458" s="46"/>
      <c r="D5458" s="48"/>
      <c r="E5458" s="48"/>
      <c r="F5458" s="48"/>
      <c r="G5458" s="48"/>
      <c r="H5458" s="48"/>
      <c r="I5458" s="48"/>
    </row>
    <row r="5459" spans="1:9" hidden="1" x14ac:dyDescent="0.2">
      <c r="A5459" s="46"/>
      <c r="B5459" s="46"/>
      <c r="C5459" s="46"/>
      <c r="D5459" s="48"/>
      <c r="E5459" s="48"/>
      <c r="F5459" s="48"/>
      <c r="G5459" s="48"/>
      <c r="H5459" s="48"/>
      <c r="I5459" s="48"/>
    </row>
    <row r="5460" spans="1:9" hidden="1" x14ac:dyDescent="0.2">
      <c r="A5460" s="46"/>
      <c r="B5460" s="46"/>
      <c r="C5460" s="46"/>
      <c r="D5460" s="48"/>
      <c r="E5460" s="48"/>
      <c r="F5460" s="48"/>
      <c r="G5460" s="48"/>
      <c r="H5460" s="48"/>
      <c r="I5460" s="48"/>
    </row>
    <row r="5461" spans="1:9" hidden="1" x14ac:dyDescent="0.2">
      <c r="A5461" s="46"/>
      <c r="B5461" s="46"/>
      <c r="C5461" s="46"/>
      <c r="D5461" s="48"/>
      <c r="E5461" s="48"/>
      <c r="F5461" s="48"/>
      <c r="G5461" s="48"/>
      <c r="H5461" s="48"/>
      <c r="I5461" s="48"/>
    </row>
    <row r="5462" spans="1:9" hidden="1" x14ac:dyDescent="0.2">
      <c r="A5462" s="46"/>
      <c r="B5462" s="46"/>
      <c r="C5462" s="46"/>
      <c r="D5462" s="48"/>
      <c r="E5462" s="48"/>
      <c r="F5462" s="48"/>
      <c r="G5462" s="48"/>
      <c r="H5462" s="48"/>
      <c r="I5462" s="48"/>
    </row>
    <row r="5463" spans="1:9" hidden="1" x14ac:dyDescent="0.2">
      <c r="A5463" s="46"/>
      <c r="B5463" s="46"/>
      <c r="C5463" s="46"/>
      <c r="D5463" s="48"/>
      <c r="E5463" s="48"/>
      <c r="F5463" s="48"/>
      <c r="G5463" s="48"/>
      <c r="H5463" s="48"/>
      <c r="I5463" s="48"/>
    </row>
    <row r="5464" spans="1:9" hidden="1" x14ac:dyDescent="0.2">
      <c r="A5464" s="46"/>
      <c r="B5464" s="46"/>
      <c r="C5464" s="46"/>
      <c r="D5464" s="48"/>
      <c r="E5464" s="48"/>
      <c r="F5464" s="48"/>
      <c r="G5464" s="48"/>
      <c r="H5464" s="48"/>
      <c r="I5464" s="48"/>
    </row>
    <row r="5465" spans="1:9" hidden="1" x14ac:dyDescent="0.2">
      <c r="A5465" s="46"/>
      <c r="B5465" s="46"/>
      <c r="C5465" s="46"/>
      <c r="D5465" s="48"/>
      <c r="E5465" s="48"/>
      <c r="F5465" s="48"/>
      <c r="G5465" s="48"/>
      <c r="H5465" s="48"/>
      <c r="I5465" s="48"/>
    </row>
    <row r="5466" spans="1:9" hidden="1" x14ac:dyDescent="0.2">
      <c r="A5466" s="46"/>
      <c r="B5466" s="46"/>
      <c r="C5466" s="46"/>
      <c r="D5466" s="48"/>
      <c r="E5466" s="48"/>
      <c r="F5466" s="48"/>
      <c r="G5466" s="48"/>
      <c r="H5466" s="48"/>
      <c r="I5466" s="48"/>
    </row>
    <row r="5467" spans="1:9" hidden="1" x14ac:dyDescent="0.2">
      <c r="A5467" s="46"/>
      <c r="B5467" s="46"/>
      <c r="C5467" s="46"/>
      <c r="D5467" s="48"/>
      <c r="E5467" s="48"/>
      <c r="F5467" s="48"/>
      <c r="G5467" s="48"/>
      <c r="H5467" s="48"/>
      <c r="I5467" s="48"/>
    </row>
    <row r="5468" spans="1:9" hidden="1" x14ac:dyDescent="0.2">
      <c r="A5468" s="46"/>
      <c r="B5468" s="46"/>
      <c r="C5468" s="46"/>
      <c r="D5468" s="48"/>
      <c r="E5468" s="48"/>
      <c r="F5468" s="48"/>
      <c r="G5468" s="48"/>
      <c r="H5468" s="48"/>
      <c r="I5468" s="48"/>
    </row>
    <row r="5469" spans="1:9" hidden="1" x14ac:dyDescent="0.2">
      <c r="A5469" s="46"/>
      <c r="B5469" s="46"/>
      <c r="C5469" s="46"/>
      <c r="D5469" s="48"/>
      <c r="E5469" s="48"/>
      <c r="F5469" s="48"/>
      <c r="G5469" s="48"/>
      <c r="H5469" s="48"/>
      <c r="I5469" s="48"/>
    </row>
    <row r="5470" spans="1:9" hidden="1" x14ac:dyDescent="0.2">
      <c r="A5470" s="46"/>
      <c r="B5470" s="46"/>
      <c r="C5470" s="46"/>
      <c r="D5470" s="48"/>
      <c r="E5470" s="48"/>
      <c r="F5470" s="48"/>
      <c r="G5470" s="48"/>
      <c r="H5470" s="48"/>
      <c r="I5470" s="48"/>
    </row>
    <row r="5471" spans="1:9" hidden="1" x14ac:dyDescent="0.2">
      <c r="A5471" s="46"/>
      <c r="B5471" s="46"/>
      <c r="C5471" s="46"/>
      <c r="D5471" s="48"/>
      <c r="E5471" s="48"/>
      <c r="F5471" s="48"/>
      <c r="G5471" s="48"/>
      <c r="H5471" s="48"/>
      <c r="I5471" s="48"/>
    </row>
    <row r="5472" spans="1:9" hidden="1" x14ac:dyDescent="0.2">
      <c r="A5472" s="46"/>
      <c r="B5472" s="46"/>
      <c r="C5472" s="46"/>
      <c r="D5472" s="48"/>
      <c r="E5472" s="48"/>
      <c r="F5472" s="48"/>
      <c r="G5472" s="48"/>
      <c r="H5472" s="48"/>
      <c r="I5472" s="48"/>
    </row>
    <row r="5473" spans="1:9" hidden="1" x14ac:dyDescent="0.2">
      <c r="A5473" s="46"/>
      <c r="B5473" s="46"/>
      <c r="C5473" s="46"/>
      <c r="D5473" s="48"/>
      <c r="E5473" s="48"/>
      <c r="F5473" s="48"/>
      <c r="G5473" s="48"/>
      <c r="H5473" s="48"/>
      <c r="I5473" s="48"/>
    </row>
    <row r="5474" spans="1:9" hidden="1" x14ac:dyDescent="0.2">
      <c r="A5474" s="46"/>
      <c r="B5474" s="46"/>
      <c r="C5474" s="46"/>
      <c r="D5474" s="48"/>
      <c r="E5474" s="48"/>
      <c r="F5474" s="48"/>
      <c r="G5474" s="48"/>
      <c r="H5474" s="48"/>
      <c r="I5474" s="48"/>
    </row>
    <row r="5475" spans="1:9" hidden="1" x14ac:dyDescent="0.2">
      <c r="A5475" s="46"/>
      <c r="B5475" s="46"/>
      <c r="C5475" s="46"/>
      <c r="D5475" s="48"/>
      <c r="E5475" s="48"/>
      <c r="F5475" s="48"/>
      <c r="G5475" s="48"/>
      <c r="H5475" s="48"/>
      <c r="I5475" s="48"/>
    </row>
    <row r="5476" spans="1:9" hidden="1" x14ac:dyDescent="0.2">
      <c r="A5476" s="46"/>
      <c r="B5476" s="46"/>
      <c r="C5476" s="46"/>
      <c r="D5476" s="48"/>
      <c r="E5476" s="48"/>
      <c r="F5476" s="48"/>
      <c r="G5476" s="48"/>
      <c r="H5476" s="48"/>
      <c r="I5476" s="48"/>
    </row>
    <row r="5477" spans="1:9" hidden="1" x14ac:dyDescent="0.2">
      <c r="A5477" s="46"/>
      <c r="B5477" s="46"/>
      <c r="C5477" s="46"/>
      <c r="D5477" s="48"/>
      <c r="E5477" s="48"/>
      <c r="F5477" s="48"/>
      <c r="G5477" s="48"/>
      <c r="H5477" s="48"/>
      <c r="I5477" s="48"/>
    </row>
    <row r="5478" spans="1:9" hidden="1" x14ac:dyDescent="0.2">
      <c r="A5478" s="46"/>
      <c r="B5478" s="46"/>
      <c r="C5478" s="46"/>
      <c r="D5478" s="48"/>
      <c r="E5478" s="48"/>
      <c r="F5478" s="48"/>
      <c r="G5478" s="48"/>
      <c r="H5478" s="48"/>
      <c r="I5478" s="48"/>
    </row>
    <row r="5479" spans="1:9" hidden="1" x14ac:dyDescent="0.2">
      <c r="A5479" s="46"/>
      <c r="B5479" s="46"/>
      <c r="C5479" s="46"/>
      <c r="D5479" s="48"/>
      <c r="E5479" s="48"/>
      <c r="F5479" s="48"/>
      <c r="G5479" s="48"/>
      <c r="H5479" s="48"/>
      <c r="I5479" s="48"/>
    </row>
    <row r="5480" spans="1:9" hidden="1" x14ac:dyDescent="0.2">
      <c r="A5480" s="46"/>
      <c r="B5480" s="46"/>
      <c r="C5480" s="46"/>
      <c r="D5480" s="48"/>
      <c r="E5480" s="48"/>
      <c r="F5480" s="48"/>
      <c r="G5480" s="48"/>
      <c r="H5480" s="48"/>
      <c r="I5480" s="48"/>
    </row>
    <row r="5481" spans="1:9" hidden="1" x14ac:dyDescent="0.2">
      <c r="A5481" s="46"/>
      <c r="B5481" s="46"/>
      <c r="C5481" s="46"/>
      <c r="D5481" s="48"/>
      <c r="E5481" s="48"/>
      <c r="F5481" s="48"/>
      <c r="G5481" s="48"/>
      <c r="H5481" s="48"/>
      <c r="I5481" s="48"/>
    </row>
    <row r="5482" spans="1:9" hidden="1" x14ac:dyDescent="0.2">
      <c r="A5482" s="46"/>
      <c r="B5482" s="46"/>
      <c r="C5482" s="46"/>
      <c r="D5482" s="48"/>
      <c r="E5482" s="48"/>
      <c r="F5482" s="48"/>
      <c r="G5482" s="48"/>
      <c r="H5482" s="48"/>
      <c r="I5482" s="48"/>
    </row>
    <row r="5483" spans="1:9" hidden="1" x14ac:dyDescent="0.2">
      <c r="A5483" s="46"/>
      <c r="B5483" s="46"/>
      <c r="C5483" s="46"/>
      <c r="D5483" s="48"/>
      <c r="E5483" s="48"/>
      <c r="F5483" s="48"/>
      <c r="G5483" s="48"/>
      <c r="H5483" s="48"/>
      <c r="I5483" s="48"/>
    </row>
    <row r="5484" spans="1:9" hidden="1" x14ac:dyDescent="0.2">
      <c r="A5484" s="46"/>
      <c r="B5484" s="46"/>
      <c r="C5484" s="46"/>
      <c r="D5484" s="48"/>
      <c r="E5484" s="48"/>
      <c r="F5484" s="48"/>
      <c r="G5484" s="48"/>
      <c r="H5484" s="48"/>
      <c r="I5484" s="48"/>
    </row>
    <row r="5485" spans="1:9" hidden="1" x14ac:dyDescent="0.2">
      <c r="A5485" s="46"/>
      <c r="B5485" s="46"/>
      <c r="C5485" s="46"/>
      <c r="D5485" s="48"/>
      <c r="E5485" s="48"/>
      <c r="F5485" s="48"/>
      <c r="G5485" s="48"/>
      <c r="H5485" s="48"/>
      <c r="I5485" s="48"/>
    </row>
    <row r="5486" spans="1:9" hidden="1" x14ac:dyDescent="0.2">
      <c r="A5486" s="46"/>
      <c r="B5486" s="46"/>
      <c r="C5486" s="46"/>
      <c r="D5486" s="48"/>
      <c r="E5486" s="48"/>
      <c r="F5486" s="48"/>
      <c r="G5486" s="48"/>
      <c r="H5486" s="48"/>
      <c r="I5486" s="48"/>
    </row>
    <row r="5487" spans="1:9" hidden="1" x14ac:dyDescent="0.2">
      <c r="A5487" s="46"/>
      <c r="B5487" s="46"/>
      <c r="C5487" s="46"/>
      <c r="D5487" s="48"/>
      <c r="E5487" s="48"/>
      <c r="F5487" s="48"/>
      <c r="G5487" s="48"/>
      <c r="H5487" s="48"/>
      <c r="I5487" s="48"/>
    </row>
    <row r="5488" spans="1:9" hidden="1" x14ac:dyDescent="0.2">
      <c r="A5488" s="46"/>
      <c r="B5488" s="46"/>
      <c r="C5488" s="46"/>
      <c r="D5488" s="48"/>
      <c r="E5488" s="48"/>
      <c r="F5488" s="48"/>
      <c r="G5488" s="48"/>
      <c r="H5488" s="48"/>
      <c r="I5488" s="48"/>
    </row>
    <row r="5489" spans="1:9" hidden="1" x14ac:dyDescent="0.2">
      <c r="A5489" s="46"/>
      <c r="B5489" s="46"/>
      <c r="C5489" s="46"/>
      <c r="D5489" s="48"/>
      <c r="E5489" s="48"/>
      <c r="F5489" s="48"/>
      <c r="G5489" s="48"/>
      <c r="H5489" s="48"/>
      <c r="I5489" s="48"/>
    </row>
    <row r="5490" spans="1:9" hidden="1" x14ac:dyDescent="0.2">
      <c r="A5490" s="46"/>
      <c r="B5490" s="46"/>
      <c r="C5490" s="46"/>
      <c r="D5490" s="48"/>
      <c r="E5490" s="48"/>
      <c r="F5490" s="48"/>
      <c r="G5490" s="48"/>
      <c r="H5490" s="48"/>
      <c r="I5490" s="48"/>
    </row>
    <row r="5491" spans="1:9" hidden="1" x14ac:dyDescent="0.2">
      <c r="A5491" s="46"/>
      <c r="B5491" s="46"/>
      <c r="C5491" s="46"/>
      <c r="D5491" s="48"/>
      <c r="E5491" s="48"/>
      <c r="F5491" s="48"/>
      <c r="G5491" s="48"/>
      <c r="H5491" s="48"/>
      <c r="I5491" s="48"/>
    </row>
    <row r="5492" spans="1:9" hidden="1" x14ac:dyDescent="0.2">
      <c r="A5492" s="46"/>
      <c r="B5492" s="46"/>
      <c r="C5492" s="46"/>
      <c r="D5492" s="48"/>
      <c r="E5492" s="48"/>
      <c r="F5492" s="48"/>
      <c r="G5492" s="48"/>
      <c r="H5492" s="48"/>
      <c r="I5492" s="48"/>
    </row>
    <row r="5493" spans="1:9" hidden="1" x14ac:dyDescent="0.2">
      <c r="A5493" s="46"/>
      <c r="B5493" s="46"/>
      <c r="C5493" s="46"/>
      <c r="D5493" s="48"/>
      <c r="E5493" s="48"/>
      <c r="F5493" s="48"/>
      <c r="G5493" s="48"/>
      <c r="H5493" s="48"/>
      <c r="I5493" s="48"/>
    </row>
    <row r="5494" spans="1:9" hidden="1" x14ac:dyDescent="0.2">
      <c r="A5494" s="46"/>
      <c r="B5494" s="46"/>
      <c r="C5494" s="46"/>
      <c r="D5494" s="48"/>
      <c r="E5494" s="48"/>
      <c r="F5494" s="48"/>
      <c r="G5494" s="48"/>
      <c r="H5494" s="48"/>
      <c r="I5494" s="48"/>
    </row>
    <row r="5495" spans="1:9" hidden="1" x14ac:dyDescent="0.2">
      <c r="A5495" s="46"/>
      <c r="B5495" s="46"/>
      <c r="C5495" s="46"/>
      <c r="D5495" s="48"/>
      <c r="E5495" s="48"/>
      <c r="F5495" s="48"/>
      <c r="G5495" s="48"/>
      <c r="H5495" s="48"/>
      <c r="I5495" s="48"/>
    </row>
    <row r="5496" spans="1:9" hidden="1" x14ac:dyDescent="0.2">
      <c r="A5496" s="46"/>
      <c r="B5496" s="46"/>
      <c r="C5496" s="46"/>
      <c r="D5496" s="48"/>
      <c r="E5496" s="48"/>
      <c r="F5496" s="48"/>
      <c r="G5496" s="48"/>
      <c r="H5496" s="48"/>
      <c r="I5496" s="48"/>
    </row>
    <row r="5497" spans="1:9" hidden="1" x14ac:dyDescent="0.2">
      <c r="A5497" s="46"/>
      <c r="B5497" s="46"/>
      <c r="C5497" s="46"/>
      <c r="D5497" s="48"/>
      <c r="E5497" s="48"/>
      <c r="F5497" s="48"/>
      <c r="G5497" s="48"/>
      <c r="H5497" s="48"/>
      <c r="I5497" s="48"/>
    </row>
    <row r="5498" spans="1:9" hidden="1" x14ac:dyDescent="0.2">
      <c r="A5498" s="46"/>
      <c r="B5498" s="46"/>
      <c r="C5498" s="46"/>
      <c r="D5498" s="48"/>
      <c r="E5498" s="48"/>
      <c r="F5498" s="48"/>
      <c r="G5498" s="48"/>
      <c r="H5498" s="48"/>
      <c r="I5498" s="48"/>
    </row>
    <row r="5499" spans="1:9" hidden="1" x14ac:dyDescent="0.2">
      <c r="A5499" s="46"/>
      <c r="B5499" s="46"/>
      <c r="C5499" s="46"/>
      <c r="D5499" s="48"/>
      <c r="E5499" s="48"/>
      <c r="F5499" s="48"/>
      <c r="G5499" s="48"/>
      <c r="H5499" s="48"/>
      <c r="I5499" s="48"/>
    </row>
    <row r="5500" spans="1:9" hidden="1" x14ac:dyDescent="0.2">
      <c r="A5500" s="46"/>
      <c r="B5500" s="46"/>
      <c r="C5500" s="46"/>
      <c r="D5500" s="48"/>
      <c r="E5500" s="48"/>
      <c r="F5500" s="48"/>
      <c r="G5500" s="48"/>
      <c r="H5500" s="48"/>
      <c r="I5500" s="48"/>
    </row>
    <row r="5501" spans="1:9" hidden="1" x14ac:dyDescent="0.2">
      <c r="A5501" s="46"/>
      <c r="B5501" s="46"/>
      <c r="C5501" s="46"/>
      <c r="D5501" s="48"/>
      <c r="E5501" s="48"/>
      <c r="F5501" s="48"/>
      <c r="G5501" s="48"/>
      <c r="H5501" s="48"/>
      <c r="I5501" s="48"/>
    </row>
    <row r="5502" spans="1:9" hidden="1" x14ac:dyDescent="0.2">
      <c r="A5502" s="46"/>
      <c r="B5502" s="46"/>
      <c r="C5502" s="46"/>
      <c r="D5502" s="48"/>
      <c r="E5502" s="48"/>
      <c r="F5502" s="48"/>
      <c r="G5502" s="48"/>
      <c r="H5502" s="48"/>
      <c r="I5502" s="48"/>
    </row>
    <row r="5503" spans="1:9" hidden="1" x14ac:dyDescent="0.2">
      <c r="A5503" s="46"/>
      <c r="B5503" s="46"/>
      <c r="C5503" s="46"/>
      <c r="D5503" s="48"/>
      <c r="E5503" s="48"/>
      <c r="F5503" s="48"/>
      <c r="G5503" s="48"/>
      <c r="H5503" s="48"/>
      <c r="I5503" s="48"/>
    </row>
    <row r="5504" spans="1:9" hidden="1" x14ac:dyDescent="0.2">
      <c r="A5504" s="46"/>
      <c r="B5504" s="46"/>
      <c r="C5504" s="46"/>
      <c r="D5504" s="48"/>
      <c r="E5504" s="48"/>
      <c r="F5504" s="48"/>
      <c r="G5504" s="48"/>
      <c r="H5504" s="48"/>
      <c r="I5504" s="48"/>
    </row>
    <row r="5505" spans="1:9" hidden="1" x14ac:dyDescent="0.2">
      <c r="A5505" s="46"/>
      <c r="B5505" s="46"/>
      <c r="C5505" s="46"/>
      <c r="D5505" s="48"/>
      <c r="E5505" s="48"/>
      <c r="F5505" s="48"/>
      <c r="G5505" s="48"/>
      <c r="H5505" s="48"/>
      <c r="I5505" s="48"/>
    </row>
    <row r="5506" spans="1:9" hidden="1" x14ac:dyDescent="0.2">
      <c r="A5506" s="46"/>
      <c r="B5506" s="46"/>
      <c r="C5506" s="46"/>
      <c r="D5506" s="48"/>
      <c r="E5506" s="48"/>
      <c r="F5506" s="48"/>
      <c r="G5506" s="48"/>
      <c r="H5506" s="48"/>
      <c r="I5506" s="48"/>
    </row>
    <row r="5507" spans="1:9" hidden="1" x14ac:dyDescent="0.2">
      <c r="A5507" s="46"/>
      <c r="B5507" s="46"/>
      <c r="C5507" s="46"/>
      <c r="D5507" s="48"/>
      <c r="E5507" s="48"/>
      <c r="F5507" s="48"/>
      <c r="G5507" s="48"/>
      <c r="H5507" s="48"/>
      <c r="I5507" s="48"/>
    </row>
    <row r="5508" spans="1:9" hidden="1" x14ac:dyDescent="0.2">
      <c r="A5508" s="46"/>
      <c r="B5508" s="46"/>
      <c r="C5508" s="46"/>
      <c r="D5508" s="48"/>
      <c r="E5508" s="48"/>
      <c r="F5508" s="48"/>
      <c r="G5508" s="48"/>
      <c r="H5508" s="48"/>
      <c r="I5508" s="48"/>
    </row>
    <row r="5509" spans="1:9" hidden="1" x14ac:dyDescent="0.2">
      <c r="A5509" s="46"/>
      <c r="B5509" s="46"/>
      <c r="C5509" s="46"/>
      <c r="D5509" s="48"/>
      <c r="E5509" s="48"/>
      <c r="F5509" s="48"/>
      <c r="G5509" s="48"/>
      <c r="H5509" s="48"/>
      <c r="I5509" s="48"/>
    </row>
    <row r="5510" spans="1:9" hidden="1" x14ac:dyDescent="0.2">
      <c r="A5510" s="46"/>
      <c r="B5510" s="46"/>
      <c r="C5510" s="46"/>
      <c r="D5510" s="48"/>
      <c r="E5510" s="48"/>
      <c r="F5510" s="48"/>
      <c r="G5510" s="48"/>
      <c r="H5510" s="48"/>
      <c r="I5510" s="48"/>
    </row>
    <row r="5511" spans="1:9" hidden="1" x14ac:dyDescent="0.2">
      <c r="A5511" s="46"/>
      <c r="B5511" s="46"/>
      <c r="C5511" s="46"/>
      <c r="D5511" s="48"/>
      <c r="E5511" s="48"/>
      <c r="F5511" s="48"/>
      <c r="G5511" s="48"/>
      <c r="H5511" s="48"/>
      <c r="I5511" s="48"/>
    </row>
    <row r="5512" spans="1:9" hidden="1" x14ac:dyDescent="0.2">
      <c r="A5512" s="46"/>
      <c r="B5512" s="46"/>
      <c r="C5512" s="46"/>
      <c r="D5512" s="48"/>
      <c r="E5512" s="48"/>
      <c r="F5512" s="48"/>
      <c r="G5512" s="48"/>
      <c r="H5512" s="48"/>
      <c r="I5512" s="48"/>
    </row>
    <row r="5513" spans="1:9" hidden="1" x14ac:dyDescent="0.2">
      <c r="A5513" s="46"/>
      <c r="B5513" s="46"/>
      <c r="C5513" s="46"/>
      <c r="D5513" s="48"/>
      <c r="E5513" s="48"/>
      <c r="F5513" s="48"/>
      <c r="G5513" s="48"/>
      <c r="H5513" s="48"/>
      <c r="I5513" s="48"/>
    </row>
    <row r="5514" spans="1:9" hidden="1" x14ac:dyDescent="0.2">
      <c r="A5514" s="46"/>
      <c r="B5514" s="46"/>
      <c r="C5514" s="46"/>
      <c r="D5514" s="48"/>
      <c r="E5514" s="48"/>
      <c r="F5514" s="48"/>
      <c r="G5514" s="48"/>
      <c r="H5514" s="48"/>
      <c r="I5514" s="48"/>
    </row>
    <row r="5515" spans="1:9" hidden="1" x14ac:dyDescent="0.2">
      <c r="A5515" s="46"/>
      <c r="B5515" s="46"/>
      <c r="C5515" s="46"/>
      <c r="D5515" s="48"/>
      <c r="E5515" s="48"/>
      <c r="F5515" s="48"/>
      <c r="G5515" s="48"/>
      <c r="H5515" s="48"/>
      <c r="I5515" s="48"/>
    </row>
    <row r="5516" spans="1:9" hidden="1" x14ac:dyDescent="0.2">
      <c r="A5516" s="46"/>
      <c r="B5516" s="46"/>
      <c r="C5516" s="46"/>
      <c r="D5516" s="48"/>
      <c r="E5516" s="48"/>
      <c r="F5516" s="48"/>
      <c r="G5516" s="48"/>
      <c r="H5516" s="48"/>
      <c r="I5516" s="48"/>
    </row>
    <row r="5517" spans="1:9" hidden="1" x14ac:dyDescent="0.2">
      <c r="A5517" s="46"/>
      <c r="B5517" s="46"/>
      <c r="C5517" s="46"/>
      <c r="D5517" s="48"/>
      <c r="E5517" s="48"/>
      <c r="F5517" s="48"/>
      <c r="G5517" s="48"/>
      <c r="H5517" s="48"/>
      <c r="I5517" s="48"/>
    </row>
    <row r="5518" spans="1:9" hidden="1" x14ac:dyDescent="0.2">
      <c r="A5518" s="46"/>
      <c r="B5518" s="46"/>
      <c r="C5518" s="46"/>
      <c r="D5518" s="48"/>
      <c r="E5518" s="48"/>
      <c r="F5518" s="48"/>
      <c r="G5518" s="48"/>
      <c r="H5518" s="48"/>
      <c r="I5518" s="48"/>
    </row>
    <row r="5519" spans="1:9" hidden="1" x14ac:dyDescent="0.2">
      <c r="A5519" s="46"/>
      <c r="B5519" s="46"/>
      <c r="C5519" s="46"/>
      <c r="D5519" s="48"/>
      <c r="E5519" s="48"/>
      <c r="F5519" s="48"/>
      <c r="G5519" s="48"/>
      <c r="H5519" s="48"/>
      <c r="I5519" s="48"/>
    </row>
    <row r="5520" spans="1:9" hidden="1" x14ac:dyDescent="0.2">
      <c r="A5520" s="46"/>
      <c r="B5520" s="46"/>
      <c r="C5520" s="46"/>
      <c r="D5520" s="48"/>
      <c r="E5520" s="48"/>
      <c r="F5520" s="48"/>
      <c r="G5520" s="48"/>
      <c r="H5520" s="48"/>
      <c r="I5520" s="48"/>
    </row>
    <row r="5521" spans="1:9" hidden="1" x14ac:dyDescent="0.2">
      <c r="A5521" s="46"/>
      <c r="B5521" s="46"/>
      <c r="C5521" s="46"/>
      <c r="D5521" s="48"/>
      <c r="E5521" s="48"/>
      <c r="F5521" s="48"/>
      <c r="G5521" s="48"/>
      <c r="H5521" s="48"/>
      <c r="I5521" s="48"/>
    </row>
    <row r="5522" spans="1:9" hidden="1" x14ac:dyDescent="0.2">
      <c r="A5522" s="46"/>
      <c r="B5522" s="46"/>
      <c r="C5522" s="46"/>
      <c r="D5522" s="48"/>
      <c r="E5522" s="48"/>
      <c r="F5522" s="48"/>
      <c r="G5522" s="48"/>
      <c r="H5522" s="48"/>
      <c r="I5522" s="48"/>
    </row>
    <row r="5523" spans="1:9" hidden="1" x14ac:dyDescent="0.2">
      <c r="A5523" s="46"/>
      <c r="B5523" s="46"/>
      <c r="C5523" s="46"/>
      <c r="D5523" s="48"/>
      <c r="E5523" s="48"/>
      <c r="F5523" s="48"/>
      <c r="G5523" s="48"/>
      <c r="H5523" s="48"/>
      <c r="I5523" s="48"/>
    </row>
    <row r="5524" spans="1:9" hidden="1" x14ac:dyDescent="0.2">
      <c r="A5524" s="46"/>
      <c r="B5524" s="46"/>
      <c r="C5524" s="46"/>
      <c r="D5524" s="48"/>
      <c r="E5524" s="48"/>
      <c r="F5524" s="48"/>
      <c r="G5524" s="48"/>
      <c r="H5524" s="48"/>
      <c r="I5524" s="48"/>
    </row>
    <row r="5525" spans="1:9" hidden="1" x14ac:dyDescent="0.2">
      <c r="A5525" s="46"/>
      <c r="B5525" s="46"/>
      <c r="C5525" s="46"/>
      <c r="D5525" s="48"/>
      <c r="E5525" s="48"/>
      <c r="F5525" s="48"/>
      <c r="G5525" s="48"/>
      <c r="H5525" s="48"/>
      <c r="I5525" s="48"/>
    </row>
    <row r="5526" spans="1:9" hidden="1" x14ac:dyDescent="0.2">
      <c r="A5526" s="46"/>
      <c r="B5526" s="46"/>
      <c r="C5526" s="46"/>
      <c r="D5526" s="48"/>
      <c r="E5526" s="48"/>
      <c r="F5526" s="48"/>
      <c r="G5526" s="48"/>
      <c r="H5526" s="48"/>
      <c r="I5526" s="48"/>
    </row>
    <row r="5527" spans="1:9" hidden="1" x14ac:dyDescent="0.2">
      <c r="A5527" s="46"/>
      <c r="B5527" s="46"/>
      <c r="C5527" s="46"/>
      <c r="D5527" s="48"/>
      <c r="E5527" s="48"/>
      <c r="F5527" s="48"/>
      <c r="G5527" s="48"/>
      <c r="H5527" s="48"/>
      <c r="I5527" s="48"/>
    </row>
    <row r="5528" spans="1:9" hidden="1" x14ac:dyDescent="0.2">
      <c r="A5528" s="46"/>
      <c r="B5528" s="46"/>
      <c r="C5528" s="46"/>
      <c r="D5528" s="48"/>
      <c r="E5528" s="48"/>
      <c r="F5528" s="48"/>
      <c r="G5528" s="48"/>
      <c r="H5528" s="48"/>
      <c r="I5528" s="48"/>
    </row>
    <row r="5529" spans="1:9" hidden="1" x14ac:dyDescent="0.2">
      <c r="A5529" s="46"/>
      <c r="B5529" s="46"/>
      <c r="C5529" s="46"/>
      <c r="D5529" s="48"/>
      <c r="E5529" s="48"/>
      <c r="F5529" s="48"/>
      <c r="G5529" s="48"/>
      <c r="H5529" s="48"/>
      <c r="I5529" s="48"/>
    </row>
    <row r="5530" spans="1:9" hidden="1" x14ac:dyDescent="0.2">
      <c r="A5530" s="46"/>
      <c r="B5530" s="46"/>
      <c r="C5530" s="46"/>
      <c r="D5530" s="48"/>
      <c r="E5530" s="48"/>
      <c r="F5530" s="48"/>
      <c r="G5530" s="48"/>
      <c r="H5530" s="48"/>
      <c r="I5530" s="48"/>
    </row>
    <row r="5531" spans="1:9" hidden="1" x14ac:dyDescent="0.2">
      <c r="A5531" s="46"/>
      <c r="B5531" s="46"/>
      <c r="C5531" s="46"/>
      <c r="D5531" s="48"/>
      <c r="E5531" s="48"/>
      <c r="F5531" s="48"/>
      <c r="G5531" s="48"/>
      <c r="H5531" s="48"/>
      <c r="I5531" s="48"/>
    </row>
    <row r="5532" spans="1:9" hidden="1" x14ac:dyDescent="0.2">
      <c r="A5532" s="46"/>
      <c r="B5532" s="46"/>
      <c r="C5532" s="46"/>
      <c r="D5532" s="48"/>
      <c r="E5532" s="48"/>
      <c r="F5532" s="48"/>
      <c r="G5532" s="48"/>
      <c r="H5532" s="48"/>
      <c r="I5532" s="48"/>
    </row>
    <row r="5533" spans="1:9" hidden="1" x14ac:dyDescent="0.2">
      <c r="A5533" s="46"/>
      <c r="B5533" s="46"/>
      <c r="C5533" s="46"/>
      <c r="D5533" s="48"/>
      <c r="E5533" s="48"/>
      <c r="F5533" s="48"/>
      <c r="G5533" s="48"/>
      <c r="H5533" s="48"/>
      <c r="I5533" s="48"/>
    </row>
    <row r="5534" spans="1:9" hidden="1" x14ac:dyDescent="0.2">
      <c r="A5534" s="46"/>
      <c r="B5534" s="46"/>
      <c r="C5534" s="46"/>
      <c r="D5534" s="48"/>
      <c r="E5534" s="48"/>
      <c r="F5534" s="48"/>
      <c r="G5534" s="48"/>
      <c r="H5534" s="48"/>
      <c r="I5534" s="48"/>
    </row>
    <row r="5535" spans="1:9" hidden="1" x14ac:dyDescent="0.2">
      <c r="A5535" s="46"/>
      <c r="B5535" s="46"/>
      <c r="C5535" s="46"/>
      <c r="D5535" s="48"/>
      <c r="E5535" s="48"/>
      <c r="F5535" s="48"/>
      <c r="G5535" s="48"/>
      <c r="H5535" s="48"/>
      <c r="I5535" s="48"/>
    </row>
    <row r="5536" spans="1:9" hidden="1" x14ac:dyDescent="0.2">
      <c r="A5536" s="46"/>
      <c r="B5536" s="46"/>
      <c r="C5536" s="46"/>
      <c r="D5536" s="48"/>
      <c r="E5536" s="48"/>
      <c r="F5536" s="48"/>
      <c r="G5536" s="48"/>
      <c r="H5536" s="48"/>
      <c r="I5536" s="48"/>
    </row>
    <row r="5537" spans="1:9" hidden="1" x14ac:dyDescent="0.2">
      <c r="A5537" s="46"/>
      <c r="B5537" s="46"/>
      <c r="C5537" s="46"/>
      <c r="D5537" s="48"/>
      <c r="E5537" s="48"/>
      <c r="F5537" s="48"/>
      <c r="G5537" s="48"/>
      <c r="H5537" s="48"/>
      <c r="I5537" s="48"/>
    </row>
    <row r="5538" spans="1:9" hidden="1" x14ac:dyDescent="0.2">
      <c r="A5538" s="46"/>
      <c r="B5538" s="46"/>
      <c r="C5538" s="46"/>
      <c r="D5538" s="48"/>
      <c r="E5538" s="48"/>
      <c r="F5538" s="48"/>
      <c r="G5538" s="48"/>
      <c r="H5538" s="48"/>
      <c r="I5538" s="48"/>
    </row>
    <row r="5539" spans="1:9" hidden="1" x14ac:dyDescent="0.2">
      <c r="A5539" s="46"/>
      <c r="B5539" s="46"/>
      <c r="C5539" s="46"/>
      <c r="D5539" s="48"/>
      <c r="E5539" s="48"/>
      <c r="F5539" s="48"/>
      <c r="G5539" s="48"/>
      <c r="H5539" s="48"/>
      <c r="I5539" s="48"/>
    </row>
    <row r="5540" spans="1:9" hidden="1" x14ac:dyDescent="0.2">
      <c r="A5540" s="46"/>
      <c r="B5540" s="46"/>
      <c r="C5540" s="46"/>
      <c r="D5540" s="48"/>
      <c r="E5540" s="48"/>
      <c r="F5540" s="48"/>
      <c r="G5540" s="48"/>
      <c r="H5540" s="48"/>
      <c r="I5540" s="48"/>
    </row>
    <row r="5541" spans="1:9" hidden="1" x14ac:dyDescent="0.2">
      <c r="A5541" s="46"/>
      <c r="B5541" s="46"/>
      <c r="C5541" s="46"/>
      <c r="D5541" s="48"/>
      <c r="E5541" s="48"/>
      <c r="F5541" s="48"/>
      <c r="G5541" s="48"/>
      <c r="H5541" s="48"/>
      <c r="I5541" s="48"/>
    </row>
    <row r="5542" spans="1:9" hidden="1" x14ac:dyDescent="0.2">
      <c r="A5542" s="46"/>
      <c r="B5542" s="46"/>
      <c r="C5542" s="46"/>
      <c r="D5542" s="48"/>
      <c r="E5542" s="48"/>
      <c r="F5542" s="48"/>
      <c r="G5542" s="48"/>
      <c r="H5542" s="48"/>
      <c r="I5542" s="48"/>
    </row>
    <row r="5543" spans="1:9" hidden="1" x14ac:dyDescent="0.2">
      <c r="A5543" s="46"/>
      <c r="B5543" s="46"/>
      <c r="C5543" s="46"/>
      <c r="D5543" s="48"/>
      <c r="E5543" s="48"/>
      <c r="F5543" s="48"/>
      <c r="G5543" s="48"/>
      <c r="H5543" s="48"/>
      <c r="I5543" s="48"/>
    </row>
    <row r="5544" spans="1:9" hidden="1" x14ac:dyDescent="0.2">
      <c r="A5544" s="46"/>
      <c r="B5544" s="46"/>
      <c r="C5544" s="46"/>
      <c r="D5544" s="48"/>
      <c r="E5544" s="48"/>
      <c r="F5544" s="48"/>
      <c r="G5544" s="48"/>
      <c r="H5544" s="48"/>
      <c r="I5544" s="48"/>
    </row>
    <row r="5545" spans="1:9" hidden="1" x14ac:dyDescent="0.2">
      <c r="A5545" s="46"/>
      <c r="B5545" s="46"/>
      <c r="C5545" s="46"/>
      <c r="D5545" s="48"/>
      <c r="E5545" s="48"/>
      <c r="F5545" s="48"/>
      <c r="G5545" s="48"/>
      <c r="H5545" s="48"/>
      <c r="I5545" s="48"/>
    </row>
    <row r="5546" spans="1:9" hidden="1" x14ac:dyDescent="0.2">
      <c r="A5546" s="46"/>
      <c r="B5546" s="46"/>
      <c r="C5546" s="46"/>
      <c r="D5546" s="48"/>
      <c r="E5546" s="48"/>
      <c r="F5546" s="48"/>
      <c r="G5546" s="48"/>
      <c r="H5546" s="48"/>
      <c r="I5546" s="48"/>
    </row>
    <row r="5547" spans="1:9" hidden="1" x14ac:dyDescent="0.2">
      <c r="A5547" s="46"/>
      <c r="B5547" s="46"/>
      <c r="C5547" s="46"/>
      <c r="D5547" s="48"/>
      <c r="E5547" s="48"/>
      <c r="F5547" s="48"/>
      <c r="G5547" s="48"/>
      <c r="H5547" s="48"/>
      <c r="I5547" s="48"/>
    </row>
    <row r="5548" spans="1:9" hidden="1" x14ac:dyDescent="0.2">
      <c r="A5548" s="46"/>
      <c r="B5548" s="46"/>
      <c r="C5548" s="46"/>
      <c r="D5548" s="48"/>
      <c r="E5548" s="48"/>
      <c r="F5548" s="48"/>
      <c r="G5548" s="48"/>
      <c r="H5548" s="48"/>
      <c r="I5548" s="48"/>
    </row>
    <row r="5549" spans="1:9" hidden="1" x14ac:dyDescent="0.2">
      <c r="A5549" s="46"/>
      <c r="B5549" s="46"/>
      <c r="C5549" s="46"/>
      <c r="D5549" s="48"/>
      <c r="E5549" s="48"/>
      <c r="F5549" s="48"/>
      <c r="G5549" s="48"/>
      <c r="H5549" s="48"/>
      <c r="I5549" s="48"/>
    </row>
    <row r="5550" spans="1:9" hidden="1" x14ac:dyDescent="0.2">
      <c r="A5550" s="46"/>
      <c r="B5550" s="46"/>
      <c r="C5550" s="46"/>
      <c r="D5550" s="48"/>
      <c r="E5550" s="48"/>
      <c r="F5550" s="48"/>
      <c r="G5550" s="48"/>
      <c r="H5550" s="48"/>
      <c r="I5550" s="48"/>
    </row>
    <row r="5551" spans="1:9" hidden="1" x14ac:dyDescent="0.2">
      <c r="A5551" s="46"/>
      <c r="B5551" s="46"/>
      <c r="C5551" s="46"/>
      <c r="D5551" s="48"/>
      <c r="E5551" s="48"/>
      <c r="F5551" s="48"/>
      <c r="G5551" s="48"/>
      <c r="H5551" s="48"/>
      <c r="I5551" s="48"/>
    </row>
    <row r="5552" spans="1:9" hidden="1" x14ac:dyDescent="0.2">
      <c r="A5552" s="46"/>
      <c r="B5552" s="46"/>
      <c r="C5552" s="46"/>
      <c r="D5552" s="48"/>
      <c r="E5552" s="48"/>
      <c r="F5552" s="48"/>
      <c r="G5552" s="48"/>
      <c r="H5552" s="48"/>
      <c r="I5552" s="48"/>
    </row>
    <row r="5553" spans="1:9" hidden="1" x14ac:dyDescent="0.2">
      <c r="A5553" s="46"/>
      <c r="B5553" s="46"/>
      <c r="C5553" s="46"/>
      <c r="D5553" s="48"/>
      <c r="E5553" s="48"/>
      <c r="F5553" s="48"/>
      <c r="G5553" s="48"/>
      <c r="H5553" s="48"/>
      <c r="I5553" s="48"/>
    </row>
    <row r="5554" spans="1:9" hidden="1" x14ac:dyDescent="0.2">
      <c r="A5554" s="46"/>
      <c r="B5554" s="46"/>
      <c r="C5554" s="46"/>
      <c r="D5554" s="48"/>
      <c r="E5554" s="48"/>
      <c r="F5554" s="48"/>
      <c r="G5554" s="48"/>
      <c r="H5554" s="48"/>
      <c r="I5554" s="48"/>
    </row>
    <row r="5555" spans="1:9" hidden="1" x14ac:dyDescent="0.2">
      <c r="A5555" s="46"/>
      <c r="B5555" s="46"/>
      <c r="C5555" s="46"/>
      <c r="D5555" s="48"/>
      <c r="E5555" s="48"/>
      <c r="F5555" s="48"/>
      <c r="G5555" s="48"/>
      <c r="H5555" s="48"/>
      <c r="I5555" s="48"/>
    </row>
    <row r="5556" spans="1:9" hidden="1" x14ac:dyDescent="0.2">
      <c r="A5556" s="46"/>
      <c r="B5556" s="46"/>
      <c r="C5556" s="46"/>
      <c r="D5556" s="48"/>
      <c r="E5556" s="48"/>
      <c r="F5556" s="48"/>
      <c r="G5556" s="48"/>
      <c r="H5556" s="48"/>
      <c r="I5556" s="48"/>
    </row>
    <row r="5557" spans="1:9" hidden="1" x14ac:dyDescent="0.2">
      <c r="A5557" s="46"/>
      <c r="B5557" s="46"/>
      <c r="C5557" s="46"/>
      <c r="D5557" s="48"/>
      <c r="E5557" s="48"/>
      <c r="F5557" s="48"/>
      <c r="G5557" s="48"/>
      <c r="H5557" s="48"/>
      <c r="I5557" s="48"/>
    </row>
    <row r="5558" spans="1:9" hidden="1" x14ac:dyDescent="0.2">
      <c r="A5558" s="46"/>
      <c r="B5558" s="46"/>
      <c r="C5558" s="46"/>
      <c r="D5558" s="48"/>
      <c r="E5558" s="48"/>
      <c r="F5558" s="48"/>
      <c r="G5558" s="48"/>
      <c r="H5558" s="48"/>
      <c r="I5558" s="48"/>
    </row>
    <row r="5559" spans="1:9" hidden="1" x14ac:dyDescent="0.2">
      <c r="A5559" s="46"/>
      <c r="B5559" s="46"/>
      <c r="C5559" s="46"/>
      <c r="D5559" s="48"/>
      <c r="E5559" s="48"/>
      <c r="F5559" s="48"/>
      <c r="G5559" s="48"/>
      <c r="H5559" s="48"/>
      <c r="I5559" s="48"/>
    </row>
    <row r="5560" spans="1:9" hidden="1" x14ac:dyDescent="0.2">
      <c r="A5560" s="46"/>
      <c r="B5560" s="46"/>
      <c r="C5560" s="46"/>
      <c r="D5560" s="48"/>
      <c r="E5560" s="48"/>
      <c r="F5560" s="48"/>
      <c r="G5560" s="48"/>
      <c r="H5560" s="48"/>
      <c r="I5560" s="48"/>
    </row>
    <row r="5561" spans="1:9" hidden="1" x14ac:dyDescent="0.2">
      <c r="A5561" s="46"/>
      <c r="B5561" s="46"/>
      <c r="C5561" s="46"/>
      <c r="D5561" s="48"/>
      <c r="E5561" s="48"/>
      <c r="F5561" s="48"/>
      <c r="G5561" s="48"/>
      <c r="H5561" s="48"/>
      <c r="I5561" s="48"/>
    </row>
    <row r="5562" spans="1:9" hidden="1" x14ac:dyDescent="0.2">
      <c r="A5562" s="46"/>
      <c r="B5562" s="46"/>
      <c r="C5562" s="46"/>
      <c r="D5562" s="48"/>
      <c r="E5562" s="48"/>
      <c r="F5562" s="48"/>
      <c r="G5562" s="48"/>
      <c r="H5562" s="48"/>
      <c r="I5562" s="48"/>
    </row>
    <row r="5563" spans="1:9" hidden="1" x14ac:dyDescent="0.2">
      <c r="A5563" s="46"/>
      <c r="B5563" s="46"/>
      <c r="C5563" s="46"/>
      <c r="D5563" s="48"/>
      <c r="E5563" s="48"/>
      <c r="F5563" s="48"/>
      <c r="G5563" s="48"/>
      <c r="H5563" s="48"/>
      <c r="I5563" s="48"/>
    </row>
    <row r="5564" spans="1:9" hidden="1" x14ac:dyDescent="0.2">
      <c r="A5564" s="46"/>
      <c r="B5564" s="46"/>
      <c r="C5564" s="46"/>
      <c r="D5564" s="48"/>
      <c r="E5564" s="48"/>
      <c r="F5564" s="48"/>
      <c r="G5564" s="48"/>
      <c r="H5564" s="48"/>
      <c r="I5564" s="48"/>
    </row>
    <row r="5565" spans="1:9" hidden="1" x14ac:dyDescent="0.2">
      <c r="A5565" s="46"/>
      <c r="B5565" s="46"/>
      <c r="C5565" s="46"/>
      <c r="D5565" s="48"/>
      <c r="E5565" s="48"/>
      <c r="F5565" s="48"/>
      <c r="G5565" s="48"/>
      <c r="H5565" s="48"/>
      <c r="I5565" s="48"/>
    </row>
    <row r="5566" spans="1:9" hidden="1" x14ac:dyDescent="0.2">
      <c r="A5566" s="46"/>
      <c r="B5566" s="46"/>
      <c r="C5566" s="46"/>
      <c r="D5566" s="48"/>
      <c r="E5566" s="48"/>
      <c r="F5566" s="48"/>
      <c r="G5566" s="48"/>
      <c r="H5566" s="48"/>
      <c r="I5566" s="48"/>
    </row>
    <row r="5567" spans="1:9" hidden="1" x14ac:dyDescent="0.2">
      <c r="A5567" s="46"/>
      <c r="B5567" s="46"/>
      <c r="C5567" s="46"/>
      <c r="D5567" s="48"/>
      <c r="E5567" s="48"/>
      <c r="F5567" s="48"/>
      <c r="G5567" s="48"/>
      <c r="H5567" s="48"/>
      <c r="I5567" s="48"/>
    </row>
    <row r="5568" spans="1:9" hidden="1" x14ac:dyDescent="0.2">
      <c r="A5568" s="46"/>
      <c r="B5568" s="46"/>
      <c r="C5568" s="46"/>
      <c r="D5568" s="48"/>
      <c r="E5568" s="48"/>
      <c r="F5568" s="48"/>
      <c r="G5568" s="48"/>
      <c r="H5568" s="48"/>
      <c r="I5568" s="48"/>
    </row>
    <row r="5569" spans="1:9" hidden="1" x14ac:dyDescent="0.2">
      <c r="A5569" s="46"/>
      <c r="B5569" s="46"/>
      <c r="C5569" s="46"/>
      <c r="D5569" s="48"/>
      <c r="E5569" s="48"/>
      <c r="F5569" s="48"/>
      <c r="G5569" s="48"/>
      <c r="H5569" s="48"/>
      <c r="I5569" s="48"/>
    </row>
    <row r="5570" spans="1:9" hidden="1" x14ac:dyDescent="0.2">
      <c r="A5570" s="46"/>
      <c r="B5570" s="46"/>
      <c r="C5570" s="46"/>
      <c r="D5570" s="48"/>
      <c r="E5570" s="48"/>
      <c r="F5570" s="48"/>
      <c r="G5570" s="48"/>
      <c r="H5570" s="48"/>
      <c r="I5570" s="48"/>
    </row>
    <row r="5571" spans="1:9" hidden="1" x14ac:dyDescent="0.2">
      <c r="A5571" s="46"/>
      <c r="B5571" s="46"/>
      <c r="C5571" s="46"/>
      <c r="D5571" s="48"/>
      <c r="E5571" s="48"/>
      <c r="F5571" s="48"/>
      <c r="G5571" s="48"/>
      <c r="H5571" s="48"/>
      <c r="I5571" s="48"/>
    </row>
    <row r="5572" spans="1:9" hidden="1" x14ac:dyDescent="0.2">
      <c r="A5572" s="46"/>
      <c r="B5572" s="46"/>
      <c r="C5572" s="46"/>
      <c r="D5572" s="48"/>
      <c r="E5572" s="48"/>
      <c r="F5572" s="48"/>
      <c r="G5572" s="48"/>
      <c r="H5572" s="48"/>
      <c r="I5572" s="48"/>
    </row>
    <row r="5573" spans="1:9" hidden="1" x14ac:dyDescent="0.2">
      <c r="A5573" s="46"/>
      <c r="B5573" s="46"/>
      <c r="C5573" s="46"/>
      <c r="D5573" s="48"/>
      <c r="E5573" s="48"/>
      <c r="F5573" s="48"/>
      <c r="G5573" s="48"/>
      <c r="H5573" s="48"/>
      <c r="I5573" s="48"/>
    </row>
    <row r="5574" spans="1:9" hidden="1" x14ac:dyDescent="0.2">
      <c r="A5574" s="46"/>
      <c r="B5574" s="46"/>
      <c r="C5574" s="46"/>
      <c r="D5574" s="48"/>
      <c r="E5574" s="48"/>
      <c r="F5574" s="48"/>
      <c r="G5574" s="48"/>
      <c r="H5574" s="48"/>
      <c r="I5574" s="48"/>
    </row>
    <row r="5575" spans="1:9" hidden="1" x14ac:dyDescent="0.2">
      <c r="A5575" s="46"/>
      <c r="B5575" s="46"/>
      <c r="C5575" s="46"/>
      <c r="D5575" s="48"/>
      <c r="E5575" s="48"/>
      <c r="F5575" s="48"/>
      <c r="G5575" s="48"/>
      <c r="H5575" s="48"/>
      <c r="I5575" s="48"/>
    </row>
    <row r="5576" spans="1:9" hidden="1" x14ac:dyDescent="0.2">
      <c r="A5576" s="46"/>
      <c r="B5576" s="46"/>
      <c r="C5576" s="46"/>
      <c r="D5576" s="48"/>
      <c r="E5576" s="48"/>
      <c r="F5576" s="48"/>
      <c r="G5576" s="48"/>
      <c r="H5576" s="48"/>
      <c r="I5576" s="48"/>
    </row>
    <row r="5577" spans="1:9" hidden="1" x14ac:dyDescent="0.2">
      <c r="A5577" s="46"/>
      <c r="B5577" s="46"/>
      <c r="C5577" s="46"/>
      <c r="D5577" s="48"/>
      <c r="E5577" s="48"/>
      <c r="F5577" s="48"/>
      <c r="G5577" s="48"/>
      <c r="H5577" s="48"/>
      <c r="I5577" s="48"/>
    </row>
    <row r="5578" spans="1:9" hidden="1" x14ac:dyDescent="0.2">
      <c r="A5578" s="46"/>
      <c r="B5578" s="46"/>
      <c r="C5578" s="46"/>
      <c r="D5578" s="48"/>
      <c r="E5578" s="48"/>
      <c r="F5578" s="48"/>
      <c r="G5578" s="48"/>
      <c r="H5578" s="48"/>
      <c r="I5578" s="48"/>
    </row>
    <row r="5579" spans="1:9" hidden="1" x14ac:dyDescent="0.2">
      <c r="A5579" s="46"/>
      <c r="B5579" s="46"/>
      <c r="C5579" s="46"/>
      <c r="D5579" s="48"/>
      <c r="E5579" s="48"/>
      <c r="F5579" s="48"/>
      <c r="G5579" s="48"/>
      <c r="H5579" s="48"/>
      <c r="I5579" s="48"/>
    </row>
    <row r="5580" spans="1:9" hidden="1" x14ac:dyDescent="0.2">
      <c r="A5580" s="46"/>
      <c r="B5580" s="46"/>
      <c r="C5580" s="46"/>
      <c r="D5580" s="48"/>
      <c r="E5580" s="48"/>
      <c r="F5580" s="48"/>
      <c r="G5580" s="48"/>
      <c r="H5580" s="48"/>
      <c r="I5580" s="48"/>
    </row>
    <row r="5581" spans="1:9" hidden="1" x14ac:dyDescent="0.2">
      <c r="A5581" s="46"/>
      <c r="B5581" s="46"/>
      <c r="C5581" s="46"/>
      <c r="D5581" s="48"/>
      <c r="E5581" s="48"/>
      <c r="F5581" s="48"/>
      <c r="G5581" s="48"/>
      <c r="H5581" s="48"/>
      <c r="I5581" s="48"/>
    </row>
    <row r="5582" spans="1:9" hidden="1" x14ac:dyDescent="0.2">
      <c r="A5582" s="46"/>
      <c r="B5582" s="46"/>
      <c r="C5582" s="46"/>
      <c r="D5582" s="48"/>
      <c r="E5582" s="48"/>
      <c r="F5582" s="48"/>
      <c r="G5582" s="48"/>
      <c r="H5582" s="48"/>
      <c r="I5582" s="48"/>
    </row>
    <row r="5583" spans="1:9" hidden="1" x14ac:dyDescent="0.2">
      <c r="A5583" s="46"/>
      <c r="B5583" s="46"/>
      <c r="C5583" s="46"/>
      <c r="D5583" s="48"/>
      <c r="E5583" s="48"/>
      <c r="F5583" s="48"/>
      <c r="G5583" s="48"/>
      <c r="H5583" s="48"/>
      <c r="I5583" s="48"/>
    </row>
    <row r="5584" spans="1:9" hidden="1" x14ac:dyDescent="0.2">
      <c r="A5584" s="46"/>
      <c r="B5584" s="46"/>
      <c r="C5584" s="46"/>
      <c r="D5584" s="48"/>
      <c r="E5584" s="48"/>
      <c r="F5584" s="48"/>
      <c r="G5584" s="48"/>
      <c r="H5584" s="48"/>
      <c r="I5584" s="48"/>
    </row>
    <row r="5585" spans="1:9" hidden="1" x14ac:dyDescent="0.2">
      <c r="A5585" s="46"/>
      <c r="B5585" s="46"/>
      <c r="C5585" s="46"/>
      <c r="D5585" s="48"/>
      <c r="E5585" s="48"/>
      <c r="F5585" s="48"/>
      <c r="G5585" s="48"/>
      <c r="H5585" s="48"/>
      <c r="I5585" s="48"/>
    </row>
    <row r="5586" spans="1:9" hidden="1" x14ac:dyDescent="0.2">
      <c r="A5586" s="46"/>
      <c r="B5586" s="46"/>
      <c r="C5586" s="46"/>
      <c r="D5586" s="48"/>
      <c r="E5586" s="48"/>
      <c r="F5586" s="48"/>
      <c r="G5586" s="48"/>
      <c r="H5586" s="48"/>
      <c r="I5586" s="48"/>
    </row>
    <row r="5587" spans="1:9" hidden="1" x14ac:dyDescent="0.2">
      <c r="A5587" s="46"/>
      <c r="B5587" s="46"/>
      <c r="C5587" s="46"/>
      <c r="D5587" s="48"/>
      <c r="E5587" s="48"/>
      <c r="F5587" s="48"/>
      <c r="G5587" s="48"/>
      <c r="H5587" s="48"/>
      <c r="I5587" s="48"/>
    </row>
    <row r="5588" spans="1:9" hidden="1" x14ac:dyDescent="0.2">
      <c r="A5588" s="46"/>
      <c r="B5588" s="46"/>
      <c r="C5588" s="46"/>
      <c r="D5588" s="48"/>
      <c r="E5588" s="48"/>
      <c r="F5588" s="48"/>
      <c r="G5588" s="48"/>
      <c r="H5588" s="48"/>
      <c r="I5588" s="48"/>
    </row>
    <row r="5589" spans="1:9" hidden="1" x14ac:dyDescent="0.2">
      <c r="A5589" s="46"/>
      <c r="B5589" s="46"/>
      <c r="C5589" s="46"/>
      <c r="D5589" s="48"/>
      <c r="E5589" s="48"/>
      <c r="F5589" s="48"/>
      <c r="G5589" s="48"/>
      <c r="H5589" s="48"/>
      <c r="I5589" s="48"/>
    </row>
    <row r="5590" spans="1:9" hidden="1" x14ac:dyDescent="0.2">
      <c r="A5590" s="46"/>
      <c r="B5590" s="46"/>
      <c r="C5590" s="46"/>
      <c r="D5590" s="48"/>
      <c r="E5590" s="48"/>
      <c r="F5590" s="48"/>
      <c r="G5590" s="48"/>
      <c r="H5590" s="48"/>
      <c r="I5590" s="48"/>
    </row>
    <row r="5591" spans="1:9" hidden="1" x14ac:dyDescent="0.2">
      <c r="A5591" s="46"/>
      <c r="B5591" s="46"/>
      <c r="C5591" s="46"/>
      <c r="D5591" s="48"/>
      <c r="E5591" s="48"/>
      <c r="F5591" s="48"/>
      <c r="G5591" s="48"/>
      <c r="H5591" s="48"/>
      <c r="I5591" s="48"/>
    </row>
    <row r="5592" spans="1:9" hidden="1" x14ac:dyDescent="0.2">
      <c r="A5592" s="46"/>
      <c r="B5592" s="46"/>
      <c r="C5592" s="46"/>
      <c r="D5592" s="48"/>
      <c r="E5592" s="48"/>
      <c r="F5592" s="48"/>
      <c r="G5592" s="48"/>
      <c r="H5592" s="48"/>
      <c r="I5592" s="48"/>
    </row>
    <row r="5593" spans="1:9" hidden="1" x14ac:dyDescent="0.2">
      <c r="A5593" s="46"/>
      <c r="B5593" s="46"/>
      <c r="C5593" s="46"/>
      <c r="D5593" s="48"/>
      <c r="E5593" s="48"/>
      <c r="F5593" s="48"/>
      <c r="G5593" s="48"/>
      <c r="H5593" s="48"/>
      <c r="I5593" s="48"/>
    </row>
    <row r="5594" spans="1:9" hidden="1" x14ac:dyDescent="0.2">
      <c r="A5594" s="46"/>
      <c r="B5594" s="46"/>
      <c r="C5594" s="46"/>
      <c r="D5594" s="48"/>
      <c r="E5594" s="48"/>
      <c r="F5594" s="48"/>
      <c r="G5594" s="48"/>
      <c r="H5594" s="48"/>
      <c r="I5594" s="48"/>
    </row>
    <row r="5595" spans="1:9" hidden="1" x14ac:dyDescent="0.2">
      <c r="A5595" s="46"/>
      <c r="B5595" s="46"/>
      <c r="C5595" s="46"/>
      <c r="D5595" s="48"/>
      <c r="E5595" s="48"/>
      <c r="F5595" s="48"/>
      <c r="G5595" s="48"/>
      <c r="H5595" s="48"/>
      <c r="I5595" s="48"/>
    </row>
    <row r="5596" spans="1:9" hidden="1" x14ac:dyDescent="0.2">
      <c r="A5596" s="46"/>
      <c r="B5596" s="46"/>
      <c r="C5596" s="46"/>
      <c r="D5596" s="48"/>
      <c r="E5596" s="48"/>
      <c r="F5596" s="48"/>
      <c r="G5596" s="48"/>
      <c r="H5596" s="48"/>
      <c r="I5596" s="48"/>
    </row>
    <row r="5597" spans="1:9" hidden="1" x14ac:dyDescent="0.2">
      <c r="A5597" s="46"/>
      <c r="B5597" s="46"/>
      <c r="C5597" s="46"/>
      <c r="D5597" s="48"/>
      <c r="E5597" s="48"/>
      <c r="F5597" s="48"/>
      <c r="G5597" s="48"/>
      <c r="H5597" s="48"/>
      <c r="I5597" s="48"/>
    </row>
    <row r="5598" spans="1:9" hidden="1" x14ac:dyDescent="0.2">
      <c r="A5598" s="46"/>
      <c r="B5598" s="46"/>
      <c r="C5598" s="46"/>
      <c r="D5598" s="48"/>
      <c r="E5598" s="48"/>
      <c r="F5598" s="48"/>
      <c r="G5598" s="48"/>
      <c r="H5598" s="48"/>
      <c r="I5598" s="48"/>
    </row>
    <row r="5599" spans="1:9" hidden="1" x14ac:dyDescent="0.2">
      <c r="A5599" s="46"/>
      <c r="B5599" s="46"/>
      <c r="C5599" s="46"/>
      <c r="D5599" s="48"/>
      <c r="E5599" s="48"/>
      <c r="F5599" s="48"/>
      <c r="G5599" s="48"/>
      <c r="H5599" s="48"/>
      <c r="I5599" s="48"/>
    </row>
    <row r="5600" spans="1:9" hidden="1" x14ac:dyDescent="0.2">
      <c r="A5600" s="46"/>
      <c r="B5600" s="46"/>
      <c r="C5600" s="46"/>
      <c r="D5600" s="48"/>
      <c r="E5600" s="48"/>
      <c r="F5600" s="48"/>
      <c r="G5600" s="48"/>
      <c r="H5600" s="48"/>
      <c r="I5600" s="48"/>
    </row>
    <row r="5601" spans="1:9" hidden="1" x14ac:dyDescent="0.2">
      <c r="A5601" s="46"/>
      <c r="B5601" s="46"/>
      <c r="C5601" s="46"/>
      <c r="D5601" s="48"/>
      <c r="E5601" s="48"/>
      <c r="F5601" s="48"/>
      <c r="G5601" s="48"/>
      <c r="H5601" s="48"/>
      <c r="I5601" s="48"/>
    </row>
    <row r="5602" spans="1:9" hidden="1" x14ac:dyDescent="0.2">
      <c r="A5602" s="46"/>
      <c r="B5602" s="46"/>
      <c r="C5602" s="46"/>
      <c r="D5602" s="48"/>
      <c r="E5602" s="48"/>
      <c r="F5602" s="48"/>
      <c r="G5602" s="48"/>
      <c r="H5602" s="48"/>
      <c r="I5602" s="48"/>
    </row>
    <row r="5603" spans="1:9" hidden="1" x14ac:dyDescent="0.2">
      <c r="A5603" s="46"/>
      <c r="B5603" s="46"/>
      <c r="C5603" s="46"/>
      <c r="D5603" s="48"/>
      <c r="E5603" s="48"/>
      <c r="F5603" s="48"/>
      <c r="G5603" s="48"/>
      <c r="H5603" s="48"/>
      <c r="I5603" s="48"/>
    </row>
    <row r="5604" spans="1:9" hidden="1" x14ac:dyDescent="0.2">
      <c r="A5604" s="46"/>
      <c r="B5604" s="46"/>
      <c r="C5604" s="46"/>
      <c r="D5604" s="48"/>
      <c r="E5604" s="48"/>
      <c r="F5604" s="48"/>
      <c r="G5604" s="48"/>
      <c r="H5604" s="48"/>
      <c r="I5604" s="48"/>
    </row>
    <row r="5605" spans="1:9" hidden="1" x14ac:dyDescent="0.2">
      <c r="A5605" s="46"/>
      <c r="B5605" s="46"/>
      <c r="C5605" s="46"/>
      <c r="D5605" s="48"/>
      <c r="E5605" s="48"/>
      <c r="F5605" s="48"/>
      <c r="G5605" s="48"/>
      <c r="H5605" s="48"/>
      <c r="I5605" s="48"/>
    </row>
    <row r="5606" spans="1:9" hidden="1" x14ac:dyDescent="0.2">
      <c r="A5606" s="46"/>
      <c r="B5606" s="46"/>
      <c r="C5606" s="46"/>
      <c r="D5606" s="48"/>
      <c r="E5606" s="48"/>
      <c r="F5606" s="48"/>
      <c r="G5606" s="48"/>
      <c r="H5606" s="48"/>
      <c r="I5606" s="48"/>
    </row>
    <row r="5607" spans="1:9" hidden="1" x14ac:dyDescent="0.2">
      <c r="A5607" s="46"/>
      <c r="B5607" s="46"/>
      <c r="C5607" s="46"/>
      <c r="D5607" s="48"/>
      <c r="E5607" s="48"/>
      <c r="F5607" s="48"/>
      <c r="G5607" s="48"/>
      <c r="H5607" s="48"/>
      <c r="I5607" s="48"/>
    </row>
    <row r="5608" spans="1:9" hidden="1" x14ac:dyDescent="0.2">
      <c r="A5608" s="46"/>
      <c r="B5608" s="46"/>
      <c r="C5608" s="46"/>
      <c r="D5608" s="48"/>
      <c r="E5608" s="48"/>
      <c r="F5608" s="48"/>
      <c r="G5608" s="48"/>
      <c r="H5608" s="48"/>
      <c r="I5608" s="48"/>
    </row>
    <row r="5609" spans="1:9" hidden="1" x14ac:dyDescent="0.2">
      <c r="A5609" s="46"/>
      <c r="B5609" s="46"/>
      <c r="C5609" s="46"/>
      <c r="D5609" s="48"/>
      <c r="E5609" s="48"/>
      <c r="F5609" s="48"/>
      <c r="G5609" s="48"/>
      <c r="H5609" s="48"/>
      <c r="I5609" s="48"/>
    </row>
    <row r="5610" spans="1:9" hidden="1" x14ac:dyDescent="0.2">
      <c r="A5610" s="46"/>
      <c r="B5610" s="46"/>
      <c r="C5610" s="46"/>
      <c r="D5610" s="48"/>
      <c r="E5610" s="48"/>
      <c r="F5610" s="48"/>
      <c r="G5610" s="48"/>
      <c r="H5610" s="48"/>
      <c r="I5610" s="48"/>
    </row>
    <row r="5611" spans="1:9" hidden="1" x14ac:dyDescent="0.2">
      <c r="A5611" s="46"/>
      <c r="B5611" s="46"/>
      <c r="C5611" s="46"/>
      <c r="D5611" s="48"/>
      <c r="E5611" s="48"/>
      <c r="F5611" s="48"/>
      <c r="G5611" s="48"/>
      <c r="H5611" s="48"/>
      <c r="I5611" s="48"/>
    </row>
    <row r="5612" spans="1:9" hidden="1" x14ac:dyDescent="0.2">
      <c r="A5612" s="46"/>
      <c r="B5612" s="46"/>
      <c r="C5612" s="46"/>
      <c r="D5612" s="48"/>
      <c r="E5612" s="48"/>
      <c r="F5612" s="48"/>
      <c r="G5612" s="48"/>
      <c r="H5612" s="48"/>
      <c r="I5612" s="48"/>
    </row>
    <row r="5613" spans="1:9" hidden="1" x14ac:dyDescent="0.2">
      <c r="A5613" s="46"/>
      <c r="B5613" s="46"/>
      <c r="C5613" s="46"/>
      <c r="D5613" s="48"/>
      <c r="E5613" s="48"/>
      <c r="F5613" s="48"/>
      <c r="G5613" s="48"/>
      <c r="H5613" s="48"/>
      <c r="I5613" s="48"/>
    </row>
    <row r="5614" spans="1:9" hidden="1" x14ac:dyDescent="0.2">
      <c r="A5614" s="46"/>
      <c r="B5614" s="46"/>
      <c r="C5614" s="46"/>
      <c r="D5614" s="48"/>
      <c r="E5614" s="48"/>
      <c r="F5614" s="48"/>
      <c r="G5614" s="48"/>
      <c r="H5614" s="48"/>
      <c r="I5614" s="48"/>
    </row>
    <row r="5615" spans="1:9" hidden="1" x14ac:dyDescent="0.2">
      <c r="A5615" s="46"/>
      <c r="B5615" s="46"/>
      <c r="C5615" s="46"/>
      <c r="D5615" s="48"/>
      <c r="E5615" s="48"/>
      <c r="F5615" s="48"/>
      <c r="G5615" s="48"/>
      <c r="H5615" s="48"/>
      <c r="I5615" s="48"/>
    </row>
    <row r="5616" spans="1:9" hidden="1" x14ac:dyDescent="0.2">
      <c r="A5616" s="46"/>
      <c r="B5616" s="46"/>
      <c r="C5616" s="46"/>
      <c r="D5616" s="48"/>
      <c r="E5616" s="48"/>
      <c r="F5616" s="48"/>
      <c r="G5616" s="48"/>
      <c r="H5616" s="48"/>
      <c r="I5616" s="48"/>
    </row>
    <row r="5617" spans="1:9" hidden="1" x14ac:dyDescent="0.2">
      <c r="A5617" s="46"/>
      <c r="B5617" s="46"/>
      <c r="C5617" s="46"/>
      <c r="D5617" s="48"/>
      <c r="E5617" s="48"/>
      <c r="F5617" s="48"/>
      <c r="G5617" s="48"/>
      <c r="H5617" s="48"/>
      <c r="I5617" s="48"/>
    </row>
    <row r="5618" spans="1:9" hidden="1" x14ac:dyDescent="0.2">
      <c r="A5618" s="46"/>
      <c r="B5618" s="46"/>
      <c r="C5618" s="46"/>
      <c r="D5618" s="48"/>
      <c r="E5618" s="48"/>
      <c r="F5618" s="48"/>
      <c r="G5618" s="48"/>
      <c r="H5618" s="48"/>
      <c r="I5618" s="48"/>
    </row>
    <row r="5619" spans="1:9" hidden="1" x14ac:dyDescent="0.2">
      <c r="A5619" s="46"/>
      <c r="B5619" s="46"/>
      <c r="C5619" s="46"/>
      <c r="D5619" s="48"/>
      <c r="E5619" s="48"/>
      <c r="F5619" s="48"/>
      <c r="G5619" s="48"/>
      <c r="H5619" s="48"/>
      <c r="I5619" s="48"/>
    </row>
    <row r="5620" spans="1:9" hidden="1" x14ac:dyDescent="0.2">
      <c r="A5620" s="46"/>
      <c r="B5620" s="46"/>
      <c r="C5620" s="46"/>
      <c r="D5620" s="48"/>
      <c r="E5620" s="48"/>
      <c r="F5620" s="48"/>
      <c r="G5620" s="48"/>
      <c r="H5620" s="48"/>
      <c r="I5620" s="48"/>
    </row>
    <row r="5621" spans="1:9" hidden="1" x14ac:dyDescent="0.2">
      <c r="A5621" s="46"/>
      <c r="B5621" s="46"/>
      <c r="C5621" s="46"/>
      <c r="D5621" s="48"/>
      <c r="E5621" s="48"/>
      <c r="F5621" s="48"/>
      <c r="G5621" s="48"/>
      <c r="H5621" s="48"/>
      <c r="I5621" s="48"/>
    </row>
    <row r="5622" spans="1:9" hidden="1" x14ac:dyDescent="0.2">
      <c r="A5622" s="46"/>
      <c r="B5622" s="46"/>
      <c r="C5622" s="46"/>
      <c r="D5622" s="48"/>
      <c r="E5622" s="48"/>
      <c r="F5622" s="48"/>
      <c r="G5622" s="48"/>
      <c r="H5622" s="48"/>
      <c r="I5622" s="48"/>
    </row>
    <row r="5623" spans="1:9" hidden="1" x14ac:dyDescent="0.2">
      <c r="A5623" s="46"/>
      <c r="B5623" s="46"/>
      <c r="C5623" s="46"/>
      <c r="D5623" s="48"/>
      <c r="E5623" s="48"/>
      <c r="F5623" s="48"/>
      <c r="G5623" s="48"/>
      <c r="H5623" s="48"/>
      <c r="I5623" s="48"/>
    </row>
    <row r="5624" spans="1:9" hidden="1" x14ac:dyDescent="0.2">
      <c r="A5624" s="46"/>
      <c r="B5624" s="46"/>
      <c r="C5624" s="46"/>
      <c r="D5624" s="48"/>
      <c r="E5624" s="48"/>
      <c r="F5624" s="48"/>
      <c r="G5624" s="48"/>
      <c r="H5624" s="48"/>
      <c r="I5624" s="48"/>
    </row>
    <row r="5625" spans="1:9" hidden="1" x14ac:dyDescent="0.2">
      <c r="A5625" s="46"/>
      <c r="B5625" s="46"/>
      <c r="C5625" s="46"/>
      <c r="D5625" s="48"/>
      <c r="E5625" s="48"/>
      <c r="F5625" s="48"/>
      <c r="G5625" s="48"/>
      <c r="H5625" s="48"/>
      <c r="I5625" s="48"/>
    </row>
    <row r="5626" spans="1:9" hidden="1" x14ac:dyDescent="0.2">
      <c r="A5626" s="46"/>
      <c r="B5626" s="46"/>
      <c r="C5626" s="46"/>
      <c r="D5626" s="48"/>
      <c r="E5626" s="48"/>
      <c r="F5626" s="48"/>
      <c r="G5626" s="48"/>
      <c r="H5626" s="48"/>
      <c r="I5626" s="48"/>
    </row>
    <row r="5627" spans="1:9" hidden="1" x14ac:dyDescent="0.2">
      <c r="A5627" s="46"/>
      <c r="B5627" s="46"/>
      <c r="C5627" s="46"/>
      <c r="D5627" s="48"/>
      <c r="E5627" s="48"/>
      <c r="F5627" s="48"/>
      <c r="G5627" s="48"/>
      <c r="H5627" s="48"/>
      <c r="I5627" s="48"/>
    </row>
    <row r="5628" spans="1:9" hidden="1" x14ac:dyDescent="0.2">
      <c r="A5628" s="46"/>
      <c r="B5628" s="46"/>
      <c r="C5628" s="46"/>
      <c r="D5628" s="48"/>
      <c r="E5628" s="48"/>
      <c r="F5628" s="48"/>
      <c r="G5628" s="48"/>
      <c r="H5628" s="48"/>
      <c r="I5628" s="48"/>
    </row>
    <row r="5629" spans="1:9" hidden="1" x14ac:dyDescent="0.2">
      <c r="A5629" s="46"/>
      <c r="B5629" s="46"/>
      <c r="C5629" s="46"/>
      <c r="D5629" s="48"/>
      <c r="E5629" s="48"/>
      <c r="F5629" s="48"/>
      <c r="G5629" s="48"/>
      <c r="H5629" s="48"/>
      <c r="I5629" s="48"/>
    </row>
  </sheetData>
  <autoFilter ref="A1:DM5629" xr:uid="{9B015FE2-8CFE-401C-9147-4C5A778D8CBD}">
    <filterColumn colId="0">
      <filters>
        <filter val="Eliminating Gender-Based Violence"/>
      </filters>
    </filterColumn>
  </autoFilter>
  <dataValidations count="1">
    <dataValidation type="list" allowBlank="1" showInputMessage="1" showErrorMessage="1" sqref="C70" xr:uid="{0A4C63AA-DC72-457E-B288-34B7C43E8459}">
      <formula1>Bottlenecks</formula1>
    </dataValidation>
  </dataValidations>
  <hyperlinks>
    <hyperlink ref="H97" r:id="rId1" xr:uid="{F987B7F2-D044-4CE0-AC92-E5B83CF3CC07}"/>
    <hyperlink ref="H68" r:id="rId2" display="https://www.ijhpm.com/article_4108.html" xr:uid="{E30CB63B-0DED-4C46-91BD-FC922E880726}"/>
  </hyperlinks>
  <pageMargins left="0.7" right="0.7" top="0.75" bottom="0.75" header="0.3" footer="0.3"/>
  <pageSetup orientation="portrait" r:id="rId3"/>
  <headerFooter>
    <oddFooter>&amp;R_x000D_&amp;1#&amp;"Calibri"&amp;10&amp;K000000 Official Use Only</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01ACB546F95934EB62B0DAB768DFB37" ma:contentTypeVersion="18" ma:contentTypeDescription="Create a new document." ma:contentTypeScope="" ma:versionID="82eeaf7fccbcd76a7117d9180c5b13d8">
  <xsd:schema xmlns:xsd="http://www.w3.org/2001/XMLSchema" xmlns:xs="http://www.w3.org/2001/XMLSchema" xmlns:p="http://schemas.microsoft.com/office/2006/metadata/properties" xmlns:ns1="http://schemas.microsoft.com/sharepoint/v3" xmlns:ns2="1edae2f6-3872-4699-a921-e5cb4453c299" xmlns:ns3="65ac956a-4e06-4de8-bd2c-9df566ca62bc" xmlns:ns4="3e02667f-0271-471b-bd6e-11a2e16def1d" targetNamespace="http://schemas.microsoft.com/office/2006/metadata/properties" ma:root="true" ma:fieldsID="914c47517a48ee5ea440eb912c3f03e3" ns1:_="" ns2:_="" ns3:_="" ns4:_="">
    <xsd:import namespace="http://schemas.microsoft.com/sharepoint/v3"/>
    <xsd:import namespace="1edae2f6-3872-4699-a921-e5cb4453c299"/>
    <xsd:import namespace="65ac956a-4e06-4de8-bd2c-9df566ca62bc"/>
    <xsd:import namespace="3e02667f-0271-471b-bd6e-11a2e16def1d"/>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DateTaken" minOccurs="0"/>
                <xsd:element ref="ns2:MediaLengthInSecond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Unified Compliance Policy Properties" ma:hidden="true" ma:internalName="_ip_UnifiedCompliancePolicyProperties">
      <xsd:simpleType>
        <xsd:restriction base="dms:Note"/>
      </xsd:simpleType>
    </xsd:element>
    <xsd:element name="_ip_UnifiedCompliancePolicyUIAction" ma:index="25"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edae2f6-3872-4699-a921-e5cb4453c2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2a6c10d7-b926-4fc0-945e-3cbf5049f6bd"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5ac956a-4e06-4de8-bd2c-9df566ca62bc"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3e02667f-0271-471b-bd6e-11a2e16def1d"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946e6c-4c20-4a68-9d82-38f3c2688b73}" ma:internalName="TaxCatchAll" ma:showField="CatchAllData" ma:web="65ac956a-4e06-4de8-bd2c-9df566ca62b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edae2f6-3872-4699-a921-e5cb4453c299">
      <Terms xmlns="http://schemas.microsoft.com/office/infopath/2007/PartnerControls"/>
    </lcf76f155ced4ddcb4097134ff3c332f>
    <TaxCatchAll xmlns="3e02667f-0271-471b-bd6e-11a2e16def1d" xsi:nil="true"/>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6BED08C0-FFA9-47A9-AD0E-1988012A88C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1edae2f6-3872-4699-a921-e5cb4453c299"/>
    <ds:schemaRef ds:uri="65ac956a-4e06-4de8-bd2c-9df566ca62bc"/>
    <ds:schemaRef ds:uri="3e02667f-0271-471b-bd6e-11a2e16def1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964EBEA-BA65-4BB0-98D5-6C814708167A}">
  <ds:schemaRefs>
    <ds:schemaRef ds:uri="http://schemas.microsoft.com/sharepoint/v3/contenttype/forms"/>
  </ds:schemaRefs>
</ds:datastoreItem>
</file>

<file path=customXml/itemProps3.xml><?xml version="1.0" encoding="utf-8"?>
<ds:datastoreItem xmlns:ds="http://schemas.openxmlformats.org/officeDocument/2006/customXml" ds:itemID="{2A13F8B8-1DA8-4992-8A59-A4F1CBC1281E}">
  <ds:schemaRefs>
    <ds:schemaRef ds:uri="http://schemas.microsoft.com/office/2006/metadata/properties"/>
    <ds:schemaRef ds:uri="http://schemas.microsoft.com/office/infopath/2007/PartnerControls"/>
    <ds:schemaRef ds:uri="1edae2f6-3872-4699-a921-e5cb4453c299"/>
    <ds:schemaRef ds:uri="3e02667f-0271-471b-bd6e-11a2e16def1d"/>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Challenges-List</vt:lpstr>
      <vt:lpstr>Roles-List</vt:lpstr>
      <vt:lpstr>Bottlenecks - List</vt:lpstr>
      <vt:lpstr>Taxonomy (2)</vt:lpstr>
      <vt:lpstr>Taxonomy</vt:lpstr>
      <vt:lpstr>Taxonomy-bottlenecks</vt:lpstr>
      <vt:lpstr>Taxonomy-roles</vt:lpstr>
      <vt:lpstr>Taxonomy-overview</vt:lpstr>
      <vt:lpstr>Outcomes &amp; Results</vt:lpstr>
      <vt:lpstr>Public Sector Challenges</vt:lpstr>
      <vt:lpstr>Roles - Outcome</vt:lpstr>
      <vt:lpstr>Bottlenecks - Outcome</vt:lpstr>
      <vt:lpstr>Roles - Examples</vt:lpstr>
      <vt:lpstr>Bottlenecks - Examples</vt:lpstr>
      <vt:lpstr>Bottlenecks</vt:lpstr>
      <vt:lpstr>PFChallenges</vt:lpstr>
      <vt:lpstr>Roles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Margaux Lucrece Lelong</dc:creator>
  <cp:keywords/>
  <dc:description/>
  <cp:lastModifiedBy>Yukiko Suzuki</cp:lastModifiedBy>
  <cp:revision/>
  <dcterms:created xsi:type="dcterms:W3CDTF">2015-06-05T18:17:20Z</dcterms:created>
  <dcterms:modified xsi:type="dcterms:W3CDTF">2025-08-27T17:48:11Z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0x010100401ACB546F95934EB62B0DAB768DFB37</vt:lpwstr>
  </property>
  <property fmtid="{D5CDD505-2E9C-101B-9397-08002B2CF9AE}" pid="3" name="MediaServiceImageTags">
    <vt:lpwstr/>
  </property>
  <property fmtid="{D5CDD505-2E9C-101B-9397-08002B2CF9AE}" pid="4" name="MSIP_Label_f1bf45b6-5649-4236-82a3-f45024cd282e_Enabled">
    <vt:lpwstr>true</vt:lpwstr>
  </property>
  <property fmtid="{D5CDD505-2E9C-101B-9397-08002B2CF9AE}" pid="5" name="MSIP_Label_f1bf45b6-5649-4236-82a3-f45024cd282e_SetDate">
    <vt:lpwstr>2025-06-02T17:57:37Z</vt:lpwstr>
  </property>
  <property fmtid="{D5CDD505-2E9C-101B-9397-08002B2CF9AE}" pid="6" name="MSIP_Label_f1bf45b6-5649-4236-82a3-f45024cd282e_Method">
    <vt:lpwstr>Standard</vt:lpwstr>
  </property>
  <property fmtid="{D5CDD505-2E9C-101B-9397-08002B2CF9AE}" pid="7" name="MSIP_Label_f1bf45b6-5649-4236-82a3-f45024cd282e_Name">
    <vt:lpwstr>Official Use Only</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ActionId">
    <vt:lpwstr>ecd5ad8d-3a08-47ba-ad11-cf0e1aa175ad</vt:lpwstr>
  </property>
  <property fmtid="{D5CDD505-2E9C-101B-9397-08002B2CF9AE}" pid="10" name="MSIP_Label_f1bf45b6-5649-4236-82a3-f45024cd282e_ContentBits">
    <vt:lpwstr>2</vt:lpwstr>
  </property>
  <property fmtid="{D5CDD505-2E9C-101B-9397-08002B2CF9AE}" pid="11" name="MSIP_Label_f1bf45b6-5649-4236-82a3-f45024cd282e_Tag">
    <vt:lpwstr>10, 3, 0, 1</vt:lpwstr>
  </property>
</Properties>
</file>